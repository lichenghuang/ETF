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always" codeName="ThisWorkbook" defaultThemeVersion="124226"/>
  <bookViews>
    <workbookView xWindow="-13776" yWindow="1416" windowWidth="15576" windowHeight="10608" tabRatio="896" firstSheet="18" activeTab="23"/>
  </bookViews>
  <sheets>
    <sheet name="ETF即時價格" sheetId="34" r:id="rId1"/>
    <sheet name="KGI海期報價" sheetId="121" r:id="rId2"/>
    <sheet name="群益海期報價" sheetId="103" r:id="rId3"/>
    <sheet name="台期所" sheetId="71" r:id="rId4"/>
    <sheet name="匯率報價" sheetId="58" r:id="rId5"/>
    <sheet name="PCF匯率" sheetId="67" r:id="rId6"/>
    <sheet name="費用列表" sheetId="110" r:id="rId7"/>
    <sheet name="WebAPI_KGI" sheetId="117" r:id="rId8"/>
    <sheet name="WebAPI_國票" sheetId="115" r:id="rId9"/>
    <sheet name="PCF" sheetId="123" r:id="rId10"/>
    <sheet name="XQKGIAP" sheetId="122" r:id="rId11"/>
    <sheet name="ETF Update" sheetId="13" r:id="rId12"/>
    <sheet name="50台灣50系列即時淨值" sheetId="3" r:id="rId13"/>
    <sheet name="0055元大金融即時淨值" sheetId="65" r:id="rId14"/>
    <sheet name="0056高股息即時淨值" sheetId="64" r:id="rId15"/>
    <sheet name="6206上證50即時淨值" sheetId="29" r:id="rId16"/>
    <sheet name="61滬深300系列即時淨值" sheetId="62" r:id="rId17"/>
    <sheet name="S&amp;P500系列即時淨值" sheetId="105" r:id="rId18"/>
    <sheet name="石油ETF即時淨值" sheetId="48" r:id="rId19"/>
    <sheet name="黃金ETF即時淨值" sheetId="106" r:id="rId20"/>
    <sheet name="元大DDE" sheetId="124" r:id="rId21"/>
    <sheet name="美元指數ETF即時淨值" sheetId="107" r:id="rId22"/>
    <sheet name="日圓ETF即時淨值" sheetId="111" r:id="rId23"/>
    <sheet name="20年美債ETF即時淨值" sheetId="112" r:id="rId24"/>
    <sheet name="10年美債ETF即時淨值" sheetId="114" r:id="rId25"/>
    <sheet name="情境分析2" sheetId="2" r:id="rId26"/>
  </sheets>
  <functionGroups builtInGroupCount="17"/>
  <externalReferences>
    <externalReference r:id="rId27"/>
    <externalReference r:id="rId28"/>
    <externalReference r:id="rId29"/>
  </externalReferences>
  <definedNames>
    <definedName name="_006206_4a_1" localSheetId="15">'6206上證50即時淨值'!#REF!</definedName>
    <definedName name="AUpdate">1</definedName>
    <definedName name="BUpdate">1</definedName>
    <definedName name="GUpdate">0</definedName>
    <definedName name="Port" localSheetId="24">#REF!</definedName>
    <definedName name="Port" localSheetId="23">#REF!</definedName>
    <definedName name="Port" localSheetId="1">#REF!</definedName>
    <definedName name="Port" localSheetId="17">#REF!</definedName>
    <definedName name="Port" localSheetId="22">#REF!</definedName>
    <definedName name="Port" localSheetId="3">#REF!</definedName>
    <definedName name="Port" localSheetId="21">#REF!</definedName>
    <definedName name="Port" localSheetId="19">#REF!</definedName>
    <definedName name="Port">#REF!</definedName>
    <definedName name="_xlnm.Print_Area" localSheetId="24">'10年美債ETF即時淨值'!$A$1:$AA$51</definedName>
    <definedName name="_xlnm.Print_Area" localSheetId="23">'20年美債ETF即時淨值'!$A$1:$Z$47</definedName>
    <definedName name="_xlnm.Print_Area" localSheetId="12">'50台灣50系列即時淨值'!$A$1:$R$79</definedName>
    <definedName name="_xlnm.Print_Area" localSheetId="15">'6206上證50即時淨值'!$A$1:$V$84</definedName>
    <definedName name="_xlnm.Print_Area" localSheetId="0">ETF即時價格!$A$1:$O$50</definedName>
    <definedName name="_xlnm.Print_Area" localSheetId="22">日圓ETF即時淨值!$A$1:$Z$45</definedName>
    <definedName name="_xlnm.Print_Area" localSheetId="18">石油ETF即時淨值!$A$1:$AA$52</definedName>
    <definedName name="_xlnm.Print_Area" localSheetId="21">美元指數ETF即時淨值!$A$1:$Z$47</definedName>
    <definedName name="_xlnm.Print_Area" localSheetId="19">黃金ETF即時淨值!$A$1:$AC$48</definedName>
    <definedName name="TUpdate">1</definedName>
  </definedNames>
  <calcPr calcId="145621"/>
</workbook>
</file>

<file path=xl/calcChain.xml><?xml version="1.0" encoding="utf-8"?>
<calcChain xmlns="http://schemas.openxmlformats.org/spreadsheetml/2006/main">
  <c r="B8" i="48" l="1"/>
  <c r="B13" i="48"/>
  <c r="A21" i="48"/>
  <c r="A20" i="48"/>
  <c r="O20" i="48"/>
  <c r="N20" i="48"/>
  <c r="R42" i="48"/>
  <c r="R38" i="48"/>
  <c r="R37" i="48"/>
  <c r="R36" i="48"/>
  <c r="R35" i="48"/>
  <c r="R34" i="48"/>
  <c r="C21" i="48"/>
  <c r="I21" i="48" s="1"/>
  <c r="L21" i="48" s="1"/>
  <c r="E10" i="48"/>
  <c r="E11" i="48"/>
  <c r="M16" i="48"/>
  <c r="M15" i="48"/>
  <c r="O15" i="48"/>
  <c r="N15" i="48"/>
  <c r="J4" i="48"/>
  <c r="G4" i="48" s="1"/>
  <c r="R27" i="48"/>
  <c r="R25" i="48"/>
  <c r="R23" i="48"/>
  <c r="R22" i="48"/>
  <c r="R21" i="48"/>
  <c r="R20" i="48"/>
  <c r="R19" i="48"/>
  <c r="G15" i="48"/>
  <c r="G16" i="48"/>
  <c r="L16" i="48"/>
  <c r="K16" i="48"/>
  <c r="L15" i="48"/>
  <c r="K15" i="48"/>
  <c r="C16" i="48"/>
  <c r="I16" i="48" s="1"/>
  <c r="C15" i="48"/>
  <c r="E15" i="48" s="1"/>
  <c r="C20" i="48"/>
  <c r="J20" i="48" s="1"/>
  <c r="I15" i="48"/>
  <c r="J15" i="48"/>
  <c r="H11" i="48"/>
  <c r="I10" i="48"/>
  <c r="C11" i="48"/>
  <c r="J11" i="48" s="1"/>
  <c r="C10" i="48"/>
  <c r="H10" i="48" s="1"/>
  <c r="R12" i="48"/>
  <c r="R11" i="48"/>
  <c r="R10" i="48"/>
  <c r="R9" i="48"/>
  <c r="R7" i="48"/>
  <c r="R6" i="48"/>
  <c r="R5" i="48"/>
  <c r="D7" i="48"/>
  <c r="C7" i="48"/>
  <c r="B20" i="105"/>
  <c r="A17" i="105"/>
  <c r="B14" i="105" s="1"/>
  <c r="A16" i="105"/>
  <c r="B9" i="105"/>
  <c r="J17" i="105"/>
  <c r="I17" i="105"/>
  <c r="H17" i="105"/>
  <c r="J16" i="105"/>
  <c r="I16" i="105"/>
  <c r="H16" i="105"/>
  <c r="E17" i="105"/>
  <c r="E16" i="105"/>
  <c r="R29" i="105"/>
  <c r="R28" i="105"/>
  <c r="R27" i="105"/>
  <c r="R26" i="105"/>
  <c r="R25" i="105"/>
  <c r="R14" i="105"/>
  <c r="R13" i="105"/>
  <c r="R12" i="105"/>
  <c r="R11" i="105"/>
  <c r="C7" i="105"/>
  <c r="F25" i="105"/>
  <c r="F26" i="105"/>
  <c r="F27" i="105"/>
  <c r="F28" i="105"/>
  <c r="F29" i="105"/>
  <c r="F30" i="105"/>
  <c r="F31" i="105"/>
  <c r="F32" i="105"/>
  <c r="F33" i="105"/>
  <c r="F34" i="105"/>
  <c r="F35" i="105"/>
  <c r="F36" i="105"/>
  <c r="F37" i="105"/>
  <c r="F38" i="105"/>
  <c r="F39" i="105"/>
  <c r="F40" i="105"/>
  <c r="F41" i="105"/>
  <c r="F42" i="105"/>
  <c r="F43" i="105"/>
  <c r="F44" i="105"/>
  <c r="F45" i="105"/>
  <c r="F46" i="105"/>
  <c r="F47" i="105"/>
  <c r="F48" i="105"/>
  <c r="F49" i="105"/>
  <c r="F50" i="105"/>
  <c r="F51" i="105"/>
  <c r="F52" i="105"/>
  <c r="F53" i="105"/>
  <c r="F54" i="105"/>
  <c r="F55" i="105"/>
  <c r="F56" i="105"/>
  <c r="F57" i="105"/>
  <c r="F58" i="105"/>
  <c r="F59" i="105"/>
  <c r="F60" i="105"/>
  <c r="F61" i="105"/>
  <c r="F62" i="105"/>
  <c r="F63" i="105"/>
  <c r="F64" i="105"/>
  <c r="F65" i="105"/>
  <c r="F66" i="105"/>
  <c r="F67" i="105"/>
  <c r="F68" i="105"/>
  <c r="F69" i="105"/>
  <c r="F70" i="105"/>
  <c r="F71" i="105"/>
  <c r="F72" i="105"/>
  <c r="F73" i="105"/>
  <c r="F74" i="105"/>
  <c r="F75" i="105"/>
  <c r="F76" i="105"/>
  <c r="F77" i="105"/>
  <c r="F78" i="105"/>
  <c r="F79" i="105"/>
  <c r="F80" i="105"/>
  <c r="F81" i="105"/>
  <c r="F82" i="105"/>
  <c r="F83" i="105"/>
  <c r="F84" i="105"/>
  <c r="F85" i="105"/>
  <c r="F86" i="105"/>
  <c r="F87" i="105"/>
  <c r="F88" i="105"/>
  <c r="F89" i="105"/>
  <c r="F90" i="105"/>
  <c r="F91" i="105"/>
  <c r="F92" i="105"/>
  <c r="F93" i="105"/>
  <c r="F94" i="105"/>
  <c r="F95" i="105"/>
  <c r="F96" i="105"/>
  <c r="F97" i="105"/>
  <c r="F98" i="105"/>
  <c r="F99" i="105"/>
  <c r="F100" i="105"/>
  <c r="F101" i="105"/>
  <c r="F102" i="105"/>
  <c r="F103" i="105"/>
  <c r="F104" i="105"/>
  <c r="F105" i="105"/>
  <c r="F106" i="105"/>
  <c r="F107" i="105"/>
  <c r="F108" i="105"/>
  <c r="F109" i="105"/>
  <c r="F110" i="105"/>
  <c r="F111" i="105"/>
  <c r="F112" i="105"/>
  <c r="F113" i="105"/>
  <c r="F114" i="105"/>
  <c r="F115" i="105"/>
  <c r="F116" i="105"/>
  <c r="F117" i="105"/>
  <c r="F118" i="105"/>
  <c r="F119" i="105"/>
  <c r="F120" i="105"/>
  <c r="F121" i="105"/>
  <c r="F122" i="105"/>
  <c r="F123" i="105"/>
  <c r="F124" i="105"/>
  <c r="F125" i="105"/>
  <c r="F126" i="105"/>
  <c r="F127" i="105"/>
  <c r="F128" i="105"/>
  <c r="F129" i="105"/>
  <c r="F130" i="105"/>
  <c r="F131" i="105"/>
  <c r="F132" i="105"/>
  <c r="F133" i="105"/>
  <c r="F134" i="105"/>
  <c r="F135" i="105"/>
  <c r="F136" i="105"/>
  <c r="F137" i="105"/>
  <c r="F138" i="105"/>
  <c r="F139" i="105"/>
  <c r="F140" i="105"/>
  <c r="F141" i="105"/>
  <c r="F142" i="105"/>
  <c r="F143" i="105"/>
  <c r="F144" i="105"/>
  <c r="F145" i="105"/>
  <c r="F146" i="105"/>
  <c r="F147" i="105"/>
  <c r="F148" i="105"/>
  <c r="F149" i="105"/>
  <c r="F150" i="105"/>
  <c r="F151" i="105"/>
  <c r="F152" i="105"/>
  <c r="F153" i="105"/>
  <c r="F154" i="105"/>
  <c r="F155" i="105"/>
  <c r="F156" i="105"/>
  <c r="F157" i="105"/>
  <c r="F158" i="105"/>
  <c r="F159" i="105"/>
  <c r="F160" i="105"/>
  <c r="F161" i="105"/>
  <c r="F162" i="105"/>
  <c r="F163" i="105"/>
  <c r="F164" i="105"/>
  <c r="F165" i="105"/>
  <c r="F166" i="105"/>
  <c r="F167" i="105"/>
  <c r="F168" i="105"/>
  <c r="F169" i="105"/>
  <c r="F170" i="105"/>
  <c r="F171" i="105"/>
  <c r="F172" i="105"/>
  <c r="F173" i="105"/>
  <c r="F174" i="105"/>
  <c r="F175" i="105"/>
  <c r="F176" i="105"/>
  <c r="F177" i="105"/>
  <c r="F178" i="105"/>
  <c r="F179" i="105"/>
  <c r="F180" i="105"/>
  <c r="F181" i="105"/>
  <c r="F182" i="105"/>
  <c r="F183" i="105"/>
  <c r="F184" i="105"/>
  <c r="F185" i="105"/>
  <c r="F186" i="105"/>
  <c r="F187" i="105"/>
  <c r="F188" i="105"/>
  <c r="F189" i="105"/>
  <c r="F190" i="105"/>
  <c r="F191" i="105"/>
  <c r="F192" i="105"/>
  <c r="F193" i="105"/>
  <c r="F194" i="105"/>
  <c r="F195" i="105"/>
  <c r="F196" i="105"/>
  <c r="F197" i="105"/>
  <c r="F198" i="105"/>
  <c r="F199" i="105"/>
  <c r="F200" i="105"/>
  <c r="F201" i="105"/>
  <c r="F202" i="105"/>
  <c r="F203" i="105"/>
  <c r="F204" i="105"/>
  <c r="F205" i="105"/>
  <c r="F206" i="105"/>
  <c r="F207" i="105"/>
  <c r="F208" i="105"/>
  <c r="F209" i="105"/>
  <c r="F210" i="105"/>
  <c r="F211" i="105"/>
  <c r="F212" i="105"/>
  <c r="F213" i="105"/>
  <c r="F214" i="105"/>
  <c r="F215" i="105"/>
  <c r="F216" i="105"/>
  <c r="F217" i="105"/>
  <c r="F218" i="105"/>
  <c r="F219" i="105"/>
  <c r="F220" i="105"/>
  <c r="F221" i="105"/>
  <c r="F222" i="105"/>
  <c r="F223" i="105"/>
  <c r="F224" i="105"/>
  <c r="F225" i="105"/>
  <c r="F226" i="105"/>
  <c r="F227" i="105"/>
  <c r="F228" i="105"/>
  <c r="F229" i="105"/>
  <c r="F230" i="105"/>
  <c r="F231" i="105"/>
  <c r="F232" i="105"/>
  <c r="F233" i="105"/>
  <c r="F234" i="105"/>
  <c r="F235" i="105"/>
  <c r="F236" i="105"/>
  <c r="F237" i="105"/>
  <c r="F238" i="105"/>
  <c r="F239" i="105"/>
  <c r="F240" i="105"/>
  <c r="F241" i="105"/>
  <c r="F242" i="105"/>
  <c r="F243" i="105"/>
  <c r="F244" i="105"/>
  <c r="F245" i="105"/>
  <c r="F246" i="105"/>
  <c r="F247" i="105"/>
  <c r="F248" i="105"/>
  <c r="F249" i="105"/>
  <c r="F250" i="105"/>
  <c r="F251" i="105"/>
  <c r="F252" i="105"/>
  <c r="F253" i="105"/>
  <c r="F254" i="105"/>
  <c r="F255" i="105"/>
  <c r="F256" i="105"/>
  <c r="F257" i="105"/>
  <c r="F258" i="105"/>
  <c r="F259" i="105"/>
  <c r="F260" i="105"/>
  <c r="F261" i="105"/>
  <c r="F262" i="105"/>
  <c r="F263" i="105"/>
  <c r="F264" i="105"/>
  <c r="F265" i="105"/>
  <c r="F266" i="105"/>
  <c r="F267" i="105"/>
  <c r="F268" i="105"/>
  <c r="F269" i="105"/>
  <c r="F270" i="105"/>
  <c r="F271" i="105"/>
  <c r="F272" i="105"/>
  <c r="F273" i="105"/>
  <c r="F274" i="105"/>
  <c r="F275" i="105"/>
  <c r="F276" i="105"/>
  <c r="F277" i="105"/>
  <c r="F278" i="105"/>
  <c r="F279" i="105"/>
  <c r="F280" i="105"/>
  <c r="F281" i="105"/>
  <c r="F282" i="105"/>
  <c r="F283" i="105"/>
  <c r="F284" i="105"/>
  <c r="F285" i="105"/>
  <c r="F286" i="105"/>
  <c r="F287" i="105"/>
  <c r="F288" i="105"/>
  <c r="F289" i="105"/>
  <c r="F290" i="105"/>
  <c r="F291" i="105"/>
  <c r="F292" i="105"/>
  <c r="F293" i="105"/>
  <c r="F294" i="105"/>
  <c r="F295" i="105"/>
  <c r="F296" i="105"/>
  <c r="F297" i="105"/>
  <c r="F298" i="105"/>
  <c r="F299" i="105"/>
  <c r="F300" i="105"/>
  <c r="F301" i="105"/>
  <c r="F302" i="105"/>
  <c r="F303" i="105"/>
  <c r="F304" i="105"/>
  <c r="F305" i="105"/>
  <c r="F306" i="105"/>
  <c r="F307" i="105"/>
  <c r="F308" i="105"/>
  <c r="F309" i="105"/>
  <c r="F310" i="105"/>
  <c r="F311" i="105"/>
  <c r="F312" i="105"/>
  <c r="F313" i="105"/>
  <c r="F314" i="105"/>
  <c r="F315" i="105"/>
  <c r="F316" i="105"/>
  <c r="F317" i="105"/>
  <c r="F318" i="105"/>
  <c r="F319" i="105"/>
  <c r="F320" i="105"/>
  <c r="F321" i="105"/>
  <c r="F322" i="105"/>
  <c r="F323" i="105"/>
  <c r="F324" i="105"/>
  <c r="F325" i="105"/>
  <c r="F326" i="105"/>
  <c r="F327" i="105"/>
  <c r="F328" i="105"/>
  <c r="F329" i="105"/>
  <c r="F330" i="105"/>
  <c r="F331" i="105"/>
  <c r="F332" i="105"/>
  <c r="F333" i="105"/>
  <c r="F334" i="105"/>
  <c r="F335" i="105"/>
  <c r="F336" i="105"/>
  <c r="F337" i="105"/>
  <c r="F338" i="105"/>
  <c r="F339" i="105"/>
  <c r="F340" i="105"/>
  <c r="F341" i="105"/>
  <c r="F342" i="105"/>
  <c r="F343" i="105"/>
  <c r="F344" i="105"/>
  <c r="F345" i="105"/>
  <c r="F346" i="105"/>
  <c r="F347" i="105"/>
  <c r="F348" i="105"/>
  <c r="F349" i="105"/>
  <c r="F350" i="105"/>
  <c r="F351" i="105"/>
  <c r="F352" i="105"/>
  <c r="F353" i="105"/>
  <c r="F354" i="105"/>
  <c r="F355" i="105"/>
  <c r="F356" i="105"/>
  <c r="F357" i="105"/>
  <c r="F358" i="105"/>
  <c r="F359" i="105"/>
  <c r="F360" i="105"/>
  <c r="F361" i="105"/>
  <c r="F362" i="105"/>
  <c r="F363" i="105"/>
  <c r="F364" i="105"/>
  <c r="F365" i="105"/>
  <c r="F366" i="105"/>
  <c r="F367" i="105"/>
  <c r="F368" i="105"/>
  <c r="F369" i="105"/>
  <c r="F370" i="105"/>
  <c r="F371" i="105"/>
  <c r="F372" i="105"/>
  <c r="F373" i="105"/>
  <c r="F374" i="105"/>
  <c r="F375" i="105"/>
  <c r="F376" i="105"/>
  <c r="F377" i="105"/>
  <c r="F378" i="105"/>
  <c r="F379" i="105"/>
  <c r="F380" i="105"/>
  <c r="F381" i="105"/>
  <c r="F382" i="105"/>
  <c r="F383" i="105"/>
  <c r="F384" i="105"/>
  <c r="F385" i="105"/>
  <c r="F386" i="105"/>
  <c r="F387" i="105"/>
  <c r="F388" i="105"/>
  <c r="F389" i="105"/>
  <c r="F390" i="105"/>
  <c r="F391" i="105"/>
  <c r="F392" i="105"/>
  <c r="F393" i="105"/>
  <c r="F394" i="105"/>
  <c r="F395" i="105"/>
  <c r="F396" i="105"/>
  <c r="F397" i="105"/>
  <c r="F398" i="105"/>
  <c r="F399" i="105"/>
  <c r="F400" i="105"/>
  <c r="F401" i="105"/>
  <c r="F402" i="105"/>
  <c r="F403" i="105"/>
  <c r="F404" i="105"/>
  <c r="F405" i="105"/>
  <c r="F406" i="105"/>
  <c r="F407" i="105"/>
  <c r="F408" i="105"/>
  <c r="F409" i="105"/>
  <c r="F410" i="105"/>
  <c r="F411" i="105"/>
  <c r="F412" i="105"/>
  <c r="F413" i="105"/>
  <c r="F414" i="105"/>
  <c r="F415" i="105"/>
  <c r="F416" i="105"/>
  <c r="F417" i="105"/>
  <c r="F418" i="105"/>
  <c r="F419" i="105"/>
  <c r="F420" i="105"/>
  <c r="F421" i="105"/>
  <c r="F422" i="105"/>
  <c r="F423" i="105"/>
  <c r="F424" i="105"/>
  <c r="F425" i="105"/>
  <c r="F426" i="105"/>
  <c r="F427" i="105"/>
  <c r="F428" i="105"/>
  <c r="F429" i="105"/>
  <c r="F430" i="105"/>
  <c r="F431" i="105"/>
  <c r="F432" i="105"/>
  <c r="F433" i="105"/>
  <c r="F434" i="105"/>
  <c r="F435" i="105"/>
  <c r="F436" i="105"/>
  <c r="F437" i="105"/>
  <c r="F438" i="105"/>
  <c r="F439" i="105"/>
  <c r="F440" i="105"/>
  <c r="F441" i="105"/>
  <c r="F442" i="105"/>
  <c r="F443" i="105"/>
  <c r="F444" i="105"/>
  <c r="F445" i="105"/>
  <c r="F446" i="105"/>
  <c r="F447" i="105"/>
  <c r="F448" i="105"/>
  <c r="F449" i="105"/>
  <c r="F450" i="105"/>
  <c r="F451" i="105"/>
  <c r="F452" i="105"/>
  <c r="F453" i="105"/>
  <c r="F454" i="105"/>
  <c r="F455" i="105"/>
  <c r="F456" i="105"/>
  <c r="F457" i="105"/>
  <c r="F458" i="105"/>
  <c r="F459" i="105"/>
  <c r="F460" i="105"/>
  <c r="F461" i="105"/>
  <c r="F462" i="105"/>
  <c r="F463" i="105"/>
  <c r="F464" i="105"/>
  <c r="F465" i="105"/>
  <c r="F466" i="105"/>
  <c r="F467" i="105"/>
  <c r="F468" i="105"/>
  <c r="F469" i="105"/>
  <c r="F470" i="105"/>
  <c r="F471" i="105"/>
  <c r="F472" i="105"/>
  <c r="F473" i="105"/>
  <c r="F474" i="105"/>
  <c r="F475" i="105"/>
  <c r="F476" i="105"/>
  <c r="F477" i="105"/>
  <c r="F478" i="105"/>
  <c r="F479" i="105"/>
  <c r="F480" i="105"/>
  <c r="F481" i="105"/>
  <c r="F482" i="105"/>
  <c r="F483" i="105"/>
  <c r="F484" i="105"/>
  <c r="F485" i="105"/>
  <c r="F486" i="105"/>
  <c r="F487" i="105"/>
  <c r="F488" i="105"/>
  <c r="F489" i="105"/>
  <c r="F490" i="105"/>
  <c r="F491" i="105"/>
  <c r="F492" i="105"/>
  <c r="F493" i="105"/>
  <c r="F494" i="105"/>
  <c r="F495" i="105"/>
  <c r="F496" i="105"/>
  <c r="F497" i="105"/>
  <c r="F498" i="105"/>
  <c r="F499" i="105"/>
  <c r="F500" i="105"/>
  <c r="F501" i="105"/>
  <c r="F502" i="105"/>
  <c r="F503" i="105"/>
  <c r="F504" i="105"/>
  <c r="F505" i="105"/>
  <c r="F506" i="105"/>
  <c r="F507" i="105"/>
  <c r="F508" i="105"/>
  <c r="F509" i="105"/>
  <c r="F510" i="105"/>
  <c r="F511" i="105"/>
  <c r="F512" i="105"/>
  <c r="F513" i="105"/>
  <c r="F514" i="105"/>
  <c r="F515" i="105"/>
  <c r="F516" i="105"/>
  <c r="F517" i="105"/>
  <c r="F518" i="105"/>
  <c r="F519" i="105"/>
  <c r="F520" i="105"/>
  <c r="F521" i="105"/>
  <c r="F522" i="105"/>
  <c r="F523" i="105"/>
  <c r="F524" i="105"/>
  <c r="F525" i="105"/>
  <c r="F526" i="105"/>
  <c r="F24" i="105"/>
  <c r="B25" i="105"/>
  <c r="C25" i="105"/>
  <c r="B26" i="105"/>
  <c r="C26" i="105"/>
  <c r="B27" i="105"/>
  <c r="C27" i="105"/>
  <c r="B28" i="105"/>
  <c r="C28" i="105"/>
  <c r="B29" i="105"/>
  <c r="C29" i="105"/>
  <c r="B30" i="105"/>
  <c r="C30" i="105"/>
  <c r="B31" i="105"/>
  <c r="C31" i="105"/>
  <c r="B32" i="105"/>
  <c r="C32" i="105"/>
  <c r="B33" i="105"/>
  <c r="C33" i="105"/>
  <c r="B34" i="105"/>
  <c r="C34" i="105"/>
  <c r="B35" i="105"/>
  <c r="C35" i="105"/>
  <c r="B36" i="105"/>
  <c r="C36" i="105"/>
  <c r="B37" i="105"/>
  <c r="C37" i="105"/>
  <c r="B38" i="105"/>
  <c r="C38" i="105"/>
  <c r="B39" i="105"/>
  <c r="C39" i="105"/>
  <c r="B40" i="105"/>
  <c r="C40" i="105"/>
  <c r="B41" i="105"/>
  <c r="C41" i="105"/>
  <c r="B42" i="105"/>
  <c r="C42" i="105"/>
  <c r="B43" i="105"/>
  <c r="C43" i="105"/>
  <c r="B44" i="105"/>
  <c r="C44" i="105"/>
  <c r="B45" i="105"/>
  <c r="C45" i="105"/>
  <c r="B46" i="105"/>
  <c r="C46" i="105"/>
  <c r="B47" i="105"/>
  <c r="C47" i="105"/>
  <c r="B48" i="105"/>
  <c r="C48" i="105"/>
  <c r="B49" i="105"/>
  <c r="C49" i="105"/>
  <c r="B50" i="105"/>
  <c r="C50" i="105"/>
  <c r="B51" i="105"/>
  <c r="C51" i="105"/>
  <c r="B52" i="105"/>
  <c r="C52" i="105"/>
  <c r="B53" i="105"/>
  <c r="C53" i="105"/>
  <c r="B54" i="105"/>
  <c r="C54" i="105"/>
  <c r="B55" i="105"/>
  <c r="C55" i="105"/>
  <c r="B56" i="105"/>
  <c r="C56" i="105"/>
  <c r="B57" i="105"/>
  <c r="C57" i="105"/>
  <c r="B58" i="105"/>
  <c r="C58" i="105"/>
  <c r="B59" i="105"/>
  <c r="C59" i="105"/>
  <c r="B60" i="105"/>
  <c r="C60" i="105"/>
  <c r="B61" i="105"/>
  <c r="C61" i="105"/>
  <c r="B62" i="105"/>
  <c r="C62" i="105"/>
  <c r="B63" i="105"/>
  <c r="C63" i="105"/>
  <c r="B64" i="105"/>
  <c r="C64" i="105"/>
  <c r="B65" i="105"/>
  <c r="C65" i="105"/>
  <c r="B66" i="105"/>
  <c r="C66" i="105"/>
  <c r="B67" i="105"/>
  <c r="C67" i="105"/>
  <c r="B68" i="105"/>
  <c r="C68" i="105"/>
  <c r="B69" i="105"/>
  <c r="C69" i="105"/>
  <c r="B70" i="105"/>
  <c r="C70" i="105"/>
  <c r="B71" i="105"/>
  <c r="C71" i="105"/>
  <c r="B72" i="105"/>
  <c r="C72" i="105"/>
  <c r="B73" i="105"/>
  <c r="C73" i="105"/>
  <c r="B74" i="105"/>
  <c r="C74" i="105"/>
  <c r="B75" i="105"/>
  <c r="C75" i="105"/>
  <c r="B76" i="105"/>
  <c r="C76" i="105"/>
  <c r="B77" i="105"/>
  <c r="C77" i="105"/>
  <c r="B78" i="105"/>
  <c r="C78" i="105"/>
  <c r="B79" i="105"/>
  <c r="C79" i="105"/>
  <c r="B80" i="105"/>
  <c r="C80" i="105"/>
  <c r="B81" i="105"/>
  <c r="C81" i="105"/>
  <c r="B82" i="105"/>
  <c r="C82" i="105"/>
  <c r="B83" i="105"/>
  <c r="C83" i="105"/>
  <c r="B84" i="105"/>
  <c r="C84" i="105"/>
  <c r="B85" i="105"/>
  <c r="C85" i="105"/>
  <c r="B86" i="105"/>
  <c r="C86" i="105"/>
  <c r="B87" i="105"/>
  <c r="C87" i="105"/>
  <c r="B88" i="105"/>
  <c r="C88" i="105"/>
  <c r="B89" i="105"/>
  <c r="C89" i="105"/>
  <c r="B90" i="105"/>
  <c r="C90" i="105"/>
  <c r="B91" i="105"/>
  <c r="C91" i="105"/>
  <c r="B92" i="105"/>
  <c r="C92" i="105"/>
  <c r="B93" i="105"/>
  <c r="C93" i="105"/>
  <c r="B94" i="105"/>
  <c r="C94" i="105"/>
  <c r="B95" i="105"/>
  <c r="C95" i="105"/>
  <c r="B96" i="105"/>
  <c r="C96" i="105"/>
  <c r="B97" i="105"/>
  <c r="C97" i="105"/>
  <c r="B98" i="105"/>
  <c r="C98" i="105"/>
  <c r="B99" i="105"/>
  <c r="C99" i="105"/>
  <c r="B100" i="105"/>
  <c r="C100" i="105"/>
  <c r="B101" i="105"/>
  <c r="C101" i="105"/>
  <c r="B102" i="105"/>
  <c r="C102" i="105"/>
  <c r="B103" i="105"/>
  <c r="C103" i="105"/>
  <c r="B104" i="105"/>
  <c r="C104" i="105"/>
  <c r="B105" i="105"/>
  <c r="C105" i="105"/>
  <c r="B106" i="105"/>
  <c r="C106" i="105"/>
  <c r="B107" i="105"/>
  <c r="C107" i="105"/>
  <c r="B108" i="105"/>
  <c r="C108" i="105"/>
  <c r="B109" i="105"/>
  <c r="C109" i="105"/>
  <c r="B110" i="105"/>
  <c r="C110" i="105"/>
  <c r="B111" i="105"/>
  <c r="C111" i="105"/>
  <c r="B112" i="105"/>
  <c r="C112" i="105"/>
  <c r="B113" i="105"/>
  <c r="C113" i="105"/>
  <c r="B114" i="105"/>
  <c r="C114" i="105"/>
  <c r="B115" i="105"/>
  <c r="C115" i="105"/>
  <c r="B116" i="105"/>
  <c r="C116" i="105"/>
  <c r="B117" i="105"/>
  <c r="C117" i="105"/>
  <c r="B118" i="105"/>
  <c r="C118" i="105"/>
  <c r="B119" i="105"/>
  <c r="C119" i="105"/>
  <c r="B120" i="105"/>
  <c r="C120" i="105"/>
  <c r="B121" i="105"/>
  <c r="C121" i="105"/>
  <c r="B122" i="105"/>
  <c r="C122" i="105"/>
  <c r="B123" i="105"/>
  <c r="C123" i="105"/>
  <c r="B124" i="105"/>
  <c r="C124" i="105"/>
  <c r="B125" i="105"/>
  <c r="C125" i="105"/>
  <c r="B126" i="105"/>
  <c r="C126" i="105"/>
  <c r="B127" i="105"/>
  <c r="C127" i="105"/>
  <c r="B128" i="105"/>
  <c r="C128" i="105"/>
  <c r="B129" i="105"/>
  <c r="C129" i="105"/>
  <c r="B130" i="105"/>
  <c r="C130" i="105"/>
  <c r="B131" i="105"/>
  <c r="C131" i="105"/>
  <c r="B132" i="105"/>
  <c r="C132" i="105"/>
  <c r="B133" i="105"/>
  <c r="C133" i="105"/>
  <c r="B134" i="105"/>
  <c r="C134" i="105"/>
  <c r="B135" i="105"/>
  <c r="C135" i="105"/>
  <c r="B136" i="105"/>
  <c r="C136" i="105"/>
  <c r="B137" i="105"/>
  <c r="C137" i="105"/>
  <c r="B138" i="105"/>
  <c r="C138" i="105"/>
  <c r="B139" i="105"/>
  <c r="C139" i="105"/>
  <c r="B140" i="105"/>
  <c r="C140" i="105"/>
  <c r="B141" i="105"/>
  <c r="C141" i="105"/>
  <c r="B142" i="105"/>
  <c r="C142" i="105"/>
  <c r="B143" i="105"/>
  <c r="C143" i="105"/>
  <c r="B144" i="105"/>
  <c r="C144" i="105"/>
  <c r="B145" i="105"/>
  <c r="C145" i="105"/>
  <c r="B146" i="105"/>
  <c r="C146" i="105"/>
  <c r="B147" i="105"/>
  <c r="C147" i="105"/>
  <c r="B148" i="105"/>
  <c r="C148" i="105"/>
  <c r="B149" i="105"/>
  <c r="C149" i="105"/>
  <c r="B150" i="105"/>
  <c r="C150" i="105"/>
  <c r="B151" i="105"/>
  <c r="C151" i="105"/>
  <c r="B152" i="105"/>
  <c r="C152" i="105"/>
  <c r="B153" i="105"/>
  <c r="C153" i="105"/>
  <c r="B154" i="105"/>
  <c r="C154" i="105"/>
  <c r="B155" i="105"/>
  <c r="C155" i="105"/>
  <c r="B156" i="105"/>
  <c r="C156" i="105"/>
  <c r="B157" i="105"/>
  <c r="C157" i="105"/>
  <c r="B158" i="105"/>
  <c r="C158" i="105"/>
  <c r="B159" i="105"/>
  <c r="C159" i="105"/>
  <c r="B160" i="105"/>
  <c r="C160" i="105"/>
  <c r="B161" i="105"/>
  <c r="C161" i="105"/>
  <c r="B162" i="105"/>
  <c r="C162" i="105"/>
  <c r="B163" i="105"/>
  <c r="C163" i="105"/>
  <c r="B164" i="105"/>
  <c r="C164" i="105"/>
  <c r="B165" i="105"/>
  <c r="C165" i="105"/>
  <c r="B166" i="105"/>
  <c r="C166" i="105"/>
  <c r="B167" i="105"/>
  <c r="C167" i="105"/>
  <c r="B168" i="105"/>
  <c r="C168" i="105"/>
  <c r="B169" i="105"/>
  <c r="C169" i="105"/>
  <c r="B170" i="105"/>
  <c r="C170" i="105"/>
  <c r="B171" i="105"/>
  <c r="C171" i="105"/>
  <c r="B172" i="105"/>
  <c r="C172" i="105"/>
  <c r="B173" i="105"/>
  <c r="C173" i="105"/>
  <c r="B174" i="105"/>
  <c r="C174" i="105"/>
  <c r="B175" i="105"/>
  <c r="C175" i="105"/>
  <c r="B176" i="105"/>
  <c r="C176" i="105"/>
  <c r="B177" i="105"/>
  <c r="C177" i="105"/>
  <c r="B178" i="105"/>
  <c r="C178" i="105"/>
  <c r="B179" i="105"/>
  <c r="C179" i="105"/>
  <c r="B180" i="105"/>
  <c r="C180" i="105"/>
  <c r="B181" i="105"/>
  <c r="C181" i="105"/>
  <c r="B182" i="105"/>
  <c r="C182" i="105"/>
  <c r="B183" i="105"/>
  <c r="C183" i="105"/>
  <c r="B184" i="105"/>
  <c r="C184" i="105"/>
  <c r="B185" i="105"/>
  <c r="C185" i="105"/>
  <c r="B186" i="105"/>
  <c r="C186" i="105"/>
  <c r="B187" i="105"/>
  <c r="C187" i="105"/>
  <c r="B188" i="105"/>
  <c r="C188" i="105"/>
  <c r="B189" i="105"/>
  <c r="C189" i="105"/>
  <c r="B190" i="105"/>
  <c r="C190" i="105"/>
  <c r="B191" i="105"/>
  <c r="C191" i="105"/>
  <c r="B192" i="105"/>
  <c r="C192" i="105"/>
  <c r="B193" i="105"/>
  <c r="C193" i="105"/>
  <c r="B194" i="105"/>
  <c r="C194" i="105"/>
  <c r="B195" i="105"/>
  <c r="C195" i="105"/>
  <c r="B196" i="105"/>
  <c r="C196" i="105"/>
  <c r="B197" i="105"/>
  <c r="C197" i="105"/>
  <c r="B198" i="105"/>
  <c r="C198" i="105"/>
  <c r="B199" i="105"/>
  <c r="C199" i="105"/>
  <c r="B200" i="105"/>
  <c r="C200" i="105"/>
  <c r="B201" i="105"/>
  <c r="C201" i="105"/>
  <c r="B202" i="105"/>
  <c r="C202" i="105"/>
  <c r="B203" i="105"/>
  <c r="C203" i="105"/>
  <c r="B204" i="105"/>
  <c r="C204" i="105"/>
  <c r="B205" i="105"/>
  <c r="C205" i="105"/>
  <c r="B206" i="105"/>
  <c r="C206" i="105"/>
  <c r="B207" i="105"/>
  <c r="C207" i="105"/>
  <c r="B208" i="105"/>
  <c r="C208" i="105"/>
  <c r="B209" i="105"/>
  <c r="C209" i="105"/>
  <c r="B210" i="105"/>
  <c r="C210" i="105"/>
  <c r="B211" i="105"/>
  <c r="C211" i="105"/>
  <c r="B212" i="105"/>
  <c r="C212" i="105"/>
  <c r="B213" i="105"/>
  <c r="C213" i="105"/>
  <c r="B214" i="105"/>
  <c r="C214" i="105"/>
  <c r="B215" i="105"/>
  <c r="C215" i="105"/>
  <c r="B216" i="105"/>
  <c r="C216" i="105"/>
  <c r="B217" i="105"/>
  <c r="C217" i="105"/>
  <c r="B218" i="105"/>
  <c r="C218" i="105"/>
  <c r="B219" i="105"/>
  <c r="C219" i="105"/>
  <c r="B220" i="105"/>
  <c r="C220" i="105"/>
  <c r="B221" i="105"/>
  <c r="C221" i="105"/>
  <c r="B222" i="105"/>
  <c r="C222" i="105"/>
  <c r="B223" i="105"/>
  <c r="C223" i="105"/>
  <c r="B224" i="105"/>
  <c r="C224" i="105"/>
  <c r="B225" i="105"/>
  <c r="C225" i="105"/>
  <c r="B226" i="105"/>
  <c r="C226" i="105"/>
  <c r="B227" i="105"/>
  <c r="C227" i="105"/>
  <c r="B228" i="105"/>
  <c r="C228" i="105"/>
  <c r="B229" i="105"/>
  <c r="C229" i="105"/>
  <c r="B230" i="105"/>
  <c r="C230" i="105"/>
  <c r="B231" i="105"/>
  <c r="C231" i="105"/>
  <c r="B232" i="105"/>
  <c r="C232" i="105"/>
  <c r="B233" i="105"/>
  <c r="C233" i="105"/>
  <c r="B234" i="105"/>
  <c r="C234" i="105"/>
  <c r="B235" i="105"/>
  <c r="C235" i="105"/>
  <c r="B236" i="105"/>
  <c r="C236" i="105"/>
  <c r="B237" i="105"/>
  <c r="C237" i="105"/>
  <c r="B238" i="105"/>
  <c r="C238" i="105"/>
  <c r="B239" i="105"/>
  <c r="C239" i="105"/>
  <c r="B240" i="105"/>
  <c r="C240" i="105"/>
  <c r="B241" i="105"/>
  <c r="C241" i="105"/>
  <c r="B242" i="105"/>
  <c r="C242" i="105"/>
  <c r="B243" i="105"/>
  <c r="C243" i="105"/>
  <c r="B244" i="105"/>
  <c r="C244" i="105"/>
  <c r="B245" i="105"/>
  <c r="C245" i="105"/>
  <c r="B246" i="105"/>
  <c r="C246" i="105"/>
  <c r="B247" i="105"/>
  <c r="C247" i="105"/>
  <c r="B248" i="105"/>
  <c r="C248" i="105"/>
  <c r="B249" i="105"/>
  <c r="C249" i="105"/>
  <c r="B250" i="105"/>
  <c r="C250" i="105"/>
  <c r="B251" i="105"/>
  <c r="C251" i="105"/>
  <c r="B252" i="105"/>
  <c r="C252" i="105"/>
  <c r="B253" i="105"/>
  <c r="C253" i="105"/>
  <c r="B254" i="105"/>
  <c r="C254" i="105"/>
  <c r="B255" i="105"/>
  <c r="C255" i="105"/>
  <c r="B256" i="105"/>
  <c r="C256" i="105"/>
  <c r="B257" i="105"/>
  <c r="C257" i="105"/>
  <c r="B258" i="105"/>
  <c r="C258" i="105"/>
  <c r="B259" i="105"/>
  <c r="C259" i="105"/>
  <c r="B260" i="105"/>
  <c r="C260" i="105"/>
  <c r="B261" i="105"/>
  <c r="C261" i="105"/>
  <c r="B262" i="105"/>
  <c r="C262" i="105"/>
  <c r="B263" i="105"/>
  <c r="C263" i="105"/>
  <c r="B264" i="105"/>
  <c r="C264" i="105"/>
  <c r="B265" i="105"/>
  <c r="C265" i="105"/>
  <c r="B266" i="105"/>
  <c r="C266" i="105"/>
  <c r="B267" i="105"/>
  <c r="C267" i="105"/>
  <c r="B268" i="105"/>
  <c r="C268" i="105"/>
  <c r="B269" i="105"/>
  <c r="C269" i="105"/>
  <c r="B270" i="105"/>
  <c r="C270" i="105"/>
  <c r="B271" i="105"/>
  <c r="C271" i="105"/>
  <c r="B272" i="105"/>
  <c r="C272" i="105"/>
  <c r="B273" i="105"/>
  <c r="C273" i="105"/>
  <c r="B274" i="105"/>
  <c r="C274" i="105"/>
  <c r="B275" i="105"/>
  <c r="C275" i="105"/>
  <c r="B276" i="105"/>
  <c r="C276" i="105"/>
  <c r="B277" i="105"/>
  <c r="C277" i="105"/>
  <c r="B278" i="105"/>
  <c r="C278" i="105"/>
  <c r="B279" i="105"/>
  <c r="C279" i="105"/>
  <c r="B280" i="105"/>
  <c r="C280" i="105"/>
  <c r="B281" i="105"/>
  <c r="C281" i="105"/>
  <c r="B282" i="105"/>
  <c r="C282" i="105"/>
  <c r="B283" i="105"/>
  <c r="C283" i="105"/>
  <c r="B284" i="105"/>
  <c r="C284" i="105"/>
  <c r="B285" i="105"/>
  <c r="C285" i="105"/>
  <c r="B286" i="105"/>
  <c r="C286" i="105"/>
  <c r="B287" i="105"/>
  <c r="C287" i="105"/>
  <c r="B288" i="105"/>
  <c r="C288" i="105"/>
  <c r="B289" i="105"/>
  <c r="C289" i="105"/>
  <c r="B290" i="105"/>
  <c r="C290" i="105"/>
  <c r="B291" i="105"/>
  <c r="C291" i="105"/>
  <c r="B292" i="105"/>
  <c r="C292" i="105"/>
  <c r="B293" i="105"/>
  <c r="C293" i="105"/>
  <c r="B294" i="105"/>
  <c r="C294" i="105"/>
  <c r="B295" i="105"/>
  <c r="C295" i="105"/>
  <c r="B296" i="105"/>
  <c r="C296" i="105"/>
  <c r="B297" i="105"/>
  <c r="C297" i="105"/>
  <c r="B298" i="105"/>
  <c r="C298" i="105"/>
  <c r="B299" i="105"/>
  <c r="C299" i="105"/>
  <c r="B300" i="105"/>
  <c r="C300" i="105"/>
  <c r="B301" i="105"/>
  <c r="C301" i="105"/>
  <c r="B302" i="105"/>
  <c r="C302" i="105"/>
  <c r="B303" i="105"/>
  <c r="C303" i="105"/>
  <c r="B304" i="105"/>
  <c r="C304" i="105"/>
  <c r="B305" i="105"/>
  <c r="C305" i="105"/>
  <c r="B306" i="105"/>
  <c r="C306" i="105"/>
  <c r="B307" i="105"/>
  <c r="C307" i="105"/>
  <c r="B308" i="105"/>
  <c r="C308" i="105"/>
  <c r="B309" i="105"/>
  <c r="C309" i="105"/>
  <c r="B310" i="105"/>
  <c r="C310" i="105"/>
  <c r="B311" i="105"/>
  <c r="C311" i="105"/>
  <c r="B312" i="105"/>
  <c r="C312" i="105"/>
  <c r="B313" i="105"/>
  <c r="C313" i="105"/>
  <c r="B314" i="105"/>
  <c r="C314" i="105"/>
  <c r="B315" i="105"/>
  <c r="C315" i="105"/>
  <c r="B316" i="105"/>
  <c r="C316" i="105"/>
  <c r="B317" i="105"/>
  <c r="C317" i="105"/>
  <c r="B318" i="105"/>
  <c r="C318" i="105"/>
  <c r="B319" i="105"/>
  <c r="C319" i="105"/>
  <c r="B320" i="105"/>
  <c r="C320" i="105"/>
  <c r="B321" i="105"/>
  <c r="C321" i="105"/>
  <c r="B322" i="105"/>
  <c r="C322" i="105"/>
  <c r="B323" i="105"/>
  <c r="C323" i="105"/>
  <c r="B324" i="105"/>
  <c r="C324" i="105"/>
  <c r="B325" i="105"/>
  <c r="C325" i="105"/>
  <c r="B326" i="105"/>
  <c r="C326" i="105"/>
  <c r="B327" i="105"/>
  <c r="C327" i="105"/>
  <c r="B328" i="105"/>
  <c r="C328" i="105"/>
  <c r="B329" i="105"/>
  <c r="C329" i="105"/>
  <c r="B330" i="105"/>
  <c r="C330" i="105"/>
  <c r="B331" i="105"/>
  <c r="C331" i="105"/>
  <c r="B332" i="105"/>
  <c r="C332" i="105"/>
  <c r="B333" i="105"/>
  <c r="C333" i="105"/>
  <c r="B334" i="105"/>
  <c r="C334" i="105"/>
  <c r="B335" i="105"/>
  <c r="C335" i="105"/>
  <c r="B336" i="105"/>
  <c r="C336" i="105"/>
  <c r="B337" i="105"/>
  <c r="C337" i="105"/>
  <c r="B338" i="105"/>
  <c r="C338" i="105"/>
  <c r="B339" i="105"/>
  <c r="C339" i="105"/>
  <c r="B340" i="105"/>
  <c r="C340" i="105"/>
  <c r="B341" i="105"/>
  <c r="C341" i="105"/>
  <c r="B342" i="105"/>
  <c r="C342" i="105"/>
  <c r="B343" i="105"/>
  <c r="C343" i="105"/>
  <c r="B344" i="105"/>
  <c r="C344" i="105"/>
  <c r="B345" i="105"/>
  <c r="C345" i="105"/>
  <c r="B346" i="105"/>
  <c r="C346" i="105"/>
  <c r="B347" i="105"/>
  <c r="C347" i="105"/>
  <c r="B348" i="105"/>
  <c r="C348" i="105"/>
  <c r="B349" i="105"/>
  <c r="C349" i="105"/>
  <c r="B350" i="105"/>
  <c r="C350" i="105"/>
  <c r="B351" i="105"/>
  <c r="C351" i="105"/>
  <c r="B352" i="105"/>
  <c r="C352" i="105"/>
  <c r="B353" i="105"/>
  <c r="C353" i="105"/>
  <c r="B354" i="105"/>
  <c r="C354" i="105"/>
  <c r="B355" i="105"/>
  <c r="C355" i="105"/>
  <c r="B356" i="105"/>
  <c r="C356" i="105"/>
  <c r="B357" i="105"/>
  <c r="C357" i="105"/>
  <c r="B358" i="105"/>
  <c r="C358" i="105"/>
  <c r="B359" i="105"/>
  <c r="C359" i="105"/>
  <c r="B360" i="105"/>
  <c r="C360" i="105"/>
  <c r="B361" i="105"/>
  <c r="C361" i="105"/>
  <c r="B362" i="105"/>
  <c r="C362" i="105"/>
  <c r="B363" i="105"/>
  <c r="C363" i="105"/>
  <c r="B364" i="105"/>
  <c r="C364" i="105"/>
  <c r="B365" i="105"/>
  <c r="C365" i="105"/>
  <c r="B366" i="105"/>
  <c r="C366" i="105"/>
  <c r="B367" i="105"/>
  <c r="C367" i="105"/>
  <c r="B368" i="105"/>
  <c r="C368" i="105"/>
  <c r="B369" i="105"/>
  <c r="C369" i="105"/>
  <c r="B370" i="105"/>
  <c r="C370" i="105"/>
  <c r="B371" i="105"/>
  <c r="C371" i="105"/>
  <c r="B372" i="105"/>
  <c r="C372" i="105"/>
  <c r="B373" i="105"/>
  <c r="C373" i="105"/>
  <c r="B374" i="105"/>
  <c r="C374" i="105"/>
  <c r="B375" i="105"/>
  <c r="C375" i="105"/>
  <c r="B376" i="105"/>
  <c r="C376" i="105"/>
  <c r="B377" i="105"/>
  <c r="C377" i="105"/>
  <c r="B378" i="105"/>
  <c r="C378" i="105"/>
  <c r="B379" i="105"/>
  <c r="C379" i="105"/>
  <c r="B380" i="105"/>
  <c r="C380" i="105"/>
  <c r="B381" i="105"/>
  <c r="C381" i="105"/>
  <c r="B382" i="105"/>
  <c r="C382" i="105"/>
  <c r="B383" i="105"/>
  <c r="C383" i="105"/>
  <c r="B384" i="105"/>
  <c r="C384" i="105"/>
  <c r="B385" i="105"/>
  <c r="C385" i="105"/>
  <c r="B386" i="105"/>
  <c r="C386" i="105"/>
  <c r="B387" i="105"/>
  <c r="C387" i="105"/>
  <c r="B388" i="105"/>
  <c r="C388" i="105"/>
  <c r="B389" i="105"/>
  <c r="C389" i="105"/>
  <c r="B390" i="105"/>
  <c r="C390" i="105"/>
  <c r="B391" i="105"/>
  <c r="C391" i="105"/>
  <c r="B392" i="105"/>
  <c r="C392" i="105"/>
  <c r="B393" i="105"/>
  <c r="C393" i="105"/>
  <c r="B394" i="105"/>
  <c r="C394" i="105"/>
  <c r="B395" i="105"/>
  <c r="C395" i="105"/>
  <c r="B396" i="105"/>
  <c r="C396" i="105"/>
  <c r="B397" i="105"/>
  <c r="C397" i="105"/>
  <c r="B398" i="105"/>
  <c r="C398" i="105"/>
  <c r="B399" i="105"/>
  <c r="C399" i="105"/>
  <c r="B400" i="105"/>
  <c r="C400" i="105"/>
  <c r="B401" i="105"/>
  <c r="C401" i="105"/>
  <c r="B402" i="105"/>
  <c r="C402" i="105"/>
  <c r="B403" i="105"/>
  <c r="C403" i="105"/>
  <c r="B404" i="105"/>
  <c r="C404" i="105"/>
  <c r="B405" i="105"/>
  <c r="C405" i="105"/>
  <c r="B406" i="105"/>
  <c r="C406" i="105"/>
  <c r="B407" i="105"/>
  <c r="C407" i="105"/>
  <c r="B408" i="105"/>
  <c r="C408" i="105"/>
  <c r="B409" i="105"/>
  <c r="C409" i="105"/>
  <c r="B410" i="105"/>
  <c r="C410" i="105"/>
  <c r="B411" i="105"/>
  <c r="C411" i="105"/>
  <c r="B412" i="105"/>
  <c r="C412" i="105"/>
  <c r="B413" i="105"/>
  <c r="C413" i="105"/>
  <c r="B414" i="105"/>
  <c r="C414" i="105"/>
  <c r="B415" i="105"/>
  <c r="C415" i="105"/>
  <c r="B416" i="105"/>
  <c r="C416" i="105"/>
  <c r="B417" i="105"/>
  <c r="C417" i="105"/>
  <c r="B418" i="105"/>
  <c r="C418" i="105"/>
  <c r="B419" i="105"/>
  <c r="C419" i="105"/>
  <c r="B420" i="105"/>
  <c r="C420" i="105"/>
  <c r="B421" i="105"/>
  <c r="C421" i="105"/>
  <c r="B422" i="105"/>
  <c r="C422" i="105"/>
  <c r="B423" i="105"/>
  <c r="C423" i="105"/>
  <c r="B424" i="105"/>
  <c r="C424" i="105"/>
  <c r="B425" i="105"/>
  <c r="C425" i="105"/>
  <c r="B426" i="105"/>
  <c r="C426" i="105"/>
  <c r="B427" i="105"/>
  <c r="C427" i="105"/>
  <c r="B428" i="105"/>
  <c r="C428" i="105"/>
  <c r="B429" i="105"/>
  <c r="C429" i="105"/>
  <c r="B430" i="105"/>
  <c r="C430" i="105"/>
  <c r="B431" i="105"/>
  <c r="C431" i="105"/>
  <c r="B432" i="105"/>
  <c r="C432" i="105"/>
  <c r="B433" i="105"/>
  <c r="C433" i="105"/>
  <c r="B434" i="105"/>
  <c r="C434" i="105"/>
  <c r="B435" i="105"/>
  <c r="C435" i="105"/>
  <c r="B436" i="105"/>
  <c r="C436" i="105"/>
  <c r="B437" i="105"/>
  <c r="C437" i="105"/>
  <c r="B438" i="105"/>
  <c r="C438" i="105"/>
  <c r="B439" i="105"/>
  <c r="C439" i="105"/>
  <c r="B440" i="105"/>
  <c r="C440" i="105"/>
  <c r="B441" i="105"/>
  <c r="C441" i="105"/>
  <c r="B442" i="105"/>
  <c r="C442" i="105"/>
  <c r="B443" i="105"/>
  <c r="C443" i="105"/>
  <c r="B444" i="105"/>
  <c r="C444" i="105"/>
  <c r="B445" i="105"/>
  <c r="C445" i="105"/>
  <c r="B446" i="105"/>
  <c r="C446" i="105"/>
  <c r="B447" i="105"/>
  <c r="C447" i="105"/>
  <c r="B448" i="105"/>
  <c r="C448" i="105"/>
  <c r="B449" i="105"/>
  <c r="C449" i="105"/>
  <c r="B450" i="105"/>
  <c r="C450" i="105"/>
  <c r="B451" i="105"/>
  <c r="C451" i="105"/>
  <c r="B452" i="105"/>
  <c r="C452" i="105"/>
  <c r="B453" i="105"/>
  <c r="C453" i="105"/>
  <c r="B454" i="105"/>
  <c r="C454" i="105"/>
  <c r="B455" i="105"/>
  <c r="C455" i="105"/>
  <c r="B456" i="105"/>
  <c r="C456" i="105"/>
  <c r="B457" i="105"/>
  <c r="C457" i="105"/>
  <c r="B458" i="105"/>
  <c r="C458" i="105"/>
  <c r="B459" i="105"/>
  <c r="C459" i="105"/>
  <c r="B460" i="105"/>
  <c r="C460" i="105"/>
  <c r="B461" i="105"/>
  <c r="C461" i="105"/>
  <c r="B462" i="105"/>
  <c r="C462" i="105"/>
  <c r="B463" i="105"/>
  <c r="C463" i="105"/>
  <c r="B464" i="105"/>
  <c r="C464" i="105"/>
  <c r="B465" i="105"/>
  <c r="C465" i="105"/>
  <c r="B466" i="105"/>
  <c r="C466" i="105"/>
  <c r="B467" i="105"/>
  <c r="C467" i="105"/>
  <c r="B468" i="105"/>
  <c r="C468" i="105"/>
  <c r="B469" i="105"/>
  <c r="C469" i="105"/>
  <c r="B470" i="105"/>
  <c r="C470" i="105"/>
  <c r="B471" i="105"/>
  <c r="C471" i="105"/>
  <c r="B472" i="105"/>
  <c r="C472" i="105"/>
  <c r="B473" i="105"/>
  <c r="C473" i="105"/>
  <c r="B474" i="105"/>
  <c r="C474" i="105"/>
  <c r="B475" i="105"/>
  <c r="C475" i="105"/>
  <c r="B476" i="105"/>
  <c r="C476" i="105"/>
  <c r="B477" i="105"/>
  <c r="C477" i="105"/>
  <c r="B478" i="105"/>
  <c r="C478" i="105"/>
  <c r="B479" i="105"/>
  <c r="C479" i="105"/>
  <c r="B480" i="105"/>
  <c r="C480" i="105"/>
  <c r="B481" i="105"/>
  <c r="C481" i="105"/>
  <c r="B482" i="105"/>
  <c r="C482" i="105"/>
  <c r="B483" i="105"/>
  <c r="C483" i="105"/>
  <c r="B484" i="105"/>
  <c r="C484" i="105"/>
  <c r="B485" i="105"/>
  <c r="C485" i="105"/>
  <c r="B486" i="105"/>
  <c r="C486" i="105"/>
  <c r="B487" i="105"/>
  <c r="C487" i="105"/>
  <c r="B488" i="105"/>
  <c r="C488" i="105"/>
  <c r="B489" i="105"/>
  <c r="C489" i="105"/>
  <c r="B490" i="105"/>
  <c r="C490" i="105"/>
  <c r="B491" i="105"/>
  <c r="C491" i="105"/>
  <c r="B492" i="105"/>
  <c r="C492" i="105"/>
  <c r="B493" i="105"/>
  <c r="C493" i="105"/>
  <c r="B494" i="105"/>
  <c r="C494" i="105"/>
  <c r="B495" i="105"/>
  <c r="C495" i="105"/>
  <c r="B496" i="105"/>
  <c r="C496" i="105"/>
  <c r="B497" i="105"/>
  <c r="C497" i="105"/>
  <c r="B498" i="105"/>
  <c r="C498" i="105"/>
  <c r="B499" i="105"/>
  <c r="C499" i="105"/>
  <c r="B500" i="105"/>
  <c r="C500" i="105"/>
  <c r="B501" i="105"/>
  <c r="C501" i="105"/>
  <c r="B502" i="105"/>
  <c r="C502" i="105"/>
  <c r="B503" i="105"/>
  <c r="C503" i="105"/>
  <c r="B504" i="105"/>
  <c r="C504" i="105"/>
  <c r="B505" i="105"/>
  <c r="C505" i="105"/>
  <c r="B506" i="105"/>
  <c r="C506" i="105"/>
  <c r="B507" i="105"/>
  <c r="C507" i="105"/>
  <c r="B508" i="105"/>
  <c r="C508" i="105"/>
  <c r="B509" i="105"/>
  <c r="C509" i="105"/>
  <c r="B510" i="105"/>
  <c r="C510" i="105"/>
  <c r="B511" i="105"/>
  <c r="C511" i="105"/>
  <c r="B512" i="105"/>
  <c r="C512" i="105"/>
  <c r="B513" i="105"/>
  <c r="C513" i="105"/>
  <c r="B514" i="105"/>
  <c r="C514" i="105"/>
  <c r="B515" i="105"/>
  <c r="C515" i="105"/>
  <c r="B516" i="105"/>
  <c r="C516" i="105"/>
  <c r="B517" i="105"/>
  <c r="C517" i="105"/>
  <c r="B518" i="105"/>
  <c r="C518" i="105"/>
  <c r="B519" i="105"/>
  <c r="C519" i="105"/>
  <c r="B520" i="105"/>
  <c r="C520" i="105"/>
  <c r="B521" i="105"/>
  <c r="C521" i="105"/>
  <c r="B522" i="105"/>
  <c r="C522" i="105"/>
  <c r="B523" i="105"/>
  <c r="C523" i="105"/>
  <c r="B524" i="105"/>
  <c r="C524" i="105"/>
  <c r="B525" i="105"/>
  <c r="C525" i="105"/>
  <c r="B526" i="105"/>
  <c r="C526" i="105"/>
  <c r="B24" i="105"/>
  <c r="C24" i="105"/>
  <c r="W40" i="105"/>
  <c r="R43" i="105"/>
  <c r="R42" i="105"/>
  <c r="R41" i="105"/>
  <c r="R40" i="105"/>
  <c r="J23" i="105"/>
  <c r="I23" i="105"/>
  <c r="H23" i="105"/>
  <c r="J22" i="105"/>
  <c r="I22" i="105"/>
  <c r="H22" i="105"/>
  <c r="E23" i="105"/>
  <c r="E22" i="105"/>
  <c r="J12" i="105"/>
  <c r="I12" i="105"/>
  <c r="H12" i="105"/>
  <c r="J11" i="105"/>
  <c r="I11" i="105"/>
  <c r="H11" i="105"/>
  <c r="E12" i="105"/>
  <c r="E11" i="105"/>
  <c r="S30" i="62"/>
  <c r="S28" i="62"/>
  <c r="S27" i="62"/>
  <c r="S26" i="62"/>
  <c r="S25" i="62"/>
  <c r="S24" i="62"/>
  <c r="B26" i="62"/>
  <c r="B9" i="62"/>
  <c r="B19" i="62"/>
  <c r="P11" i="62"/>
  <c r="X18" i="62"/>
  <c r="X9" i="62"/>
  <c r="X7" i="62"/>
  <c r="W7" i="62"/>
  <c r="V11" i="62"/>
  <c r="U9" i="62"/>
  <c r="V9" i="62"/>
  <c r="V8" i="62"/>
  <c r="T9" i="62"/>
  <c r="S11" i="62"/>
  <c r="S10" i="62"/>
  <c r="S9" i="62"/>
  <c r="S16" i="62"/>
  <c r="S15" i="62"/>
  <c r="T15" i="62" s="1"/>
  <c r="S14" i="62"/>
  <c r="T14" i="62" s="1"/>
  <c r="S13" i="62"/>
  <c r="T13" i="62" s="1"/>
  <c r="S12" i="62"/>
  <c r="T12" i="62" s="1"/>
  <c r="T11" i="62"/>
  <c r="T10" i="62"/>
  <c r="T17" i="62"/>
  <c r="T16" i="62"/>
  <c r="T8" i="62"/>
  <c r="K16" i="62"/>
  <c r="M15" i="62"/>
  <c r="L15" i="62"/>
  <c r="K15" i="62"/>
  <c r="G15" i="62"/>
  <c r="A15" i="62"/>
  <c r="S40" i="62"/>
  <c r="S43" i="62"/>
  <c r="S44" i="62"/>
  <c r="S42" i="62"/>
  <c r="S41" i="62"/>
  <c r="S39" i="62"/>
  <c r="D2" i="62"/>
  <c r="H10" i="106"/>
  <c r="K10" i="106" s="1"/>
  <c r="H11" i="106"/>
  <c r="E10" i="106"/>
  <c r="E11" i="106"/>
  <c r="A20" i="106"/>
  <c r="A21" i="106"/>
  <c r="J21" i="106"/>
  <c r="I21" i="106"/>
  <c r="H21" i="106"/>
  <c r="J20" i="106"/>
  <c r="M20" i="106" s="1"/>
  <c r="I20" i="106"/>
  <c r="H20" i="106"/>
  <c r="K20" i="106" s="1"/>
  <c r="E21" i="106"/>
  <c r="G21" i="106" s="1"/>
  <c r="E20" i="106"/>
  <c r="G20" i="106" s="1"/>
  <c r="L20" i="106"/>
  <c r="K21" i="106"/>
  <c r="L21" i="106"/>
  <c r="D21" i="106"/>
  <c r="M21" i="106" s="1"/>
  <c r="R35" i="106"/>
  <c r="R39" i="106"/>
  <c r="R37" i="106"/>
  <c r="R36" i="106"/>
  <c r="M16" i="106"/>
  <c r="M15" i="106"/>
  <c r="L16" i="106"/>
  <c r="L15" i="106"/>
  <c r="K15" i="106"/>
  <c r="N15" i="106" s="1"/>
  <c r="K16" i="106"/>
  <c r="Y13" i="106"/>
  <c r="Y5" i="106"/>
  <c r="R8" i="106"/>
  <c r="S8" i="106" s="1"/>
  <c r="E15" i="106"/>
  <c r="G15" i="106" s="1"/>
  <c r="E16" i="106"/>
  <c r="G16" i="106" s="1"/>
  <c r="A16" i="106" s="1"/>
  <c r="T20" i="106"/>
  <c r="S21" i="106"/>
  <c r="R28" i="106"/>
  <c r="R26" i="106"/>
  <c r="R24" i="106"/>
  <c r="R22" i="106"/>
  <c r="R21" i="106"/>
  <c r="R20" i="106"/>
  <c r="R12" i="106"/>
  <c r="R11" i="106"/>
  <c r="R10" i="106"/>
  <c r="S10" i="106" s="1"/>
  <c r="R7" i="106"/>
  <c r="S7" i="106" s="1"/>
  <c r="R6" i="106"/>
  <c r="S6" i="106" s="1"/>
  <c r="R5" i="106"/>
  <c r="S5" i="106" s="1"/>
  <c r="S9" i="106"/>
  <c r="J16" i="106"/>
  <c r="I16" i="106"/>
  <c r="H16" i="106"/>
  <c r="J15" i="106"/>
  <c r="I15" i="106"/>
  <c r="H15" i="106"/>
  <c r="W16" i="106"/>
  <c r="D16" i="106"/>
  <c r="J11" i="106"/>
  <c r="J10" i="106"/>
  <c r="I11" i="106"/>
  <c r="I10" i="106"/>
  <c r="AU27" i="124"/>
  <c r="AT27" i="124"/>
  <c r="AS27" i="124"/>
  <c r="AR27" i="124"/>
  <c r="AQ27" i="124"/>
  <c r="AP27" i="124"/>
  <c r="AO27" i="124"/>
  <c r="AN27" i="124"/>
  <c r="AM27" i="124"/>
  <c r="AL27" i="124"/>
  <c r="AK27" i="124"/>
  <c r="AJ27" i="124"/>
  <c r="AI27" i="124"/>
  <c r="AH27" i="124"/>
  <c r="AG27" i="124"/>
  <c r="AF27" i="124"/>
  <c r="AE27" i="124"/>
  <c r="AD27" i="124"/>
  <c r="AC27" i="124"/>
  <c r="AB27" i="124"/>
  <c r="AA27" i="124"/>
  <c r="Z27" i="124"/>
  <c r="Y27" i="124"/>
  <c r="X27" i="124"/>
  <c r="W27" i="124"/>
  <c r="V27" i="124"/>
  <c r="U27" i="124"/>
  <c r="T27" i="124"/>
  <c r="S27" i="124"/>
  <c r="R27" i="124"/>
  <c r="Q27" i="124"/>
  <c r="P27" i="124"/>
  <c r="O27" i="124"/>
  <c r="N27" i="124"/>
  <c r="M27" i="124"/>
  <c r="L27" i="124"/>
  <c r="K27" i="124"/>
  <c r="J27" i="124"/>
  <c r="I27" i="124"/>
  <c r="H27" i="124"/>
  <c r="G27" i="124"/>
  <c r="F27" i="124"/>
  <c r="E27" i="124"/>
  <c r="D27" i="124"/>
  <c r="C27" i="124"/>
  <c r="B27" i="124"/>
  <c r="A27" i="124"/>
  <c r="AU26" i="124"/>
  <c r="AT26" i="124"/>
  <c r="AS26" i="124"/>
  <c r="AR26" i="124"/>
  <c r="AQ26" i="124"/>
  <c r="AP26" i="124"/>
  <c r="AO26" i="124"/>
  <c r="AN26" i="124"/>
  <c r="AM26" i="124"/>
  <c r="AL26" i="124"/>
  <c r="AK26" i="124"/>
  <c r="AJ26" i="124"/>
  <c r="AI26" i="124"/>
  <c r="AH26" i="124"/>
  <c r="AG26" i="124"/>
  <c r="AF26" i="124"/>
  <c r="AE26" i="124"/>
  <c r="AD26" i="124"/>
  <c r="AC26" i="124"/>
  <c r="AB26" i="124"/>
  <c r="AA26" i="124"/>
  <c r="Z26" i="124"/>
  <c r="Y26" i="124"/>
  <c r="X26" i="124"/>
  <c r="W26" i="124"/>
  <c r="V26" i="124"/>
  <c r="U26" i="124"/>
  <c r="T26" i="124"/>
  <c r="S26" i="124"/>
  <c r="R26" i="124"/>
  <c r="Q26" i="124"/>
  <c r="P26" i="124"/>
  <c r="O26" i="124"/>
  <c r="N26" i="124"/>
  <c r="M26" i="124"/>
  <c r="L26" i="124"/>
  <c r="K26" i="124"/>
  <c r="J26" i="124"/>
  <c r="I26" i="124"/>
  <c r="H26" i="124"/>
  <c r="G26" i="124"/>
  <c r="F26" i="124"/>
  <c r="E26" i="124"/>
  <c r="D26" i="124"/>
  <c r="C26" i="124"/>
  <c r="B26" i="124"/>
  <c r="A26" i="124"/>
  <c r="AU25" i="124"/>
  <c r="AT25" i="124"/>
  <c r="AS25" i="124"/>
  <c r="AR25" i="124"/>
  <c r="AQ25" i="124"/>
  <c r="AP25" i="124"/>
  <c r="AO25" i="124"/>
  <c r="AN25" i="124"/>
  <c r="AM25" i="124"/>
  <c r="AL25" i="124"/>
  <c r="AK25" i="124"/>
  <c r="AJ25" i="124"/>
  <c r="AI25" i="124"/>
  <c r="AH25" i="124"/>
  <c r="AG25" i="124"/>
  <c r="AF25" i="124"/>
  <c r="AE25" i="124"/>
  <c r="AD25" i="124"/>
  <c r="AC25" i="124"/>
  <c r="AB25" i="124"/>
  <c r="AA25" i="124"/>
  <c r="Z25" i="124"/>
  <c r="Y25" i="124"/>
  <c r="X25" i="124"/>
  <c r="W25" i="124"/>
  <c r="V25" i="124"/>
  <c r="U25" i="124"/>
  <c r="T25" i="124"/>
  <c r="S25" i="124"/>
  <c r="R25" i="124"/>
  <c r="Q25" i="124"/>
  <c r="P25" i="124"/>
  <c r="O25" i="124"/>
  <c r="N25" i="124"/>
  <c r="M25" i="124"/>
  <c r="L25" i="124"/>
  <c r="K25" i="124"/>
  <c r="J25" i="124"/>
  <c r="I25" i="124"/>
  <c r="H25" i="124"/>
  <c r="G25" i="124"/>
  <c r="F25" i="124"/>
  <c r="E25" i="124"/>
  <c r="D25" i="124"/>
  <c r="C25" i="124"/>
  <c r="B25" i="124"/>
  <c r="A25" i="124"/>
  <c r="AU24" i="124"/>
  <c r="AT24" i="124"/>
  <c r="AS24" i="124"/>
  <c r="AR24" i="124"/>
  <c r="AQ24" i="124"/>
  <c r="AP24" i="124"/>
  <c r="AO24" i="124"/>
  <c r="AN24" i="124"/>
  <c r="AM24" i="124"/>
  <c r="AL24" i="124"/>
  <c r="AK24" i="124"/>
  <c r="AJ24" i="124"/>
  <c r="AI24" i="124"/>
  <c r="AH24" i="124"/>
  <c r="AG24" i="124"/>
  <c r="AF24" i="124"/>
  <c r="AE24" i="124"/>
  <c r="AD24" i="124"/>
  <c r="AC24" i="124"/>
  <c r="AB24" i="124"/>
  <c r="AA24" i="124"/>
  <c r="Z24" i="124"/>
  <c r="Y24" i="124"/>
  <c r="X24" i="124"/>
  <c r="W24" i="124"/>
  <c r="V24" i="124"/>
  <c r="U24" i="124"/>
  <c r="T24" i="124"/>
  <c r="S24" i="124"/>
  <c r="R24" i="124"/>
  <c r="Q24" i="124"/>
  <c r="P24" i="124"/>
  <c r="O24" i="124"/>
  <c r="N24" i="124"/>
  <c r="M24" i="124"/>
  <c r="L24" i="124"/>
  <c r="K24" i="124"/>
  <c r="J24" i="124"/>
  <c r="I24" i="124"/>
  <c r="H24" i="124"/>
  <c r="G24" i="124"/>
  <c r="F24" i="124"/>
  <c r="E24" i="124"/>
  <c r="D24" i="124"/>
  <c r="C24" i="124"/>
  <c r="B24" i="124"/>
  <c r="A24" i="124"/>
  <c r="AU23" i="124"/>
  <c r="AT23" i="124"/>
  <c r="AS23" i="124"/>
  <c r="AR23" i="124"/>
  <c r="AQ23" i="124"/>
  <c r="AP23" i="124"/>
  <c r="AO23" i="124"/>
  <c r="AN23" i="124"/>
  <c r="AM23" i="124"/>
  <c r="AL23" i="124"/>
  <c r="AK23" i="124"/>
  <c r="AJ23" i="124"/>
  <c r="AI23" i="124"/>
  <c r="AH23" i="124"/>
  <c r="AG23" i="124"/>
  <c r="AF23" i="124"/>
  <c r="AE23" i="124"/>
  <c r="AD23" i="124"/>
  <c r="AC23" i="124"/>
  <c r="AB23" i="124"/>
  <c r="AA23" i="124"/>
  <c r="Z23" i="124"/>
  <c r="Y23" i="124"/>
  <c r="X23" i="124"/>
  <c r="W23" i="124"/>
  <c r="V23" i="124"/>
  <c r="U23" i="124"/>
  <c r="T23" i="124"/>
  <c r="S23" i="124"/>
  <c r="R23" i="124"/>
  <c r="Q23" i="124"/>
  <c r="P23" i="124"/>
  <c r="O23" i="124"/>
  <c r="N23" i="124"/>
  <c r="M23" i="124"/>
  <c r="L23" i="124"/>
  <c r="K23" i="124"/>
  <c r="J23" i="124"/>
  <c r="I23" i="124"/>
  <c r="H23" i="124"/>
  <c r="G23" i="124"/>
  <c r="F23" i="124"/>
  <c r="E23" i="124"/>
  <c r="D23" i="124"/>
  <c r="C23" i="124"/>
  <c r="B23" i="124"/>
  <c r="A23" i="124"/>
  <c r="AU22" i="124"/>
  <c r="AT22" i="124"/>
  <c r="AS22" i="124"/>
  <c r="AR22" i="124"/>
  <c r="AQ22" i="124"/>
  <c r="AP22" i="124"/>
  <c r="AO22" i="124"/>
  <c r="AN22" i="124"/>
  <c r="AM22" i="124"/>
  <c r="AL22" i="124"/>
  <c r="AK22" i="124"/>
  <c r="AJ22" i="124"/>
  <c r="AI22" i="124"/>
  <c r="AH22" i="124"/>
  <c r="AG22" i="124"/>
  <c r="AF22" i="124"/>
  <c r="AE22" i="124"/>
  <c r="AD22" i="124"/>
  <c r="AC22" i="124"/>
  <c r="AB22" i="124"/>
  <c r="AA22" i="124"/>
  <c r="Z22" i="124"/>
  <c r="Y22" i="124"/>
  <c r="X22" i="124"/>
  <c r="W22" i="124"/>
  <c r="V22" i="124"/>
  <c r="U22" i="124"/>
  <c r="T22" i="124"/>
  <c r="S22" i="124"/>
  <c r="R22" i="124"/>
  <c r="Q22" i="124"/>
  <c r="P22" i="124"/>
  <c r="O22" i="124"/>
  <c r="N22" i="124"/>
  <c r="M22" i="124"/>
  <c r="L22" i="124"/>
  <c r="K22" i="124"/>
  <c r="J22" i="124"/>
  <c r="I22" i="124"/>
  <c r="H22" i="124"/>
  <c r="G22" i="124"/>
  <c r="F22" i="124"/>
  <c r="E22" i="124"/>
  <c r="D22" i="124"/>
  <c r="C22" i="124"/>
  <c r="B22" i="124"/>
  <c r="A22" i="124"/>
  <c r="AU21" i="124"/>
  <c r="AT21" i="124"/>
  <c r="AS21" i="124"/>
  <c r="AR21" i="124"/>
  <c r="AQ21" i="124"/>
  <c r="AP21" i="124"/>
  <c r="AO21" i="124"/>
  <c r="AN21" i="124"/>
  <c r="AM21" i="124"/>
  <c r="AL21" i="124"/>
  <c r="AK21" i="124"/>
  <c r="AJ21" i="124"/>
  <c r="AI21" i="124"/>
  <c r="AH21" i="124"/>
  <c r="AG21" i="124"/>
  <c r="AF21" i="124"/>
  <c r="AE21" i="124"/>
  <c r="AD21" i="124"/>
  <c r="AC21" i="124"/>
  <c r="AB21" i="124"/>
  <c r="AA21" i="124"/>
  <c r="Z21" i="124"/>
  <c r="Y21" i="124"/>
  <c r="X21" i="124"/>
  <c r="W21" i="124"/>
  <c r="V21" i="124"/>
  <c r="U21" i="124"/>
  <c r="T21" i="124"/>
  <c r="S21" i="124"/>
  <c r="R21" i="124"/>
  <c r="Q21" i="124"/>
  <c r="P21" i="124"/>
  <c r="O21" i="124"/>
  <c r="N21" i="124"/>
  <c r="M21" i="124"/>
  <c r="L21" i="124"/>
  <c r="K21" i="124"/>
  <c r="J21" i="124"/>
  <c r="I21" i="124"/>
  <c r="H21" i="124"/>
  <c r="G21" i="124"/>
  <c r="F21" i="124"/>
  <c r="E21" i="124"/>
  <c r="D21" i="124"/>
  <c r="C21" i="124"/>
  <c r="B21" i="124"/>
  <c r="A21" i="124"/>
  <c r="AU20" i="124"/>
  <c r="AT20" i="124"/>
  <c r="AS20" i="124"/>
  <c r="AR20" i="124"/>
  <c r="AQ20" i="124"/>
  <c r="AP20" i="124"/>
  <c r="AO20" i="124"/>
  <c r="AN20" i="124"/>
  <c r="AM20" i="124"/>
  <c r="AL20" i="124"/>
  <c r="AK20" i="124"/>
  <c r="AJ20" i="124"/>
  <c r="AI20" i="124"/>
  <c r="AH20" i="124"/>
  <c r="AG20" i="124"/>
  <c r="AF20" i="124"/>
  <c r="AE20" i="124"/>
  <c r="AD20" i="124"/>
  <c r="AC20" i="124"/>
  <c r="AB20" i="124"/>
  <c r="AA20" i="124"/>
  <c r="Z20" i="124"/>
  <c r="Y20" i="124"/>
  <c r="X20" i="124"/>
  <c r="W20" i="124"/>
  <c r="V20" i="124"/>
  <c r="U20" i="124"/>
  <c r="T20" i="124"/>
  <c r="S20" i="124"/>
  <c r="R20" i="124"/>
  <c r="Q20" i="124"/>
  <c r="P20" i="124"/>
  <c r="O20" i="124"/>
  <c r="N20" i="124"/>
  <c r="M20" i="124"/>
  <c r="L20" i="124"/>
  <c r="K20" i="124"/>
  <c r="J20" i="124"/>
  <c r="I20" i="124"/>
  <c r="H20" i="124"/>
  <c r="G20" i="124"/>
  <c r="F20" i="124"/>
  <c r="E20" i="124"/>
  <c r="D20" i="124"/>
  <c r="C20" i="124"/>
  <c r="B20" i="124"/>
  <c r="A20" i="124"/>
  <c r="AU19" i="124"/>
  <c r="AT19" i="124"/>
  <c r="AS19" i="124"/>
  <c r="AR19" i="124"/>
  <c r="AQ19" i="124"/>
  <c r="AP19" i="124"/>
  <c r="AO19" i="124"/>
  <c r="AN19" i="124"/>
  <c r="AM19" i="124"/>
  <c r="AL19" i="124"/>
  <c r="AK19" i="124"/>
  <c r="AJ19" i="124"/>
  <c r="AI19" i="124"/>
  <c r="AH19" i="124"/>
  <c r="AG19" i="124"/>
  <c r="AF19" i="124"/>
  <c r="AE19" i="124"/>
  <c r="AD19" i="124"/>
  <c r="AC19" i="124"/>
  <c r="AB19" i="124"/>
  <c r="AA19" i="124"/>
  <c r="Z19" i="124"/>
  <c r="Y19" i="124"/>
  <c r="X19" i="124"/>
  <c r="W19" i="124"/>
  <c r="V19" i="124"/>
  <c r="U19" i="124"/>
  <c r="T19" i="124"/>
  <c r="S19" i="124"/>
  <c r="R19" i="124"/>
  <c r="Q19" i="124"/>
  <c r="P19" i="124"/>
  <c r="O19" i="124"/>
  <c r="N19" i="124"/>
  <c r="M19" i="124"/>
  <c r="L19" i="124"/>
  <c r="K19" i="124"/>
  <c r="J19" i="124"/>
  <c r="I19" i="124"/>
  <c r="H19" i="124"/>
  <c r="G19" i="124"/>
  <c r="F19" i="124"/>
  <c r="E19" i="124"/>
  <c r="D19" i="124"/>
  <c r="C19" i="124"/>
  <c r="B19" i="124"/>
  <c r="A19" i="124"/>
  <c r="AU18" i="124"/>
  <c r="AT18" i="124"/>
  <c r="AS18" i="124"/>
  <c r="AR18" i="124"/>
  <c r="AQ18" i="124"/>
  <c r="AP18" i="124"/>
  <c r="AO18" i="124"/>
  <c r="AN18" i="124"/>
  <c r="AM18" i="124"/>
  <c r="AL18" i="124"/>
  <c r="AK18" i="124"/>
  <c r="AJ18" i="124"/>
  <c r="AI18" i="124"/>
  <c r="AH18" i="124"/>
  <c r="AG18" i="124"/>
  <c r="AF18" i="124"/>
  <c r="AE18" i="124"/>
  <c r="AD18" i="124"/>
  <c r="AC18" i="124"/>
  <c r="AB18" i="124"/>
  <c r="AA18" i="124"/>
  <c r="Z18" i="124"/>
  <c r="Y18" i="124"/>
  <c r="X18" i="124"/>
  <c r="W18" i="124"/>
  <c r="V18" i="124"/>
  <c r="U18" i="124"/>
  <c r="T18" i="124"/>
  <c r="S18" i="124"/>
  <c r="R18" i="124"/>
  <c r="Q18" i="124"/>
  <c r="P18" i="124"/>
  <c r="O18" i="124"/>
  <c r="N18" i="124"/>
  <c r="M18" i="124"/>
  <c r="L18" i="124"/>
  <c r="K18" i="124"/>
  <c r="J18" i="124"/>
  <c r="I18" i="124"/>
  <c r="H18" i="124"/>
  <c r="G18" i="124"/>
  <c r="F18" i="124"/>
  <c r="E18" i="124"/>
  <c r="D18" i="124"/>
  <c r="C18" i="124"/>
  <c r="B18" i="124"/>
  <c r="A18" i="124"/>
  <c r="AU17" i="124"/>
  <c r="AT17" i="124"/>
  <c r="AS17" i="124"/>
  <c r="AR17" i="124"/>
  <c r="AQ17" i="124"/>
  <c r="AP17" i="124"/>
  <c r="AO17" i="124"/>
  <c r="AN17" i="124"/>
  <c r="AM17" i="124"/>
  <c r="AL17" i="124"/>
  <c r="AK17" i="124"/>
  <c r="AJ17" i="124"/>
  <c r="AI17" i="124"/>
  <c r="AH17" i="124"/>
  <c r="AG17" i="124"/>
  <c r="AF17" i="124"/>
  <c r="AE17" i="124"/>
  <c r="AD17" i="124"/>
  <c r="AC17" i="124"/>
  <c r="AB17" i="124"/>
  <c r="AA17" i="124"/>
  <c r="Z17" i="124"/>
  <c r="Y17" i="124"/>
  <c r="X17" i="124"/>
  <c r="W17" i="124"/>
  <c r="V17" i="124"/>
  <c r="U17" i="124"/>
  <c r="T17" i="124"/>
  <c r="S17" i="124"/>
  <c r="R17" i="124"/>
  <c r="Q17" i="124"/>
  <c r="P17" i="124"/>
  <c r="O17" i="124"/>
  <c r="N17" i="124"/>
  <c r="M17" i="124"/>
  <c r="L17" i="124"/>
  <c r="K17" i="124"/>
  <c r="J17" i="124"/>
  <c r="I17" i="124"/>
  <c r="H17" i="124"/>
  <c r="G17" i="124"/>
  <c r="F17" i="124"/>
  <c r="E17" i="124"/>
  <c r="D17" i="124"/>
  <c r="C17" i="124"/>
  <c r="B17" i="124"/>
  <c r="A17" i="124"/>
  <c r="AU16" i="124"/>
  <c r="AT16" i="124"/>
  <c r="AS16" i="124"/>
  <c r="AR16" i="124"/>
  <c r="AQ16" i="124"/>
  <c r="AP16" i="124"/>
  <c r="AO16" i="124"/>
  <c r="AN16" i="124"/>
  <c r="AM16" i="124"/>
  <c r="AL16" i="124"/>
  <c r="AK16" i="124"/>
  <c r="AJ16" i="124"/>
  <c r="AI16" i="124"/>
  <c r="AH16" i="124"/>
  <c r="AG16" i="124"/>
  <c r="AF16" i="124"/>
  <c r="AE16" i="124"/>
  <c r="AD16" i="124"/>
  <c r="AC16" i="124"/>
  <c r="AB16" i="124"/>
  <c r="AA16" i="124"/>
  <c r="Z16" i="124"/>
  <c r="Y16" i="124"/>
  <c r="X16" i="124"/>
  <c r="W16" i="124"/>
  <c r="V16" i="124"/>
  <c r="U16" i="124"/>
  <c r="T16" i="124"/>
  <c r="S16" i="124"/>
  <c r="R16" i="124"/>
  <c r="Q16" i="124"/>
  <c r="P16" i="124"/>
  <c r="O16" i="124"/>
  <c r="N16" i="124"/>
  <c r="M16" i="124"/>
  <c r="L16" i="124"/>
  <c r="K16" i="124"/>
  <c r="J16" i="124"/>
  <c r="I16" i="124"/>
  <c r="H16" i="124"/>
  <c r="G16" i="124"/>
  <c r="F16" i="124"/>
  <c r="E16" i="124"/>
  <c r="D16" i="124"/>
  <c r="C16" i="124"/>
  <c r="B16" i="124"/>
  <c r="A16" i="124"/>
  <c r="AU15" i="124"/>
  <c r="AT15" i="124"/>
  <c r="AS15" i="124"/>
  <c r="AR15" i="124"/>
  <c r="AQ15" i="124"/>
  <c r="AP15" i="124"/>
  <c r="AO15" i="124"/>
  <c r="AN15" i="124"/>
  <c r="AM15" i="124"/>
  <c r="AL15" i="124"/>
  <c r="AK15" i="124"/>
  <c r="AJ15" i="124"/>
  <c r="AI15" i="124"/>
  <c r="AH15" i="124"/>
  <c r="AG15" i="124"/>
  <c r="AF15" i="124"/>
  <c r="AE15" i="124"/>
  <c r="AD15" i="124"/>
  <c r="AC15" i="124"/>
  <c r="AB15" i="124"/>
  <c r="AA15" i="124"/>
  <c r="Z15" i="124"/>
  <c r="Y15" i="124"/>
  <c r="X15" i="124"/>
  <c r="W15" i="124"/>
  <c r="V15" i="124"/>
  <c r="U15" i="124"/>
  <c r="T15" i="124"/>
  <c r="S15" i="124"/>
  <c r="R15" i="124"/>
  <c r="Q15" i="124"/>
  <c r="P15" i="124"/>
  <c r="O15" i="124"/>
  <c r="N15" i="124"/>
  <c r="M15" i="124"/>
  <c r="L15" i="124"/>
  <c r="K15" i="124"/>
  <c r="J15" i="124"/>
  <c r="I15" i="124"/>
  <c r="H15" i="124"/>
  <c r="G15" i="124"/>
  <c r="F15" i="124"/>
  <c r="E15" i="124"/>
  <c r="D15" i="124"/>
  <c r="C15" i="124"/>
  <c r="B15" i="124"/>
  <c r="A15" i="124"/>
  <c r="AU14" i="124"/>
  <c r="AT14" i="124"/>
  <c r="AS14" i="124"/>
  <c r="AR14" i="124"/>
  <c r="AQ14" i="124"/>
  <c r="AP14" i="124"/>
  <c r="AO14" i="124"/>
  <c r="AN14" i="124"/>
  <c r="AM14" i="124"/>
  <c r="AL14" i="124"/>
  <c r="AK14" i="124"/>
  <c r="AJ14" i="124"/>
  <c r="AI14" i="124"/>
  <c r="AH14" i="124"/>
  <c r="AG14" i="124"/>
  <c r="AF14" i="124"/>
  <c r="AE14" i="124"/>
  <c r="AD14" i="124"/>
  <c r="AC14" i="124"/>
  <c r="AB14" i="124"/>
  <c r="AA14" i="124"/>
  <c r="Z14" i="124"/>
  <c r="Y14" i="124"/>
  <c r="X14" i="124"/>
  <c r="W14" i="124"/>
  <c r="V14" i="124"/>
  <c r="U14" i="124"/>
  <c r="T14" i="124"/>
  <c r="S14" i="124"/>
  <c r="R14" i="124"/>
  <c r="Q14" i="124"/>
  <c r="P14" i="124"/>
  <c r="O14" i="124"/>
  <c r="N14" i="124"/>
  <c r="M14" i="124"/>
  <c r="L14" i="124"/>
  <c r="K14" i="124"/>
  <c r="J14" i="124"/>
  <c r="I14" i="124"/>
  <c r="H14" i="124"/>
  <c r="G14" i="124"/>
  <c r="F14" i="124"/>
  <c r="E14" i="124"/>
  <c r="D14" i="124"/>
  <c r="C14" i="124"/>
  <c r="B14" i="124"/>
  <c r="A14" i="124"/>
  <c r="AU13" i="124"/>
  <c r="AT13" i="124"/>
  <c r="AS13" i="124"/>
  <c r="AR13" i="124"/>
  <c r="AQ13" i="124"/>
  <c r="AP13" i="124"/>
  <c r="AO13" i="124"/>
  <c r="AN13" i="124"/>
  <c r="AM13" i="124"/>
  <c r="AL13" i="124"/>
  <c r="AK13" i="124"/>
  <c r="AJ13" i="124"/>
  <c r="AI13" i="124"/>
  <c r="AH13" i="124"/>
  <c r="AG13" i="124"/>
  <c r="AF13" i="124"/>
  <c r="AE13" i="124"/>
  <c r="AD13" i="124"/>
  <c r="AC13" i="124"/>
  <c r="AB13" i="124"/>
  <c r="AA13" i="124"/>
  <c r="Z13" i="124"/>
  <c r="Y13" i="124"/>
  <c r="X13" i="124"/>
  <c r="W13" i="124"/>
  <c r="V13" i="124"/>
  <c r="U13" i="124"/>
  <c r="T13" i="124"/>
  <c r="S13" i="124"/>
  <c r="R13" i="124"/>
  <c r="Q13" i="124"/>
  <c r="P13" i="124"/>
  <c r="O13" i="124"/>
  <c r="N13" i="124"/>
  <c r="M13" i="124"/>
  <c r="L13" i="124"/>
  <c r="K13" i="124"/>
  <c r="J13" i="124"/>
  <c r="I13" i="124"/>
  <c r="H13" i="124"/>
  <c r="G13" i="124"/>
  <c r="F13" i="124"/>
  <c r="E13" i="124"/>
  <c r="D13" i="124"/>
  <c r="C13" i="124"/>
  <c r="B13" i="124"/>
  <c r="A13" i="124"/>
  <c r="AU12" i="124"/>
  <c r="AT12" i="124"/>
  <c r="AS12" i="124"/>
  <c r="AR12" i="124"/>
  <c r="AQ12" i="124"/>
  <c r="AP12" i="124"/>
  <c r="AO12" i="124"/>
  <c r="AN12" i="124"/>
  <c r="AM12" i="124"/>
  <c r="AL12" i="124"/>
  <c r="AK12" i="124"/>
  <c r="AJ12" i="124"/>
  <c r="AI12" i="124"/>
  <c r="AH12" i="124"/>
  <c r="AG12" i="124"/>
  <c r="AF12" i="124"/>
  <c r="AE12" i="124"/>
  <c r="AD12" i="124"/>
  <c r="AC12" i="124"/>
  <c r="AB12" i="124"/>
  <c r="AA12" i="124"/>
  <c r="Z12" i="124"/>
  <c r="Y12" i="124"/>
  <c r="X12" i="124"/>
  <c r="W12" i="124"/>
  <c r="V12" i="124"/>
  <c r="U12" i="124"/>
  <c r="T12" i="124"/>
  <c r="S12" i="124"/>
  <c r="R12" i="124"/>
  <c r="Q12" i="124"/>
  <c r="P12" i="124"/>
  <c r="O12" i="124"/>
  <c r="N12" i="124"/>
  <c r="M12" i="124"/>
  <c r="L12" i="124"/>
  <c r="K12" i="124"/>
  <c r="J12" i="124"/>
  <c r="I12" i="124"/>
  <c r="H12" i="124"/>
  <c r="G12" i="124"/>
  <c r="F12" i="124"/>
  <c r="E12" i="124"/>
  <c r="D12" i="124"/>
  <c r="C12" i="124"/>
  <c r="B12" i="124"/>
  <c r="A12" i="124"/>
  <c r="AU11" i="124"/>
  <c r="AT11" i="124"/>
  <c r="AS11" i="124"/>
  <c r="AR11" i="124"/>
  <c r="AQ11" i="124"/>
  <c r="AP11" i="124"/>
  <c r="AO11" i="124"/>
  <c r="AN11" i="124"/>
  <c r="AM11" i="124"/>
  <c r="AL11" i="124"/>
  <c r="AK11" i="124"/>
  <c r="AJ11" i="124"/>
  <c r="AI11" i="124"/>
  <c r="AH11" i="124"/>
  <c r="AG11" i="124"/>
  <c r="AF11" i="124"/>
  <c r="AE11" i="124"/>
  <c r="AD11" i="124"/>
  <c r="AC11" i="124"/>
  <c r="AB11" i="124"/>
  <c r="AA11" i="124"/>
  <c r="Z11" i="124"/>
  <c r="Y11" i="124"/>
  <c r="X11" i="124"/>
  <c r="W11" i="124"/>
  <c r="V11" i="124"/>
  <c r="U11" i="124"/>
  <c r="T11" i="124"/>
  <c r="S11" i="124"/>
  <c r="R11" i="124"/>
  <c r="Q11" i="124"/>
  <c r="P11" i="124"/>
  <c r="O11" i="124"/>
  <c r="N11" i="124"/>
  <c r="M11" i="124"/>
  <c r="L11" i="124"/>
  <c r="K11" i="124"/>
  <c r="J11" i="124"/>
  <c r="I11" i="124"/>
  <c r="H11" i="124"/>
  <c r="G11" i="124"/>
  <c r="F11" i="124"/>
  <c r="E11" i="124"/>
  <c r="D11" i="124"/>
  <c r="C11" i="124"/>
  <c r="B11" i="124"/>
  <c r="A11" i="124"/>
  <c r="AU10" i="124"/>
  <c r="AT10" i="124"/>
  <c r="AS10" i="124"/>
  <c r="AR10" i="124"/>
  <c r="AQ10" i="124"/>
  <c r="AP10" i="124"/>
  <c r="AO10" i="124"/>
  <c r="AN10" i="124"/>
  <c r="AM10" i="124"/>
  <c r="AL10" i="124"/>
  <c r="AK10" i="124"/>
  <c r="AJ10" i="124"/>
  <c r="AI10" i="124"/>
  <c r="AH10" i="124"/>
  <c r="AG10" i="124"/>
  <c r="AF10" i="124"/>
  <c r="AE10" i="124"/>
  <c r="AD10" i="124"/>
  <c r="AC10" i="124"/>
  <c r="AB10" i="124"/>
  <c r="AA10" i="124"/>
  <c r="Z10" i="124"/>
  <c r="Y10" i="124"/>
  <c r="X10" i="124"/>
  <c r="W10" i="124"/>
  <c r="V10" i="124"/>
  <c r="U10" i="124"/>
  <c r="T10" i="124"/>
  <c r="S10" i="124"/>
  <c r="R10" i="124"/>
  <c r="Q10" i="124"/>
  <c r="P10" i="124"/>
  <c r="O10" i="124"/>
  <c r="N10" i="124"/>
  <c r="M10" i="124"/>
  <c r="L10" i="124"/>
  <c r="K10" i="124"/>
  <c r="J10" i="124"/>
  <c r="I10" i="124"/>
  <c r="H10" i="124"/>
  <c r="G10" i="124"/>
  <c r="F10" i="124"/>
  <c r="E10" i="124"/>
  <c r="D10" i="124"/>
  <c r="C10" i="124"/>
  <c r="B10" i="124"/>
  <c r="A10" i="124"/>
  <c r="AU9" i="124"/>
  <c r="AT9" i="124"/>
  <c r="AS9" i="124"/>
  <c r="AR9" i="124"/>
  <c r="AQ9" i="124"/>
  <c r="AP9" i="124"/>
  <c r="AO9" i="124"/>
  <c r="AN9" i="124"/>
  <c r="AM9" i="124"/>
  <c r="AL9" i="124"/>
  <c r="AK9" i="124"/>
  <c r="AJ9" i="124"/>
  <c r="AI9" i="124"/>
  <c r="AH9" i="124"/>
  <c r="AG9" i="124"/>
  <c r="AF9" i="124"/>
  <c r="AE9" i="124"/>
  <c r="AD9" i="124"/>
  <c r="AC9" i="124"/>
  <c r="AB9" i="124"/>
  <c r="AA9" i="124"/>
  <c r="Z9" i="124"/>
  <c r="Y9" i="124"/>
  <c r="X9" i="124"/>
  <c r="W9" i="124"/>
  <c r="V9" i="124"/>
  <c r="U9" i="124"/>
  <c r="T9" i="124"/>
  <c r="S9" i="124"/>
  <c r="R9" i="124"/>
  <c r="Q9" i="124"/>
  <c r="P9" i="124"/>
  <c r="O9" i="124"/>
  <c r="N9" i="124"/>
  <c r="M9" i="124"/>
  <c r="L9" i="124"/>
  <c r="K9" i="124"/>
  <c r="J9" i="124"/>
  <c r="I9" i="124"/>
  <c r="H9" i="124"/>
  <c r="G9" i="124"/>
  <c r="F9" i="124"/>
  <c r="E9" i="124"/>
  <c r="D9" i="124"/>
  <c r="C9" i="124"/>
  <c r="B9" i="124"/>
  <c r="A9" i="124"/>
  <c r="AU8" i="124"/>
  <c r="AT8" i="124"/>
  <c r="AS8" i="124"/>
  <c r="AR8" i="124"/>
  <c r="AQ8" i="124"/>
  <c r="AP8" i="124"/>
  <c r="AO8" i="124"/>
  <c r="AN8" i="124"/>
  <c r="AM8" i="124"/>
  <c r="AL8" i="124"/>
  <c r="AK8" i="124"/>
  <c r="AJ8" i="124"/>
  <c r="AI8" i="124"/>
  <c r="AH8" i="124"/>
  <c r="AG8" i="124"/>
  <c r="AF8" i="124"/>
  <c r="AE8" i="124"/>
  <c r="AD8" i="124"/>
  <c r="AC8" i="124"/>
  <c r="AB8" i="124"/>
  <c r="AA8" i="124"/>
  <c r="Z8" i="124"/>
  <c r="Y8" i="124"/>
  <c r="X8" i="124"/>
  <c r="W8" i="124"/>
  <c r="V8" i="124"/>
  <c r="U8" i="124"/>
  <c r="T8" i="124"/>
  <c r="S8" i="124"/>
  <c r="R8" i="124"/>
  <c r="Q8" i="124"/>
  <c r="P8" i="124"/>
  <c r="O8" i="124"/>
  <c r="N8" i="124"/>
  <c r="M8" i="124"/>
  <c r="L8" i="124"/>
  <c r="K8" i="124"/>
  <c r="J8" i="124"/>
  <c r="I8" i="124"/>
  <c r="H8" i="124"/>
  <c r="G8" i="124"/>
  <c r="F8" i="124"/>
  <c r="E8" i="124"/>
  <c r="D8" i="124"/>
  <c r="C8" i="124"/>
  <c r="B8" i="124"/>
  <c r="A8" i="124"/>
  <c r="AU7" i="124"/>
  <c r="AT7" i="124"/>
  <c r="AS7" i="124"/>
  <c r="AR7" i="124"/>
  <c r="AQ7" i="124"/>
  <c r="AP7" i="124"/>
  <c r="AO7" i="124"/>
  <c r="AN7" i="124"/>
  <c r="AM7" i="124"/>
  <c r="AL7" i="124"/>
  <c r="AK7" i="124"/>
  <c r="AJ7" i="124"/>
  <c r="AI7" i="124"/>
  <c r="AH7" i="124"/>
  <c r="AG7" i="124"/>
  <c r="AF7" i="124"/>
  <c r="AE7" i="124"/>
  <c r="AD7" i="124"/>
  <c r="AC7" i="124"/>
  <c r="AB7" i="124"/>
  <c r="AA7" i="124"/>
  <c r="Z7" i="124"/>
  <c r="Y7" i="124"/>
  <c r="X7" i="124"/>
  <c r="W7" i="124"/>
  <c r="V7" i="124"/>
  <c r="U7" i="124"/>
  <c r="T7" i="124"/>
  <c r="S7" i="124"/>
  <c r="R7" i="124"/>
  <c r="Q7" i="124"/>
  <c r="P7" i="124"/>
  <c r="O7" i="124"/>
  <c r="N7" i="124"/>
  <c r="M7" i="124"/>
  <c r="L7" i="124"/>
  <c r="K7" i="124"/>
  <c r="J7" i="124"/>
  <c r="I7" i="124"/>
  <c r="H7" i="124"/>
  <c r="G7" i="124"/>
  <c r="F7" i="124"/>
  <c r="E7" i="124"/>
  <c r="D7" i="124"/>
  <c r="C7" i="124"/>
  <c r="B7" i="124"/>
  <c r="A7" i="124"/>
  <c r="AU6" i="124"/>
  <c r="AT6" i="124"/>
  <c r="AS6" i="124"/>
  <c r="AR6" i="124"/>
  <c r="AQ6" i="124"/>
  <c r="AP6" i="124"/>
  <c r="AO6" i="124"/>
  <c r="AN6" i="124"/>
  <c r="AM6" i="124"/>
  <c r="AL6" i="124"/>
  <c r="AK6" i="124"/>
  <c r="AJ6" i="124"/>
  <c r="AI6" i="124"/>
  <c r="AH6" i="124"/>
  <c r="AG6" i="124"/>
  <c r="AF6" i="124"/>
  <c r="AE6" i="124"/>
  <c r="AD6" i="124"/>
  <c r="AC6" i="124"/>
  <c r="AB6" i="124"/>
  <c r="AA6" i="124"/>
  <c r="Z6" i="124"/>
  <c r="Y6" i="124"/>
  <c r="X6" i="124"/>
  <c r="W6" i="124"/>
  <c r="V6" i="124"/>
  <c r="U6" i="124"/>
  <c r="T6" i="124"/>
  <c r="S6" i="124"/>
  <c r="R6" i="124"/>
  <c r="Q6" i="124"/>
  <c r="P6" i="124"/>
  <c r="O6" i="124"/>
  <c r="N6" i="124"/>
  <c r="M6" i="124"/>
  <c r="L6" i="124"/>
  <c r="K6" i="124"/>
  <c r="J6" i="124"/>
  <c r="I6" i="124"/>
  <c r="H6" i="124"/>
  <c r="G6" i="124"/>
  <c r="F6" i="124"/>
  <c r="E6" i="124"/>
  <c r="D6" i="124"/>
  <c r="C6" i="124"/>
  <c r="B6" i="124"/>
  <c r="A6" i="124"/>
  <c r="AU5" i="124"/>
  <c r="AT5" i="124"/>
  <c r="AS5" i="124"/>
  <c r="AR5" i="124"/>
  <c r="AQ5" i="124"/>
  <c r="AP5" i="124"/>
  <c r="AO5" i="124"/>
  <c r="AN5" i="124"/>
  <c r="AM5" i="124"/>
  <c r="AL5" i="124"/>
  <c r="AK5" i="124"/>
  <c r="AJ5" i="124"/>
  <c r="AI5" i="124"/>
  <c r="AH5" i="124"/>
  <c r="AG5" i="124"/>
  <c r="AF5" i="124"/>
  <c r="AE5" i="124"/>
  <c r="AD5" i="124"/>
  <c r="AC5" i="124"/>
  <c r="AB5" i="124"/>
  <c r="AA5" i="124"/>
  <c r="Z5" i="124"/>
  <c r="Y5" i="124"/>
  <c r="X5" i="124"/>
  <c r="W5" i="124"/>
  <c r="V5" i="124"/>
  <c r="U5" i="124"/>
  <c r="T5" i="124"/>
  <c r="S5" i="124"/>
  <c r="R5" i="124"/>
  <c r="Q5" i="124"/>
  <c r="P5" i="124"/>
  <c r="O5" i="124"/>
  <c r="N5" i="124"/>
  <c r="M5" i="124"/>
  <c r="L5" i="124"/>
  <c r="K5" i="124"/>
  <c r="J5" i="124"/>
  <c r="I5" i="124"/>
  <c r="H5" i="124"/>
  <c r="G5" i="124"/>
  <c r="F5" i="124"/>
  <c r="E5" i="124"/>
  <c r="D5" i="124"/>
  <c r="C5" i="124"/>
  <c r="B5" i="124"/>
  <c r="A5" i="124"/>
  <c r="AU4" i="124"/>
  <c r="AT4" i="124"/>
  <c r="AS4" i="124"/>
  <c r="AR4" i="124"/>
  <c r="AQ4" i="124"/>
  <c r="AP4" i="124"/>
  <c r="AO4" i="124"/>
  <c r="AN4" i="124"/>
  <c r="AM4" i="124"/>
  <c r="AL4" i="124"/>
  <c r="AK4" i="124"/>
  <c r="AJ4" i="124"/>
  <c r="AI4" i="124"/>
  <c r="AH4" i="124"/>
  <c r="AG4" i="124"/>
  <c r="AF4" i="124"/>
  <c r="AE4" i="124"/>
  <c r="AD4" i="124"/>
  <c r="AC4" i="124"/>
  <c r="AB4" i="124"/>
  <c r="AA4" i="124"/>
  <c r="Z4" i="124"/>
  <c r="Y4" i="124"/>
  <c r="X4" i="124"/>
  <c r="W4" i="124"/>
  <c r="V4" i="124"/>
  <c r="U4" i="124"/>
  <c r="T4" i="124"/>
  <c r="S4" i="124"/>
  <c r="R4" i="124"/>
  <c r="Q4" i="124"/>
  <c r="P4" i="124"/>
  <c r="O4" i="124"/>
  <c r="N4" i="124"/>
  <c r="M4" i="124"/>
  <c r="L4" i="124"/>
  <c r="K4" i="124"/>
  <c r="J4" i="124"/>
  <c r="I4" i="124"/>
  <c r="H4" i="124"/>
  <c r="G4" i="124"/>
  <c r="F4" i="124"/>
  <c r="E4" i="124"/>
  <c r="D4" i="124"/>
  <c r="C4" i="124"/>
  <c r="B4" i="124"/>
  <c r="A4" i="124"/>
  <c r="AU3" i="124"/>
  <c r="AT3" i="124"/>
  <c r="AS3" i="124"/>
  <c r="AR3" i="124"/>
  <c r="AQ3" i="124"/>
  <c r="AP3" i="124"/>
  <c r="AO3" i="124"/>
  <c r="AN3" i="124"/>
  <c r="AM3" i="124"/>
  <c r="AL3" i="124"/>
  <c r="AK3" i="124"/>
  <c r="AJ3" i="124"/>
  <c r="AI3" i="124"/>
  <c r="AH3" i="124"/>
  <c r="AG3" i="124"/>
  <c r="AF3" i="124"/>
  <c r="AE3" i="124"/>
  <c r="AD3" i="124"/>
  <c r="AC3" i="124"/>
  <c r="AB3" i="124"/>
  <c r="AA3" i="124"/>
  <c r="Z3" i="124"/>
  <c r="Y3" i="124"/>
  <c r="X3" i="124"/>
  <c r="W3" i="124"/>
  <c r="V3" i="124"/>
  <c r="U3" i="124"/>
  <c r="T3" i="124"/>
  <c r="S3" i="124"/>
  <c r="R3" i="124"/>
  <c r="Q3" i="124"/>
  <c r="P3" i="124"/>
  <c r="O3" i="124"/>
  <c r="N3" i="124"/>
  <c r="M3" i="124"/>
  <c r="L3" i="124"/>
  <c r="K3" i="124"/>
  <c r="J3" i="124"/>
  <c r="I3" i="124"/>
  <c r="H3" i="124"/>
  <c r="G3" i="124"/>
  <c r="F3" i="124"/>
  <c r="E3" i="124"/>
  <c r="D3" i="124"/>
  <c r="C3" i="124"/>
  <c r="B3" i="124"/>
  <c r="A3" i="124"/>
  <c r="AU2" i="124"/>
  <c r="AT2" i="124"/>
  <c r="AS2" i="124"/>
  <c r="AR2" i="124"/>
  <c r="AQ2" i="124"/>
  <c r="AP2" i="124"/>
  <c r="AO2" i="124"/>
  <c r="AN2" i="124"/>
  <c r="AM2" i="124"/>
  <c r="AL2" i="124"/>
  <c r="AK2" i="124"/>
  <c r="AJ2" i="124"/>
  <c r="AI2" i="124"/>
  <c r="AH2" i="124"/>
  <c r="AG2" i="124"/>
  <c r="AF2" i="124"/>
  <c r="AE2" i="124"/>
  <c r="AD2" i="124"/>
  <c r="AC2" i="124"/>
  <c r="AB2" i="124"/>
  <c r="AA2" i="124"/>
  <c r="Z2" i="124"/>
  <c r="Y2" i="124"/>
  <c r="X2" i="124"/>
  <c r="W2" i="124"/>
  <c r="V2" i="124"/>
  <c r="U2" i="124"/>
  <c r="T2" i="124"/>
  <c r="S2" i="124"/>
  <c r="R2" i="124"/>
  <c r="Q2" i="124"/>
  <c r="P2" i="124"/>
  <c r="O2" i="124"/>
  <c r="N2" i="124"/>
  <c r="M2" i="124"/>
  <c r="L2" i="124"/>
  <c r="K2" i="124"/>
  <c r="J2" i="124"/>
  <c r="I2" i="124"/>
  <c r="H2" i="124"/>
  <c r="G2" i="124"/>
  <c r="F2" i="124"/>
  <c r="E2" i="124"/>
  <c r="D2" i="124"/>
  <c r="C2" i="124"/>
  <c r="B2" i="124"/>
  <c r="A2" i="124"/>
  <c r="B18" i="48" l="1"/>
  <c r="E21" i="48"/>
  <c r="G21" i="48" s="1"/>
  <c r="J21" i="48"/>
  <c r="M21" i="48" s="1"/>
  <c r="H21" i="48"/>
  <c r="K21" i="48" s="1"/>
  <c r="J10" i="48"/>
  <c r="E16" i="48"/>
  <c r="A16" i="48" s="1"/>
  <c r="J16" i="48"/>
  <c r="I11" i="48"/>
  <c r="H20" i="48"/>
  <c r="H16" i="48"/>
  <c r="I20" i="48"/>
  <c r="E20" i="48"/>
  <c r="H15" i="48"/>
  <c r="J6" i="106"/>
  <c r="G6" i="106" s="1"/>
  <c r="N20" i="106"/>
  <c r="J2" i="64"/>
  <c r="N10" i="3"/>
  <c r="J2" i="3"/>
  <c r="J4" i="3"/>
  <c r="J6" i="3"/>
  <c r="B25" i="3"/>
  <c r="A7" i="64"/>
  <c r="G7" i="64"/>
  <c r="F7" i="64"/>
  <c r="A34" i="64"/>
  <c r="C60" i="29" l="1"/>
  <c r="B60" i="29"/>
  <c r="C59" i="29"/>
  <c r="B59" i="29"/>
  <c r="C58" i="29"/>
  <c r="B58" i="29"/>
  <c r="C57" i="29"/>
  <c r="B57" i="29"/>
  <c r="C56" i="29"/>
  <c r="B56" i="29"/>
  <c r="C55" i="29"/>
  <c r="B55" i="29"/>
  <c r="C54" i="29"/>
  <c r="B54" i="29"/>
  <c r="C53" i="29"/>
  <c r="B53" i="29"/>
  <c r="C52" i="29"/>
  <c r="B52" i="29"/>
  <c r="C51" i="29"/>
  <c r="B51" i="29"/>
  <c r="C50" i="29"/>
  <c r="B50" i="29"/>
  <c r="C49" i="29"/>
  <c r="B49" i="29"/>
  <c r="C48" i="29"/>
  <c r="B48" i="29"/>
  <c r="C47" i="29"/>
  <c r="B47" i="29"/>
  <c r="C46" i="29"/>
  <c r="B46" i="29"/>
  <c r="C45" i="29"/>
  <c r="B45" i="29"/>
  <c r="C44" i="29"/>
  <c r="B44" i="29"/>
  <c r="C43" i="29"/>
  <c r="B43" i="29"/>
  <c r="C42" i="29"/>
  <c r="B42" i="29"/>
  <c r="C41" i="29"/>
  <c r="B41" i="29"/>
  <c r="C40" i="29"/>
  <c r="B40" i="29"/>
  <c r="C39" i="29"/>
  <c r="B39" i="29"/>
  <c r="C38" i="29"/>
  <c r="B38" i="29"/>
  <c r="C37" i="29"/>
  <c r="B37" i="29"/>
  <c r="C36" i="29"/>
  <c r="B36" i="29"/>
  <c r="C35" i="29"/>
  <c r="B35" i="29"/>
  <c r="C34" i="29"/>
  <c r="B34" i="29"/>
  <c r="C33" i="29"/>
  <c r="B33" i="29"/>
  <c r="C32" i="29"/>
  <c r="B32" i="29"/>
  <c r="C31" i="29"/>
  <c r="B31" i="29"/>
  <c r="C30" i="29"/>
  <c r="B30" i="29"/>
  <c r="C29" i="29"/>
  <c r="B29" i="29"/>
  <c r="C28" i="29"/>
  <c r="B28" i="29"/>
  <c r="C27" i="29"/>
  <c r="B27" i="29"/>
  <c r="C26" i="29"/>
  <c r="B26" i="29"/>
  <c r="C25" i="29"/>
  <c r="B25" i="29"/>
  <c r="C24" i="29"/>
  <c r="B24" i="29"/>
  <c r="C23" i="29"/>
  <c r="B23" i="29"/>
  <c r="C22" i="29"/>
  <c r="B22" i="29"/>
  <c r="C21" i="29"/>
  <c r="B21" i="29"/>
  <c r="C20" i="29"/>
  <c r="B20" i="29"/>
  <c r="C19" i="29"/>
  <c r="B19" i="29"/>
  <c r="C18" i="29"/>
  <c r="B18" i="29"/>
  <c r="C17" i="29"/>
  <c r="B17" i="29"/>
  <c r="C16" i="29"/>
  <c r="B16" i="29"/>
  <c r="C15" i="29"/>
  <c r="B15" i="29"/>
  <c r="C14" i="29"/>
  <c r="B14" i="29"/>
  <c r="C13" i="29"/>
  <c r="B13" i="29"/>
  <c r="C12" i="29"/>
  <c r="B12" i="29"/>
  <c r="C11" i="29"/>
  <c r="B11" i="29"/>
  <c r="B10" i="29"/>
  <c r="C10" i="29"/>
  <c r="A3" i="65"/>
  <c r="C24" i="65"/>
  <c r="B24" i="65"/>
  <c r="B7" i="65"/>
  <c r="F23" i="65"/>
  <c r="F22" i="65"/>
  <c r="F21" i="65"/>
  <c r="F20" i="65"/>
  <c r="F19" i="65"/>
  <c r="F18" i="65"/>
  <c r="F17" i="65"/>
  <c r="F16" i="65"/>
  <c r="F15" i="65"/>
  <c r="F14" i="65"/>
  <c r="F13" i="65"/>
  <c r="F12" i="65"/>
  <c r="F11" i="65"/>
  <c r="F10" i="65"/>
  <c r="F9" i="65"/>
  <c r="F8" i="65"/>
  <c r="F7" i="65"/>
  <c r="A5" i="64"/>
  <c r="C36" i="64"/>
  <c r="F36" i="64" s="1"/>
  <c r="B36" i="64"/>
  <c r="C35" i="64"/>
  <c r="B35" i="64"/>
  <c r="C34" i="64"/>
  <c r="B34" i="64"/>
  <c r="C33" i="64"/>
  <c r="B33" i="64"/>
  <c r="C32" i="64"/>
  <c r="F32" i="64" s="1"/>
  <c r="B32" i="64"/>
  <c r="C31" i="64"/>
  <c r="B31" i="64"/>
  <c r="C30" i="64"/>
  <c r="B30" i="64"/>
  <c r="C29" i="64"/>
  <c r="B29" i="64"/>
  <c r="C28" i="64"/>
  <c r="B28" i="64"/>
  <c r="C27" i="64"/>
  <c r="B27" i="64"/>
  <c r="C26" i="64"/>
  <c r="B26" i="64"/>
  <c r="C25" i="64"/>
  <c r="B25" i="64"/>
  <c r="C24" i="64"/>
  <c r="B24" i="64"/>
  <c r="C23" i="64"/>
  <c r="F23" i="64" s="1"/>
  <c r="B23" i="64"/>
  <c r="C22" i="64"/>
  <c r="B22" i="64"/>
  <c r="C21" i="64"/>
  <c r="B21" i="64"/>
  <c r="C20" i="64"/>
  <c r="B20" i="64"/>
  <c r="C19" i="64"/>
  <c r="B19" i="64"/>
  <c r="C18" i="64"/>
  <c r="B18" i="64"/>
  <c r="C17" i="64"/>
  <c r="B17" i="64"/>
  <c r="C16" i="64"/>
  <c r="B16" i="64"/>
  <c r="C15" i="64"/>
  <c r="B15" i="64"/>
  <c r="C14" i="64"/>
  <c r="B14" i="64"/>
  <c r="C13" i="64"/>
  <c r="B13" i="64"/>
  <c r="C12" i="64"/>
  <c r="B12" i="64"/>
  <c r="C11" i="64"/>
  <c r="B11" i="64"/>
  <c r="C10" i="64"/>
  <c r="B10" i="64"/>
  <c r="C9" i="64"/>
  <c r="B9" i="64"/>
  <c r="C8" i="64"/>
  <c r="B8" i="64"/>
  <c r="B7" i="64"/>
  <c r="C7" i="64"/>
  <c r="C3" i="65"/>
  <c r="G5" i="65"/>
  <c r="A5" i="65"/>
  <c r="D360" i="122"/>
  <c r="D359" i="122"/>
  <c r="G360" i="122"/>
  <c r="F360" i="122"/>
  <c r="E360" i="122"/>
  <c r="H6" i="65" s="1"/>
  <c r="G359" i="122"/>
  <c r="F359" i="122"/>
  <c r="E359" i="122"/>
  <c r="I6" i="65"/>
  <c r="J5" i="65"/>
  <c r="I5" i="65"/>
  <c r="H5" i="65"/>
  <c r="C23" i="65"/>
  <c r="B23" i="65"/>
  <c r="C22" i="65"/>
  <c r="B22" i="65"/>
  <c r="C21" i="65"/>
  <c r="B21" i="65"/>
  <c r="C20" i="65"/>
  <c r="B20" i="65"/>
  <c r="C19" i="65"/>
  <c r="B19" i="65"/>
  <c r="C18" i="65"/>
  <c r="B18" i="65"/>
  <c r="C17" i="65"/>
  <c r="B17" i="65"/>
  <c r="C16" i="65"/>
  <c r="B16" i="65"/>
  <c r="C15" i="65"/>
  <c r="B15" i="65"/>
  <c r="C14" i="65"/>
  <c r="B14" i="65"/>
  <c r="C13" i="65"/>
  <c r="B13" i="65"/>
  <c r="C12" i="65"/>
  <c r="B12" i="65"/>
  <c r="C11" i="65"/>
  <c r="B11" i="65"/>
  <c r="C10" i="65"/>
  <c r="B10" i="65"/>
  <c r="C9" i="65"/>
  <c r="B9" i="65"/>
  <c r="C8" i="65"/>
  <c r="B8" i="65"/>
  <c r="C7" i="65"/>
  <c r="H39" i="34"/>
  <c r="G39" i="34"/>
  <c r="F39" i="34"/>
  <c r="H38" i="34"/>
  <c r="G38" i="34"/>
  <c r="F38" i="34"/>
  <c r="H37" i="34"/>
  <c r="G37" i="34"/>
  <c r="F37" i="34"/>
  <c r="H36" i="34"/>
  <c r="G36" i="34"/>
  <c r="F36" i="34"/>
  <c r="H35" i="34"/>
  <c r="G35" i="34"/>
  <c r="F35" i="34"/>
  <c r="H34" i="34"/>
  <c r="G34" i="34"/>
  <c r="F34" i="34"/>
  <c r="H33" i="34"/>
  <c r="G33" i="34"/>
  <c r="F33" i="34"/>
  <c r="H32" i="34"/>
  <c r="G32" i="34"/>
  <c r="F32" i="34"/>
  <c r="H31" i="34"/>
  <c r="G31" i="34"/>
  <c r="F31" i="34"/>
  <c r="H30" i="34"/>
  <c r="G30" i="34"/>
  <c r="F30" i="34"/>
  <c r="H29" i="34"/>
  <c r="G29" i="34"/>
  <c r="F29" i="34"/>
  <c r="H28" i="34"/>
  <c r="G28" i="34"/>
  <c r="F28" i="34"/>
  <c r="H27" i="34"/>
  <c r="G27" i="34"/>
  <c r="F27" i="34"/>
  <c r="H26" i="34"/>
  <c r="G26" i="34"/>
  <c r="F26" i="34"/>
  <c r="H25" i="34"/>
  <c r="G25" i="34"/>
  <c r="F25" i="34"/>
  <c r="H24" i="34"/>
  <c r="G24" i="34"/>
  <c r="F24" i="34"/>
  <c r="H23" i="34"/>
  <c r="G23" i="34"/>
  <c r="F23" i="34"/>
  <c r="H22" i="34"/>
  <c r="G22" i="34"/>
  <c r="F22" i="34"/>
  <c r="H21" i="34"/>
  <c r="G21" i="34"/>
  <c r="F21" i="34"/>
  <c r="H20" i="34"/>
  <c r="G20" i="34"/>
  <c r="F20" i="34"/>
  <c r="H19" i="34"/>
  <c r="G19" i="34"/>
  <c r="F19" i="34"/>
  <c r="H18" i="34"/>
  <c r="G18" i="34"/>
  <c r="F18" i="34"/>
  <c r="H17" i="34"/>
  <c r="G17" i="34"/>
  <c r="F17" i="34"/>
  <c r="H16" i="34"/>
  <c r="G16" i="34"/>
  <c r="F16" i="34"/>
  <c r="H15" i="34"/>
  <c r="G15" i="34"/>
  <c r="F15" i="34"/>
  <c r="H14" i="34"/>
  <c r="G14" i="34"/>
  <c r="F14" i="34"/>
  <c r="H13" i="34"/>
  <c r="G13" i="34"/>
  <c r="F13" i="34"/>
  <c r="H12" i="34"/>
  <c r="G12" i="34"/>
  <c r="F12" i="34"/>
  <c r="H11" i="34"/>
  <c r="G11" i="34"/>
  <c r="F11" i="34"/>
  <c r="H10" i="34"/>
  <c r="G10" i="34"/>
  <c r="F10" i="34"/>
  <c r="H9" i="34"/>
  <c r="G9" i="34"/>
  <c r="F9" i="34"/>
  <c r="H8" i="34"/>
  <c r="G8" i="34"/>
  <c r="F8" i="34"/>
  <c r="H7" i="34"/>
  <c r="G7" i="34"/>
  <c r="F7" i="34"/>
  <c r="H6" i="34"/>
  <c r="G6" i="34"/>
  <c r="F6" i="34"/>
  <c r="H5" i="34"/>
  <c r="G5" i="34"/>
  <c r="F5" i="34"/>
  <c r="H4" i="34"/>
  <c r="G4" i="34"/>
  <c r="F4" i="34"/>
  <c r="H3" i="34"/>
  <c r="G3" i="34"/>
  <c r="F3" i="34"/>
  <c r="C4" i="110"/>
  <c r="J25" i="3"/>
  <c r="I25" i="3"/>
  <c r="E25" i="3"/>
  <c r="H25" i="3"/>
  <c r="D7" i="3"/>
  <c r="C7" i="3"/>
  <c r="G12" i="3"/>
  <c r="J14" i="3"/>
  <c r="I14" i="3"/>
  <c r="F17" i="64" l="1"/>
  <c r="F33" i="64"/>
  <c r="F21" i="64"/>
  <c r="F9" i="64"/>
  <c r="F25" i="64"/>
  <c r="F13" i="64"/>
  <c r="F29" i="64"/>
  <c r="F10" i="64"/>
  <c r="F14" i="64"/>
  <c r="F18" i="64"/>
  <c r="F22" i="64"/>
  <c r="F26" i="64"/>
  <c r="F30" i="64"/>
  <c r="F34" i="64"/>
  <c r="F11" i="64"/>
  <c r="F15" i="64"/>
  <c r="F19" i="64"/>
  <c r="F27" i="64"/>
  <c r="F31" i="64"/>
  <c r="F35" i="64"/>
  <c r="F8" i="64"/>
  <c r="F12" i="64"/>
  <c r="F16" i="64"/>
  <c r="F20" i="64"/>
  <c r="F24" i="64"/>
  <c r="F28" i="64"/>
  <c r="F24" i="65"/>
  <c r="G24" i="65" s="1"/>
  <c r="A24" i="65" s="1"/>
  <c r="A12" i="3"/>
  <c r="G358" i="122"/>
  <c r="F358" i="122"/>
  <c r="E358" i="122"/>
  <c r="D358" i="122"/>
  <c r="G357" i="122"/>
  <c r="F357" i="122"/>
  <c r="E357" i="122"/>
  <c r="D357" i="122"/>
  <c r="G356" i="122"/>
  <c r="F356" i="122"/>
  <c r="E356" i="122"/>
  <c r="H22" i="3" s="1"/>
  <c r="D356" i="122"/>
  <c r="G355" i="122"/>
  <c r="F355" i="122"/>
  <c r="E355" i="122"/>
  <c r="H10" i="3" s="1"/>
  <c r="D355" i="122"/>
  <c r="G354" i="122"/>
  <c r="J36" i="64" s="1"/>
  <c r="F354" i="122"/>
  <c r="I36" i="64" s="1"/>
  <c r="E354" i="122"/>
  <c r="H36" i="64" s="1"/>
  <c r="D354" i="122"/>
  <c r="G353" i="122"/>
  <c r="F353" i="122"/>
  <c r="E353" i="122"/>
  <c r="D353" i="122"/>
  <c r="G352" i="122"/>
  <c r="F352" i="122"/>
  <c r="E352" i="122"/>
  <c r="D352" i="122"/>
  <c r="G351" i="122"/>
  <c r="F351" i="122"/>
  <c r="E351" i="122"/>
  <c r="D351" i="122"/>
  <c r="G350" i="122"/>
  <c r="F350" i="122"/>
  <c r="E350" i="122"/>
  <c r="D350" i="122"/>
  <c r="G349" i="122"/>
  <c r="F349" i="122"/>
  <c r="E349" i="122"/>
  <c r="D349" i="122"/>
  <c r="G348" i="122"/>
  <c r="F348" i="122"/>
  <c r="E348" i="122"/>
  <c r="D348" i="122"/>
  <c r="G347" i="122"/>
  <c r="F347" i="122"/>
  <c r="E347" i="122"/>
  <c r="D347" i="122"/>
  <c r="G346" i="122"/>
  <c r="F346" i="122"/>
  <c r="E346" i="122"/>
  <c r="D346" i="122"/>
  <c r="G345" i="122"/>
  <c r="F345" i="122"/>
  <c r="E345" i="122"/>
  <c r="D345" i="122"/>
  <c r="G344" i="122"/>
  <c r="F344" i="122"/>
  <c r="E344" i="122"/>
  <c r="D344" i="122"/>
  <c r="G343" i="122"/>
  <c r="F343" i="122"/>
  <c r="E343" i="122"/>
  <c r="D343" i="122"/>
  <c r="G342" i="122"/>
  <c r="F342" i="122"/>
  <c r="E342" i="122"/>
  <c r="D342" i="122"/>
  <c r="G341" i="122"/>
  <c r="F341" i="122"/>
  <c r="E341" i="122"/>
  <c r="D341" i="122"/>
  <c r="G340" i="122"/>
  <c r="F340" i="122"/>
  <c r="E340" i="122"/>
  <c r="D340" i="122"/>
  <c r="G339" i="122"/>
  <c r="F339" i="122"/>
  <c r="E339" i="122"/>
  <c r="D339" i="122"/>
  <c r="G338" i="122"/>
  <c r="F338" i="122"/>
  <c r="E338" i="122"/>
  <c r="D338" i="122"/>
  <c r="G337" i="122"/>
  <c r="F337" i="122"/>
  <c r="E337" i="122"/>
  <c r="D337" i="122"/>
  <c r="G336" i="122"/>
  <c r="J35" i="64" s="1"/>
  <c r="F336" i="122"/>
  <c r="I35" i="64" s="1"/>
  <c r="E336" i="122"/>
  <c r="H35" i="64" s="1"/>
  <c r="D336" i="122"/>
  <c r="G335" i="122"/>
  <c r="J34" i="64" s="1"/>
  <c r="F335" i="122"/>
  <c r="I34" i="64" s="1"/>
  <c r="E335" i="122"/>
  <c r="H34" i="64" s="1"/>
  <c r="D335" i="122"/>
  <c r="G334" i="122"/>
  <c r="J24" i="65" s="1"/>
  <c r="F334" i="122"/>
  <c r="I24" i="65" s="1"/>
  <c r="L24" i="65" s="1"/>
  <c r="E334" i="122"/>
  <c r="H24" i="65" s="1"/>
  <c r="D334" i="122"/>
  <c r="G333" i="122"/>
  <c r="J23" i="65" s="1"/>
  <c r="F333" i="122"/>
  <c r="I23" i="65" s="1"/>
  <c r="E333" i="122"/>
  <c r="H23" i="65" s="1"/>
  <c r="D333" i="122"/>
  <c r="G332" i="122"/>
  <c r="J22" i="65" s="1"/>
  <c r="F332" i="122"/>
  <c r="I22" i="65" s="1"/>
  <c r="E332" i="122"/>
  <c r="H22" i="65" s="1"/>
  <c r="D332" i="122"/>
  <c r="G331" i="122"/>
  <c r="F331" i="122"/>
  <c r="E331" i="122"/>
  <c r="D331" i="122"/>
  <c r="G330" i="122"/>
  <c r="F330" i="122"/>
  <c r="E330" i="122"/>
  <c r="D330" i="122"/>
  <c r="G329" i="122"/>
  <c r="F329" i="122"/>
  <c r="E329" i="122"/>
  <c r="D329" i="122"/>
  <c r="G328" i="122"/>
  <c r="F328" i="122"/>
  <c r="E328" i="122"/>
  <c r="D328" i="122"/>
  <c r="G327" i="122"/>
  <c r="J33" i="64" s="1"/>
  <c r="F327" i="122"/>
  <c r="I33" i="64" s="1"/>
  <c r="E327" i="122"/>
  <c r="H33" i="64" s="1"/>
  <c r="D327" i="122"/>
  <c r="G326" i="122"/>
  <c r="F326" i="122"/>
  <c r="E326" i="122"/>
  <c r="D326" i="122"/>
  <c r="G325" i="122"/>
  <c r="F325" i="122"/>
  <c r="E325" i="122"/>
  <c r="D325" i="122"/>
  <c r="G324" i="122"/>
  <c r="F324" i="122"/>
  <c r="E324" i="122"/>
  <c r="D324" i="122"/>
  <c r="G323" i="122"/>
  <c r="J32" i="64" s="1"/>
  <c r="F323" i="122"/>
  <c r="I32" i="64" s="1"/>
  <c r="E323" i="122"/>
  <c r="H32" i="64" s="1"/>
  <c r="D323" i="122"/>
  <c r="G322" i="122"/>
  <c r="F322" i="122"/>
  <c r="E322" i="122"/>
  <c r="D322" i="122"/>
  <c r="G321" i="122"/>
  <c r="J31" i="64" s="1"/>
  <c r="F321" i="122"/>
  <c r="I31" i="64" s="1"/>
  <c r="E321" i="122"/>
  <c r="H31" i="64" s="1"/>
  <c r="D321" i="122"/>
  <c r="G320" i="122"/>
  <c r="F320" i="122"/>
  <c r="E320" i="122"/>
  <c r="D320" i="122"/>
  <c r="G319" i="122"/>
  <c r="F319" i="122"/>
  <c r="E319" i="122"/>
  <c r="D319" i="122"/>
  <c r="G318" i="122"/>
  <c r="F318" i="122"/>
  <c r="E318" i="122"/>
  <c r="D318" i="122"/>
  <c r="G317" i="122"/>
  <c r="J30" i="64" s="1"/>
  <c r="F317" i="122"/>
  <c r="I30" i="64" s="1"/>
  <c r="E317" i="122"/>
  <c r="H30" i="64" s="1"/>
  <c r="D317" i="122"/>
  <c r="G316" i="122"/>
  <c r="F316" i="122"/>
  <c r="E316" i="122"/>
  <c r="D316" i="122"/>
  <c r="G315" i="122"/>
  <c r="F315" i="122"/>
  <c r="E315" i="122"/>
  <c r="D315" i="122"/>
  <c r="G314" i="122"/>
  <c r="F314" i="122"/>
  <c r="E314" i="122"/>
  <c r="D314" i="122"/>
  <c r="G313" i="122"/>
  <c r="J29" i="64" s="1"/>
  <c r="F313" i="122"/>
  <c r="I29" i="64" s="1"/>
  <c r="E313" i="122"/>
  <c r="H29" i="64" s="1"/>
  <c r="D313" i="122"/>
  <c r="G312" i="122"/>
  <c r="F312" i="122"/>
  <c r="E312" i="122"/>
  <c r="D312" i="122"/>
  <c r="G311" i="122"/>
  <c r="J28" i="64" s="1"/>
  <c r="F311" i="122"/>
  <c r="I28" i="64" s="1"/>
  <c r="E311" i="122"/>
  <c r="H28" i="64" s="1"/>
  <c r="D311" i="122"/>
  <c r="G310" i="122"/>
  <c r="J27" i="64" s="1"/>
  <c r="F310" i="122"/>
  <c r="I27" i="64" s="1"/>
  <c r="E310" i="122"/>
  <c r="H27" i="64" s="1"/>
  <c r="D310" i="122"/>
  <c r="G309" i="122"/>
  <c r="F309" i="122"/>
  <c r="E309" i="122"/>
  <c r="D309" i="122"/>
  <c r="G308" i="122"/>
  <c r="J21" i="65" s="1"/>
  <c r="F308" i="122"/>
  <c r="I21" i="65" s="1"/>
  <c r="E308" i="122"/>
  <c r="H21" i="65" s="1"/>
  <c r="D308" i="122"/>
  <c r="G307" i="122"/>
  <c r="J20" i="65" s="1"/>
  <c r="F307" i="122"/>
  <c r="I20" i="65" s="1"/>
  <c r="E307" i="122"/>
  <c r="H20" i="65" s="1"/>
  <c r="D307" i="122"/>
  <c r="G306" i="122"/>
  <c r="J19" i="65" s="1"/>
  <c r="F306" i="122"/>
  <c r="I19" i="65" s="1"/>
  <c r="E306" i="122"/>
  <c r="H19" i="65" s="1"/>
  <c r="D306" i="122"/>
  <c r="G305" i="122"/>
  <c r="F305" i="122"/>
  <c r="E305" i="122"/>
  <c r="D305" i="122"/>
  <c r="G304" i="122"/>
  <c r="J18" i="65" s="1"/>
  <c r="F304" i="122"/>
  <c r="I18" i="65" s="1"/>
  <c r="E304" i="122"/>
  <c r="H18" i="65" s="1"/>
  <c r="D304" i="122"/>
  <c r="G303" i="122"/>
  <c r="J17" i="65" s="1"/>
  <c r="F303" i="122"/>
  <c r="I17" i="65" s="1"/>
  <c r="E303" i="122"/>
  <c r="H17" i="65" s="1"/>
  <c r="D303" i="122"/>
  <c r="G302" i="122"/>
  <c r="J16" i="65" s="1"/>
  <c r="F302" i="122"/>
  <c r="E302" i="122"/>
  <c r="H16" i="65" s="1"/>
  <c r="D302" i="122"/>
  <c r="G301" i="122"/>
  <c r="J15" i="65" s="1"/>
  <c r="F301" i="122"/>
  <c r="I15" i="65" s="1"/>
  <c r="E301" i="122"/>
  <c r="H15" i="65" s="1"/>
  <c r="D301" i="122"/>
  <c r="G300" i="122"/>
  <c r="J14" i="65" s="1"/>
  <c r="F300" i="122"/>
  <c r="I14" i="65" s="1"/>
  <c r="E300" i="122"/>
  <c r="H14" i="65" s="1"/>
  <c r="D300" i="122"/>
  <c r="G299" i="122"/>
  <c r="J13" i="65" s="1"/>
  <c r="F299" i="122"/>
  <c r="I13" i="65" s="1"/>
  <c r="E299" i="122"/>
  <c r="H13" i="65" s="1"/>
  <c r="D299" i="122"/>
  <c r="G298" i="122"/>
  <c r="J12" i="65" s="1"/>
  <c r="F298" i="122"/>
  <c r="I12" i="65" s="1"/>
  <c r="E298" i="122"/>
  <c r="H12" i="65" s="1"/>
  <c r="D298" i="122"/>
  <c r="G297" i="122"/>
  <c r="J11" i="65" s="1"/>
  <c r="F297" i="122"/>
  <c r="I11" i="65" s="1"/>
  <c r="E297" i="122"/>
  <c r="H11" i="65" s="1"/>
  <c r="D297" i="122"/>
  <c r="G296" i="122"/>
  <c r="J10" i="65" s="1"/>
  <c r="F296" i="122"/>
  <c r="I10" i="65" s="1"/>
  <c r="E296" i="122"/>
  <c r="H10" i="65" s="1"/>
  <c r="D296" i="122"/>
  <c r="G295" i="122"/>
  <c r="F295" i="122"/>
  <c r="E295" i="122"/>
  <c r="D295" i="122"/>
  <c r="G294" i="122"/>
  <c r="F294" i="122"/>
  <c r="E294" i="122"/>
  <c r="D294" i="122"/>
  <c r="G293" i="122"/>
  <c r="J9" i="65" s="1"/>
  <c r="F293" i="122"/>
  <c r="I9" i="65" s="1"/>
  <c r="E293" i="122"/>
  <c r="H9" i="65" s="1"/>
  <c r="D293" i="122"/>
  <c r="G292" i="122"/>
  <c r="J8" i="65" s="1"/>
  <c r="F292" i="122"/>
  <c r="I8" i="65" s="1"/>
  <c r="E292" i="122"/>
  <c r="H8" i="65" s="1"/>
  <c r="D292" i="122"/>
  <c r="G291" i="122"/>
  <c r="F291" i="122"/>
  <c r="E291" i="122"/>
  <c r="D291" i="122"/>
  <c r="G290" i="122"/>
  <c r="F290" i="122"/>
  <c r="E290" i="122"/>
  <c r="D290" i="122"/>
  <c r="G289" i="122"/>
  <c r="J7" i="65" s="1"/>
  <c r="F289" i="122"/>
  <c r="I7" i="65" s="1"/>
  <c r="E289" i="122"/>
  <c r="H7" i="65" s="1"/>
  <c r="D289" i="122"/>
  <c r="G288" i="122"/>
  <c r="F288" i="122"/>
  <c r="E288" i="122"/>
  <c r="D288" i="122"/>
  <c r="G287" i="122"/>
  <c r="F287" i="122"/>
  <c r="E287" i="122"/>
  <c r="D287" i="122"/>
  <c r="G286" i="122"/>
  <c r="F286" i="122"/>
  <c r="E286" i="122"/>
  <c r="D286" i="122"/>
  <c r="G285" i="122"/>
  <c r="F285" i="122"/>
  <c r="E285" i="122"/>
  <c r="D285" i="122"/>
  <c r="G284" i="122"/>
  <c r="F284" i="122"/>
  <c r="E284" i="122"/>
  <c r="D284" i="122"/>
  <c r="G283" i="122"/>
  <c r="F283" i="122"/>
  <c r="E283" i="122"/>
  <c r="D283" i="122"/>
  <c r="G282" i="122"/>
  <c r="F282" i="122"/>
  <c r="E282" i="122"/>
  <c r="D282" i="122"/>
  <c r="G281" i="122"/>
  <c r="J25" i="64" s="1"/>
  <c r="F281" i="122"/>
  <c r="I25" i="64" s="1"/>
  <c r="E281" i="122"/>
  <c r="H25" i="64" s="1"/>
  <c r="D281" i="122"/>
  <c r="G280" i="122"/>
  <c r="F280" i="122"/>
  <c r="E280" i="122"/>
  <c r="D280" i="122"/>
  <c r="G279" i="122"/>
  <c r="F279" i="122"/>
  <c r="E279" i="122"/>
  <c r="D279" i="122"/>
  <c r="G278" i="122"/>
  <c r="F278" i="122"/>
  <c r="E278" i="122"/>
  <c r="D278" i="122"/>
  <c r="G277" i="122"/>
  <c r="F277" i="122"/>
  <c r="E277" i="122"/>
  <c r="D277" i="122"/>
  <c r="G276" i="122"/>
  <c r="F276" i="122"/>
  <c r="E276" i="122"/>
  <c r="D276" i="122"/>
  <c r="G275" i="122"/>
  <c r="J24" i="64" s="1"/>
  <c r="F275" i="122"/>
  <c r="I24" i="64" s="1"/>
  <c r="E275" i="122"/>
  <c r="H24" i="64" s="1"/>
  <c r="D275" i="122"/>
  <c r="G274" i="122"/>
  <c r="J23" i="64" s="1"/>
  <c r="F274" i="122"/>
  <c r="I23" i="64" s="1"/>
  <c r="E274" i="122"/>
  <c r="H23" i="64" s="1"/>
  <c r="D274" i="122"/>
  <c r="G273" i="122"/>
  <c r="F273" i="122"/>
  <c r="E273" i="122"/>
  <c r="D273" i="122"/>
  <c r="G272" i="122"/>
  <c r="F272" i="122"/>
  <c r="E272" i="122"/>
  <c r="D272" i="122"/>
  <c r="G271" i="122"/>
  <c r="J22" i="64" s="1"/>
  <c r="F271" i="122"/>
  <c r="I22" i="64" s="1"/>
  <c r="E271" i="122"/>
  <c r="H22" i="64" s="1"/>
  <c r="D271" i="122"/>
  <c r="G270" i="122"/>
  <c r="F270" i="122"/>
  <c r="E270" i="122"/>
  <c r="D270" i="122"/>
  <c r="G269" i="122"/>
  <c r="F269" i="122"/>
  <c r="E269" i="122"/>
  <c r="D269" i="122"/>
  <c r="G268" i="122"/>
  <c r="J21" i="64" s="1"/>
  <c r="F268" i="122"/>
  <c r="I21" i="64" s="1"/>
  <c r="E268" i="122"/>
  <c r="H21" i="64" s="1"/>
  <c r="D268" i="122"/>
  <c r="G267" i="122"/>
  <c r="F267" i="122"/>
  <c r="E267" i="122"/>
  <c r="D267" i="122"/>
  <c r="G266" i="122"/>
  <c r="J20" i="64" s="1"/>
  <c r="F266" i="122"/>
  <c r="I20" i="64" s="1"/>
  <c r="E266" i="122"/>
  <c r="H20" i="64" s="1"/>
  <c r="D266" i="122"/>
  <c r="G265" i="122"/>
  <c r="F265" i="122"/>
  <c r="E265" i="122"/>
  <c r="D265" i="122"/>
  <c r="G264" i="122"/>
  <c r="J19" i="64" s="1"/>
  <c r="F264" i="122"/>
  <c r="I19" i="64" s="1"/>
  <c r="E264" i="122"/>
  <c r="H19" i="64" s="1"/>
  <c r="D264" i="122"/>
  <c r="G263" i="122"/>
  <c r="F263" i="122"/>
  <c r="E263" i="122"/>
  <c r="D263" i="122"/>
  <c r="G262" i="122"/>
  <c r="J18" i="64" s="1"/>
  <c r="F262" i="122"/>
  <c r="I18" i="64" s="1"/>
  <c r="E262" i="122"/>
  <c r="H18" i="64" s="1"/>
  <c r="D262" i="122"/>
  <c r="G261" i="122"/>
  <c r="J17" i="64" s="1"/>
  <c r="F261" i="122"/>
  <c r="I17" i="64" s="1"/>
  <c r="E261" i="122"/>
  <c r="H17" i="64" s="1"/>
  <c r="D261" i="122"/>
  <c r="G260" i="122"/>
  <c r="F260" i="122"/>
  <c r="E260" i="122"/>
  <c r="D260" i="122"/>
  <c r="G259" i="122"/>
  <c r="F259" i="122"/>
  <c r="E259" i="122"/>
  <c r="D259" i="122"/>
  <c r="G258" i="122"/>
  <c r="J16" i="64" s="1"/>
  <c r="F258" i="122"/>
  <c r="I16" i="64" s="1"/>
  <c r="E258" i="122"/>
  <c r="H16" i="64" s="1"/>
  <c r="D258" i="122"/>
  <c r="G257" i="122"/>
  <c r="J15" i="64" s="1"/>
  <c r="F257" i="122"/>
  <c r="I15" i="64" s="1"/>
  <c r="E257" i="122"/>
  <c r="H15" i="64" s="1"/>
  <c r="D257" i="122"/>
  <c r="G256" i="122"/>
  <c r="J15" i="3" s="1"/>
  <c r="F256" i="122"/>
  <c r="I15" i="3" s="1"/>
  <c r="E256" i="122"/>
  <c r="D256" i="122"/>
  <c r="G255" i="122"/>
  <c r="F255" i="122"/>
  <c r="E255" i="122"/>
  <c r="D255" i="122"/>
  <c r="G254" i="122"/>
  <c r="J14" i="64" s="1"/>
  <c r="F254" i="122"/>
  <c r="I14" i="64" s="1"/>
  <c r="E254" i="122"/>
  <c r="H14" i="64" s="1"/>
  <c r="D254" i="122"/>
  <c r="G253" i="122"/>
  <c r="J13" i="64" s="1"/>
  <c r="F253" i="122"/>
  <c r="I13" i="64" s="1"/>
  <c r="E253" i="122"/>
  <c r="H13" i="64" s="1"/>
  <c r="D253" i="122"/>
  <c r="G252" i="122"/>
  <c r="F252" i="122"/>
  <c r="E252" i="122"/>
  <c r="D252" i="122"/>
  <c r="G251" i="122"/>
  <c r="F251" i="122"/>
  <c r="E251" i="122"/>
  <c r="D251" i="122"/>
  <c r="G250" i="122"/>
  <c r="F250" i="122"/>
  <c r="E250" i="122"/>
  <c r="D250" i="122"/>
  <c r="G249" i="122"/>
  <c r="F249" i="122"/>
  <c r="E249" i="122"/>
  <c r="D249" i="122"/>
  <c r="G248" i="122"/>
  <c r="J12" i="64" s="1"/>
  <c r="F248" i="122"/>
  <c r="I12" i="64" s="1"/>
  <c r="E248" i="122"/>
  <c r="H12" i="64" s="1"/>
  <c r="D248" i="122"/>
  <c r="G247" i="122"/>
  <c r="J11" i="64" s="1"/>
  <c r="F247" i="122"/>
  <c r="I11" i="64" s="1"/>
  <c r="E247" i="122"/>
  <c r="H11" i="64" s="1"/>
  <c r="D247" i="122"/>
  <c r="G246" i="122"/>
  <c r="F246" i="122"/>
  <c r="E246" i="122"/>
  <c r="D246" i="122"/>
  <c r="G245" i="122"/>
  <c r="F245" i="122"/>
  <c r="E245" i="122"/>
  <c r="D245" i="122"/>
  <c r="G244" i="122"/>
  <c r="F244" i="122"/>
  <c r="E244" i="122"/>
  <c r="D244" i="122"/>
  <c r="G243" i="122"/>
  <c r="F243" i="122"/>
  <c r="E243" i="122"/>
  <c r="D243" i="122"/>
  <c r="G242" i="122"/>
  <c r="J10" i="64" s="1"/>
  <c r="F242" i="122"/>
  <c r="I10" i="64" s="1"/>
  <c r="E242" i="122"/>
  <c r="H10" i="64" s="1"/>
  <c r="D242" i="122"/>
  <c r="G241" i="122"/>
  <c r="F241" i="122"/>
  <c r="E241" i="122"/>
  <c r="D241" i="122"/>
  <c r="G240" i="122"/>
  <c r="F240" i="122"/>
  <c r="E240" i="122"/>
  <c r="D240" i="122"/>
  <c r="G239" i="122"/>
  <c r="F239" i="122"/>
  <c r="E239" i="122"/>
  <c r="D239" i="122"/>
  <c r="G238" i="122"/>
  <c r="F238" i="122"/>
  <c r="E238" i="122"/>
  <c r="D238" i="122"/>
  <c r="G237" i="122"/>
  <c r="F237" i="122"/>
  <c r="E237" i="122"/>
  <c r="D237" i="122"/>
  <c r="G236" i="122"/>
  <c r="F236" i="122"/>
  <c r="E236" i="122"/>
  <c r="D236" i="122"/>
  <c r="G235" i="122"/>
  <c r="F235" i="122"/>
  <c r="E235" i="122"/>
  <c r="D235" i="122"/>
  <c r="G234" i="122"/>
  <c r="F234" i="122"/>
  <c r="E234" i="122"/>
  <c r="D234" i="122"/>
  <c r="G233" i="122"/>
  <c r="F233" i="122"/>
  <c r="E233" i="122"/>
  <c r="D233" i="122"/>
  <c r="G232" i="122"/>
  <c r="F232" i="122"/>
  <c r="E232" i="122"/>
  <c r="D232" i="122"/>
  <c r="G231" i="122"/>
  <c r="F231" i="122"/>
  <c r="E231" i="122"/>
  <c r="D231" i="122"/>
  <c r="G230" i="122"/>
  <c r="J9" i="64" s="1"/>
  <c r="F230" i="122"/>
  <c r="I9" i="64" s="1"/>
  <c r="E230" i="122"/>
  <c r="H9" i="64" s="1"/>
  <c r="D230" i="122"/>
  <c r="G229" i="122"/>
  <c r="F229" i="122"/>
  <c r="E229" i="122"/>
  <c r="D229" i="122"/>
  <c r="G228" i="122"/>
  <c r="F228" i="122"/>
  <c r="E228" i="122"/>
  <c r="D228" i="122"/>
  <c r="G227" i="122"/>
  <c r="F227" i="122"/>
  <c r="E227" i="122"/>
  <c r="D227" i="122"/>
  <c r="G226" i="122"/>
  <c r="F226" i="122"/>
  <c r="E226" i="122"/>
  <c r="D226" i="122"/>
  <c r="G225" i="122"/>
  <c r="F225" i="122"/>
  <c r="E225" i="122"/>
  <c r="D225" i="122"/>
  <c r="G224" i="122"/>
  <c r="F224" i="122"/>
  <c r="E224" i="122"/>
  <c r="D224" i="122"/>
  <c r="G223" i="122"/>
  <c r="F223" i="122"/>
  <c r="E223" i="122"/>
  <c r="D223" i="122"/>
  <c r="G222" i="122"/>
  <c r="F222" i="122"/>
  <c r="E222" i="122"/>
  <c r="D222" i="122"/>
  <c r="G221" i="122"/>
  <c r="F221" i="122"/>
  <c r="E221" i="122"/>
  <c r="D221" i="122"/>
  <c r="G220" i="122"/>
  <c r="F220" i="122"/>
  <c r="E220" i="122"/>
  <c r="D220" i="122"/>
  <c r="G219" i="122"/>
  <c r="F219" i="122"/>
  <c r="E219" i="122"/>
  <c r="D219" i="122"/>
  <c r="G218" i="122"/>
  <c r="F218" i="122"/>
  <c r="E218" i="122"/>
  <c r="D218" i="122"/>
  <c r="G217" i="122"/>
  <c r="F217" i="122"/>
  <c r="E217" i="122"/>
  <c r="D217" i="122"/>
  <c r="G216" i="122"/>
  <c r="F216" i="122"/>
  <c r="E216" i="122"/>
  <c r="D216" i="122"/>
  <c r="G215" i="122"/>
  <c r="J8" i="64" s="1"/>
  <c r="F215" i="122"/>
  <c r="I8" i="64" s="1"/>
  <c r="E215" i="122"/>
  <c r="H8" i="64" s="1"/>
  <c r="D215" i="122"/>
  <c r="G214" i="122"/>
  <c r="F214" i="122"/>
  <c r="E214" i="122"/>
  <c r="D214" i="122"/>
  <c r="G213" i="122"/>
  <c r="F213" i="122"/>
  <c r="E213" i="122"/>
  <c r="D213" i="122"/>
  <c r="G212" i="122"/>
  <c r="F212" i="122"/>
  <c r="E212" i="122"/>
  <c r="D212" i="122"/>
  <c r="G211" i="122"/>
  <c r="F211" i="122"/>
  <c r="E211" i="122"/>
  <c r="D211" i="122"/>
  <c r="G210" i="122"/>
  <c r="F210" i="122"/>
  <c r="E210" i="122"/>
  <c r="D210" i="122"/>
  <c r="G209" i="122"/>
  <c r="F209" i="122"/>
  <c r="E209" i="122"/>
  <c r="D209" i="122"/>
  <c r="G208" i="122"/>
  <c r="F208" i="122"/>
  <c r="E208" i="122"/>
  <c r="D208" i="122"/>
  <c r="G207" i="122"/>
  <c r="F207" i="122"/>
  <c r="E207" i="122"/>
  <c r="D207" i="122"/>
  <c r="G206" i="122"/>
  <c r="F206" i="122"/>
  <c r="E206" i="122"/>
  <c r="D206" i="122"/>
  <c r="G205" i="122"/>
  <c r="J7" i="64" s="1"/>
  <c r="F205" i="122"/>
  <c r="I7" i="64" s="1"/>
  <c r="E205" i="122"/>
  <c r="H7" i="64" s="1"/>
  <c r="D205" i="122"/>
  <c r="G204" i="122"/>
  <c r="F204" i="122"/>
  <c r="E204" i="122"/>
  <c r="D204" i="122"/>
  <c r="G203" i="122"/>
  <c r="F203" i="122"/>
  <c r="E203" i="122"/>
  <c r="D203" i="122"/>
  <c r="G202" i="122"/>
  <c r="F202" i="122"/>
  <c r="E202" i="122"/>
  <c r="D202" i="122"/>
  <c r="G201" i="122"/>
  <c r="F201" i="122"/>
  <c r="E201" i="122"/>
  <c r="D201" i="122"/>
  <c r="G200" i="122"/>
  <c r="F200" i="122"/>
  <c r="E200" i="122"/>
  <c r="D200" i="122"/>
  <c r="G199" i="122"/>
  <c r="F199" i="122"/>
  <c r="E199" i="122"/>
  <c r="D199" i="122"/>
  <c r="G198" i="122"/>
  <c r="F198" i="122"/>
  <c r="E198" i="122"/>
  <c r="D198" i="122"/>
  <c r="G197" i="122"/>
  <c r="F197" i="122"/>
  <c r="E197" i="122"/>
  <c r="D197" i="122"/>
  <c r="G196" i="122"/>
  <c r="F196" i="122"/>
  <c r="E196" i="122"/>
  <c r="D196" i="122"/>
  <c r="G195" i="122"/>
  <c r="F195" i="122"/>
  <c r="E195" i="122"/>
  <c r="D195" i="122"/>
  <c r="G194" i="122"/>
  <c r="F194" i="122"/>
  <c r="E194" i="122"/>
  <c r="D194" i="122"/>
  <c r="G193" i="122"/>
  <c r="F193" i="122"/>
  <c r="E193" i="122"/>
  <c r="D193" i="122"/>
  <c r="G192" i="122"/>
  <c r="F192" i="122"/>
  <c r="E192" i="122"/>
  <c r="D192" i="122"/>
  <c r="G191" i="122"/>
  <c r="F191" i="122"/>
  <c r="E191" i="122"/>
  <c r="D191" i="122"/>
  <c r="G190" i="122"/>
  <c r="F190" i="122"/>
  <c r="E190" i="122"/>
  <c r="D190" i="122"/>
  <c r="G189" i="122"/>
  <c r="F189" i="122"/>
  <c r="E189" i="122"/>
  <c r="D189" i="122"/>
  <c r="G188" i="122"/>
  <c r="F188" i="122"/>
  <c r="E188" i="122"/>
  <c r="D188" i="122"/>
  <c r="G187" i="122"/>
  <c r="F187" i="122"/>
  <c r="E187" i="122"/>
  <c r="D187" i="122"/>
  <c r="G186" i="122"/>
  <c r="F186" i="122"/>
  <c r="E186" i="122"/>
  <c r="D186" i="122"/>
  <c r="G185" i="122"/>
  <c r="F185" i="122"/>
  <c r="E185" i="122"/>
  <c r="D185" i="122"/>
  <c r="G184" i="122"/>
  <c r="F184" i="122"/>
  <c r="E184" i="122"/>
  <c r="D184" i="122"/>
  <c r="G183" i="122"/>
  <c r="F183" i="122"/>
  <c r="E183" i="122"/>
  <c r="D183" i="122"/>
  <c r="G182" i="122"/>
  <c r="F182" i="122"/>
  <c r="E182" i="122"/>
  <c r="D182" i="122"/>
  <c r="G181" i="122"/>
  <c r="F181" i="122"/>
  <c r="E181" i="122"/>
  <c r="D181" i="122"/>
  <c r="G180" i="122"/>
  <c r="F180" i="122"/>
  <c r="E180" i="122"/>
  <c r="D180" i="122"/>
  <c r="G179" i="122"/>
  <c r="F179" i="122"/>
  <c r="E179" i="122"/>
  <c r="D179" i="122"/>
  <c r="G178" i="122"/>
  <c r="F178" i="122"/>
  <c r="E178" i="122"/>
  <c r="D178" i="122"/>
  <c r="G177" i="122"/>
  <c r="F177" i="122"/>
  <c r="E177" i="122"/>
  <c r="D177" i="122"/>
  <c r="G176" i="122"/>
  <c r="F176" i="122"/>
  <c r="E176" i="122"/>
  <c r="D176" i="122"/>
  <c r="G175" i="122"/>
  <c r="F175" i="122"/>
  <c r="E175" i="122"/>
  <c r="D175" i="122"/>
  <c r="G174" i="122"/>
  <c r="F174" i="122"/>
  <c r="E174" i="122"/>
  <c r="D174" i="122"/>
  <c r="G173" i="122"/>
  <c r="F173" i="122"/>
  <c r="E173" i="122"/>
  <c r="D173" i="122"/>
  <c r="G172" i="122"/>
  <c r="F172" i="122"/>
  <c r="E172" i="122"/>
  <c r="D172" i="122"/>
  <c r="G171" i="122"/>
  <c r="F171" i="122"/>
  <c r="E171" i="122"/>
  <c r="D171" i="122"/>
  <c r="G170" i="122"/>
  <c r="F170" i="122"/>
  <c r="E170" i="122"/>
  <c r="D170" i="122"/>
  <c r="G169" i="122"/>
  <c r="F169" i="122"/>
  <c r="E169" i="122"/>
  <c r="D169" i="122"/>
  <c r="G168" i="122"/>
  <c r="F168" i="122"/>
  <c r="E168" i="122"/>
  <c r="D168" i="122"/>
  <c r="G167" i="122"/>
  <c r="F167" i="122"/>
  <c r="E167" i="122"/>
  <c r="D167" i="122"/>
  <c r="G166" i="122"/>
  <c r="F166" i="122"/>
  <c r="E166" i="122"/>
  <c r="D166" i="122"/>
  <c r="G165" i="122"/>
  <c r="F165" i="122"/>
  <c r="E165" i="122"/>
  <c r="D165" i="122"/>
  <c r="G164" i="122"/>
  <c r="F164" i="122"/>
  <c r="E164" i="122"/>
  <c r="D164" i="122"/>
  <c r="G163" i="122"/>
  <c r="F163" i="122"/>
  <c r="E163" i="122"/>
  <c r="D163" i="122"/>
  <c r="G162" i="122"/>
  <c r="F162" i="122"/>
  <c r="E162" i="122"/>
  <c r="D162" i="122"/>
  <c r="G161" i="122"/>
  <c r="F161" i="122"/>
  <c r="E161" i="122"/>
  <c r="D161" i="122"/>
  <c r="G160" i="122"/>
  <c r="F160" i="122"/>
  <c r="E160" i="122"/>
  <c r="D160" i="122"/>
  <c r="G159" i="122"/>
  <c r="F159" i="122"/>
  <c r="E159" i="122"/>
  <c r="D159" i="122"/>
  <c r="G158" i="122"/>
  <c r="F158" i="122"/>
  <c r="E158" i="122"/>
  <c r="D158" i="122"/>
  <c r="G157" i="122"/>
  <c r="F157" i="122"/>
  <c r="E157" i="122"/>
  <c r="D157" i="122"/>
  <c r="G156" i="122"/>
  <c r="F156" i="122"/>
  <c r="E156" i="122"/>
  <c r="D156" i="122"/>
  <c r="G155" i="122"/>
  <c r="F155" i="122"/>
  <c r="E155" i="122"/>
  <c r="D155" i="122"/>
  <c r="G154" i="122"/>
  <c r="F154" i="122"/>
  <c r="E154" i="122"/>
  <c r="D154" i="122"/>
  <c r="G153" i="122"/>
  <c r="F153" i="122"/>
  <c r="E153" i="122"/>
  <c r="D153" i="122"/>
  <c r="G152" i="122"/>
  <c r="F152" i="122"/>
  <c r="E152" i="122"/>
  <c r="D152" i="122"/>
  <c r="G151" i="122"/>
  <c r="F151" i="122"/>
  <c r="E151" i="122"/>
  <c r="D151" i="122"/>
  <c r="G150" i="122"/>
  <c r="F150" i="122"/>
  <c r="E150" i="122"/>
  <c r="D150" i="122"/>
  <c r="G149" i="122"/>
  <c r="F149" i="122"/>
  <c r="E149" i="122"/>
  <c r="D149" i="122"/>
  <c r="G148" i="122"/>
  <c r="F148" i="122"/>
  <c r="E148" i="122"/>
  <c r="D148" i="122"/>
  <c r="G147" i="122"/>
  <c r="F147" i="122"/>
  <c r="E147" i="122"/>
  <c r="D147" i="122"/>
  <c r="G146" i="122"/>
  <c r="F146" i="122"/>
  <c r="E146" i="122"/>
  <c r="D146" i="122"/>
  <c r="G145" i="122"/>
  <c r="F145" i="122"/>
  <c r="E145" i="122"/>
  <c r="D145" i="122"/>
  <c r="G144" i="122"/>
  <c r="F144" i="122"/>
  <c r="E144" i="122"/>
  <c r="D144" i="122"/>
  <c r="G143" i="122"/>
  <c r="F143" i="122"/>
  <c r="E143" i="122"/>
  <c r="D143" i="122"/>
  <c r="G142" i="122"/>
  <c r="F142" i="122"/>
  <c r="E142" i="122"/>
  <c r="D142" i="122"/>
  <c r="G141" i="122"/>
  <c r="F141" i="122"/>
  <c r="E141" i="122"/>
  <c r="D141" i="122"/>
  <c r="G140" i="122"/>
  <c r="F140" i="122"/>
  <c r="E140" i="122"/>
  <c r="D140" i="122"/>
  <c r="G139" i="122"/>
  <c r="F139" i="122"/>
  <c r="E139" i="122"/>
  <c r="D139" i="122"/>
  <c r="G138" i="122"/>
  <c r="F138" i="122"/>
  <c r="E138" i="122"/>
  <c r="D138" i="122"/>
  <c r="G137" i="122"/>
  <c r="F137" i="122"/>
  <c r="E137" i="122"/>
  <c r="D137" i="122"/>
  <c r="G136" i="122"/>
  <c r="F136" i="122"/>
  <c r="E136" i="122"/>
  <c r="D136" i="122"/>
  <c r="G135" i="122"/>
  <c r="F135" i="122"/>
  <c r="E135" i="122"/>
  <c r="D135" i="122"/>
  <c r="G134" i="122"/>
  <c r="F134" i="122"/>
  <c r="E134" i="122"/>
  <c r="D134" i="122"/>
  <c r="G133" i="122"/>
  <c r="F133" i="122"/>
  <c r="E133" i="122"/>
  <c r="D133" i="122"/>
  <c r="G132" i="122"/>
  <c r="F132" i="122"/>
  <c r="E132" i="122"/>
  <c r="D132" i="122"/>
  <c r="G131" i="122"/>
  <c r="F131" i="122"/>
  <c r="E131" i="122"/>
  <c r="D131" i="122"/>
  <c r="G130" i="122"/>
  <c r="F130" i="122"/>
  <c r="E130" i="122"/>
  <c r="D130" i="122"/>
  <c r="G129" i="122"/>
  <c r="F129" i="122"/>
  <c r="E129" i="122"/>
  <c r="D129" i="122"/>
  <c r="G128" i="122"/>
  <c r="F128" i="122"/>
  <c r="E128" i="122"/>
  <c r="D128" i="122"/>
  <c r="G127" i="122"/>
  <c r="F127" i="122"/>
  <c r="E127" i="122"/>
  <c r="D127" i="122"/>
  <c r="G126" i="122"/>
  <c r="F126" i="122"/>
  <c r="E126" i="122"/>
  <c r="D126" i="122"/>
  <c r="G125" i="122"/>
  <c r="F125" i="122"/>
  <c r="E125" i="122"/>
  <c r="D125" i="122"/>
  <c r="G124" i="122"/>
  <c r="F124" i="122"/>
  <c r="E124" i="122"/>
  <c r="D124" i="122"/>
  <c r="G123" i="122"/>
  <c r="F123" i="122"/>
  <c r="E123" i="122"/>
  <c r="D123" i="122"/>
  <c r="G122" i="122"/>
  <c r="F122" i="122"/>
  <c r="E122" i="122"/>
  <c r="D122" i="122"/>
  <c r="G121" i="122"/>
  <c r="F121" i="122"/>
  <c r="E121" i="122"/>
  <c r="D121" i="122"/>
  <c r="G120" i="122"/>
  <c r="F120" i="122"/>
  <c r="E120" i="122"/>
  <c r="D120" i="122"/>
  <c r="G119" i="122"/>
  <c r="F119" i="122"/>
  <c r="E119" i="122"/>
  <c r="D119" i="122"/>
  <c r="G118" i="122"/>
  <c r="F118" i="122"/>
  <c r="E118" i="122"/>
  <c r="D118" i="122"/>
  <c r="G117" i="122"/>
  <c r="F117" i="122"/>
  <c r="E117" i="122"/>
  <c r="D117" i="122"/>
  <c r="G116" i="122"/>
  <c r="F116" i="122"/>
  <c r="E116" i="122"/>
  <c r="D116" i="122"/>
  <c r="G115" i="122"/>
  <c r="F115" i="122"/>
  <c r="E115" i="122"/>
  <c r="D115" i="122"/>
  <c r="G114" i="122"/>
  <c r="F114" i="122"/>
  <c r="E114" i="122"/>
  <c r="D114" i="122"/>
  <c r="G113" i="122"/>
  <c r="F113" i="122"/>
  <c r="E113" i="122"/>
  <c r="D113" i="122"/>
  <c r="G112" i="122"/>
  <c r="F112" i="122"/>
  <c r="E112" i="122"/>
  <c r="D112" i="122"/>
  <c r="G111" i="122"/>
  <c r="F111" i="122"/>
  <c r="E111" i="122"/>
  <c r="D111" i="122"/>
  <c r="G110" i="122"/>
  <c r="F110" i="122"/>
  <c r="E110" i="122"/>
  <c r="D110" i="122"/>
  <c r="G109" i="122"/>
  <c r="F109" i="122"/>
  <c r="E109" i="122"/>
  <c r="D109" i="122"/>
  <c r="G108" i="122"/>
  <c r="F108" i="122"/>
  <c r="E108" i="122"/>
  <c r="D108" i="122"/>
  <c r="G107" i="122"/>
  <c r="F107" i="122"/>
  <c r="E107" i="122"/>
  <c r="D107" i="122"/>
  <c r="G106" i="122"/>
  <c r="F106" i="122"/>
  <c r="E106" i="122"/>
  <c r="D106" i="122"/>
  <c r="G105" i="122"/>
  <c r="F105" i="122"/>
  <c r="E105" i="122"/>
  <c r="D105" i="122"/>
  <c r="G104" i="122"/>
  <c r="F104" i="122"/>
  <c r="E104" i="122"/>
  <c r="D104" i="122"/>
  <c r="G103" i="122"/>
  <c r="F103" i="122"/>
  <c r="E103" i="122"/>
  <c r="D103" i="122"/>
  <c r="G102" i="122"/>
  <c r="F102" i="122"/>
  <c r="E102" i="122"/>
  <c r="D102" i="122"/>
  <c r="G101" i="122"/>
  <c r="F101" i="122"/>
  <c r="E101" i="122"/>
  <c r="D101" i="122"/>
  <c r="G100" i="122"/>
  <c r="F100" i="122"/>
  <c r="E100" i="122"/>
  <c r="D100" i="122"/>
  <c r="G99" i="122"/>
  <c r="F99" i="122"/>
  <c r="E99" i="122"/>
  <c r="D99" i="122"/>
  <c r="G98" i="122"/>
  <c r="F98" i="122"/>
  <c r="E98" i="122"/>
  <c r="D98" i="122"/>
  <c r="G97" i="122"/>
  <c r="F97" i="122"/>
  <c r="E97" i="122"/>
  <c r="D97" i="122"/>
  <c r="G96" i="122"/>
  <c r="F96" i="122"/>
  <c r="E96" i="122"/>
  <c r="D96" i="122"/>
  <c r="G95" i="122"/>
  <c r="F95" i="122"/>
  <c r="E95" i="122"/>
  <c r="D95" i="122"/>
  <c r="G94" i="122"/>
  <c r="F94" i="122"/>
  <c r="E94" i="122"/>
  <c r="D94" i="122"/>
  <c r="G93" i="122"/>
  <c r="F93" i="122"/>
  <c r="E93" i="122"/>
  <c r="D93" i="122"/>
  <c r="G92" i="122"/>
  <c r="F92" i="122"/>
  <c r="E92" i="122"/>
  <c r="D92" i="122"/>
  <c r="G91" i="122"/>
  <c r="F91" i="122"/>
  <c r="E91" i="122"/>
  <c r="D91" i="122"/>
  <c r="G90" i="122"/>
  <c r="F90" i="122"/>
  <c r="E90" i="122"/>
  <c r="D90" i="122"/>
  <c r="G89" i="122"/>
  <c r="F89" i="122"/>
  <c r="E89" i="122"/>
  <c r="D89" i="122"/>
  <c r="G88" i="122"/>
  <c r="F88" i="122"/>
  <c r="E88" i="122"/>
  <c r="D88" i="122"/>
  <c r="G87" i="122"/>
  <c r="F87" i="122"/>
  <c r="E87" i="122"/>
  <c r="D87" i="122"/>
  <c r="G86" i="122"/>
  <c r="F86" i="122"/>
  <c r="E86" i="122"/>
  <c r="D86" i="122"/>
  <c r="G85" i="122"/>
  <c r="F85" i="122"/>
  <c r="E85" i="122"/>
  <c r="D85" i="122"/>
  <c r="G84" i="122"/>
  <c r="F84" i="122"/>
  <c r="E84" i="122"/>
  <c r="D84" i="122"/>
  <c r="G83" i="122"/>
  <c r="F83" i="122"/>
  <c r="E83" i="122"/>
  <c r="D83" i="122"/>
  <c r="G82" i="122"/>
  <c r="F82" i="122"/>
  <c r="E82" i="122"/>
  <c r="D82" i="122"/>
  <c r="G81" i="122"/>
  <c r="F81" i="122"/>
  <c r="E81" i="122"/>
  <c r="D81" i="122"/>
  <c r="G80" i="122"/>
  <c r="F80" i="122"/>
  <c r="E80" i="122"/>
  <c r="D80" i="122"/>
  <c r="G79" i="122"/>
  <c r="F79" i="122"/>
  <c r="E79" i="122"/>
  <c r="D79" i="122"/>
  <c r="G78" i="122"/>
  <c r="F78" i="122"/>
  <c r="E78" i="122"/>
  <c r="D78" i="122"/>
  <c r="G77" i="122"/>
  <c r="F77" i="122"/>
  <c r="E77" i="122"/>
  <c r="D77" i="122"/>
  <c r="G76" i="122"/>
  <c r="F76" i="122"/>
  <c r="E76" i="122"/>
  <c r="D76" i="122"/>
  <c r="G75" i="122"/>
  <c r="F75" i="122"/>
  <c r="E75" i="122"/>
  <c r="D75" i="122"/>
  <c r="G74" i="122"/>
  <c r="F74" i="122"/>
  <c r="E74" i="122"/>
  <c r="D74" i="122"/>
  <c r="G73" i="122"/>
  <c r="F73" i="122"/>
  <c r="E73" i="122"/>
  <c r="D73" i="122"/>
  <c r="G72" i="122"/>
  <c r="F72" i="122"/>
  <c r="E72" i="122"/>
  <c r="D72" i="122"/>
  <c r="G71" i="122"/>
  <c r="F71" i="122"/>
  <c r="E71" i="122"/>
  <c r="D71" i="122"/>
  <c r="G70" i="122"/>
  <c r="F70" i="122"/>
  <c r="E70" i="122"/>
  <c r="D70" i="122"/>
  <c r="G69" i="122"/>
  <c r="F69" i="122"/>
  <c r="E69" i="122"/>
  <c r="D69" i="122"/>
  <c r="G68" i="122"/>
  <c r="F68" i="122"/>
  <c r="E68" i="122"/>
  <c r="D68" i="122"/>
  <c r="G67" i="122"/>
  <c r="F67" i="122"/>
  <c r="E67" i="122"/>
  <c r="D67" i="122"/>
  <c r="G66" i="122"/>
  <c r="F66" i="122"/>
  <c r="E66" i="122"/>
  <c r="D66" i="122"/>
  <c r="G65" i="122"/>
  <c r="F65" i="122"/>
  <c r="E65" i="122"/>
  <c r="D65" i="122"/>
  <c r="G64" i="122"/>
  <c r="F64" i="122"/>
  <c r="E64" i="122"/>
  <c r="D64" i="122"/>
  <c r="G63" i="122"/>
  <c r="F63" i="122"/>
  <c r="E63" i="122"/>
  <c r="D63" i="122"/>
  <c r="G62" i="122"/>
  <c r="F62" i="122"/>
  <c r="E62" i="122"/>
  <c r="D62" i="122"/>
  <c r="G61" i="122"/>
  <c r="F61" i="122"/>
  <c r="E61" i="122"/>
  <c r="D61" i="122"/>
  <c r="G60" i="122"/>
  <c r="F60" i="122"/>
  <c r="E60" i="122"/>
  <c r="D60" i="122"/>
  <c r="G59" i="122"/>
  <c r="F59" i="122"/>
  <c r="E59" i="122"/>
  <c r="D59" i="122"/>
  <c r="G58" i="122"/>
  <c r="F58" i="122"/>
  <c r="E58" i="122"/>
  <c r="D58" i="122"/>
  <c r="G57" i="122"/>
  <c r="F57" i="122"/>
  <c r="E57" i="122"/>
  <c r="D57" i="122"/>
  <c r="G56" i="122"/>
  <c r="F56" i="122"/>
  <c r="E56" i="122"/>
  <c r="D56" i="122"/>
  <c r="G55" i="122"/>
  <c r="F55" i="122"/>
  <c r="E55" i="122"/>
  <c r="D55" i="122"/>
  <c r="G54" i="122"/>
  <c r="F54" i="122"/>
  <c r="E54" i="122"/>
  <c r="D54" i="122"/>
  <c r="G53" i="122"/>
  <c r="F53" i="122"/>
  <c r="E53" i="122"/>
  <c r="D53" i="122"/>
  <c r="G52" i="122"/>
  <c r="F52" i="122"/>
  <c r="E52" i="122"/>
  <c r="D52" i="122"/>
  <c r="G51" i="122"/>
  <c r="F51" i="122"/>
  <c r="E51" i="122"/>
  <c r="D51" i="122"/>
  <c r="G50" i="122"/>
  <c r="F50" i="122"/>
  <c r="E50" i="122"/>
  <c r="D50" i="122"/>
  <c r="G49" i="122"/>
  <c r="F49" i="122"/>
  <c r="E49" i="122"/>
  <c r="D49" i="122"/>
  <c r="G48" i="122"/>
  <c r="F48" i="122"/>
  <c r="E48" i="122"/>
  <c r="D48" i="122"/>
  <c r="G47" i="122"/>
  <c r="F47" i="122"/>
  <c r="E47" i="122"/>
  <c r="D47" i="122"/>
  <c r="G46" i="122"/>
  <c r="F46" i="122"/>
  <c r="E46" i="122"/>
  <c r="D46" i="122"/>
  <c r="G45" i="122"/>
  <c r="F45" i="122"/>
  <c r="E45" i="122"/>
  <c r="D45" i="122"/>
  <c r="G44" i="122"/>
  <c r="F44" i="122"/>
  <c r="E44" i="122"/>
  <c r="D44" i="122"/>
  <c r="G43" i="122"/>
  <c r="F43" i="122"/>
  <c r="E43" i="122"/>
  <c r="D43" i="122"/>
  <c r="G42" i="122"/>
  <c r="F42" i="122"/>
  <c r="E42" i="122"/>
  <c r="D42" i="122"/>
  <c r="G41" i="122"/>
  <c r="F41" i="122"/>
  <c r="E41" i="122"/>
  <c r="D41" i="122"/>
  <c r="G40" i="122"/>
  <c r="F40" i="122"/>
  <c r="E40" i="122"/>
  <c r="D40" i="122"/>
  <c r="G39" i="122"/>
  <c r="F39" i="122"/>
  <c r="E39" i="122"/>
  <c r="D39" i="122"/>
  <c r="G38" i="122"/>
  <c r="F38" i="122"/>
  <c r="E38" i="122"/>
  <c r="D38" i="122"/>
  <c r="G37" i="122"/>
  <c r="F37" i="122"/>
  <c r="E37" i="122"/>
  <c r="D37" i="122"/>
  <c r="G36" i="122"/>
  <c r="F36" i="122"/>
  <c r="E36" i="122"/>
  <c r="D36" i="122"/>
  <c r="G35" i="122"/>
  <c r="F35" i="122"/>
  <c r="E35" i="122"/>
  <c r="D35" i="122"/>
  <c r="G34" i="122"/>
  <c r="F34" i="122"/>
  <c r="E34" i="122"/>
  <c r="D34" i="122"/>
  <c r="G33" i="122"/>
  <c r="F33" i="122"/>
  <c r="E33" i="122"/>
  <c r="D33" i="122"/>
  <c r="G32" i="122"/>
  <c r="F32" i="122"/>
  <c r="E32" i="122"/>
  <c r="D32" i="122"/>
  <c r="G31" i="122"/>
  <c r="F31" i="122"/>
  <c r="E31" i="122"/>
  <c r="D31" i="122"/>
  <c r="G30" i="122"/>
  <c r="F30" i="122"/>
  <c r="E30" i="122"/>
  <c r="D30" i="122"/>
  <c r="G29" i="122"/>
  <c r="F29" i="122"/>
  <c r="E29" i="122"/>
  <c r="D29" i="122"/>
  <c r="G28" i="122"/>
  <c r="F28" i="122"/>
  <c r="E28" i="122"/>
  <c r="D28" i="122"/>
  <c r="G27" i="122"/>
  <c r="F27" i="122"/>
  <c r="E27" i="122"/>
  <c r="D27" i="122"/>
  <c r="G26" i="122"/>
  <c r="F26" i="122"/>
  <c r="E26" i="122"/>
  <c r="D26" i="122"/>
  <c r="G25" i="122"/>
  <c r="F25" i="122"/>
  <c r="E25" i="122"/>
  <c r="D25" i="122"/>
  <c r="G24" i="122"/>
  <c r="F24" i="122"/>
  <c r="E24" i="122"/>
  <c r="D24" i="122"/>
  <c r="G23" i="122"/>
  <c r="F23" i="122"/>
  <c r="E23" i="122"/>
  <c r="D23" i="122"/>
  <c r="G22" i="122"/>
  <c r="F22" i="122"/>
  <c r="E22" i="122"/>
  <c r="D22" i="122"/>
  <c r="G21" i="122"/>
  <c r="F21" i="122"/>
  <c r="E21" i="122"/>
  <c r="D21" i="122"/>
  <c r="G20" i="122"/>
  <c r="F20" i="122"/>
  <c r="E20" i="122"/>
  <c r="D20" i="122"/>
  <c r="G19" i="122"/>
  <c r="F19" i="122"/>
  <c r="E19" i="122"/>
  <c r="D19" i="122"/>
  <c r="G18" i="122"/>
  <c r="F18" i="122"/>
  <c r="E18" i="122"/>
  <c r="D18" i="122"/>
  <c r="G17" i="122"/>
  <c r="F17" i="122"/>
  <c r="E17" i="122"/>
  <c r="D17" i="122"/>
  <c r="G16" i="122"/>
  <c r="F16" i="122"/>
  <c r="E16" i="122"/>
  <c r="D16" i="122"/>
  <c r="G15" i="122"/>
  <c r="F15" i="122"/>
  <c r="E15" i="122"/>
  <c r="D15" i="122"/>
  <c r="G14" i="122"/>
  <c r="F14" i="122"/>
  <c r="E14" i="122"/>
  <c r="D14" i="122"/>
  <c r="G13" i="122"/>
  <c r="F13" i="122"/>
  <c r="E13" i="122"/>
  <c r="D13" i="122"/>
  <c r="G12" i="122"/>
  <c r="F12" i="122"/>
  <c r="E12" i="122"/>
  <c r="D12" i="122"/>
  <c r="G11" i="122"/>
  <c r="F11" i="122"/>
  <c r="E11" i="122"/>
  <c r="D11" i="122"/>
  <c r="G10" i="122"/>
  <c r="F10" i="122"/>
  <c r="E10" i="122"/>
  <c r="D10" i="122"/>
  <c r="G9" i="122"/>
  <c r="F9" i="122"/>
  <c r="E9" i="122"/>
  <c r="D9" i="122"/>
  <c r="G8" i="122"/>
  <c r="F8" i="122"/>
  <c r="E8" i="122"/>
  <c r="D8" i="122"/>
  <c r="G7" i="122"/>
  <c r="F7" i="122"/>
  <c r="E7" i="122"/>
  <c r="D7" i="122"/>
  <c r="G6" i="122"/>
  <c r="F6" i="122"/>
  <c r="E6" i="122"/>
  <c r="D6" i="122"/>
  <c r="H14" i="3"/>
  <c r="F33" i="3"/>
  <c r="F37" i="3"/>
  <c r="F41" i="3"/>
  <c r="F45" i="3"/>
  <c r="F49" i="3"/>
  <c r="F53" i="3"/>
  <c r="F57" i="3"/>
  <c r="F61" i="3"/>
  <c r="F65" i="3"/>
  <c r="F69" i="3"/>
  <c r="F73" i="3"/>
  <c r="F77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C30" i="3"/>
  <c r="F30" i="3" s="1"/>
  <c r="C31" i="3"/>
  <c r="F31" i="3" s="1"/>
  <c r="C32" i="3"/>
  <c r="F32" i="3" s="1"/>
  <c r="C33" i="3"/>
  <c r="C34" i="3"/>
  <c r="F34" i="3" s="1"/>
  <c r="C35" i="3"/>
  <c r="F35" i="3" s="1"/>
  <c r="C36" i="3"/>
  <c r="F36" i="3" s="1"/>
  <c r="C37" i="3"/>
  <c r="C38" i="3"/>
  <c r="F38" i="3" s="1"/>
  <c r="C39" i="3"/>
  <c r="F39" i="3" s="1"/>
  <c r="C40" i="3"/>
  <c r="F40" i="3" s="1"/>
  <c r="C41" i="3"/>
  <c r="C42" i="3"/>
  <c r="F42" i="3" s="1"/>
  <c r="C43" i="3"/>
  <c r="F43" i="3" s="1"/>
  <c r="C44" i="3"/>
  <c r="F44" i="3" s="1"/>
  <c r="C45" i="3"/>
  <c r="C46" i="3"/>
  <c r="F46" i="3" s="1"/>
  <c r="C47" i="3"/>
  <c r="F47" i="3" s="1"/>
  <c r="C48" i="3"/>
  <c r="F48" i="3" s="1"/>
  <c r="C49" i="3"/>
  <c r="C50" i="3"/>
  <c r="F50" i="3" s="1"/>
  <c r="C51" i="3"/>
  <c r="F51" i="3" s="1"/>
  <c r="C52" i="3"/>
  <c r="F52" i="3" s="1"/>
  <c r="C53" i="3"/>
  <c r="C54" i="3"/>
  <c r="F54" i="3" s="1"/>
  <c r="C55" i="3"/>
  <c r="F55" i="3" s="1"/>
  <c r="C56" i="3"/>
  <c r="F56" i="3" s="1"/>
  <c r="C57" i="3"/>
  <c r="C58" i="3"/>
  <c r="F58" i="3" s="1"/>
  <c r="C59" i="3"/>
  <c r="F59" i="3" s="1"/>
  <c r="C60" i="3"/>
  <c r="F60" i="3" s="1"/>
  <c r="C61" i="3"/>
  <c r="C62" i="3"/>
  <c r="F62" i="3" s="1"/>
  <c r="C63" i="3"/>
  <c r="F63" i="3" s="1"/>
  <c r="C64" i="3"/>
  <c r="F64" i="3" s="1"/>
  <c r="C65" i="3"/>
  <c r="C66" i="3"/>
  <c r="F66" i="3" s="1"/>
  <c r="C67" i="3"/>
  <c r="F67" i="3" s="1"/>
  <c r="C68" i="3"/>
  <c r="F68" i="3" s="1"/>
  <c r="C69" i="3"/>
  <c r="C70" i="3"/>
  <c r="F70" i="3" s="1"/>
  <c r="C71" i="3"/>
  <c r="F71" i="3" s="1"/>
  <c r="C72" i="3"/>
  <c r="F72" i="3" s="1"/>
  <c r="C73" i="3"/>
  <c r="C74" i="3"/>
  <c r="F74" i="3" s="1"/>
  <c r="C75" i="3"/>
  <c r="F75" i="3" s="1"/>
  <c r="C76" i="3"/>
  <c r="F76" i="3" s="1"/>
  <c r="C77" i="3"/>
  <c r="C78" i="3"/>
  <c r="F78" i="3" s="1"/>
  <c r="B29" i="3"/>
  <c r="C29" i="3"/>
  <c r="F29" i="3" s="1"/>
  <c r="B6" i="3"/>
  <c r="E2" i="3"/>
  <c r="E4" i="3"/>
  <c r="E6" i="3"/>
  <c r="D4" i="3"/>
  <c r="D6" i="3"/>
  <c r="J21" i="3" l="1"/>
  <c r="J10" i="3"/>
  <c r="J11" i="3"/>
  <c r="J22" i="3"/>
  <c r="J5" i="64"/>
  <c r="J19" i="3"/>
  <c r="J27" i="3"/>
  <c r="J12" i="3"/>
  <c r="J6" i="64"/>
  <c r="J28" i="3"/>
  <c r="J20" i="3"/>
  <c r="H27" i="3"/>
  <c r="K27" i="3" s="1"/>
  <c r="H5" i="64"/>
  <c r="H20" i="3"/>
  <c r="H6" i="64"/>
  <c r="J26" i="64"/>
  <c r="I26" i="64"/>
  <c r="I16" i="65"/>
  <c r="I21" i="3"/>
  <c r="I10" i="3"/>
  <c r="I11" i="3"/>
  <c r="I22" i="3"/>
  <c r="I5" i="64"/>
  <c r="I19" i="3"/>
  <c r="I27" i="3"/>
  <c r="I12" i="3"/>
  <c r="I13" i="3"/>
  <c r="I28" i="3"/>
  <c r="I6" i="64"/>
  <c r="I20" i="3"/>
  <c r="H26" i="64"/>
  <c r="K24" i="65"/>
  <c r="M24" i="65"/>
  <c r="H28" i="3"/>
  <c r="H13" i="3"/>
  <c r="H19" i="3"/>
  <c r="H11" i="3"/>
  <c r="H12" i="3"/>
  <c r="H21" i="3"/>
  <c r="G29" i="3"/>
  <c r="J78" i="3"/>
  <c r="I78" i="3"/>
  <c r="H78" i="3"/>
  <c r="J77" i="3"/>
  <c r="I77" i="3"/>
  <c r="H77" i="3"/>
  <c r="J76" i="3"/>
  <c r="I76" i="3"/>
  <c r="H76" i="3"/>
  <c r="J75" i="3"/>
  <c r="I75" i="3"/>
  <c r="H75" i="3"/>
  <c r="J74" i="3"/>
  <c r="I74" i="3"/>
  <c r="H74" i="3"/>
  <c r="J73" i="3"/>
  <c r="I73" i="3"/>
  <c r="H73" i="3"/>
  <c r="J72" i="3"/>
  <c r="I72" i="3"/>
  <c r="H72" i="3"/>
  <c r="J71" i="3"/>
  <c r="I71" i="3"/>
  <c r="H71" i="3"/>
  <c r="J70" i="3"/>
  <c r="I70" i="3"/>
  <c r="H70" i="3"/>
  <c r="J69" i="3"/>
  <c r="I69" i="3"/>
  <c r="H69" i="3"/>
  <c r="J68" i="3"/>
  <c r="I68" i="3"/>
  <c r="H68" i="3"/>
  <c r="J67" i="3"/>
  <c r="I67" i="3"/>
  <c r="H67" i="3"/>
  <c r="J66" i="3"/>
  <c r="I66" i="3"/>
  <c r="H66" i="3"/>
  <c r="J65" i="3"/>
  <c r="I65" i="3"/>
  <c r="H65" i="3"/>
  <c r="J64" i="3"/>
  <c r="I64" i="3"/>
  <c r="H64" i="3"/>
  <c r="J63" i="3"/>
  <c r="I63" i="3"/>
  <c r="H63" i="3"/>
  <c r="J62" i="3"/>
  <c r="I62" i="3"/>
  <c r="H62" i="3"/>
  <c r="J61" i="3"/>
  <c r="I61" i="3"/>
  <c r="H61" i="3"/>
  <c r="J60" i="3"/>
  <c r="I60" i="3"/>
  <c r="H60" i="3"/>
  <c r="J59" i="3"/>
  <c r="I59" i="3"/>
  <c r="H59" i="3"/>
  <c r="J58" i="3"/>
  <c r="I58" i="3"/>
  <c r="H58" i="3"/>
  <c r="J57" i="3"/>
  <c r="I57" i="3"/>
  <c r="H57" i="3"/>
  <c r="J56" i="3"/>
  <c r="I56" i="3"/>
  <c r="H56" i="3"/>
  <c r="J55" i="3"/>
  <c r="I55" i="3"/>
  <c r="H55" i="3"/>
  <c r="J54" i="3"/>
  <c r="I54" i="3"/>
  <c r="H54" i="3"/>
  <c r="J53" i="3"/>
  <c r="I53" i="3"/>
  <c r="H53" i="3"/>
  <c r="J52" i="3"/>
  <c r="I52" i="3"/>
  <c r="H52" i="3"/>
  <c r="J51" i="3"/>
  <c r="I51" i="3"/>
  <c r="H51" i="3"/>
  <c r="J50" i="3"/>
  <c r="I50" i="3"/>
  <c r="H50" i="3"/>
  <c r="J49" i="3"/>
  <c r="I49" i="3"/>
  <c r="H49" i="3"/>
  <c r="J48" i="3"/>
  <c r="I48" i="3"/>
  <c r="H48" i="3"/>
  <c r="J47" i="3"/>
  <c r="I47" i="3"/>
  <c r="H47" i="3"/>
  <c r="J46" i="3"/>
  <c r="I46" i="3"/>
  <c r="H46" i="3"/>
  <c r="J45" i="3"/>
  <c r="I45" i="3"/>
  <c r="H45" i="3"/>
  <c r="H15" i="3"/>
  <c r="J44" i="3"/>
  <c r="I44" i="3"/>
  <c r="H44" i="3"/>
  <c r="J43" i="3"/>
  <c r="I43" i="3"/>
  <c r="H43" i="3"/>
  <c r="J42" i="3"/>
  <c r="I42" i="3"/>
  <c r="H42" i="3"/>
  <c r="J41" i="3"/>
  <c r="I41" i="3"/>
  <c r="H41" i="3"/>
  <c r="J40" i="3"/>
  <c r="I40" i="3"/>
  <c r="H40" i="3"/>
  <c r="J39" i="3"/>
  <c r="I39" i="3"/>
  <c r="H39" i="3"/>
  <c r="J38" i="3"/>
  <c r="I38" i="3"/>
  <c r="H38" i="3"/>
  <c r="J37" i="3"/>
  <c r="I37" i="3"/>
  <c r="H37" i="3"/>
  <c r="J36" i="3"/>
  <c r="I36" i="3"/>
  <c r="H36" i="3"/>
  <c r="J35" i="3"/>
  <c r="I35" i="3"/>
  <c r="H35" i="3"/>
  <c r="J34" i="3"/>
  <c r="I34" i="3"/>
  <c r="H34" i="3"/>
  <c r="J33" i="3"/>
  <c r="I33" i="3"/>
  <c r="H33" i="3"/>
  <c r="J32" i="3"/>
  <c r="I32" i="3"/>
  <c r="H32" i="3"/>
  <c r="J31" i="3"/>
  <c r="I31" i="3"/>
  <c r="H31" i="3"/>
  <c r="J30" i="3"/>
  <c r="I30" i="3"/>
  <c r="H30" i="3"/>
  <c r="J29" i="3"/>
  <c r="I29" i="3"/>
  <c r="H29" i="3"/>
  <c r="K29" i="3" l="1"/>
  <c r="L29" i="3"/>
  <c r="G7" i="121"/>
  <c r="D21" i="121"/>
  <c r="E2" i="121"/>
  <c r="D7" i="121"/>
  <c r="F2" i="121"/>
  <c r="F7" i="121"/>
  <c r="D19" i="121"/>
  <c r="A29" i="3" l="1"/>
  <c r="G27" i="3"/>
  <c r="W29" i="3" l="1"/>
  <c r="L27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G6" i="64"/>
  <c r="G6" i="65"/>
  <c r="K6" i="64" l="1"/>
  <c r="M6" i="64"/>
  <c r="L6" i="64"/>
  <c r="L6" i="65"/>
  <c r="M6" i="65"/>
  <c r="K6" i="65"/>
  <c r="C2" i="71" l="1"/>
  <c r="E43" i="121"/>
  <c r="D35" i="121"/>
  <c r="F52" i="121"/>
  <c r="G45" i="121"/>
  <c r="F45" i="121"/>
  <c r="E38" i="121"/>
  <c r="E45" i="121"/>
  <c r="H29" i="121"/>
  <c r="D46" i="121"/>
  <c r="H37" i="121"/>
  <c r="G48" i="121"/>
  <c r="H40" i="121"/>
  <c r="F44" i="121"/>
  <c r="F48" i="121"/>
  <c r="H48" i="121"/>
  <c r="F47" i="121"/>
  <c r="G42" i="121"/>
  <c r="H39" i="121"/>
  <c r="H51" i="121"/>
  <c r="E51" i="121"/>
  <c r="E40" i="121"/>
  <c r="E39" i="121"/>
  <c r="D47" i="121"/>
  <c r="F51" i="121"/>
  <c r="D34" i="121"/>
  <c r="H47" i="121"/>
  <c r="D29" i="121"/>
  <c r="F43" i="121"/>
  <c r="D43" i="121"/>
  <c r="F46" i="121"/>
  <c r="F37" i="121"/>
  <c r="E42" i="121"/>
  <c r="E44" i="121"/>
  <c r="H42" i="121"/>
  <c r="G39" i="121"/>
  <c r="E36" i="121"/>
  <c r="G43" i="121"/>
  <c r="G38" i="121"/>
  <c r="H43" i="121"/>
  <c r="G41" i="121"/>
  <c r="E29" i="121"/>
  <c r="E35" i="121"/>
  <c r="D45" i="121"/>
  <c r="E41" i="121"/>
  <c r="E52" i="121"/>
  <c r="G46" i="121"/>
  <c r="G37" i="121"/>
  <c r="G51" i="121"/>
  <c r="H44" i="121"/>
  <c r="D44" i="121"/>
  <c r="G40" i="121"/>
  <c r="F39" i="121"/>
  <c r="D48" i="121"/>
  <c r="E47" i="121"/>
  <c r="F40" i="121"/>
  <c r="E34" i="121"/>
  <c r="D42" i="121"/>
  <c r="F29" i="121"/>
  <c r="F38" i="121"/>
  <c r="D38" i="121"/>
  <c r="F35" i="121"/>
  <c r="H52" i="121"/>
  <c r="D41" i="121"/>
  <c r="G29" i="121"/>
  <c r="H41" i="121"/>
  <c r="H46" i="121"/>
  <c r="E46" i="121"/>
  <c r="E37" i="121"/>
  <c r="D51" i="121"/>
  <c r="D39" i="121"/>
  <c r="D40" i="121"/>
  <c r="F36" i="121"/>
  <c r="F34" i="121"/>
  <c r="H45" i="121"/>
  <c r="H38" i="121"/>
  <c r="F41" i="121"/>
  <c r="D52" i="121"/>
  <c r="G52" i="121"/>
  <c r="D37" i="121"/>
  <c r="G44" i="121"/>
  <c r="F42" i="121"/>
  <c r="G47" i="121"/>
  <c r="E48" i="121"/>
  <c r="D36" i="121"/>
  <c r="I52" i="121" l="1"/>
  <c r="I51" i="121"/>
  <c r="I48" i="121"/>
  <c r="I47" i="121"/>
  <c r="I46" i="121"/>
  <c r="I29" i="121"/>
  <c r="I45" i="121"/>
  <c r="I44" i="121"/>
  <c r="I43" i="121"/>
  <c r="I42" i="121"/>
  <c r="I41" i="121"/>
  <c r="I40" i="121"/>
  <c r="I39" i="121"/>
  <c r="I38" i="121"/>
  <c r="I37" i="121"/>
  <c r="L2" i="121" l="1"/>
  <c r="D11" i="121"/>
  <c r="E31" i="121"/>
  <c r="E33" i="121"/>
  <c r="G26" i="121"/>
  <c r="D8" i="121"/>
  <c r="F26" i="121"/>
  <c r="D20" i="121"/>
  <c r="F17" i="121"/>
  <c r="G8" i="121"/>
  <c r="H18" i="121"/>
  <c r="F50" i="121"/>
  <c r="G33" i="121"/>
  <c r="D31" i="121"/>
  <c r="F10" i="121"/>
  <c r="G50" i="121"/>
  <c r="F18" i="121"/>
  <c r="F22" i="121"/>
  <c r="D22" i="121"/>
  <c r="D14" i="121"/>
  <c r="F25" i="121"/>
  <c r="H25" i="121"/>
  <c r="D27" i="121"/>
  <c r="G24" i="121"/>
  <c r="H24" i="121"/>
  <c r="E9" i="121"/>
  <c r="H12" i="121"/>
  <c r="G13" i="121"/>
  <c r="F13" i="121"/>
  <c r="G49" i="121"/>
  <c r="F30" i="121"/>
  <c r="E5" i="121"/>
  <c r="D28" i="121"/>
  <c r="G36" i="121"/>
  <c r="D3" i="121"/>
  <c r="H28" i="121"/>
  <c r="H34" i="121"/>
  <c r="F4" i="121"/>
  <c r="H6" i="121"/>
  <c r="G3" i="121"/>
  <c r="G32" i="121"/>
  <c r="H36" i="121"/>
  <c r="E16" i="121"/>
  <c r="E23" i="121"/>
  <c r="E7" i="121"/>
  <c r="G22" i="121"/>
  <c r="E25" i="121"/>
  <c r="D25" i="121"/>
  <c r="D24" i="121"/>
  <c r="F12" i="121"/>
  <c r="D13" i="121"/>
  <c r="F15" i="121"/>
  <c r="G28" i="121"/>
  <c r="E32" i="121"/>
  <c r="D5" i="121"/>
  <c r="E28" i="121"/>
  <c r="D30" i="121"/>
  <c r="F20" i="121"/>
  <c r="H33" i="121"/>
  <c r="G20" i="121"/>
  <c r="G16" i="121"/>
  <c r="F33" i="121"/>
  <c r="G18" i="121"/>
  <c r="H31" i="121"/>
  <c r="F8" i="121"/>
  <c r="E10" i="121"/>
  <c r="D17" i="121"/>
  <c r="E19" i="121"/>
  <c r="G11" i="121"/>
  <c r="G19" i="121"/>
  <c r="D23" i="121"/>
  <c r="E26" i="121"/>
  <c r="F16" i="121"/>
  <c r="E11" i="121"/>
  <c r="E22" i="121"/>
  <c r="H50" i="121"/>
  <c r="G14" i="121"/>
  <c r="E27" i="121"/>
  <c r="G27" i="121"/>
  <c r="F21" i="121"/>
  <c r="E21" i="121"/>
  <c r="H21" i="121"/>
  <c r="G9" i="121"/>
  <c r="G12" i="121"/>
  <c r="E13" i="121"/>
  <c r="H49" i="121"/>
  <c r="E49" i="121"/>
  <c r="F28" i="121"/>
  <c r="D15" i="121"/>
  <c r="H4" i="121"/>
  <c r="F3" i="121"/>
  <c r="D6" i="121"/>
  <c r="D32" i="121"/>
  <c r="G34" i="121"/>
  <c r="E15" i="121"/>
  <c r="H2" i="121"/>
  <c r="F6" i="121"/>
  <c r="G2" i="121"/>
  <c r="F11" i="121"/>
  <c r="H23" i="121"/>
  <c r="H7" i="121"/>
  <c r="H35" i="121"/>
  <c r="G35" i="121"/>
  <c r="E18" i="121"/>
  <c r="H10" i="121"/>
  <c r="D26" i="121"/>
  <c r="F19" i="121"/>
  <c r="D18" i="121"/>
  <c r="G23" i="121"/>
  <c r="F31" i="121"/>
  <c r="H8" i="121"/>
  <c r="G31" i="121"/>
  <c r="H19" i="121"/>
  <c r="E50" i="121"/>
  <c r="F23" i="121"/>
  <c r="H22" i="121"/>
  <c r="F14" i="121"/>
  <c r="H14" i="121"/>
  <c r="F27" i="121"/>
  <c r="H27" i="121"/>
  <c r="E24" i="121"/>
  <c r="G21" i="121"/>
  <c r="D9" i="121"/>
  <c r="H9" i="121"/>
  <c r="E12" i="121"/>
  <c r="H13" i="121"/>
  <c r="D49" i="121"/>
  <c r="H15" i="121"/>
  <c r="H3" i="121"/>
  <c r="H30" i="121"/>
  <c r="E6" i="121"/>
  <c r="G4" i="121"/>
  <c r="G15" i="121"/>
  <c r="F32" i="121"/>
  <c r="G6" i="121"/>
  <c r="G30" i="121"/>
  <c r="E3" i="121"/>
  <c r="E4" i="121"/>
  <c r="D4" i="121"/>
  <c r="H26" i="121"/>
  <c r="D50" i="121"/>
  <c r="H17" i="121"/>
  <c r="H20" i="121"/>
  <c r="E20" i="121"/>
  <c r="G17" i="121"/>
  <c r="H11" i="121"/>
  <c r="D33" i="121"/>
  <c r="E8" i="121"/>
  <c r="E17" i="121"/>
  <c r="D16" i="121"/>
  <c r="G10" i="121"/>
  <c r="D10" i="121"/>
  <c r="H16" i="121"/>
  <c r="E14" i="121"/>
  <c r="G25" i="121"/>
  <c r="F24" i="121"/>
  <c r="F9" i="121"/>
  <c r="D12" i="121"/>
  <c r="F49" i="121"/>
  <c r="G5" i="121"/>
  <c r="H32" i="121"/>
  <c r="E30" i="121"/>
  <c r="D2" i="121"/>
  <c r="H5" i="121"/>
  <c r="F5" i="121"/>
  <c r="J48" i="121" l="1"/>
  <c r="J52" i="121"/>
  <c r="J51" i="121"/>
  <c r="J46" i="121"/>
  <c r="J47" i="121"/>
  <c r="J29" i="121"/>
  <c r="J43" i="121"/>
  <c r="J45" i="121"/>
  <c r="J44" i="121"/>
  <c r="J41" i="121"/>
  <c r="J42" i="121"/>
  <c r="J40" i="121"/>
  <c r="J39" i="121"/>
  <c r="J37" i="121"/>
  <c r="J38" i="121"/>
  <c r="I36" i="121"/>
  <c r="J36" i="121" s="1"/>
  <c r="I35" i="121"/>
  <c r="J35" i="121" s="1"/>
  <c r="I34" i="121"/>
  <c r="J34" i="121" s="1"/>
  <c r="I33" i="121"/>
  <c r="J33" i="121" s="1"/>
  <c r="I32" i="121"/>
  <c r="J32" i="121" s="1"/>
  <c r="I31" i="121"/>
  <c r="J31" i="121" s="1"/>
  <c r="I30" i="121"/>
  <c r="J30" i="121" s="1"/>
  <c r="I28" i="121"/>
  <c r="J28" i="121" s="1"/>
  <c r="I27" i="121"/>
  <c r="J27" i="121" s="1"/>
  <c r="I26" i="121"/>
  <c r="J26" i="121" s="1"/>
  <c r="I25" i="121"/>
  <c r="J25" i="121" s="1"/>
  <c r="I24" i="121"/>
  <c r="J24" i="121" s="1"/>
  <c r="I23" i="121"/>
  <c r="J23" i="121" s="1"/>
  <c r="I22" i="121"/>
  <c r="J22" i="121" s="1"/>
  <c r="I19" i="121"/>
  <c r="J19" i="121" s="1"/>
  <c r="I21" i="121"/>
  <c r="J21" i="121" s="1"/>
  <c r="I20" i="121"/>
  <c r="J20" i="121" s="1"/>
  <c r="I16" i="121"/>
  <c r="J16" i="121" s="1"/>
  <c r="I18" i="121"/>
  <c r="J18" i="121" s="1"/>
  <c r="I17" i="121"/>
  <c r="J17" i="121" s="1"/>
  <c r="I15" i="121"/>
  <c r="J15" i="121" s="1"/>
  <c r="I14" i="121"/>
  <c r="J14" i="121" s="1"/>
  <c r="I13" i="121"/>
  <c r="J13" i="121" s="1"/>
  <c r="I4" i="121"/>
  <c r="J4" i="121" s="1"/>
  <c r="I2" i="121"/>
  <c r="J2" i="121" s="1"/>
  <c r="I3" i="121"/>
  <c r="J3" i="121" s="1"/>
  <c r="I6" i="121"/>
  <c r="J6" i="121" s="1"/>
  <c r="I5" i="121"/>
  <c r="J5" i="121" s="1"/>
  <c r="I12" i="121"/>
  <c r="J12" i="121" s="1"/>
  <c r="I50" i="121"/>
  <c r="J50" i="121" s="1"/>
  <c r="I8" i="121"/>
  <c r="J8" i="121" s="1"/>
  <c r="I49" i="121"/>
  <c r="J49" i="121" s="1"/>
  <c r="I11" i="121"/>
  <c r="J11" i="121" s="1"/>
  <c r="I7" i="121"/>
  <c r="J7" i="121" s="1"/>
  <c r="I9" i="121"/>
  <c r="J9" i="121" s="1"/>
  <c r="I10" i="121"/>
  <c r="J10" i="121" s="1"/>
  <c r="T128" i="110" l="1"/>
  <c r="K128" i="110"/>
  <c r="N128" i="110" s="1"/>
  <c r="I128" i="110"/>
  <c r="E128" i="110"/>
  <c r="T127" i="110"/>
  <c r="K127" i="110"/>
  <c r="N127" i="110" s="1"/>
  <c r="E127" i="110"/>
  <c r="I127" i="110" s="1"/>
  <c r="T126" i="110"/>
  <c r="K126" i="110"/>
  <c r="N126" i="110" s="1"/>
  <c r="I126" i="110"/>
  <c r="E126" i="110"/>
  <c r="T120" i="110"/>
  <c r="K120" i="110"/>
  <c r="N120" i="110" s="1"/>
  <c r="E120" i="110"/>
  <c r="I120" i="110" s="1"/>
  <c r="T119" i="110"/>
  <c r="K119" i="110"/>
  <c r="N119" i="110" s="1"/>
  <c r="I119" i="110"/>
  <c r="E119" i="110"/>
  <c r="T113" i="110"/>
  <c r="M113" i="110"/>
  <c r="K113" i="110"/>
  <c r="N113" i="110" s="1"/>
  <c r="G113" i="110"/>
  <c r="E113" i="110"/>
  <c r="I113" i="110" s="1"/>
  <c r="T106" i="110"/>
  <c r="N106" i="110"/>
  <c r="K106" i="110"/>
  <c r="E106" i="110"/>
  <c r="I106" i="110" s="1"/>
  <c r="T105" i="110"/>
  <c r="K105" i="110"/>
  <c r="N105" i="110" s="1"/>
  <c r="E105" i="110"/>
  <c r="I105" i="110" s="1"/>
  <c r="T104" i="110"/>
  <c r="N104" i="110"/>
  <c r="K104" i="110"/>
  <c r="E104" i="110"/>
  <c r="I104" i="110" s="1"/>
  <c r="T103" i="110"/>
  <c r="K103" i="110"/>
  <c r="N103" i="110" s="1"/>
  <c r="E103" i="110"/>
  <c r="I103" i="110" s="1"/>
  <c r="T97" i="110"/>
  <c r="N97" i="110"/>
  <c r="K97" i="110"/>
  <c r="E97" i="110"/>
  <c r="I97" i="110" s="1"/>
  <c r="T96" i="110"/>
  <c r="K96" i="110"/>
  <c r="N96" i="110" s="1"/>
  <c r="E96" i="110"/>
  <c r="I96" i="110" s="1"/>
  <c r="T95" i="110"/>
  <c r="N95" i="110"/>
  <c r="K95" i="110"/>
  <c r="E95" i="110"/>
  <c r="I95" i="110" s="1"/>
  <c r="T94" i="110"/>
  <c r="K94" i="110"/>
  <c r="N94" i="110" s="1"/>
  <c r="E94" i="110"/>
  <c r="I94" i="110" s="1"/>
  <c r="T93" i="110"/>
  <c r="N93" i="110"/>
  <c r="K93" i="110"/>
  <c r="E93" i="110"/>
  <c r="I93" i="110" s="1"/>
  <c r="T92" i="110"/>
  <c r="K92" i="110"/>
  <c r="N92" i="110" s="1"/>
  <c r="E92" i="110"/>
  <c r="I92" i="110" s="1"/>
  <c r="T91" i="110"/>
  <c r="N91" i="110"/>
  <c r="K91" i="110"/>
  <c r="E91" i="110"/>
  <c r="I91" i="110" s="1"/>
  <c r="T85" i="110"/>
  <c r="K85" i="110"/>
  <c r="N85" i="110" s="1"/>
  <c r="E85" i="110"/>
  <c r="I85" i="110" s="1"/>
  <c r="T84" i="110"/>
  <c r="N84" i="110"/>
  <c r="K84" i="110"/>
  <c r="E84" i="110"/>
  <c r="I84" i="110" s="1"/>
  <c r="T83" i="110"/>
  <c r="K83" i="110"/>
  <c r="N83" i="110" s="1"/>
  <c r="E83" i="110"/>
  <c r="I83" i="110" s="1"/>
  <c r="T82" i="110"/>
  <c r="N82" i="110"/>
  <c r="K82" i="110"/>
  <c r="E82" i="110"/>
  <c r="I82" i="110" s="1"/>
  <c r="T81" i="110"/>
  <c r="K81" i="110"/>
  <c r="N81" i="110" s="1"/>
  <c r="E81" i="110"/>
  <c r="I81" i="110" s="1"/>
  <c r="T80" i="110"/>
  <c r="N80" i="110"/>
  <c r="K80" i="110"/>
  <c r="E80" i="110"/>
  <c r="I80" i="110" s="1"/>
  <c r="T79" i="110"/>
  <c r="K79" i="110"/>
  <c r="N79" i="110" s="1"/>
  <c r="E79" i="110"/>
  <c r="I79" i="110" s="1"/>
  <c r="T78" i="110"/>
  <c r="N78" i="110"/>
  <c r="K78" i="110"/>
  <c r="E78" i="110"/>
  <c r="I78" i="110" s="1"/>
  <c r="T77" i="110"/>
  <c r="K77" i="110"/>
  <c r="N77" i="110" s="1"/>
  <c r="E77" i="110"/>
  <c r="I77" i="110" s="1"/>
  <c r="T76" i="110"/>
  <c r="N76" i="110"/>
  <c r="K76" i="110"/>
  <c r="E76" i="110"/>
  <c r="I76" i="110" s="1"/>
  <c r="T75" i="110"/>
  <c r="Q75" i="110"/>
  <c r="K75" i="110"/>
  <c r="N75" i="110" s="1"/>
  <c r="I75" i="110"/>
  <c r="E75" i="110"/>
  <c r="Q74" i="110"/>
  <c r="T74" i="110" s="1"/>
  <c r="N74" i="110"/>
  <c r="K74" i="110"/>
  <c r="E74" i="110"/>
  <c r="I74" i="110" s="1"/>
  <c r="Q73" i="110"/>
  <c r="T73" i="110" s="1"/>
  <c r="K73" i="110"/>
  <c r="N73" i="110" s="1"/>
  <c r="G73" i="110"/>
  <c r="E73" i="110"/>
  <c r="I73" i="110" s="1"/>
  <c r="T72" i="110"/>
  <c r="K72" i="110"/>
  <c r="N72" i="110" s="1"/>
  <c r="I72" i="110"/>
  <c r="E72" i="110"/>
  <c r="T71" i="110"/>
  <c r="K71" i="110"/>
  <c r="N71" i="110" s="1"/>
  <c r="E71" i="110"/>
  <c r="I71" i="110" s="1"/>
  <c r="T65" i="110"/>
  <c r="K65" i="110"/>
  <c r="N65" i="110" s="1"/>
  <c r="I65" i="110"/>
  <c r="E65" i="110"/>
  <c r="T64" i="110"/>
  <c r="K64" i="110"/>
  <c r="N64" i="110" s="1"/>
  <c r="E64" i="110"/>
  <c r="I64" i="110" s="1"/>
  <c r="T63" i="110"/>
  <c r="K63" i="110"/>
  <c r="N63" i="110" s="1"/>
  <c r="I63" i="110"/>
  <c r="E63" i="110"/>
  <c r="T62" i="110"/>
  <c r="K62" i="110"/>
  <c r="N62" i="110" s="1"/>
  <c r="E62" i="110"/>
  <c r="I62" i="110" s="1"/>
  <c r="T61" i="110"/>
  <c r="K61" i="110"/>
  <c r="N61" i="110" s="1"/>
  <c r="I61" i="110"/>
  <c r="E61" i="110"/>
  <c r="T60" i="110"/>
  <c r="K60" i="110"/>
  <c r="N60" i="110" s="1"/>
  <c r="E60" i="110"/>
  <c r="I60" i="110" s="1"/>
  <c r="T59" i="110"/>
  <c r="K59" i="110"/>
  <c r="N59" i="110" s="1"/>
  <c r="I59" i="110"/>
  <c r="E59" i="110"/>
  <c r="T58" i="110"/>
  <c r="K58" i="110"/>
  <c r="N58" i="110" s="1"/>
  <c r="E58" i="110"/>
  <c r="I58" i="110" s="1"/>
  <c r="T57" i="110"/>
  <c r="K57" i="110"/>
  <c r="N57" i="110" s="1"/>
  <c r="I57" i="110"/>
  <c r="E57" i="110"/>
  <c r="T56" i="110"/>
  <c r="K56" i="110"/>
  <c r="N56" i="110" s="1"/>
  <c r="E56" i="110"/>
  <c r="I56" i="110" s="1"/>
  <c r="T55" i="110"/>
  <c r="K55" i="110"/>
  <c r="N55" i="110" s="1"/>
  <c r="I55" i="110"/>
  <c r="E55" i="110"/>
  <c r="T54" i="110"/>
  <c r="K54" i="110"/>
  <c r="N54" i="110" s="1"/>
  <c r="E54" i="110"/>
  <c r="I54" i="110" s="1"/>
  <c r="T53" i="110"/>
  <c r="K53" i="110"/>
  <c r="N53" i="110" s="1"/>
  <c r="I53" i="110"/>
  <c r="E53" i="110"/>
  <c r="T52" i="110"/>
  <c r="K52" i="110"/>
  <c r="N52" i="110" s="1"/>
  <c r="E52" i="110"/>
  <c r="I52" i="110" s="1"/>
  <c r="T51" i="110"/>
  <c r="K51" i="110"/>
  <c r="N51" i="110" s="1"/>
  <c r="I51" i="110"/>
  <c r="E51" i="110"/>
  <c r="T50" i="110"/>
  <c r="K50" i="110"/>
  <c r="N50" i="110" s="1"/>
  <c r="E50" i="110"/>
  <c r="I50" i="110" s="1"/>
  <c r="T49" i="110"/>
  <c r="K49" i="110"/>
  <c r="N49" i="110" s="1"/>
  <c r="I49" i="110"/>
  <c r="E49" i="110"/>
  <c r="T48" i="110"/>
  <c r="K48" i="110"/>
  <c r="N48" i="110" s="1"/>
  <c r="E48" i="110"/>
  <c r="I48" i="110" s="1"/>
  <c r="T47" i="110"/>
  <c r="K47" i="110"/>
  <c r="N47" i="110" s="1"/>
  <c r="I47" i="110"/>
  <c r="E47" i="110"/>
  <c r="T46" i="110"/>
  <c r="K46" i="110"/>
  <c r="N46" i="110" s="1"/>
  <c r="I46" i="110"/>
  <c r="E46" i="110"/>
  <c r="T45" i="110"/>
  <c r="K45" i="110"/>
  <c r="N45" i="110" s="1"/>
  <c r="E45" i="110"/>
  <c r="I45" i="110" s="1"/>
  <c r="T44" i="110"/>
  <c r="K44" i="110"/>
  <c r="N44" i="110" s="1"/>
  <c r="E44" i="110"/>
  <c r="I44" i="110" s="1"/>
  <c r="T43" i="110"/>
  <c r="K43" i="110"/>
  <c r="N43" i="110" s="1"/>
  <c r="I43" i="110"/>
  <c r="E43" i="110"/>
  <c r="T42" i="110"/>
  <c r="K42" i="110"/>
  <c r="N42" i="110" s="1"/>
  <c r="I42" i="110"/>
  <c r="E42" i="110"/>
  <c r="T41" i="110"/>
  <c r="K41" i="110"/>
  <c r="N41" i="110" s="1"/>
  <c r="E41" i="110"/>
  <c r="I41" i="110" s="1"/>
  <c r="T35" i="110"/>
  <c r="K35" i="110"/>
  <c r="N35" i="110" s="1"/>
  <c r="E35" i="110"/>
  <c r="I35" i="110" s="1"/>
  <c r="T34" i="110"/>
  <c r="K34" i="110"/>
  <c r="N34" i="110" s="1"/>
  <c r="E34" i="110"/>
  <c r="I34" i="110" s="1"/>
  <c r="T33" i="110"/>
  <c r="K33" i="110"/>
  <c r="N33" i="110" s="1"/>
  <c r="E33" i="110"/>
  <c r="I33" i="110" s="1"/>
  <c r="T32" i="110"/>
  <c r="K32" i="110"/>
  <c r="N32" i="110" s="1"/>
  <c r="E32" i="110"/>
  <c r="I32" i="110" s="1"/>
  <c r="T31" i="110"/>
  <c r="K31" i="110"/>
  <c r="N31" i="110" s="1"/>
  <c r="E31" i="110"/>
  <c r="I31" i="110" s="1"/>
  <c r="T30" i="110"/>
  <c r="K30" i="110"/>
  <c r="N30" i="110" s="1"/>
  <c r="E30" i="110"/>
  <c r="I30" i="110" s="1"/>
  <c r="T29" i="110"/>
  <c r="M29" i="110"/>
  <c r="K29" i="110"/>
  <c r="G29" i="110"/>
  <c r="E29" i="110"/>
  <c r="T28" i="110"/>
  <c r="M28" i="110"/>
  <c r="K28" i="110"/>
  <c r="G28" i="110"/>
  <c r="E28" i="110"/>
  <c r="I28" i="110" s="1"/>
  <c r="T27" i="110"/>
  <c r="M27" i="110"/>
  <c r="K27" i="110"/>
  <c r="G27" i="110"/>
  <c r="E27" i="110"/>
  <c r="T26" i="110"/>
  <c r="M26" i="110"/>
  <c r="K26" i="110"/>
  <c r="G26" i="110"/>
  <c r="E26" i="110"/>
  <c r="T25" i="110"/>
  <c r="M25" i="110"/>
  <c r="K25" i="110"/>
  <c r="G25" i="110"/>
  <c r="E25" i="110"/>
  <c r="T24" i="110"/>
  <c r="M24" i="110"/>
  <c r="K24" i="110"/>
  <c r="G24" i="110"/>
  <c r="E24" i="110"/>
  <c r="T23" i="110"/>
  <c r="M23" i="110"/>
  <c r="K23" i="110"/>
  <c r="G23" i="110"/>
  <c r="E23" i="110"/>
  <c r="T22" i="110"/>
  <c r="M22" i="110"/>
  <c r="K22" i="110"/>
  <c r="G22" i="110"/>
  <c r="E22" i="110"/>
  <c r="T21" i="110"/>
  <c r="M21" i="110"/>
  <c r="K21" i="110"/>
  <c r="G21" i="110"/>
  <c r="E21" i="110"/>
  <c r="I21" i="110" s="1"/>
  <c r="T20" i="110"/>
  <c r="M20" i="110"/>
  <c r="K20" i="110"/>
  <c r="G20" i="110"/>
  <c r="E20" i="110"/>
  <c r="T19" i="110"/>
  <c r="M19" i="110"/>
  <c r="K19" i="110"/>
  <c r="N19" i="110" s="1"/>
  <c r="G19" i="110"/>
  <c r="E19" i="110"/>
  <c r="I19" i="110" s="1"/>
  <c r="T18" i="110"/>
  <c r="K18" i="110"/>
  <c r="N18" i="110" s="1"/>
  <c r="E18" i="110"/>
  <c r="I18" i="110" s="1"/>
  <c r="T17" i="110"/>
  <c r="K17" i="110"/>
  <c r="N17" i="110" s="1"/>
  <c r="E17" i="110"/>
  <c r="I17" i="110" s="1"/>
  <c r="T16" i="110"/>
  <c r="K16" i="110"/>
  <c r="N16" i="110" s="1"/>
  <c r="E16" i="110"/>
  <c r="I16" i="110" s="1"/>
  <c r="T15" i="110"/>
  <c r="K15" i="110"/>
  <c r="N15" i="110" s="1"/>
  <c r="E15" i="110"/>
  <c r="I15" i="110" s="1"/>
  <c r="T14" i="110"/>
  <c r="K14" i="110"/>
  <c r="N14" i="110" s="1"/>
  <c r="E14" i="110"/>
  <c r="I14" i="110" s="1"/>
  <c r="T13" i="110"/>
  <c r="K13" i="110"/>
  <c r="N13" i="110" s="1"/>
  <c r="E13" i="110"/>
  <c r="I13" i="110" s="1"/>
  <c r="T12" i="110"/>
  <c r="K12" i="110"/>
  <c r="N12" i="110" s="1"/>
  <c r="E12" i="110"/>
  <c r="I12" i="110" s="1"/>
  <c r="T11" i="110"/>
  <c r="K11" i="110"/>
  <c r="N11" i="110" s="1"/>
  <c r="E11" i="110"/>
  <c r="I11" i="110" s="1"/>
  <c r="T10" i="110"/>
  <c r="K10" i="110"/>
  <c r="N10" i="110" s="1"/>
  <c r="E10" i="110"/>
  <c r="I10" i="110" s="1"/>
  <c r="T9" i="110"/>
  <c r="K9" i="110"/>
  <c r="N9" i="110" s="1"/>
  <c r="E9" i="110"/>
  <c r="I9" i="110" s="1"/>
  <c r="T8" i="110"/>
  <c r="K8" i="110"/>
  <c r="N8" i="110" s="1"/>
  <c r="E8" i="110"/>
  <c r="I8" i="110" s="1"/>
  <c r="T7" i="110"/>
  <c r="K7" i="110"/>
  <c r="N7" i="110" s="1"/>
  <c r="E7" i="110"/>
  <c r="I7" i="110" s="1"/>
  <c r="T6" i="110"/>
  <c r="K6" i="110"/>
  <c r="N6" i="110" s="1"/>
  <c r="E6" i="110"/>
  <c r="I6" i="110" s="1"/>
  <c r="T5" i="110"/>
  <c r="K5" i="110"/>
  <c r="N5" i="110" s="1"/>
  <c r="E5" i="110"/>
  <c r="I5" i="110" s="1"/>
  <c r="T4" i="110"/>
  <c r="K4" i="110"/>
  <c r="N4" i="110" s="1"/>
  <c r="E4" i="110"/>
  <c r="I4" i="110" s="1"/>
  <c r="I27" i="110" l="1"/>
  <c r="N26" i="110"/>
  <c r="N20" i="110"/>
  <c r="N24" i="110"/>
  <c r="N21" i="110"/>
  <c r="I23" i="110"/>
  <c r="N27" i="110"/>
  <c r="I29" i="110"/>
  <c r="I20" i="110"/>
  <c r="N22" i="110"/>
  <c r="I24" i="110"/>
  <c r="N28" i="110"/>
  <c r="N25" i="110"/>
  <c r="I26" i="110"/>
  <c r="I22" i="110"/>
  <c r="N23" i="110"/>
  <c r="I25" i="110"/>
  <c r="N29" i="110"/>
  <c r="K37" i="34" l="1"/>
  <c r="J37" i="34"/>
  <c r="I37" i="34"/>
  <c r="K34" i="34"/>
  <c r="J34" i="34"/>
  <c r="I34" i="34"/>
  <c r="K33" i="34"/>
  <c r="J33" i="34"/>
  <c r="I33" i="34"/>
  <c r="K32" i="34"/>
  <c r="J32" i="34"/>
  <c r="I32" i="34"/>
  <c r="K31" i="34"/>
  <c r="J31" i="34"/>
  <c r="I31" i="34"/>
  <c r="K12" i="34"/>
  <c r="J12" i="34"/>
  <c r="I12" i="34"/>
  <c r="K11" i="34"/>
  <c r="J11" i="34"/>
  <c r="I11" i="34"/>
  <c r="K10" i="34"/>
  <c r="J10" i="34"/>
  <c r="I10" i="34"/>
  <c r="K8" i="34"/>
  <c r="J8" i="34"/>
  <c r="I8" i="34"/>
  <c r="K7" i="34"/>
  <c r="J7" i="34"/>
  <c r="I7" i="34"/>
  <c r="K6" i="34"/>
  <c r="J6" i="34"/>
  <c r="I6" i="34"/>
  <c r="G23" i="105" l="1"/>
  <c r="G22" i="105"/>
  <c r="E363" i="105" l="1"/>
  <c r="G363" i="105" s="1"/>
  <c r="J253" i="105"/>
  <c r="I253" i="105"/>
  <c r="H253" i="105"/>
  <c r="E253" i="105"/>
  <c r="G253" i="105" s="1"/>
  <c r="J90" i="105"/>
  <c r="I90" i="105"/>
  <c r="H90" i="105"/>
  <c r="E90" i="105"/>
  <c r="G90" i="105" s="1"/>
  <c r="J31" i="105"/>
  <c r="I31" i="105"/>
  <c r="H31" i="105"/>
  <c r="E31" i="105"/>
  <c r="G31" i="105" s="1"/>
  <c r="J32" i="105"/>
  <c r="I32" i="105"/>
  <c r="H32" i="105"/>
  <c r="E32" i="105"/>
  <c r="G32" i="105" s="1"/>
  <c r="J526" i="105"/>
  <c r="I526" i="105"/>
  <c r="H526" i="105"/>
  <c r="E526" i="105"/>
  <c r="G526" i="105" s="1"/>
  <c r="J525" i="105"/>
  <c r="I525" i="105"/>
  <c r="H525" i="105"/>
  <c r="E525" i="105"/>
  <c r="G525" i="105" s="1"/>
  <c r="J524" i="105"/>
  <c r="I524" i="105"/>
  <c r="H524" i="105"/>
  <c r="E524" i="105"/>
  <c r="G524" i="105" s="1"/>
  <c r="J523" i="105"/>
  <c r="I523" i="105"/>
  <c r="H523" i="105"/>
  <c r="E523" i="105"/>
  <c r="G523" i="105" s="1"/>
  <c r="J522" i="105"/>
  <c r="I522" i="105"/>
  <c r="H522" i="105"/>
  <c r="E522" i="105"/>
  <c r="G522" i="105" s="1"/>
  <c r="J521" i="105"/>
  <c r="I521" i="105"/>
  <c r="H521" i="105"/>
  <c r="E521" i="105"/>
  <c r="G521" i="105" s="1"/>
  <c r="J520" i="105"/>
  <c r="I520" i="105"/>
  <c r="H520" i="105"/>
  <c r="E520" i="105"/>
  <c r="G520" i="105" s="1"/>
  <c r="J519" i="105"/>
  <c r="I519" i="105"/>
  <c r="H519" i="105"/>
  <c r="E519" i="105"/>
  <c r="G519" i="105" s="1"/>
  <c r="J518" i="105"/>
  <c r="I518" i="105"/>
  <c r="H518" i="105"/>
  <c r="E518" i="105"/>
  <c r="G518" i="105" s="1"/>
  <c r="J517" i="105"/>
  <c r="I517" i="105"/>
  <c r="H517" i="105"/>
  <c r="E517" i="105"/>
  <c r="G517" i="105" s="1"/>
  <c r="J516" i="105"/>
  <c r="I516" i="105"/>
  <c r="H516" i="105"/>
  <c r="E516" i="105"/>
  <c r="G516" i="105" s="1"/>
  <c r="J515" i="105"/>
  <c r="I515" i="105"/>
  <c r="H515" i="105"/>
  <c r="E515" i="105"/>
  <c r="G515" i="105" s="1"/>
  <c r="J514" i="105"/>
  <c r="I514" i="105"/>
  <c r="H514" i="105"/>
  <c r="E514" i="105"/>
  <c r="G514" i="105" s="1"/>
  <c r="J513" i="105"/>
  <c r="I513" i="105"/>
  <c r="H513" i="105"/>
  <c r="E513" i="105"/>
  <c r="G513" i="105" s="1"/>
  <c r="J512" i="105"/>
  <c r="I512" i="105"/>
  <c r="H512" i="105"/>
  <c r="E512" i="105"/>
  <c r="G512" i="105" s="1"/>
  <c r="J511" i="105"/>
  <c r="I511" i="105"/>
  <c r="H511" i="105"/>
  <c r="E511" i="105"/>
  <c r="G511" i="105" s="1"/>
  <c r="J510" i="105"/>
  <c r="I510" i="105"/>
  <c r="H510" i="105"/>
  <c r="E510" i="105"/>
  <c r="G510" i="105" s="1"/>
  <c r="J509" i="105"/>
  <c r="I509" i="105"/>
  <c r="H509" i="105"/>
  <c r="E509" i="105"/>
  <c r="G509" i="105" s="1"/>
  <c r="J508" i="105"/>
  <c r="I508" i="105"/>
  <c r="H508" i="105"/>
  <c r="E508" i="105"/>
  <c r="G508" i="105" s="1"/>
  <c r="J507" i="105"/>
  <c r="I507" i="105"/>
  <c r="H507" i="105"/>
  <c r="E507" i="105"/>
  <c r="G507" i="105" s="1"/>
  <c r="J506" i="105"/>
  <c r="I506" i="105"/>
  <c r="H506" i="105"/>
  <c r="E506" i="105"/>
  <c r="G506" i="105" s="1"/>
  <c r="J505" i="105"/>
  <c r="I505" i="105"/>
  <c r="H505" i="105"/>
  <c r="E505" i="105"/>
  <c r="G505" i="105" s="1"/>
  <c r="J504" i="105"/>
  <c r="I504" i="105"/>
  <c r="H504" i="105"/>
  <c r="E504" i="105"/>
  <c r="G504" i="105" s="1"/>
  <c r="J503" i="105"/>
  <c r="I503" i="105"/>
  <c r="H503" i="105"/>
  <c r="E503" i="105"/>
  <c r="G503" i="105" s="1"/>
  <c r="J502" i="105"/>
  <c r="I502" i="105"/>
  <c r="H502" i="105"/>
  <c r="E502" i="105"/>
  <c r="G502" i="105" s="1"/>
  <c r="J501" i="105"/>
  <c r="I501" i="105"/>
  <c r="H501" i="105"/>
  <c r="E501" i="105"/>
  <c r="G501" i="105" s="1"/>
  <c r="J500" i="105"/>
  <c r="I500" i="105"/>
  <c r="H500" i="105"/>
  <c r="E500" i="105"/>
  <c r="G500" i="105" s="1"/>
  <c r="J499" i="105"/>
  <c r="I499" i="105"/>
  <c r="H499" i="105"/>
  <c r="E499" i="105"/>
  <c r="G499" i="105" s="1"/>
  <c r="J498" i="105"/>
  <c r="I498" i="105"/>
  <c r="H498" i="105"/>
  <c r="E498" i="105"/>
  <c r="G498" i="105" s="1"/>
  <c r="J497" i="105"/>
  <c r="I497" i="105"/>
  <c r="H497" i="105"/>
  <c r="E497" i="105"/>
  <c r="G497" i="105" s="1"/>
  <c r="J496" i="105"/>
  <c r="I496" i="105"/>
  <c r="H496" i="105"/>
  <c r="E496" i="105"/>
  <c r="G496" i="105" s="1"/>
  <c r="J495" i="105"/>
  <c r="I495" i="105"/>
  <c r="H495" i="105"/>
  <c r="E495" i="105"/>
  <c r="G495" i="105" s="1"/>
  <c r="J494" i="105"/>
  <c r="I494" i="105"/>
  <c r="H494" i="105"/>
  <c r="E494" i="105"/>
  <c r="G494" i="105" s="1"/>
  <c r="J493" i="105"/>
  <c r="I493" i="105"/>
  <c r="H493" i="105"/>
  <c r="E493" i="105"/>
  <c r="G493" i="105" s="1"/>
  <c r="J492" i="105"/>
  <c r="I492" i="105"/>
  <c r="H492" i="105"/>
  <c r="E492" i="105"/>
  <c r="G492" i="105" s="1"/>
  <c r="J491" i="105"/>
  <c r="I491" i="105"/>
  <c r="H491" i="105"/>
  <c r="E491" i="105"/>
  <c r="G491" i="105" s="1"/>
  <c r="J490" i="105"/>
  <c r="I490" i="105"/>
  <c r="H490" i="105"/>
  <c r="E490" i="105"/>
  <c r="G490" i="105" s="1"/>
  <c r="J489" i="105"/>
  <c r="I489" i="105"/>
  <c r="H489" i="105"/>
  <c r="E489" i="105"/>
  <c r="G489" i="105" s="1"/>
  <c r="J488" i="105"/>
  <c r="I488" i="105"/>
  <c r="H488" i="105"/>
  <c r="E488" i="105"/>
  <c r="G488" i="105" s="1"/>
  <c r="J487" i="105"/>
  <c r="I487" i="105"/>
  <c r="H487" i="105"/>
  <c r="E487" i="105"/>
  <c r="G487" i="105" s="1"/>
  <c r="J486" i="105"/>
  <c r="I486" i="105"/>
  <c r="H486" i="105"/>
  <c r="E486" i="105"/>
  <c r="G486" i="105" s="1"/>
  <c r="J485" i="105"/>
  <c r="I485" i="105"/>
  <c r="H485" i="105"/>
  <c r="E485" i="105"/>
  <c r="G485" i="105" s="1"/>
  <c r="J484" i="105"/>
  <c r="I484" i="105"/>
  <c r="H484" i="105"/>
  <c r="E484" i="105"/>
  <c r="G484" i="105" s="1"/>
  <c r="J483" i="105"/>
  <c r="I483" i="105"/>
  <c r="H483" i="105"/>
  <c r="E483" i="105"/>
  <c r="G483" i="105" s="1"/>
  <c r="J482" i="105"/>
  <c r="I482" i="105"/>
  <c r="H482" i="105"/>
  <c r="E482" i="105"/>
  <c r="G482" i="105" s="1"/>
  <c r="J481" i="105"/>
  <c r="I481" i="105"/>
  <c r="H481" i="105"/>
  <c r="E481" i="105"/>
  <c r="G481" i="105" s="1"/>
  <c r="J480" i="105"/>
  <c r="I480" i="105"/>
  <c r="H480" i="105"/>
  <c r="E480" i="105"/>
  <c r="G480" i="105" s="1"/>
  <c r="J479" i="105"/>
  <c r="I479" i="105"/>
  <c r="H479" i="105"/>
  <c r="E479" i="105"/>
  <c r="G479" i="105" s="1"/>
  <c r="J478" i="105"/>
  <c r="I478" i="105"/>
  <c r="H478" i="105"/>
  <c r="E478" i="105"/>
  <c r="G478" i="105" s="1"/>
  <c r="J477" i="105"/>
  <c r="I477" i="105"/>
  <c r="H477" i="105"/>
  <c r="E477" i="105"/>
  <c r="G477" i="105" s="1"/>
  <c r="J476" i="105"/>
  <c r="I476" i="105"/>
  <c r="H476" i="105"/>
  <c r="E476" i="105"/>
  <c r="G476" i="105" s="1"/>
  <c r="J475" i="105"/>
  <c r="I475" i="105"/>
  <c r="H475" i="105"/>
  <c r="E475" i="105"/>
  <c r="G475" i="105" s="1"/>
  <c r="J474" i="105"/>
  <c r="I474" i="105"/>
  <c r="H474" i="105"/>
  <c r="E474" i="105"/>
  <c r="G474" i="105" s="1"/>
  <c r="J473" i="105"/>
  <c r="I473" i="105"/>
  <c r="H473" i="105"/>
  <c r="E473" i="105"/>
  <c r="G473" i="105" s="1"/>
  <c r="J472" i="105"/>
  <c r="I472" i="105"/>
  <c r="H472" i="105"/>
  <c r="E472" i="105"/>
  <c r="G472" i="105" s="1"/>
  <c r="J471" i="105"/>
  <c r="I471" i="105"/>
  <c r="H471" i="105"/>
  <c r="E471" i="105"/>
  <c r="G471" i="105" s="1"/>
  <c r="J470" i="105"/>
  <c r="I470" i="105"/>
  <c r="H470" i="105"/>
  <c r="E470" i="105"/>
  <c r="G470" i="105" s="1"/>
  <c r="J469" i="105"/>
  <c r="I469" i="105"/>
  <c r="H469" i="105"/>
  <c r="E469" i="105"/>
  <c r="G469" i="105" s="1"/>
  <c r="J468" i="105"/>
  <c r="I468" i="105"/>
  <c r="H468" i="105"/>
  <c r="E468" i="105"/>
  <c r="G468" i="105" s="1"/>
  <c r="J467" i="105"/>
  <c r="I467" i="105"/>
  <c r="H467" i="105"/>
  <c r="E467" i="105"/>
  <c r="G467" i="105" s="1"/>
  <c r="J466" i="105"/>
  <c r="I466" i="105"/>
  <c r="H466" i="105"/>
  <c r="E466" i="105"/>
  <c r="G466" i="105" s="1"/>
  <c r="J465" i="105"/>
  <c r="I465" i="105"/>
  <c r="H465" i="105"/>
  <c r="E465" i="105"/>
  <c r="G465" i="105" s="1"/>
  <c r="J464" i="105"/>
  <c r="I464" i="105"/>
  <c r="H464" i="105"/>
  <c r="E464" i="105"/>
  <c r="G464" i="105" s="1"/>
  <c r="J463" i="105"/>
  <c r="I463" i="105"/>
  <c r="H463" i="105"/>
  <c r="E463" i="105"/>
  <c r="G463" i="105" s="1"/>
  <c r="J462" i="105"/>
  <c r="I462" i="105"/>
  <c r="H462" i="105"/>
  <c r="E462" i="105"/>
  <c r="G462" i="105" s="1"/>
  <c r="J461" i="105"/>
  <c r="I461" i="105"/>
  <c r="H461" i="105"/>
  <c r="E461" i="105"/>
  <c r="G461" i="105" s="1"/>
  <c r="J460" i="105"/>
  <c r="I460" i="105"/>
  <c r="H460" i="105"/>
  <c r="E460" i="105"/>
  <c r="G460" i="105" s="1"/>
  <c r="J459" i="105"/>
  <c r="I459" i="105"/>
  <c r="H459" i="105"/>
  <c r="E459" i="105"/>
  <c r="G459" i="105" s="1"/>
  <c r="J458" i="105"/>
  <c r="I458" i="105"/>
  <c r="H458" i="105"/>
  <c r="E458" i="105"/>
  <c r="G458" i="105" s="1"/>
  <c r="J457" i="105"/>
  <c r="I457" i="105"/>
  <c r="H457" i="105"/>
  <c r="E457" i="105"/>
  <c r="G457" i="105" s="1"/>
  <c r="J456" i="105"/>
  <c r="I456" i="105"/>
  <c r="H456" i="105"/>
  <c r="E456" i="105"/>
  <c r="G456" i="105" s="1"/>
  <c r="J455" i="105"/>
  <c r="I455" i="105"/>
  <c r="H455" i="105"/>
  <c r="E455" i="105"/>
  <c r="G455" i="105" s="1"/>
  <c r="J454" i="105"/>
  <c r="I454" i="105"/>
  <c r="H454" i="105"/>
  <c r="E454" i="105"/>
  <c r="G454" i="105" s="1"/>
  <c r="J453" i="105"/>
  <c r="I453" i="105"/>
  <c r="H453" i="105"/>
  <c r="E453" i="105"/>
  <c r="G453" i="105" s="1"/>
  <c r="J452" i="105"/>
  <c r="I452" i="105"/>
  <c r="H452" i="105"/>
  <c r="E452" i="105"/>
  <c r="G452" i="105" s="1"/>
  <c r="J451" i="105"/>
  <c r="I451" i="105"/>
  <c r="H451" i="105"/>
  <c r="E451" i="105"/>
  <c r="G451" i="105" s="1"/>
  <c r="J450" i="105"/>
  <c r="I450" i="105"/>
  <c r="H450" i="105"/>
  <c r="E450" i="105"/>
  <c r="G450" i="105" s="1"/>
  <c r="J449" i="105"/>
  <c r="I449" i="105"/>
  <c r="H449" i="105"/>
  <c r="E449" i="105"/>
  <c r="G449" i="105" s="1"/>
  <c r="J448" i="105"/>
  <c r="I448" i="105"/>
  <c r="H448" i="105"/>
  <c r="E448" i="105"/>
  <c r="G448" i="105" s="1"/>
  <c r="J447" i="105"/>
  <c r="I447" i="105"/>
  <c r="H447" i="105"/>
  <c r="E447" i="105"/>
  <c r="G447" i="105" s="1"/>
  <c r="J446" i="105"/>
  <c r="I446" i="105"/>
  <c r="H446" i="105"/>
  <c r="E446" i="105"/>
  <c r="G446" i="105" s="1"/>
  <c r="J445" i="105"/>
  <c r="I445" i="105"/>
  <c r="H445" i="105"/>
  <c r="E445" i="105"/>
  <c r="G445" i="105" s="1"/>
  <c r="J444" i="105"/>
  <c r="I444" i="105"/>
  <c r="H444" i="105"/>
  <c r="E444" i="105"/>
  <c r="G444" i="105" s="1"/>
  <c r="J443" i="105"/>
  <c r="I443" i="105"/>
  <c r="H443" i="105"/>
  <c r="E443" i="105"/>
  <c r="G443" i="105" s="1"/>
  <c r="J442" i="105"/>
  <c r="I442" i="105"/>
  <c r="H442" i="105"/>
  <c r="E442" i="105"/>
  <c r="G442" i="105" s="1"/>
  <c r="J441" i="105"/>
  <c r="I441" i="105"/>
  <c r="H441" i="105"/>
  <c r="E441" i="105"/>
  <c r="G441" i="105" s="1"/>
  <c r="J440" i="105"/>
  <c r="I440" i="105"/>
  <c r="H440" i="105"/>
  <c r="E440" i="105"/>
  <c r="G440" i="105" s="1"/>
  <c r="J439" i="105"/>
  <c r="I439" i="105"/>
  <c r="H439" i="105"/>
  <c r="E439" i="105"/>
  <c r="G439" i="105" s="1"/>
  <c r="J438" i="105"/>
  <c r="I438" i="105"/>
  <c r="H438" i="105"/>
  <c r="E438" i="105"/>
  <c r="G438" i="105" s="1"/>
  <c r="J437" i="105"/>
  <c r="I437" i="105"/>
  <c r="H437" i="105"/>
  <c r="E437" i="105"/>
  <c r="G437" i="105" s="1"/>
  <c r="J436" i="105"/>
  <c r="I436" i="105"/>
  <c r="H436" i="105"/>
  <c r="E436" i="105"/>
  <c r="G436" i="105" s="1"/>
  <c r="J435" i="105"/>
  <c r="I435" i="105"/>
  <c r="H435" i="105"/>
  <c r="E435" i="105"/>
  <c r="G435" i="105" s="1"/>
  <c r="J434" i="105"/>
  <c r="I434" i="105"/>
  <c r="H434" i="105"/>
  <c r="E434" i="105"/>
  <c r="G434" i="105" s="1"/>
  <c r="J433" i="105"/>
  <c r="I433" i="105"/>
  <c r="H433" i="105"/>
  <c r="E433" i="105"/>
  <c r="G433" i="105" s="1"/>
  <c r="J432" i="105"/>
  <c r="I432" i="105"/>
  <c r="H432" i="105"/>
  <c r="E432" i="105"/>
  <c r="G432" i="105" s="1"/>
  <c r="J431" i="105"/>
  <c r="I431" i="105"/>
  <c r="H431" i="105"/>
  <c r="E431" i="105"/>
  <c r="G431" i="105" s="1"/>
  <c r="J430" i="105"/>
  <c r="I430" i="105"/>
  <c r="H430" i="105"/>
  <c r="E430" i="105"/>
  <c r="G430" i="105" s="1"/>
  <c r="J429" i="105"/>
  <c r="I429" i="105"/>
  <c r="H429" i="105"/>
  <c r="E429" i="105"/>
  <c r="G429" i="105" s="1"/>
  <c r="J428" i="105"/>
  <c r="I428" i="105"/>
  <c r="H428" i="105"/>
  <c r="E428" i="105"/>
  <c r="G428" i="105" s="1"/>
  <c r="J427" i="105"/>
  <c r="I427" i="105"/>
  <c r="H427" i="105"/>
  <c r="E427" i="105"/>
  <c r="G427" i="105" s="1"/>
  <c r="J426" i="105"/>
  <c r="I426" i="105"/>
  <c r="H426" i="105"/>
  <c r="E426" i="105"/>
  <c r="G426" i="105" s="1"/>
  <c r="J425" i="105"/>
  <c r="I425" i="105"/>
  <c r="H425" i="105"/>
  <c r="E425" i="105"/>
  <c r="G425" i="105" s="1"/>
  <c r="J424" i="105"/>
  <c r="I424" i="105"/>
  <c r="H424" i="105"/>
  <c r="E424" i="105"/>
  <c r="G424" i="105" s="1"/>
  <c r="J423" i="105"/>
  <c r="I423" i="105"/>
  <c r="H423" i="105"/>
  <c r="E423" i="105"/>
  <c r="G423" i="105" s="1"/>
  <c r="J422" i="105"/>
  <c r="I422" i="105"/>
  <c r="H422" i="105"/>
  <c r="E422" i="105"/>
  <c r="G422" i="105" s="1"/>
  <c r="J421" i="105"/>
  <c r="I421" i="105"/>
  <c r="H421" i="105"/>
  <c r="E421" i="105"/>
  <c r="G421" i="105" s="1"/>
  <c r="J420" i="105"/>
  <c r="I420" i="105"/>
  <c r="H420" i="105"/>
  <c r="E420" i="105"/>
  <c r="G420" i="105" s="1"/>
  <c r="J419" i="105"/>
  <c r="I419" i="105"/>
  <c r="H419" i="105"/>
  <c r="E419" i="105"/>
  <c r="G419" i="105" s="1"/>
  <c r="J418" i="105"/>
  <c r="I418" i="105"/>
  <c r="H418" i="105"/>
  <c r="E418" i="105"/>
  <c r="G418" i="105" s="1"/>
  <c r="J417" i="105"/>
  <c r="I417" i="105"/>
  <c r="H417" i="105"/>
  <c r="E417" i="105"/>
  <c r="G417" i="105" s="1"/>
  <c r="J416" i="105"/>
  <c r="I416" i="105"/>
  <c r="H416" i="105"/>
  <c r="E416" i="105"/>
  <c r="G416" i="105" s="1"/>
  <c r="J415" i="105"/>
  <c r="I415" i="105"/>
  <c r="H415" i="105"/>
  <c r="E415" i="105"/>
  <c r="G415" i="105" s="1"/>
  <c r="J414" i="105"/>
  <c r="I414" i="105"/>
  <c r="H414" i="105"/>
  <c r="E414" i="105"/>
  <c r="G414" i="105" s="1"/>
  <c r="J413" i="105"/>
  <c r="I413" i="105"/>
  <c r="H413" i="105"/>
  <c r="E413" i="105"/>
  <c r="G413" i="105" s="1"/>
  <c r="J412" i="105"/>
  <c r="I412" i="105"/>
  <c r="H412" i="105"/>
  <c r="E412" i="105"/>
  <c r="G412" i="105" s="1"/>
  <c r="J411" i="105"/>
  <c r="I411" i="105"/>
  <c r="H411" i="105"/>
  <c r="E411" i="105"/>
  <c r="G411" i="105" s="1"/>
  <c r="J410" i="105"/>
  <c r="I410" i="105"/>
  <c r="H410" i="105"/>
  <c r="E410" i="105"/>
  <c r="G410" i="105" s="1"/>
  <c r="J409" i="105"/>
  <c r="I409" i="105"/>
  <c r="H409" i="105"/>
  <c r="E409" i="105"/>
  <c r="G409" i="105" s="1"/>
  <c r="J408" i="105"/>
  <c r="I408" i="105"/>
  <c r="H408" i="105"/>
  <c r="E408" i="105"/>
  <c r="G408" i="105" s="1"/>
  <c r="J407" i="105"/>
  <c r="I407" i="105"/>
  <c r="H407" i="105"/>
  <c r="E407" i="105"/>
  <c r="G407" i="105" s="1"/>
  <c r="J406" i="105"/>
  <c r="I406" i="105"/>
  <c r="H406" i="105"/>
  <c r="E406" i="105"/>
  <c r="G406" i="105" s="1"/>
  <c r="J405" i="105"/>
  <c r="I405" i="105"/>
  <c r="H405" i="105"/>
  <c r="E405" i="105"/>
  <c r="G405" i="105" s="1"/>
  <c r="J404" i="105"/>
  <c r="I404" i="105"/>
  <c r="H404" i="105"/>
  <c r="E404" i="105"/>
  <c r="G404" i="105" s="1"/>
  <c r="J403" i="105"/>
  <c r="I403" i="105"/>
  <c r="H403" i="105"/>
  <c r="E403" i="105"/>
  <c r="G403" i="105" s="1"/>
  <c r="J402" i="105"/>
  <c r="I402" i="105"/>
  <c r="H402" i="105"/>
  <c r="E402" i="105"/>
  <c r="G402" i="105" s="1"/>
  <c r="J401" i="105"/>
  <c r="I401" i="105"/>
  <c r="H401" i="105"/>
  <c r="E401" i="105"/>
  <c r="G401" i="105" s="1"/>
  <c r="J400" i="105"/>
  <c r="I400" i="105"/>
  <c r="H400" i="105"/>
  <c r="E400" i="105"/>
  <c r="G400" i="105" s="1"/>
  <c r="J399" i="105"/>
  <c r="I399" i="105"/>
  <c r="H399" i="105"/>
  <c r="E399" i="105"/>
  <c r="G399" i="105" s="1"/>
  <c r="J398" i="105"/>
  <c r="I398" i="105"/>
  <c r="H398" i="105"/>
  <c r="E398" i="105"/>
  <c r="G398" i="105" s="1"/>
  <c r="J397" i="105"/>
  <c r="I397" i="105"/>
  <c r="H397" i="105"/>
  <c r="E397" i="105"/>
  <c r="G397" i="105" s="1"/>
  <c r="J396" i="105"/>
  <c r="I396" i="105"/>
  <c r="H396" i="105"/>
  <c r="E396" i="105"/>
  <c r="G396" i="105" s="1"/>
  <c r="J395" i="105"/>
  <c r="I395" i="105"/>
  <c r="H395" i="105"/>
  <c r="E395" i="105"/>
  <c r="G395" i="105" s="1"/>
  <c r="J394" i="105"/>
  <c r="I394" i="105"/>
  <c r="H394" i="105"/>
  <c r="E394" i="105"/>
  <c r="G394" i="105" s="1"/>
  <c r="J393" i="105"/>
  <c r="I393" i="105"/>
  <c r="H393" i="105"/>
  <c r="E393" i="105"/>
  <c r="G393" i="105" s="1"/>
  <c r="J392" i="105"/>
  <c r="I392" i="105"/>
  <c r="H392" i="105"/>
  <c r="E392" i="105"/>
  <c r="G392" i="105" s="1"/>
  <c r="J391" i="105"/>
  <c r="I391" i="105"/>
  <c r="H391" i="105"/>
  <c r="E391" i="105"/>
  <c r="G391" i="105" s="1"/>
  <c r="J390" i="105"/>
  <c r="I390" i="105"/>
  <c r="H390" i="105"/>
  <c r="E390" i="105"/>
  <c r="G390" i="105" s="1"/>
  <c r="J389" i="105"/>
  <c r="I389" i="105"/>
  <c r="H389" i="105"/>
  <c r="E389" i="105"/>
  <c r="G389" i="105" s="1"/>
  <c r="J388" i="105"/>
  <c r="I388" i="105"/>
  <c r="H388" i="105"/>
  <c r="E388" i="105"/>
  <c r="G388" i="105" s="1"/>
  <c r="J387" i="105"/>
  <c r="I387" i="105"/>
  <c r="H387" i="105"/>
  <c r="E387" i="105"/>
  <c r="G387" i="105" s="1"/>
  <c r="J386" i="105"/>
  <c r="I386" i="105"/>
  <c r="H386" i="105"/>
  <c r="E386" i="105"/>
  <c r="G386" i="105" s="1"/>
  <c r="J385" i="105"/>
  <c r="I385" i="105"/>
  <c r="H385" i="105"/>
  <c r="E385" i="105"/>
  <c r="G385" i="105" s="1"/>
  <c r="J384" i="105"/>
  <c r="I384" i="105"/>
  <c r="H384" i="105"/>
  <c r="E384" i="105"/>
  <c r="G384" i="105" s="1"/>
  <c r="J383" i="105"/>
  <c r="I383" i="105"/>
  <c r="H383" i="105"/>
  <c r="E383" i="105"/>
  <c r="G383" i="105" s="1"/>
  <c r="J382" i="105"/>
  <c r="I382" i="105"/>
  <c r="H382" i="105"/>
  <c r="E382" i="105"/>
  <c r="G382" i="105" s="1"/>
  <c r="J381" i="105"/>
  <c r="I381" i="105"/>
  <c r="H381" i="105"/>
  <c r="E381" i="105"/>
  <c r="G381" i="105" s="1"/>
  <c r="J380" i="105"/>
  <c r="I380" i="105"/>
  <c r="H380" i="105"/>
  <c r="E380" i="105"/>
  <c r="G380" i="105" s="1"/>
  <c r="J379" i="105"/>
  <c r="I379" i="105"/>
  <c r="H379" i="105"/>
  <c r="E379" i="105"/>
  <c r="G379" i="105" s="1"/>
  <c r="J378" i="105"/>
  <c r="I378" i="105"/>
  <c r="H378" i="105"/>
  <c r="E378" i="105"/>
  <c r="G378" i="105" s="1"/>
  <c r="J377" i="105"/>
  <c r="I377" i="105"/>
  <c r="H377" i="105"/>
  <c r="E377" i="105"/>
  <c r="G377" i="105" s="1"/>
  <c r="J376" i="105"/>
  <c r="I376" i="105"/>
  <c r="H376" i="105"/>
  <c r="E376" i="105"/>
  <c r="G376" i="105" s="1"/>
  <c r="J375" i="105"/>
  <c r="I375" i="105"/>
  <c r="H375" i="105"/>
  <c r="E375" i="105"/>
  <c r="G375" i="105" s="1"/>
  <c r="J374" i="105"/>
  <c r="I374" i="105"/>
  <c r="H374" i="105"/>
  <c r="E374" i="105"/>
  <c r="G374" i="105" s="1"/>
  <c r="J373" i="105"/>
  <c r="I373" i="105"/>
  <c r="H373" i="105"/>
  <c r="E373" i="105"/>
  <c r="G373" i="105" s="1"/>
  <c r="J372" i="105"/>
  <c r="I372" i="105"/>
  <c r="H372" i="105"/>
  <c r="E372" i="105"/>
  <c r="G372" i="105" s="1"/>
  <c r="J371" i="105"/>
  <c r="I371" i="105"/>
  <c r="H371" i="105"/>
  <c r="E371" i="105"/>
  <c r="G371" i="105" s="1"/>
  <c r="J370" i="105"/>
  <c r="I370" i="105"/>
  <c r="H370" i="105"/>
  <c r="E370" i="105"/>
  <c r="G370" i="105" s="1"/>
  <c r="J369" i="105"/>
  <c r="I369" i="105"/>
  <c r="H369" i="105"/>
  <c r="E369" i="105"/>
  <c r="G369" i="105" s="1"/>
  <c r="J368" i="105"/>
  <c r="I368" i="105"/>
  <c r="H368" i="105"/>
  <c r="E368" i="105"/>
  <c r="G368" i="105" s="1"/>
  <c r="J367" i="105"/>
  <c r="I367" i="105"/>
  <c r="H367" i="105"/>
  <c r="E367" i="105"/>
  <c r="G367" i="105" s="1"/>
  <c r="J366" i="105"/>
  <c r="I366" i="105"/>
  <c r="H366" i="105"/>
  <c r="E366" i="105"/>
  <c r="G366" i="105" s="1"/>
  <c r="J365" i="105"/>
  <c r="I365" i="105"/>
  <c r="H365" i="105"/>
  <c r="E365" i="105"/>
  <c r="G365" i="105" s="1"/>
  <c r="J364" i="105"/>
  <c r="I364" i="105"/>
  <c r="H364" i="105"/>
  <c r="E364" i="105"/>
  <c r="G364" i="105" s="1"/>
  <c r="J363" i="105"/>
  <c r="I363" i="105"/>
  <c r="H363" i="105"/>
  <c r="J362" i="105"/>
  <c r="I362" i="105"/>
  <c r="H362" i="105"/>
  <c r="E362" i="105"/>
  <c r="G362" i="105" s="1"/>
  <c r="J361" i="105"/>
  <c r="I361" i="105"/>
  <c r="H361" i="105"/>
  <c r="E361" i="105"/>
  <c r="G361" i="105" s="1"/>
  <c r="J360" i="105"/>
  <c r="I360" i="105"/>
  <c r="H360" i="105"/>
  <c r="E360" i="105"/>
  <c r="G360" i="105" s="1"/>
  <c r="J359" i="105"/>
  <c r="I359" i="105"/>
  <c r="H359" i="105"/>
  <c r="E359" i="105"/>
  <c r="G359" i="105" s="1"/>
  <c r="J358" i="105"/>
  <c r="I358" i="105"/>
  <c r="H358" i="105"/>
  <c r="E358" i="105"/>
  <c r="G358" i="105" s="1"/>
  <c r="J357" i="105"/>
  <c r="I357" i="105"/>
  <c r="H357" i="105"/>
  <c r="E357" i="105"/>
  <c r="G357" i="105" s="1"/>
  <c r="J356" i="105"/>
  <c r="I356" i="105"/>
  <c r="H356" i="105"/>
  <c r="E356" i="105"/>
  <c r="G356" i="105" s="1"/>
  <c r="J355" i="105"/>
  <c r="I355" i="105"/>
  <c r="H355" i="105"/>
  <c r="E355" i="105"/>
  <c r="G355" i="105" s="1"/>
  <c r="J354" i="105"/>
  <c r="I354" i="105"/>
  <c r="H354" i="105"/>
  <c r="E354" i="105"/>
  <c r="G354" i="105" s="1"/>
  <c r="J353" i="105"/>
  <c r="I353" i="105"/>
  <c r="H353" i="105"/>
  <c r="E353" i="105"/>
  <c r="G353" i="105" s="1"/>
  <c r="J352" i="105"/>
  <c r="I352" i="105"/>
  <c r="H352" i="105"/>
  <c r="E352" i="105"/>
  <c r="G352" i="105" s="1"/>
  <c r="J351" i="105"/>
  <c r="I351" i="105"/>
  <c r="H351" i="105"/>
  <c r="E351" i="105"/>
  <c r="G351" i="105" s="1"/>
  <c r="J350" i="105"/>
  <c r="I350" i="105"/>
  <c r="H350" i="105"/>
  <c r="E350" i="105"/>
  <c r="G350" i="105" s="1"/>
  <c r="J349" i="105"/>
  <c r="I349" i="105"/>
  <c r="H349" i="105"/>
  <c r="E349" i="105"/>
  <c r="G349" i="105" s="1"/>
  <c r="J348" i="105"/>
  <c r="I348" i="105"/>
  <c r="H348" i="105"/>
  <c r="E348" i="105"/>
  <c r="G348" i="105" s="1"/>
  <c r="J347" i="105"/>
  <c r="I347" i="105"/>
  <c r="H347" i="105"/>
  <c r="E347" i="105"/>
  <c r="G347" i="105" s="1"/>
  <c r="J346" i="105"/>
  <c r="I346" i="105"/>
  <c r="H346" i="105"/>
  <c r="E346" i="105"/>
  <c r="G346" i="105" s="1"/>
  <c r="J345" i="105"/>
  <c r="I345" i="105"/>
  <c r="H345" i="105"/>
  <c r="E345" i="105"/>
  <c r="G345" i="105" s="1"/>
  <c r="J344" i="105"/>
  <c r="I344" i="105"/>
  <c r="H344" i="105"/>
  <c r="E344" i="105"/>
  <c r="G344" i="105" s="1"/>
  <c r="J343" i="105"/>
  <c r="I343" i="105"/>
  <c r="H343" i="105"/>
  <c r="E343" i="105"/>
  <c r="G343" i="105" s="1"/>
  <c r="J342" i="105"/>
  <c r="I342" i="105"/>
  <c r="H342" i="105"/>
  <c r="E342" i="105"/>
  <c r="G342" i="105" s="1"/>
  <c r="J341" i="105"/>
  <c r="I341" i="105"/>
  <c r="H341" i="105"/>
  <c r="E341" i="105"/>
  <c r="G341" i="105" s="1"/>
  <c r="J340" i="105"/>
  <c r="I340" i="105"/>
  <c r="H340" i="105"/>
  <c r="E340" i="105"/>
  <c r="G340" i="105" s="1"/>
  <c r="J339" i="105"/>
  <c r="I339" i="105"/>
  <c r="H339" i="105"/>
  <c r="E339" i="105"/>
  <c r="G339" i="105" s="1"/>
  <c r="J338" i="105"/>
  <c r="I338" i="105"/>
  <c r="H338" i="105"/>
  <c r="E338" i="105"/>
  <c r="G338" i="105" s="1"/>
  <c r="J337" i="105"/>
  <c r="I337" i="105"/>
  <c r="H337" i="105"/>
  <c r="E337" i="105"/>
  <c r="G337" i="105" s="1"/>
  <c r="J336" i="105"/>
  <c r="I336" i="105"/>
  <c r="H336" i="105"/>
  <c r="E336" i="105"/>
  <c r="G336" i="105" s="1"/>
  <c r="J335" i="105"/>
  <c r="I335" i="105"/>
  <c r="H335" i="105"/>
  <c r="E335" i="105"/>
  <c r="G335" i="105" s="1"/>
  <c r="J334" i="105"/>
  <c r="I334" i="105"/>
  <c r="H334" i="105"/>
  <c r="E334" i="105"/>
  <c r="G334" i="105" s="1"/>
  <c r="J333" i="105"/>
  <c r="I333" i="105"/>
  <c r="H333" i="105"/>
  <c r="E333" i="105"/>
  <c r="G333" i="105" s="1"/>
  <c r="J332" i="105"/>
  <c r="I332" i="105"/>
  <c r="H332" i="105"/>
  <c r="E332" i="105"/>
  <c r="G332" i="105" s="1"/>
  <c r="J331" i="105"/>
  <c r="I331" i="105"/>
  <c r="H331" i="105"/>
  <c r="E331" i="105"/>
  <c r="G331" i="105" s="1"/>
  <c r="J330" i="105"/>
  <c r="I330" i="105"/>
  <c r="H330" i="105"/>
  <c r="E330" i="105"/>
  <c r="G330" i="105" s="1"/>
  <c r="J329" i="105"/>
  <c r="I329" i="105"/>
  <c r="H329" i="105"/>
  <c r="E329" i="105"/>
  <c r="G329" i="105" s="1"/>
  <c r="J328" i="105"/>
  <c r="I328" i="105"/>
  <c r="H328" i="105"/>
  <c r="E328" i="105"/>
  <c r="G328" i="105" s="1"/>
  <c r="J327" i="105"/>
  <c r="I327" i="105"/>
  <c r="H327" i="105"/>
  <c r="E327" i="105"/>
  <c r="G327" i="105" s="1"/>
  <c r="J326" i="105"/>
  <c r="I326" i="105"/>
  <c r="H326" i="105"/>
  <c r="E326" i="105"/>
  <c r="G326" i="105" s="1"/>
  <c r="J325" i="105"/>
  <c r="I325" i="105"/>
  <c r="H325" i="105"/>
  <c r="E325" i="105"/>
  <c r="G325" i="105" s="1"/>
  <c r="J324" i="105"/>
  <c r="I324" i="105"/>
  <c r="H324" i="105"/>
  <c r="E324" i="105"/>
  <c r="G324" i="105" s="1"/>
  <c r="J323" i="105"/>
  <c r="I323" i="105"/>
  <c r="H323" i="105"/>
  <c r="E323" i="105"/>
  <c r="G323" i="105" s="1"/>
  <c r="J322" i="105"/>
  <c r="I322" i="105"/>
  <c r="H322" i="105"/>
  <c r="E322" i="105"/>
  <c r="G322" i="105" s="1"/>
  <c r="J321" i="105"/>
  <c r="I321" i="105"/>
  <c r="H321" i="105"/>
  <c r="E321" i="105"/>
  <c r="G321" i="105" s="1"/>
  <c r="J320" i="105"/>
  <c r="I320" i="105"/>
  <c r="H320" i="105"/>
  <c r="E320" i="105"/>
  <c r="G320" i="105" s="1"/>
  <c r="J319" i="105"/>
  <c r="I319" i="105"/>
  <c r="H319" i="105"/>
  <c r="E319" i="105"/>
  <c r="G319" i="105" s="1"/>
  <c r="J318" i="105"/>
  <c r="I318" i="105"/>
  <c r="H318" i="105"/>
  <c r="E318" i="105"/>
  <c r="G318" i="105" s="1"/>
  <c r="J317" i="105"/>
  <c r="I317" i="105"/>
  <c r="H317" i="105"/>
  <c r="E317" i="105"/>
  <c r="G317" i="105" s="1"/>
  <c r="J316" i="105"/>
  <c r="I316" i="105"/>
  <c r="H316" i="105"/>
  <c r="E316" i="105"/>
  <c r="G316" i="105" s="1"/>
  <c r="J315" i="105"/>
  <c r="I315" i="105"/>
  <c r="H315" i="105"/>
  <c r="E315" i="105"/>
  <c r="G315" i="105" s="1"/>
  <c r="J314" i="105"/>
  <c r="I314" i="105"/>
  <c r="H314" i="105"/>
  <c r="E314" i="105"/>
  <c r="G314" i="105" s="1"/>
  <c r="J313" i="105"/>
  <c r="I313" i="105"/>
  <c r="H313" i="105"/>
  <c r="E313" i="105"/>
  <c r="G313" i="105" s="1"/>
  <c r="J312" i="105"/>
  <c r="I312" i="105"/>
  <c r="H312" i="105"/>
  <c r="E312" i="105"/>
  <c r="G312" i="105" s="1"/>
  <c r="J311" i="105"/>
  <c r="I311" i="105"/>
  <c r="H311" i="105"/>
  <c r="E311" i="105"/>
  <c r="G311" i="105" s="1"/>
  <c r="J310" i="105"/>
  <c r="I310" i="105"/>
  <c r="H310" i="105"/>
  <c r="E310" i="105"/>
  <c r="G310" i="105" s="1"/>
  <c r="J309" i="105"/>
  <c r="I309" i="105"/>
  <c r="H309" i="105"/>
  <c r="E309" i="105"/>
  <c r="G309" i="105" s="1"/>
  <c r="J308" i="105"/>
  <c r="I308" i="105"/>
  <c r="H308" i="105"/>
  <c r="E308" i="105"/>
  <c r="G308" i="105" s="1"/>
  <c r="J307" i="105"/>
  <c r="I307" i="105"/>
  <c r="H307" i="105"/>
  <c r="E307" i="105"/>
  <c r="G307" i="105" s="1"/>
  <c r="J306" i="105"/>
  <c r="I306" i="105"/>
  <c r="H306" i="105"/>
  <c r="E306" i="105"/>
  <c r="G306" i="105" s="1"/>
  <c r="J305" i="105"/>
  <c r="I305" i="105"/>
  <c r="H305" i="105"/>
  <c r="E305" i="105"/>
  <c r="G305" i="105" s="1"/>
  <c r="J304" i="105"/>
  <c r="I304" i="105"/>
  <c r="H304" i="105"/>
  <c r="E304" i="105"/>
  <c r="G304" i="105" s="1"/>
  <c r="J303" i="105"/>
  <c r="I303" i="105"/>
  <c r="H303" i="105"/>
  <c r="E303" i="105"/>
  <c r="G303" i="105" s="1"/>
  <c r="J302" i="105"/>
  <c r="I302" i="105"/>
  <c r="H302" i="105"/>
  <c r="E302" i="105"/>
  <c r="G302" i="105" s="1"/>
  <c r="J301" i="105"/>
  <c r="I301" i="105"/>
  <c r="H301" i="105"/>
  <c r="E301" i="105"/>
  <c r="G301" i="105" s="1"/>
  <c r="J300" i="105"/>
  <c r="I300" i="105"/>
  <c r="H300" i="105"/>
  <c r="E300" i="105"/>
  <c r="G300" i="105" s="1"/>
  <c r="J299" i="105"/>
  <c r="I299" i="105"/>
  <c r="H299" i="105"/>
  <c r="E299" i="105"/>
  <c r="G299" i="105" s="1"/>
  <c r="J298" i="105"/>
  <c r="I298" i="105"/>
  <c r="H298" i="105"/>
  <c r="E298" i="105"/>
  <c r="G298" i="105" s="1"/>
  <c r="J297" i="105"/>
  <c r="I297" i="105"/>
  <c r="H297" i="105"/>
  <c r="E297" i="105"/>
  <c r="G297" i="105" s="1"/>
  <c r="J296" i="105"/>
  <c r="I296" i="105"/>
  <c r="H296" i="105"/>
  <c r="E296" i="105"/>
  <c r="G296" i="105" s="1"/>
  <c r="J295" i="105"/>
  <c r="I295" i="105"/>
  <c r="H295" i="105"/>
  <c r="E295" i="105"/>
  <c r="G295" i="105" s="1"/>
  <c r="J294" i="105"/>
  <c r="I294" i="105"/>
  <c r="H294" i="105"/>
  <c r="E294" i="105"/>
  <c r="G294" i="105" s="1"/>
  <c r="J293" i="105"/>
  <c r="I293" i="105"/>
  <c r="H293" i="105"/>
  <c r="E293" i="105"/>
  <c r="G293" i="105" s="1"/>
  <c r="J292" i="105"/>
  <c r="I292" i="105"/>
  <c r="H292" i="105"/>
  <c r="E292" i="105"/>
  <c r="G292" i="105" s="1"/>
  <c r="J291" i="105"/>
  <c r="I291" i="105"/>
  <c r="H291" i="105"/>
  <c r="E291" i="105"/>
  <c r="G291" i="105" s="1"/>
  <c r="J290" i="105"/>
  <c r="I290" i="105"/>
  <c r="H290" i="105"/>
  <c r="E290" i="105"/>
  <c r="G290" i="105" s="1"/>
  <c r="J289" i="105"/>
  <c r="I289" i="105"/>
  <c r="H289" i="105"/>
  <c r="E289" i="105"/>
  <c r="G289" i="105" s="1"/>
  <c r="J288" i="105"/>
  <c r="I288" i="105"/>
  <c r="H288" i="105"/>
  <c r="E288" i="105"/>
  <c r="G288" i="105" s="1"/>
  <c r="J287" i="105"/>
  <c r="I287" i="105"/>
  <c r="H287" i="105"/>
  <c r="E287" i="105"/>
  <c r="G287" i="105" s="1"/>
  <c r="J286" i="105"/>
  <c r="I286" i="105"/>
  <c r="H286" i="105"/>
  <c r="E286" i="105"/>
  <c r="G286" i="105" s="1"/>
  <c r="J285" i="105"/>
  <c r="I285" i="105"/>
  <c r="H285" i="105"/>
  <c r="E285" i="105"/>
  <c r="G285" i="105" s="1"/>
  <c r="J284" i="105"/>
  <c r="I284" i="105"/>
  <c r="H284" i="105"/>
  <c r="E284" i="105"/>
  <c r="G284" i="105" s="1"/>
  <c r="J283" i="105"/>
  <c r="I283" i="105"/>
  <c r="H283" i="105"/>
  <c r="E283" i="105"/>
  <c r="G283" i="105" s="1"/>
  <c r="J282" i="105"/>
  <c r="I282" i="105"/>
  <c r="H282" i="105"/>
  <c r="E282" i="105"/>
  <c r="G282" i="105" s="1"/>
  <c r="J281" i="105"/>
  <c r="I281" i="105"/>
  <c r="H281" i="105"/>
  <c r="E281" i="105"/>
  <c r="G281" i="105" s="1"/>
  <c r="J280" i="105"/>
  <c r="I280" i="105"/>
  <c r="H280" i="105"/>
  <c r="E280" i="105"/>
  <c r="G280" i="105" s="1"/>
  <c r="J279" i="105"/>
  <c r="I279" i="105"/>
  <c r="H279" i="105"/>
  <c r="E279" i="105"/>
  <c r="G279" i="105" s="1"/>
  <c r="J278" i="105"/>
  <c r="I278" i="105"/>
  <c r="H278" i="105"/>
  <c r="E278" i="105"/>
  <c r="G278" i="105" s="1"/>
  <c r="J277" i="105"/>
  <c r="I277" i="105"/>
  <c r="H277" i="105"/>
  <c r="E277" i="105"/>
  <c r="G277" i="105" s="1"/>
  <c r="J276" i="105"/>
  <c r="I276" i="105"/>
  <c r="H276" i="105"/>
  <c r="E276" i="105"/>
  <c r="G276" i="105" s="1"/>
  <c r="J275" i="105"/>
  <c r="I275" i="105"/>
  <c r="H275" i="105"/>
  <c r="E275" i="105"/>
  <c r="G275" i="105" s="1"/>
  <c r="J274" i="105"/>
  <c r="I274" i="105"/>
  <c r="H274" i="105"/>
  <c r="E274" i="105"/>
  <c r="G274" i="105" s="1"/>
  <c r="J273" i="105"/>
  <c r="I273" i="105"/>
  <c r="H273" i="105"/>
  <c r="E273" i="105"/>
  <c r="G273" i="105" s="1"/>
  <c r="J272" i="105"/>
  <c r="I272" i="105"/>
  <c r="H272" i="105"/>
  <c r="E272" i="105"/>
  <c r="G272" i="105" s="1"/>
  <c r="J271" i="105"/>
  <c r="I271" i="105"/>
  <c r="H271" i="105"/>
  <c r="E271" i="105"/>
  <c r="G271" i="105" s="1"/>
  <c r="J270" i="105"/>
  <c r="I270" i="105"/>
  <c r="H270" i="105"/>
  <c r="E270" i="105"/>
  <c r="G270" i="105" s="1"/>
  <c r="J269" i="105"/>
  <c r="I269" i="105"/>
  <c r="H269" i="105"/>
  <c r="E269" i="105"/>
  <c r="G269" i="105" s="1"/>
  <c r="J268" i="105"/>
  <c r="I268" i="105"/>
  <c r="H268" i="105"/>
  <c r="E268" i="105"/>
  <c r="G268" i="105" s="1"/>
  <c r="J267" i="105"/>
  <c r="I267" i="105"/>
  <c r="H267" i="105"/>
  <c r="E267" i="105"/>
  <c r="G267" i="105" s="1"/>
  <c r="J266" i="105"/>
  <c r="I266" i="105"/>
  <c r="H266" i="105"/>
  <c r="E266" i="105"/>
  <c r="G266" i="105" s="1"/>
  <c r="J265" i="105"/>
  <c r="I265" i="105"/>
  <c r="H265" i="105"/>
  <c r="E265" i="105"/>
  <c r="G265" i="105" s="1"/>
  <c r="J264" i="105"/>
  <c r="I264" i="105"/>
  <c r="H264" i="105"/>
  <c r="E264" i="105"/>
  <c r="G264" i="105" s="1"/>
  <c r="J263" i="105"/>
  <c r="I263" i="105"/>
  <c r="H263" i="105"/>
  <c r="E263" i="105"/>
  <c r="G263" i="105" s="1"/>
  <c r="J262" i="105"/>
  <c r="I262" i="105"/>
  <c r="H262" i="105"/>
  <c r="E262" i="105"/>
  <c r="G262" i="105" s="1"/>
  <c r="J261" i="105"/>
  <c r="I261" i="105"/>
  <c r="H261" i="105"/>
  <c r="E261" i="105"/>
  <c r="G261" i="105" s="1"/>
  <c r="J260" i="105"/>
  <c r="I260" i="105"/>
  <c r="H260" i="105"/>
  <c r="E260" i="105"/>
  <c r="G260" i="105" s="1"/>
  <c r="J259" i="105"/>
  <c r="I259" i="105"/>
  <c r="H259" i="105"/>
  <c r="E259" i="105"/>
  <c r="G259" i="105" s="1"/>
  <c r="J258" i="105"/>
  <c r="I258" i="105"/>
  <c r="H258" i="105"/>
  <c r="E258" i="105"/>
  <c r="G258" i="105" s="1"/>
  <c r="J257" i="105"/>
  <c r="I257" i="105"/>
  <c r="H257" i="105"/>
  <c r="E257" i="105"/>
  <c r="G257" i="105" s="1"/>
  <c r="J256" i="105"/>
  <c r="I256" i="105"/>
  <c r="H256" i="105"/>
  <c r="E256" i="105"/>
  <c r="G256" i="105" s="1"/>
  <c r="J255" i="105"/>
  <c r="I255" i="105"/>
  <c r="H255" i="105"/>
  <c r="E255" i="105"/>
  <c r="G255" i="105" s="1"/>
  <c r="J254" i="105"/>
  <c r="I254" i="105"/>
  <c r="H254" i="105"/>
  <c r="E254" i="105"/>
  <c r="G254" i="105" s="1"/>
  <c r="J252" i="105"/>
  <c r="I252" i="105"/>
  <c r="H252" i="105"/>
  <c r="E252" i="105"/>
  <c r="G252" i="105" s="1"/>
  <c r="J251" i="105"/>
  <c r="I251" i="105"/>
  <c r="H251" i="105"/>
  <c r="E251" i="105"/>
  <c r="G251" i="105" s="1"/>
  <c r="J250" i="105"/>
  <c r="I250" i="105"/>
  <c r="H250" i="105"/>
  <c r="E250" i="105"/>
  <c r="G250" i="105" s="1"/>
  <c r="J249" i="105"/>
  <c r="I249" i="105"/>
  <c r="H249" i="105"/>
  <c r="E249" i="105"/>
  <c r="G249" i="105" s="1"/>
  <c r="J248" i="105"/>
  <c r="I248" i="105"/>
  <c r="H248" i="105"/>
  <c r="E248" i="105"/>
  <c r="G248" i="105" s="1"/>
  <c r="J247" i="105"/>
  <c r="I247" i="105"/>
  <c r="H247" i="105"/>
  <c r="E247" i="105"/>
  <c r="G247" i="105" s="1"/>
  <c r="J246" i="105"/>
  <c r="I246" i="105"/>
  <c r="H246" i="105"/>
  <c r="E246" i="105"/>
  <c r="G246" i="105" s="1"/>
  <c r="J245" i="105"/>
  <c r="I245" i="105"/>
  <c r="H245" i="105"/>
  <c r="E245" i="105"/>
  <c r="G245" i="105" s="1"/>
  <c r="J244" i="105"/>
  <c r="I244" i="105"/>
  <c r="H244" i="105"/>
  <c r="E244" i="105"/>
  <c r="G244" i="105" s="1"/>
  <c r="J243" i="105"/>
  <c r="I243" i="105"/>
  <c r="H243" i="105"/>
  <c r="E243" i="105"/>
  <c r="G243" i="105" s="1"/>
  <c r="J242" i="105"/>
  <c r="I242" i="105"/>
  <c r="H242" i="105"/>
  <c r="E242" i="105"/>
  <c r="G242" i="105" s="1"/>
  <c r="J241" i="105"/>
  <c r="I241" i="105"/>
  <c r="H241" i="105"/>
  <c r="E241" i="105"/>
  <c r="G241" i="105" s="1"/>
  <c r="J240" i="105"/>
  <c r="I240" i="105"/>
  <c r="H240" i="105"/>
  <c r="E240" i="105"/>
  <c r="G240" i="105" s="1"/>
  <c r="J239" i="105"/>
  <c r="I239" i="105"/>
  <c r="H239" i="105"/>
  <c r="E239" i="105"/>
  <c r="G239" i="105" s="1"/>
  <c r="J238" i="105"/>
  <c r="I238" i="105"/>
  <c r="H238" i="105"/>
  <c r="E238" i="105"/>
  <c r="G238" i="105" s="1"/>
  <c r="J237" i="105"/>
  <c r="I237" i="105"/>
  <c r="H237" i="105"/>
  <c r="E237" i="105"/>
  <c r="G237" i="105" s="1"/>
  <c r="J236" i="105"/>
  <c r="I236" i="105"/>
  <c r="H236" i="105"/>
  <c r="E236" i="105"/>
  <c r="G236" i="105" s="1"/>
  <c r="J235" i="105"/>
  <c r="I235" i="105"/>
  <c r="H235" i="105"/>
  <c r="E235" i="105"/>
  <c r="G235" i="105" s="1"/>
  <c r="J234" i="105"/>
  <c r="I234" i="105"/>
  <c r="H234" i="105"/>
  <c r="E234" i="105"/>
  <c r="G234" i="105" s="1"/>
  <c r="J233" i="105"/>
  <c r="I233" i="105"/>
  <c r="H233" i="105"/>
  <c r="E233" i="105"/>
  <c r="G233" i="105" s="1"/>
  <c r="J232" i="105"/>
  <c r="I232" i="105"/>
  <c r="H232" i="105"/>
  <c r="E232" i="105"/>
  <c r="G232" i="105" s="1"/>
  <c r="J231" i="105"/>
  <c r="I231" i="105"/>
  <c r="H231" i="105"/>
  <c r="E231" i="105"/>
  <c r="G231" i="105" s="1"/>
  <c r="J230" i="105"/>
  <c r="I230" i="105"/>
  <c r="H230" i="105"/>
  <c r="E230" i="105"/>
  <c r="G230" i="105" s="1"/>
  <c r="J229" i="105"/>
  <c r="I229" i="105"/>
  <c r="H229" i="105"/>
  <c r="E229" i="105"/>
  <c r="G229" i="105" s="1"/>
  <c r="J228" i="105"/>
  <c r="I228" i="105"/>
  <c r="H228" i="105"/>
  <c r="E228" i="105"/>
  <c r="G228" i="105" s="1"/>
  <c r="J227" i="105"/>
  <c r="I227" i="105"/>
  <c r="H227" i="105"/>
  <c r="E227" i="105"/>
  <c r="G227" i="105" s="1"/>
  <c r="J226" i="105"/>
  <c r="I226" i="105"/>
  <c r="H226" i="105"/>
  <c r="E226" i="105"/>
  <c r="G226" i="105" s="1"/>
  <c r="J225" i="105"/>
  <c r="I225" i="105"/>
  <c r="H225" i="105"/>
  <c r="E225" i="105"/>
  <c r="G225" i="105" s="1"/>
  <c r="J224" i="105"/>
  <c r="I224" i="105"/>
  <c r="H224" i="105"/>
  <c r="E224" i="105"/>
  <c r="G224" i="105" s="1"/>
  <c r="J223" i="105"/>
  <c r="I223" i="105"/>
  <c r="H223" i="105"/>
  <c r="E223" i="105"/>
  <c r="G223" i="105" s="1"/>
  <c r="J222" i="105"/>
  <c r="I222" i="105"/>
  <c r="H222" i="105"/>
  <c r="E222" i="105"/>
  <c r="G222" i="105" s="1"/>
  <c r="J221" i="105"/>
  <c r="I221" i="105"/>
  <c r="H221" i="105"/>
  <c r="E221" i="105"/>
  <c r="G221" i="105" s="1"/>
  <c r="J220" i="105"/>
  <c r="I220" i="105"/>
  <c r="H220" i="105"/>
  <c r="E220" i="105"/>
  <c r="G220" i="105" s="1"/>
  <c r="J219" i="105"/>
  <c r="I219" i="105"/>
  <c r="H219" i="105"/>
  <c r="E219" i="105"/>
  <c r="G219" i="105" s="1"/>
  <c r="J218" i="105"/>
  <c r="I218" i="105"/>
  <c r="H218" i="105"/>
  <c r="E218" i="105"/>
  <c r="G218" i="105" s="1"/>
  <c r="J217" i="105"/>
  <c r="I217" i="105"/>
  <c r="H217" i="105"/>
  <c r="E217" i="105"/>
  <c r="G217" i="105" s="1"/>
  <c r="J216" i="105"/>
  <c r="I216" i="105"/>
  <c r="H216" i="105"/>
  <c r="E216" i="105"/>
  <c r="G216" i="105" s="1"/>
  <c r="J215" i="105"/>
  <c r="I215" i="105"/>
  <c r="H215" i="105"/>
  <c r="E215" i="105"/>
  <c r="G215" i="105" s="1"/>
  <c r="J214" i="105"/>
  <c r="I214" i="105"/>
  <c r="H214" i="105"/>
  <c r="E214" i="105"/>
  <c r="G214" i="105" s="1"/>
  <c r="J213" i="105"/>
  <c r="I213" i="105"/>
  <c r="H213" i="105"/>
  <c r="E213" i="105"/>
  <c r="G213" i="105" s="1"/>
  <c r="J212" i="105"/>
  <c r="I212" i="105"/>
  <c r="H212" i="105"/>
  <c r="E212" i="105"/>
  <c r="G212" i="105" s="1"/>
  <c r="J211" i="105"/>
  <c r="I211" i="105"/>
  <c r="H211" i="105"/>
  <c r="E211" i="105"/>
  <c r="G211" i="105" s="1"/>
  <c r="J210" i="105"/>
  <c r="I210" i="105"/>
  <c r="H210" i="105"/>
  <c r="E210" i="105"/>
  <c r="G210" i="105" s="1"/>
  <c r="J209" i="105"/>
  <c r="I209" i="105"/>
  <c r="H209" i="105"/>
  <c r="E209" i="105"/>
  <c r="G209" i="105" s="1"/>
  <c r="J208" i="105"/>
  <c r="I208" i="105"/>
  <c r="H208" i="105"/>
  <c r="E208" i="105"/>
  <c r="G208" i="105" s="1"/>
  <c r="J207" i="105"/>
  <c r="I207" i="105"/>
  <c r="H207" i="105"/>
  <c r="E207" i="105"/>
  <c r="G207" i="105" s="1"/>
  <c r="J206" i="105"/>
  <c r="I206" i="105"/>
  <c r="H206" i="105"/>
  <c r="E206" i="105"/>
  <c r="G206" i="105" s="1"/>
  <c r="J205" i="105"/>
  <c r="I205" i="105"/>
  <c r="H205" i="105"/>
  <c r="E205" i="105"/>
  <c r="G205" i="105" s="1"/>
  <c r="J204" i="105"/>
  <c r="I204" i="105"/>
  <c r="H204" i="105"/>
  <c r="E204" i="105"/>
  <c r="G204" i="105" s="1"/>
  <c r="J203" i="105"/>
  <c r="I203" i="105"/>
  <c r="H203" i="105"/>
  <c r="E203" i="105"/>
  <c r="G203" i="105" s="1"/>
  <c r="J202" i="105"/>
  <c r="I202" i="105"/>
  <c r="H202" i="105"/>
  <c r="E202" i="105"/>
  <c r="G202" i="105" s="1"/>
  <c r="J201" i="105"/>
  <c r="I201" i="105"/>
  <c r="H201" i="105"/>
  <c r="E201" i="105"/>
  <c r="G201" i="105" s="1"/>
  <c r="J200" i="105"/>
  <c r="I200" i="105"/>
  <c r="H200" i="105"/>
  <c r="E200" i="105"/>
  <c r="G200" i="105" s="1"/>
  <c r="J199" i="105"/>
  <c r="I199" i="105"/>
  <c r="H199" i="105"/>
  <c r="E199" i="105"/>
  <c r="G199" i="105" s="1"/>
  <c r="J198" i="105"/>
  <c r="I198" i="105"/>
  <c r="H198" i="105"/>
  <c r="E198" i="105"/>
  <c r="G198" i="105" s="1"/>
  <c r="J197" i="105"/>
  <c r="I197" i="105"/>
  <c r="H197" i="105"/>
  <c r="E197" i="105"/>
  <c r="G197" i="105" s="1"/>
  <c r="J196" i="105"/>
  <c r="I196" i="105"/>
  <c r="H196" i="105"/>
  <c r="E196" i="105"/>
  <c r="G196" i="105" s="1"/>
  <c r="J195" i="105"/>
  <c r="I195" i="105"/>
  <c r="H195" i="105"/>
  <c r="E195" i="105"/>
  <c r="G195" i="105" s="1"/>
  <c r="J194" i="105"/>
  <c r="I194" i="105"/>
  <c r="H194" i="105"/>
  <c r="E194" i="105"/>
  <c r="G194" i="105" s="1"/>
  <c r="J193" i="105"/>
  <c r="I193" i="105"/>
  <c r="H193" i="105"/>
  <c r="E193" i="105"/>
  <c r="G193" i="105" s="1"/>
  <c r="J192" i="105"/>
  <c r="I192" i="105"/>
  <c r="H192" i="105"/>
  <c r="E192" i="105"/>
  <c r="G192" i="105" s="1"/>
  <c r="J191" i="105"/>
  <c r="I191" i="105"/>
  <c r="H191" i="105"/>
  <c r="E191" i="105"/>
  <c r="G191" i="105" s="1"/>
  <c r="J190" i="105"/>
  <c r="I190" i="105"/>
  <c r="H190" i="105"/>
  <c r="E190" i="105"/>
  <c r="G190" i="105" s="1"/>
  <c r="J189" i="105"/>
  <c r="I189" i="105"/>
  <c r="H189" i="105"/>
  <c r="E189" i="105"/>
  <c r="G189" i="105" s="1"/>
  <c r="J188" i="105"/>
  <c r="I188" i="105"/>
  <c r="H188" i="105"/>
  <c r="E188" i="105"/>
  <c r="G188" i="105" s="1"/>
  <c r="J187" i="105"/>
  <c r="I187" i="105"/>
  <c r="H187" i="105"/>
  <c r="E187" i="105"/>
  <c r="G187" i="105" s="1"/>
  <c r="J186" i="105"/>
  <c r="I186" i="105"/>
  <c r="H186" i="105"/>
  <c r="E186" i="105"/>
  <c r="G186" i="105" s="1"/>
  <c r="J185" i="105"/>
  <c r="I185" i="105"/>
  <c r="H185" i="105"/>
  <c r="E185" i="105"/>
  <c r="G185" i="105" s="1"/>
  <c r="J184" i="105"/>
  <c r="I184" i="105"/>
  <c r="H184" i="105"/>
  <c r="E184" i="105"/>
  <c r="G184" i="105" s="1"/>
  <c r="J183" i="105"/>
  <c r="I183" i="105"/>
  <c r="H183" i="105"/>
  <c r="E183" i="105"/>
  <c r="G183" i="105" s="1"/>
  <c r="J182" i="105"/>
  <c r="I182" i="105"/>
  <c r="H182" i="105"/>
  <c r="E182" i="105"/>
  <c r="G182" i="105" s="1"/>
  <c r="J181" i="105"/>
  <c r="I181" i="105"/>
  <c r="H181" i="105"/>
  <c r="E181" i="105"/>
  <c r="G181" i="105" s="1"/>
  <c r="J180" i="105"/>
  <c r="I180" i="105"/>
  <c r="H180" i="105"/>
  <c r="E180" i="105"/>
  <c r="G180" i="105" s="1"/>
  <c r="J179" i="105"/>
  <c r="I179" i="105"/>
  <c r="H179" i="105"/>
  <c r="E179" i="105"/>
  <c r="G179" i="105" s="1"/>
  <c r="J178" i="105"/>
  <c r="I178" i="105"/>
  <c r="H178" i="105"/>
  <c r="E178" i="105"/>
  <c r="G178" i="105" s="1"/>
  <c r="J177" i="105"/>
  <c r="I177" i="105"/>
  <c r="H177" i="105"/>
  <c r="E177" i="105"/>
  <c r="G177" i="105" s="1"/>
  <c r="J176" i="105"/>
  <c r="I176" i="105"/>
  <c r="H176" i="105"/>
  <c r="E176" i="105"/>
  <c r="G176" i="105" s="1"/>
  <c r="J175" i="105"/>
  <c r="I175" i="105"/>
  <c r="H175" i="105"/>
  <c r="E175" i="105"/>
  <c r="G175" i="105" s="1"/>
  <c r="J174" i="105"/>
  <c r="I174" i="105"/>
  <c r="H174" i="105"/>
  <c r="E174" i="105"/>
  <c r="G174" i="105" s="1"/>
  <c r="J173" i="105"/>
  <c r="I173" i="105"/>
  <c r="H173" i="105"/>
  <c r="E173" i="105"/>
  <c r="G173" i="105" s="1"/>
  <c r="J172" i="105"/>
  <c r="I172" i="105"/>
  <c r="H172" i="105"/>
  <c r="E172" i="105"/>
  <c r="G172" i="105" s="1"/>
  <c r="J171" i="105"/>
  <c r="I171" i="105"/>
  <c r="H171" i="105"/>
  <c r="E171" i="105"/>
  <c r="G171" i="105" s="1"/>
  <c r="J170" i="105"/>
  <c r="I170" i="105"/>
  <c r="H170" i="105"/>
  <c r="E170" i="105"/>
  <c r="G170" i="105" s="1"/>
  <c r="J169" i="105"/>
  <c r="I169" i="105"/>
  <c r="H169" i="105"/>
  <c r="E169" i="105"/>
  <c r="G169" i="105" s="1"/>
  <c r="J168" i="105"/>
  <c r="I168" i="105"/>
  <c r="H168" i="105"/>
  <c r="E168" i="105"/>
  <c r="G168" i="105" s="1"/>
  <c r="J167" i="105"/>
  <c r="I167" i="105"/>
  <c r="H167" i="105"/>
  <c r="E167" i="105"/>
  <c r="G167" i="105" s="1"/>
  <c r="J166" i="105"/>
  <c r="I166" i="105"/>
  <c r="H166" i="105"/>
  <c r="E166" i="105"/>
  <c r="G166" i="105" s="1"/>
  <c r="J165" i="105"/>
  <c r="I165" i="105"/>
  <c r="H165" i="105"/>
  <c r="E165" i="105"/>
  <c r="G165" i="105" s="1"/>
  <c r="J164" i="105"/>
  <c r="I164" i="105"/>
  <c r="H164" i="105"/>
  <c r="E164" i="105"/>
  <c r="G164" i="105" s="1"/>
  <c r="J163" i="105"/>
  <c r="I163" i="105"/>
  <c r="H163" i="105"/>
  <c r="E163" i="105"/>
  <c r="G163" i="105" s="1"/>
  <c r="J162" i="105"/>
  <c r="I162" i="105"/>
  <c r="H162" i="105"/>
  <c r="E162" i="105"/>
  <c r="G162" i="105" s="1"/>
  <c r="J161" i="105"/>
  <c r="I161" i="105"/>
  <c r="H161" i="105"/>
  <c r="E161" i="105"/>
  <c r="G161" i="105" s="1"/>
  <c r="J160" i="105"/>
  <c r="I160" i="105"/>
  <c r="H160" i="105"/>
  <c r="E160" i="105"/>
  <c r="G160" i="105" s="1"/>
  <c r="J159" i="105"/>
  <c r="I159" i="105"/>
  <c r="H159" i="105"/>
  <c r="E159" i="105"/>
  <c r="G159" i="105" s="1"/>
  <c r="J158" i="105"/>
  <c r="I158" i="105"/>
  <c r="H158" i="105"/>
  <c r="E158" i="105"/>
  <c r="G158" i="105" s="1"/>
  <c r="J157" i="105"/>
  <c r="I157" i="105"/>
  <c r="H157" i="105"/>
  <c r="E157" i="105"/>
  <c r="G157" i="105" s="1"/>
  <c r="J156" i="105"/>
  <c r="I156" i="105"/>
  <c r="H156" i="105"/>
  <c r="E156" i="105"/>
  <c r="G156" i="105" s="1"/>
  <c r="J155" i="105"/>
  <c r="I155" i="105"/>
  <c r="H155" i="105"/>
  <c r="E155" i="105"/>
  <c r="G155" i="105" s="1"/>
  <c r="J154" i="105"/>
  <c r="I154" i="105"/>
  <c r="H154" i="105"/>
  <c r="E154" i="105"/>
  <c r="G154" i="105" s="1"/>
  <c r="J153" i="105"/>
  <c r="I153" i="105"/>
  <c r="H153" i="105"/>
  <c r="E153" i="105"/>
  <c r="G153" i="105" s="1"/>
  <c r="J152" i="105"/>
  <c r="I152" i="105"/>
  <c r="H152" i="105"/>
  <c r="E152" i="105"/>
  <c r="G152" i="105" s="1"/>
  <c r="J151" i="105"/>
  <c r="I151" i="105"/>
  <c r="H151" i="105"/>
  <c r="E151" i="105"/>
  <c r="G151" i="105" s="1"/>
  <c r="J150" i="105"/>
  <c r="I150" i="105"/>
  <c r="H150" i="105"/>
  <c r="E150" i="105"/>
  <c r="G150" i="105" s="1"/>
  <c r="J149" i="105"/>
  <c r="I149" i="105"/>
  <c r="H149" i="105"/>
  <c r="E149" i="105"/>
  <c r="G149" i="105" s="1"/>
  <c r="J148" i="105"/>
  <c r="I148" i="105"/>
  <c r="H148" i="105"/>
  <c r="E148" i="105"/>
  <c r="G148" i="105" s="1"/>
  <c r="J147" i="105"/>
  <c r="I147" i="105"/>
  <c r="H147" i="105"/>
  <c r="E147" i="105"/>
  <c r="G147" i="105" s="1"/>
  <c r="J146" i="105"/>
  <c r="I146" i="105"/>
  <c r="H146" i="105"/>
  <c r="E146" i="105"/>
  <c r="G146" i="105" s="1"/>
  <c r="J145" i="105"/>
  <c r="I145" i="105"/>
  <c r="H145" i="105"/>
  <c r="E145" i="105"/>
  <c r="G145" i="105" s="1"/>
  <c r="J144" i="105"/>
  <c r="I144" i="105"/>
  <c r="H144" i="105"/>
  <c r="E144" i="105"/>
  <c r="G144" i="105" s="1"/>
  <c r="J143" i="105"/>
  <c r="I143" i="105"/>
  <c r="H143" i="105"/>
  <c r="E143" i="105"/>
  <c r="G143" i="105" s="1"/>
  <c r="J142" i="105"/>
  <c r="I142" i="105"/>
  <c r="H142" i="105"/>
  <c r="E142" i="105"/>
  <c r="G142" i="105" s="1"/>
  <c r="J141" i="105"/>
  <c r="I141" i="105"/>
  <c r="H141" i="105"/>
  <c r="E141" i="105"/>
  <c r="G141" i="105" s="1"/>
  <c r="J140" i="105"/>
  <c r="I140" i="105"/>
  <c r="H140" i="105"/>
  <c r="E140" i="105"/>
  <c r="G140" i="105" s="1"/>
  <c r="J139" i="105"/>
  <c r="I139" i="105"/>
  <c r="H139" i="105"/>
  <c r="E139" i="105"/>
  <c r="G139" i="105" s="1"/>
  <c r="J138" i="105"/>
  <c r="I138" i="105"/>
  <c r="H138" i="105"/>
  <c r="E138" i="105"/>
  <c r="G138" i="105" s="1"/>
  <c r="J137" i="105"/>
  <c r="I137" i="105"/>
  <c r="H137" i="105"/>
  <c r="E137" i="105"/>
  <c r="G137" i="105" s="1"/>
  <c r="J136" i="105"/>
  <c r="I136" i="105"/>
  <c r="H136" i="105"/>
  <c r="E136" i="105"/>
  <c r="G136" i="105" s="1"/>
  <c r="J135" i="105"/>
  <c r="I135" i="105"/>
  <c r="H135" i="105"/>
  <c r="E135" i="105"/>
  <c r="G135" i="105" s="1"/>
  <c r="J134" i="105"/>
  <c r="I134" i="105"/>
  <c r="H134" i="105"/>
  <c r="E134" i="105"/>
  <c r="G134" i="105" s="1"/>
  <c r="J133" i="105"/>
  <c r="I133" i="105"/>
  <c r="H133" i="105"/>
  <c r="E133" i="105"/>
  <c r="G133" i="105" s="1"/>
  <c r="J132" i="105"/>
  <c r="I132" i="105"/>
  <c r="H132" i="105"/>
  <c r="E132" i="105"/>
  <c r="G132" i="105" s="1"/>
  <c r="J131" i="105"/>
  <c r="I131" i="105"/>
  <c r="H131" i="105"/>
  <c r="E131" i="105"/>
  <c r="G131" i="105" s="1"/>
  <c r="J130" i="105"/>
  <c r="I130" i="105"/>
  <c r="H130" i="105"/>
  <c r="E130" i="105"/>
  <c r="G130" i="105" s="1"/>
  <c r="J129" i="105"/>
  <c r="I129" i="105"/>
  <c r="H129" i="105"/>
  <c r="E129" i="105"/>
  <c r="G129" i="105" s="1"/>
  <c r="J128" i="105"/>
  <c r="I128" i="105"/>
  <c r="H128" i="105"/>
  <c r="E128" i="105"/>
  <c r="G128" i="105" s="1"/>
  <c r="J127" i="105"/>
  <c r="I127" i="105"/>
  <c r="H127" i="105"/>
  <c r="E127" i="105"/>
  <c r="G127" i="105" s="1"/>
  <c r="J126" i="105"/>
  <c r="I126" i="105"/>
  <c r="H126" i="105"/>
  <c r="E126" i="105"/>
  <c r="G126" i="105" s="1"/>
  <c r="J125" i="105"/>
  <c r="I125" i="105"/>
  <c r="H125" i="105"/>
  <c r="E125" i="105"/>
  <c r="G125" i="105" s="1"/>
  <c r="J124" i="105"/>
  <c r="I124" i="105"/>
  <c r="H124" i="105"/>
  <c r="E124" i="105"/>
  <c r="G124" i="105" s="1"/>
  <c r="J123" i="105"/>
  <c r="I123" i="105"/>
  <c r="H123" i="105"/>
  <c r="E123" i="105"/>
  <c r="G123" i="105" s="1"/>
  <c r="J122" i="105"/>
  <c r="I122" i="105"/>
  <c r="H122" i="105"/>
  <c r="E122" i="105"/>
  <c r="G122" i="105" s="1"/>
  <c r="J121" i="105"/>
  <c r="I121" i="105"/>
  <c r="H121" i="105"/>
  <c r="E121" i="105"/>
  <c r="G121" i="105" s="1"/>
  <c r="J120" i="105"/>
  <c r="I120" i="105"/>
  <c r="H120" i="105"/>
  <c r="E120" i="105"/>
  <c r="G120" i="105" s="1"/>
  <c r="J119" i="105"/>
  <c r="I119" i="105"/>
  <c r="H119" i="105"/>
  <c r="E119" i="105"/>
  <c r="G119" i="105" s="1"/>
  <c r="J118" i="105"/>
  <c r="I118" i="105"/>
  <c r="H118" i="105"/>
  <c r="E118" i="105"/>
  <c r="G118" i="105" s="1"/>
  <c r="J117" i="105"/>
  <c r="I117" i="105"/>
  <c r="H117" i="105"/>
  <c r="E117" i="105"/>
  <c r="G117" i="105" s="1"/>
  <c r="J116" i="105"/>
  <c r="I116" i="105"/>
  <c r="H116" i="105"/>
  <c r="E116" i="105"/>
  <c r="G116" i="105" s="1"/>
  <c r="J115" i="105"/>
  <c r="I115" i="105"/>
  <c r="H115" i="105"/>
  <c r="E115" i="105"/>
  <c r="G115" i="105" s="1"/>
  <c r="J114" i="105"/>
  <c r="I114" i="105"/>
  <c r="H114" i="105"/>
  <c r="E114" i="105"/>
  <c r="G114" i="105" s="1"/>
  <c r="J113" i="105"/>
  <c r="I113" i="105"/>
  <c r="H113" i="105"/>
  <c r="E113" i="105"/>
  <c r="G113" i="105" s="1"/>
  <c r="J112" i="105"/>
  <c r="I112" i="105"/>
  <c r="H112" i="105"/>
  <c r="E112" i="105"/>
  <c r="G112" i="105" s="1"/>
  <c r="J111" i="105"/>
  <c r="I111" i="105"/>
  <c r="H111" i="105"/>
  <c r="E111" i="105"/>
  <c r="G111" i="105" s="1"/>
  <c r="J110" i="105"/>
  <c r="I110" i="105"/>
  <c r="H110" i="105"/>
  <c r="E110" i="105"/>
  <c r="G110" i="105" s="1"/>
  <c r="J109" i="105"/>
  <c r="I109" i="105"/>
  <c r="H109" i="105"/>
  <c r="E109" i="105"/>
  <c r="G109" i="105" s="1"/>
  <c r="J108" i="105"/>
  <c r="I108" i="105"/>
  <c r="H108" i="105"/>
  <c r="E108" i="105"/>
  <c r="G108" i="105" s="1"/>
  <c r="J107" i="105"/>
  <c r="I107" i="105"/>
  <c r="H107" i="105"/>
  <c r="E107" i="105"/>
  <c r="G107" i="105" s="1"/>
  <c r="J106" i="105"/>
  <c r="I106" i="105"/>
  <c r="H106" i="105"/>
  <c r="E106" i="105"/>
  <c r="G106" i="105" s="1"/>
  <c r="J105" i="105"/>
  <c r="I105" i="105"/>
  <c r="H105" i="105"/>
  <c r="E105" i="105"/>
  <c r="G105" i="105" s="1"/>
  <c r="J104" i="105"/>
  <c r="I104" i="105"/>
  <c r="H104" i="105"/>
  <c r="E104" i="105"/>
  <c r="G104" i="105" s="1"/>
  <c r="J103" i="105"/>
  <c r="I103" i="105"/>
  <c r="H103" i="105"/>
  <c r="E103" i="105"/>
  <c r="G103" i="105" s="1"/>
  <c r="J102" i="105"/>
  <c r="I102" i="105"/>
  <c r="H102" i="105"/>
  <c r="E102" i="105"/>
  <c r="G102" i="105" s="1"/>
  <c r="J101" i="105"/>
  <c r="I101" i="105"/>
  <c r="H101" i="105"/>
  <c r="E101" i="105"/>
  <c r="G101" i="105" s="1"/>
  <c r="J100" i="105"/>
  <c r="I100" i="105"/>
  <c r="H100" i="105"/>
  <c r="E100" i="105"/>
  <c r="G100" i="105" s="1"/>
  <c r="J99" i="105"/>
  <c r="I99" i="105"/>
  <c r="H99" i="105"/>
  <c r="E99" i="105"/>
  <c r="G99" i="105" s="1"/>
  <c r="J98" i="105"/>
  <c r="I98" i="105"/>
  <c r="H98" i="105"/>
  <c r="E98" i="105"/>
  <c r="G98" i="105" s="1"/>
  <c r="J97" i="105"/>
  <c r="I97" i="105"/>
  <c r="H97" i="105"/>
  <c r="E97" i="105"/>
  <c r="G97" i="105" s="1"/>
  <c r="J96" i="105"/>
  <c r="I96" i="105"/>
  <c r="H96" i="105"/>
  <c r="E96" i="105"/>
  <c r="G96" i="105" s="1"/>
  <c r="J95" i="105"/>
  <c r="I95" i="105"/>
  <c r="H95" i="105"/>
  <c r="E95" i="105"/>
  <c r="G95" i="105" s="1"/>
  <c r="J94" i="105"/>
  <c r="I94" i="105"/>
  <c r="H94" i="105"/>
  <c r="E94" i="105"/>
  <c r="G94" i="105" s="1"/>
  <c r="J93" i="105"/>
  <c r="I93" i="105"/>
  <c r="H93" i="105"/>
  <c r="E93" i="105"/>
  <c r="G93" i="105" s="1"/>
  <c r="J92" i="105"/>
  <c r="I92" i="105"/>
  <c r="H92" i="105"/>
  <c r="E92" i="105"/>
  <c r="G92" i="105" s="1"/>
  <c r="J91" i="105"/>
  <c r="I91" i="105"/>
  <c r="H91" i="105"/>
  <c r="E91" i="105"/>
  <c r="G91" i="105" s="1"/>
  <c r="J89" i="105"/>
  <c r="I89" i="105"/>
  <c r="H89" i="105"/>
  <c r="E89" i="105"/>
  <c r="G89" i="105" s="1"/>
  <c r="J88" i="105"/>
  <c r="I88" i="105"/>
  <c r="H88" i="105"/>
  <c r="E88" i="105"/>
  <c r="G88" i="105" s="1"/>
  <c r="J87" i="105"/>
  <c r="I87" i="105"/>
  <c r="H87" i="105"/>
  <c r="E87" i="105"/>
  <c r="G87" i="105" s="1"/>
  <c r="J86" i="105"/>
  <c r="I86" i="105"/>
  <c r="H86" i="105"/>
  <c r="E86" i="105"/>
  <c r="G86" i="105" s="1"/>
  <c r="J85" i="105"/>
  <c r="I85" i="105"/>
  <c r="H85" i="105"/>
  <c r="E85" i="105"/>
  <c r="G85" i="105" s="1"/>
  <c r="J84" i="105"/>
  <c r="I84" i="105"/>
  <c r="H84" i="105"/>
  <c r="E84" i="105"/>
  <c r="G84" i="105" s="1"/>
  <c r="J83" i="105"/>
  <c r="I83" i="105"/>
  <c r="H83" i="105"/>
  <c r="E83" i="105"/>
  <c r="G83" i="105" s="1"/>
  <c r="J82" i="105"/>
  <c r="I82" i="105"/>
  <c r="H82" i="105"/>
  <c r="E82" i="105"/>
  <c r="G82" i="105" s="1"/>
  <c r="J81" i="105"/>
  <c r="I81" i="105"/>
  <c r="H81" i="105"/>
  <c r="E81" i="105"/>
  <c r="G81" i="105" s="1"/>
  <c r="J80" i="105"/>
  <c r="I80" i="105"/>
  <c r="H80" i="105"/>
  <c r="E80" i="105"/>
  <c r="G80" i="105" s="1"/>
  <c r="J79" i="105"/>
  <c r="I79" i="105"/>
  <c r="H79" i="105"/>
  <c r="E79" i="105"/>
  <c r="G79" i="105" s="1"/>
  <c r="J78" i="105"/>
  <c r="I78" i="105"/>
  <c r="H78" i="105"/>
  <c r="E78" i="105"/>
  <c r="G78" i="105" s="1"/>
  <c r="J77" i="105"/>
  <c r="I77" i="105"/>
  <c r="H77" i="105"/>
  <c r="E77" i="105"/>
  <c r="G77" i="105" s="1"/>
  <c r="J76" i="105"/>
  <c r="I76" i="105"/>
  <c r="H76" i="105"/>
  <c r="E76" i="105"/>
  <c r="G76" i="105" s="1"/>
  <c r="J75" i="105"/>
  <c r="I75" i="105"/>
  <c r="H75" i="105"/>
  <c r="E75" i="105"/>
  <c r="G75" i="105" s="1"/>
  <c r="J74" i="105"/>
  <c r="I74" i="105"/>
  <c r="H74" i="105"/>
  <c r="E74" i="105"/>
  <c r="G74" i="105" s="1"/>
  <c r="J73" i="105"/>
  <c r="I73" i="105"/>
  <c r="H73" i="105"/>
  <c r="E73" i="105"/>
  <c r="G73" i="105" s="1"/>
  <c r="J72" i="105"/>
  <c r="I72" i="105"/>
  <c r="H72" i="105"/>
  <c r="E72" i="105"/>
  <c r="G72" i="105" s="1"/>
  <c r="J71" i="105"/>
  <c r="I71" i="105"/>
  <c r="H71" i="105"/>
  <c r="E71" i="105"/>
  <c r="G71" i="105" s="1"/>
  <c r="J70" i="105"/>
  <c r="I70" i="105"/>
  <c r="H70" i="105"/>
  <c r="E70" i="105"/>
  <c r="G70" i="105" s="1"/>
  <c r="J69" i="105"/>
  <c r="I69" i="105"/>
  <c r="H69" i="105"/>
  <c r="E69" i="105"/>
  <c r="G69" i="105" s="1"/>
  <c r="J68" i="105"/>
  <c r="I68" i="105"/>
  <c r="H68" i="105"/>
  <c r="E68" i="105"/>
  <c r="G68" i="105" s="1"/>
  <c r="J67" i="105"/>
  <c r="I67" i="105"/>
  <c r="H67" i="105"/>
  <c r="E67" i="105"/>
  <c r="G67" i="105" s="1"/>
  <c r="J66" i="105"/>
  <c r="I66" i="105"/>
  <c r="H66" i="105"/>
  <c r="E66" i="105"/>
  <c r="G66" i="105" s="1"/>
  <c r="J65" i="105"/>
  <c r="I65" i="105"/>
  <c r="H65" i="105"/>
  <c r="E65" i="105"/>
  <c r="G65" i="105" s="1"/>
  <c r="J64" i="105"/>
  <c r="I64" i="105"/>
  <c r="H64" i="105"/>
  <c r="E64" i="105"/>
  <c r="G64" i="105" s="1"/>
  <c r="J63" i="105"/>
  <c r="I63" i="105"/>
  <c r="H63" i="105"/>
  <c r="E63" i="105"/>
  <c r="G63" i="105" s="1"/>
  <c r="J62" i="105"/>
  <c r="I62" i="105"/>
  <c r="H62" i="105"/>
  <c r="E62" i="105"/>
  <c r="G62" i="105" s="1"/>
  <c r="J61" i="105"/>
  <c r="I61" i="105"/>
  <c r="H61" i="105"/>
  <c r="E61" i="105"/>
  <c r="G61" i="105" s="1"/>
  <c r="J60" i="105"/>
  <c r="I60" i="105"/>
  <c r="H60" i="105"/>
  <c r="E60" i="105"/>
  <c r="G60" i="105" s="1"/>
  <c r="J59" i="105"/>
  <c r="I59" i="105"/>
  <c r="H59" i="105"/>
  <c r="E59" i="105"/>
  <c r="G59" i="105" s="1"/>
  <c r="J58" i="105"/>
  <c r="I58" i="105"/>
  <c r="H58" i="105"/>
  <c r="E58" i="105"/>
  <c r="G58" i="105" s="1"/>
  <c r="J57" i="105"/>
  <c r="I57" i="105"/>
  <c r="H57" i="105"/>
  <c r="E57" i="105"/>
  <c r="G57" i="105" s="1"/>
  <c r="J56" i="105"/>
  <c r="I56" i="105"/>
  <c r="H56" i="105"/>
  <c r="E56" i="105"/>
  <c r="G56" i="105" s="1"/>
  <c r="J55" i="105"/>
  <c r="I55" i="105"/>
  <c r="H55" i="105"/>
  <c r="E55" i="105"/>
  <c r="G55" i="105" s="1"/>
  <c r="J54" i="105"/>
  <c r="I54" i="105"/>
  <c r="H54" i="105"/>
  <c r="E54" i="105"/>
  <c r="G54" i="105" s="1"/>
  <c r="J53" i="105"/>
  <c r="I53" i="105"/>
  <c r="H53" i="105"/>
  <c r="E53" i="105"/>
  <c r="G53" i="105" s="1"/>
  <c r="J52" i="105"/>
  <c r="I52" i="105"/>
  <c r="H52" i="105"/>
  <c r="E52" i="105"/>
  <c r="G52" i="105" s="1"/>
  <c r="J51" i="105"/>
  <c r="I51" i="105"/>
  <c r="H51" i="105"/>
  <c r="E51" i="105"/>
  <c r="G51" i="105" s="1"/>
  <c r="J50" i="105"/>
  <c r="I50" i="105"/>
  <c r="H50" i="105"/>
  <c r="E50" i="105"/>
  <c r="G50" i="105" s="1"/>
  <c r="J49" i="105"/>
  <c r="I49" i="105"/>
  <c r="H49" i="105"/>
  <c r="E49" i="105"/>
  <c r="G49" i="105" s="1"/>
  <c r="J48" i="105"/>
  <c r="I48" i="105"/>
  <c r="H48" i="105"/>
  <c r="E48" i="105"/>
  <c r="G48" i="105" s="1"/>
  <c r="J47" i="105"/>
  <c r="I47" i="105"/>
  <c r="H47" i="105"/>
  <c r="E47" i="105"/>
  <c r="G47" i="105" s="1"/>
  <c r="J46" i="105"/>
  <c r="I46" i="105"/>
  <c r="H46" i="105"/>
  <c r="E46" i="105"/>
  <c r="G46" i="105" s="1"/>
  <c r="J45" i="105"/>
  <c r="I45" i="105"/>
  <c r="H45" i="105"/>
  <c r="E45" i="105"/>
  <c r="G45" i="105" s="1"/>
  <c r="J44" i="105"/>
  <c r="I44" i="105"/>
  <c r="H44" i="105"/>
  <c r="E44" i="105"/>
  <c r="G44" i="105" s="1"/>
  <c r="J43" i="105"/>
  <c r="I43" i="105"/>
  <c r="H43" i="105"/>
  <c r="E43" i="105"/>
  <c r="G43" i="105" s="1"/>
  <c r="J42" i="105"/>
  <c r="I42" i="105"/>
  <c r="H42" i="105"/>
  <c r="E42" i="105"/>
  <c r="G42" i="105" s="1"/>
  <c r="J41" i="105"/>
  <c r="I41" i="105"/>
  <c r="H41" i="105"/>
  <c r="E41" i="105"/>
  <c r="G41" i="105" s="1"/>
  <c r="J40" i="105"/>
  <c r="I40" i="105"/>
  <c r="H40" i="105"/>
  <c r="E40" i="105"/>
  <c r="G40" i="105" s="1"/>
  <c r="J39" i="105"/>
  <c r="I39" i="105"/>
  <c r="H39" i="105"/>
  <c r="E39" i="105"/>
  <c r="G39" i="105" s="1"/>
  <c r="J38" i="105"/>
  <c r="I38" i="105"/>
  <c r="H38" i="105"/>
  <c r="E38" i="105"/>
  <c r="G38" i="105" s="1"/>
  <c r="J37" i="105"/>
  <c r="I37" i="105"/>
  <c r="H37" i="105"/>
  <c r="E37" i="105"/>
  <c r="G37" i="105" s="1"/>
  <c r="J36" i="105"/>
  <c r="I36" i="105"/>
  <c r="H36" i="105"/>
  <c r="E36" i="105"/>
  <c r="G36" i="105" s="1"/>
  <c r="J35" i="105"/>
  <c r="I35" i="105"/>
  <c r="H35" i="105"/>
  <c r="E35" i="105"/>
  <c r="G35" i="105" s="1"/>
  <c r="J34" i="105"/>
  <c r="I34" i="105"/>
  <c r="H34" i="105"/>
  <c r="E34" i="105"/>
  <c r="G34" i="105" s="1"/>
  <c r="J33" i="105"/>
  <c r="I33" i="105"/>
  <c r="H33" i="105"/>
  <c r="E33" i="105"/>
  <c r="G33" i="105" s="1"/>
  <c r="J30" i="105"/>
  <c r="I30" i="105"/>
  <c r="H30" i="105"/>
  <c r="E30" i="105"/>
  <c r="G30" i="105" s="1"/>
  <c r="J29" i="105"/>
  <c r="I29" i="105"/>
  <c r="H29" i="105"/>
  <c r="E29" i="105"/>
  <c r="G29" i="105" s="1"/>
  <c r="J28" i="105"/>
  <c r="I28" i="105"/>
  <c r="H28" i="105"/>
  <c r="E28" i="105"/>
  <c r="G28" i="105" s="1"/>
  <c r="J27" i="105"/>
  <c r="I27" i="105"/>
  <c r="H27" i="105"/>
  <c r="E27" i="105"/>
  <c r="G27" i="105" s="1"/>
  <c r="J26" i="105"/>
  <c r="I26" i="105"/>
  <c r="H26" i="105"/>
  <c r="E26" i="105"/>
  <c r="G26" i="105" s="1"/>
  <c r="J25" i="105"/>
  <c r="I25" i="105"/>
  <c r="H25" i="105"/>
  <c r="E25" i="105"/>
  <c r="G25" i="105" s="1"/>
  <c r="J24" i="105"/>
  <c r="I24" i="105"/>
  <c r="H24" i="105"/>
  <c r="E24" i="105"/>
  <c r="G24" i="105" s="1"/>
  <c r="R48" i="105" l="1"/>
  <c r="S49" i="105"/>
  <c r="S47" i="105"/>
  <c r="S46" i="105"/>
  <c r="S45" i="105"/>
  <c r="S44" i="105"/>
  <c r="S43" i="105"/>
  <c r="S42" i="105"/>
  <c r="S41" i="105"/>
  <c r="S40" i="105"/>
  <c r="S33" i="105"/>
  <c r="S32" i="105"/>
  <c r="S31" i="105"/>
  <c r="S30" i="105"/>
  <c r="S29" i="105"/>
  <c r="S28" i="105"/>
  <c r="S27" i="105"/>
  <c r="S26" i="105"/>
  <c r="S25" i="105"/>
  <c r="S18" i="105"/>
  <c r="S17" i="105"/>
  <c r="S16" i="105"/>
  <c r="S15" i="105"/>
  <c r="S14" i="105"/>
  <c r="S13" i="105"/>
  <c r="S12" i="105"/>
  <c r="S11" i="105"/>
  <c r="S19" i="105" l="1"/>
  <c r="T10" i="105" s="1"/>
  <c r="S34" i="105"/>
  <c r="T29" i="105" s="1"/>
  <c r="V29" i="105" s="1"/>
  <c r="S50" i="105"/>
  <c r="T47" i="105" s="1"/>
  <c r="U47" i="105" s="1"/>
  <c r="R42" i="114"/>
  <c r="R42" i="112"/>
  <c r="S43" i="114"/>
  <c r="S41" i="114"/>
  <c r="S40" i="114"/>
  <c r="S39" i="114"/>
  <c r="S38" i="114"/>
  <c r="S37" i="114"/>
  <c r="S36" i="114"/>
  <c r="S35" i="114"/>
  <c r="S34" i="114"/>
  <c r="S27" i="114"/>
  <c r="S26" i="114"/>
  <c r="S25" i="114"/>
  <c r="S24" i="114"/>
  <c r="S23" i="114"/>
  <c r="S22" i="114"/>
  <c r="S21" i="114"/>
  <c r="S20" i="114"/>
  <c r="S19" i="114"/>
  <c r="S12" i="114"/>
  <c r="S11" i="114"/>
  <c r="S10" i="114"/>
  <c r="S9" i="114"/>
  <c r="S8" i="114"/>
  <c r="S7" i="114"/>
  <c r="S6" i="114"/>
  <c r="S5" i="114"/>
  <c r="S43" i="112"/>
  <c r="S41" i="112"/>
  <c r="S40" i="112"/>
  <c r="S39" i="112"/>
  <c r="S38" i="112"/>
  <c r="S37" i="112"/>
  <c r="S36" i="112"/>
  <c r="S35" i="112"/>
  <c r="S34" i="112"/>
  <c r="S27" i="112"/>
  <c r="S26" i="112"/>
  <c r="S25" i="112"/>
  <c r="S24" i="112"/>
  <c r="S23" i="112"/>
  <c r="S22" i="112"/>
  <c r="S21" i="112"/>
  <c r="S20" i="112"/>
  <c r="S19" i="112"/>
  <c r="S12" i="112"/>
  <c r="S11" i="112"/>
  <c r="S10" i="112"/>
  <c r="S9" i="112"/>
  <c r="S8" i="112"/>
  <c r="S7" i="112"/>
  <c r="S6" i="112"/>
  <c r="S5" i="112"/>
  <c r="S42" i="111"/>
  <c r="S41" i="111"/>
  <c r="S40" i="111"/>
  <c r="S39" i="111"/>
  <c r="S38" i="111"/>
  <c r="S37" i="111"/>
  <c r="S36" i="111"/>
  <c r="S35" i="111"/>
  <c r="S34" i="111"/>
  <c r="S27" i="111"/>
  <c r="S26" i="111"/>
  <c r="S25" i="111"/>
  <c r="S24" i="111"/>
  <c r="S23" i="111"/>
  <c r="S22" i="111"/>
  <c r="S21" i="111"/>
  <c r="S20" i="111"/>
  <c r="S19" i="111"/>
  <c r="S12" i="111"/>
  <c r="S11" i="111"/>
  <c r="S10" i="111"/>
  <c r="S9" i="111"/>
  <c r="S8" i="111"/>
  <c r="S7" i="111"/>
  <c r="S6" i="111"/>
  <c r="S5" i="111"/>
  <c r="S42" i="107"/>
  <c r="S41" i="107"/>
  <c r="S40" i="107"/>
  <c r="S39" i="107"/>
  <c r="S38" i="107"/>
  <c r="S37" i="107"/>
  <c r="S36" i="107"/>
  <c r="S35" i="107"/>
  <c r="S34" i="107"/>
  <c r="S27" i="107"/>
  <c r="S26" i="107"/>
  <c r="S25" i="107"/>
  <c r="S24" i="107"/>
  <c r="S23" i="107"/>
  <c r="S22" i="107"/>
  <c r="S21" i="107"/>
  <c r="S20" i="107"/>
  <c r="S19" i="107"/>
  <c r="S12" i="107"/>
  <c r="S11" i="107"/>
  <c r="S10" i="107"/>
  <c r="S9" i="107"/>
  <c r="S8" i="107"/>
  <c r="S7" i="107"/>
  <c r="S6" i="107"/>
  <c r="S5" i="107"/>
  <c r="S43" i="106"/>
  <c r="S42" i="106"/>
  <c r="S41" i="106"/>
  <c r="S40" i="106"/>
  <c r="S39" i="106"/>
  <c r="S38" i="106"/>
  <c r="S37" i="106"/>
  <c r="S36" i="106"/>
  <c r="S35" i="106"/>
  <c r="S28" i="106"/>
  <c r="S27" i="106"/>
  <c r="S26" i="106"/>
  <c r="S25" i="106"/>
  <c r="S24" i="106"/>
  <c r="S23" i="106"/>
  <c r="S22" i="106"/>
  <c r="S20" i="106"/>
  <c r="S12" i="106"/>
  <c r="S11" i="106"/>
  <c r="S42" i="48"/>
  <c r="S41" i="48"/>
  <c r="S40" i="48"/>
  <c r="S39" i="48"/>
  <c r="S38" i="48"/>
  <c r="S37" i="48"/>
  <c r="S36" i="48"/>
  <c r="S35" i="48"/>
  <c r="S34" i="48"/>
  <c r="S27" i="48"/>
  <c r="S26" i="48"/>
  <c r="S25" i="48"/>
  <c r="S24" i="48"/>
  <c r="S23" i="48"/>
  <c r="S22" i="48"/>
  <c r="S21" i="48"/>
  <c r="S20" i="48"/>
  <c r="S19" i="48"/>
  <c r="S12" i="48"/>
  <c r="S11" i="48"/>
  <c r="S10" i="48"/>
  <c r="S9" i="48"/>
  <c r="S8" i="48"/>
  <c r="S7" i="48"/>
  <c r="S6" i="48"/>
  <c r="S5" i="48"/>
  <c r="T49" i="105" l="1"/>
  <c r="V49" i="105" s="1"/>
  <c r="T46" i="105"/>
  <c r="V46" i="105" s="1"/>
  <c r="T41" i="105"/>
  <c r="U41" i="105" s="1"/>
  <c r="T25" i="105"/>
  <c r="V25" i="105" s="1"/>
  <c r="T30" i="105"/>
  <c r="U30" i="105" s="1"/>
  <c r="T31" i="105"/>
  <c r="V31" i="105" s="1"/>
  <c r="T33" i="105"/>
  <c r="V33" i="105" s="1"/>
  <c r="T17" i="105"/>
  <c r="V17" i="105" s="1"/>
  <c r="T15" i="105"/>
  <c r="V15" i="105" s="1"/>
  <c r="T13" i="105"/>
  <c r="V13" i="105" s="1"/>
  <c r="T12" i="105"/>
  <c r="U12" i="105" s="1"/>
  <c r="T18" i="105"/>
  <c r="V18" i="105" s="1"/>
  <c r="T11" i="105"/>
  <c r="V11" i="105" s="1"/>
  <c r="T14" i="105"/>
  <c r="U14" i="105" s="1"/>
  <c r="T28" i="105"/>
  <c r="U28" i="105" s="1"/>
  <c r="T45" i="105"/>
  <c r="U45" i="105" s="1"/>
  <c r="T43" i="105"/>
  <c r="U43" i="105" s="1"/>
  <c r="T48" i="105"/>
  <c r="U48" i="105" s="1"/>
  <c r="T32" i="105"/>
  <c r="U32" i="105" s="1"/>
  <c r="T42" i="105"/>
  <c r="V42" i="105" s="1"/>
  <c r="T40" i="105"/>
  <c r="V40" i="105" s="1"/>
  <c r="T44" i="105"/>
  <c r="V44" i="105" s="1"/>
  <c r="T16" i="105"/>
  <c r="U16" i="105" s="1"/>
  <c r="T27" i="105"/>
  <c r="V27" i="105" s="1"/>
  <c r="T26" i="105"/>
  <c r="S44" i="114"/>
  <c r="T37" i="114" s="1"/>
  <c r="U37" i="114" s="1"/>
  <c r="S13" i="114"/>
  <c r="T12" i="114" s="1"/>
  <c r="V12" i="114" s="1"/>
  <c r="S44" i="112"/>
  <c r="T42" i="112" s="1"/>
  <c r="U42" i="112" s="1"/>
  <c r="T40" i="112"/>
  <c r="V40" i="112" s="1"/>
  <c r="T8" i="112"/>
  <c r="U8" i="112" s="1"/>
  <c r="S13" i="112"/>
  <c r="T12" i="112" s="1"/>
  <c r="V12" i="112" s="1"/>
  <c r="S43" i="111"/>
  <c r="T35" i="111" s="1"/>
  <c r="U35" i="111" s="1"/>
  <c r="S13" i="111"/>
  <c r="T5" i="111" s="1"/>
  <c r="S43" i="107"/>
  <c r="T40" i="107" s="1"/>
  <c r="V40" i="107" s="1"/>
  <c r="T37" i="107"/>
  <c r="U37" i="107" s="1"/>
  <c r="S44" i="106"/>
  <c r="T42" i="106" s="1"/>
  <c r="U42" i="106" s="1"/>
  <c r="S13" i="106"/>
  <c r="T9" i="106" s="1"/>
  <c r="V9" i="106" s="1"/>
  <c r="S28" i="114"/>
  <c r="T26" i="114" s="1"/>
  <c r="U26" i="114" s="1"/>
  <c r="T4" i="112"/>
  <c r="T5" i="112"/>
  <c r="T10" i="112"/>
  <c r="U10" i="112" s="1"/>
  <c r="T43" i="112"/>
  <c r="V43" i="112" s="1"/>
  <c r="T35" i="112"/>
  <c r="U35" i="112" s="1"/>
  <c r="T34" i="112"/>
  <c r="S28" i="112"/>
  <c r="T23" i="112" s="1"/>
  <c r="V23" i="112" s="1"/>
  <c r="T4" i="111"/>
  <c r="T38" i="111"/>
  <c r="V38" i="111" s="1"/>
  <c r="S28" i="111"/>
  <c r="T38" i="107"/>
  <c r="V38" i="107" s="1"/>
  <c r="T39" i="107"/>
  <c r="U39" i="107" s="1"/>
  <c r="S13" i="107"/>
  <c r="T8" i="107" s="1"/>
  <c r="U8" i="107" s="1"/>
  <c r="S28" i="107"/>
  <c r="T22" i="107" s="1"/>
  <c r="U22" i="107" s="1"/>
  <c r="S29" i="106"/>
  <c r="T22" i="106" s="1"/>
  <c r="V22" i="106" s="1"/>
  <c r="S43" i="48"/>
  <c r="T39" i="48" s="1"/>
  <c r="U39" i="48" s="1"/>
  <c r="S28" i="48"/>
  <c r="T24" i="48" s="1"/>
  <c r="U24" i="48" s="1"/>
  <c r="S13" i="48"/>
  <c r="P20" i="62"/>
  <c r="T28" i="62"/>
  <c r="T27" i="62"/>
  <c r="T26" i="62"/>
  <c r="T25" i="62"/>
  <c r="T24" i="62"/>
  <c r="T44" i="62"/>
  <c r="T42" i="62"/>
  <c r="T41" i="62"/>
  <c r="T40" i="62"/>
  <c r="T39" i="62"/>
  <c r="T37" i="48" l="1"/>
  <c r="U37" i="48" s="1"/>
  <c r="T25" i="48"/>
  <c r="V25" i="48" s="1"/>
  <c r="T36" i="106"/>
  <c r="U36" i="106" s="1"/>
  <c r="T43" i="106"/>
  <c r="V43" i="106" s="1"/>
  <c r="T41" i="106"/>
  <c r="V41" i="106" s="1"/>
  <c r="T40" i="106"/>
  <c r="U40" i="106" s="1"/>
  <c r="T37" i="106"/>
  <c r="V37" i="106" s="1"/>
  <c r="T5" i="106"/>
  <c r="V5" i="106" s="1"/>
  <c r="T10" i="106"/>
  <c r="U10" i="106" s="1"/>
  <c r="T19" i="48"/>
  <c r="V19" i="48" s="1"/>
  <c r="T26" i="48"/>
  <c r="U26" i="48" s="1"/>
  <c r="T22" i="48"/>
  <c r="U22" i="48" s="1"/>
  <c r="T4" i="106"/>
  <c r="T42" i="111"/>
  <c r="V42" i="111" s="1"/>
  <c r="T12" i="106"/>
  <c r="V12" i="106" s="1"/>
  <c r="T27" i="48"/>
  <c r="V27" i="48" s="1"/>
  <c r="T40" i="48"/>
  <c r="V40" i="48" s="1"/>
  <c r="T36" i="48"/>
  <c r="V36" i="48" s="1"/>
  <c r="T7" i="106"/>
  <c r="V7" i="106" s="1"/>
  <c r="T34" i="107"/>
  <c r="T7" i="112"/>
  <c r="V7" i="112" s="1"/>
  <c r="T38" i="114"/>
  <c r="V38" i="114" s="1"/>
  <c r="T8" i="106"/>
  <c r="U8" i="106" s="1"/>
  <c r="T9" i="112"/>
  <c r="V9" i="112" s="1"/>
  <c r="T36" i="112"/>
  <c r="V36" i="112" s="1"/>
  <c r="T23" i="48"/>
  <c r="V23" i="48" s="1"/>
  <c r="T42" i="48"/>
  <c r="V42" i="48" s="1"/>
  <c r="T38" i="48"/>
  <c r="V38" i="48" s="1"/>
  <c r="T21" i="48"/>
  <c r="V21" i="48" s="1"/>
  <c r="T6" i="106"/>
  <c r="T11" i="106"/>
  <c r="V11" i="106" s="1"/>
  <c r="T36" i="111"/>
  <c r="V36" i="111" s="1"/>
  <c r="T6" i="112"/>
  <c r="T11" i="112"/>
  <c r="V11" i="112" s="1"/>
  <c r="T23" i="114"/>
  <c r="V23" i="114" s="1"/>
  <c r="T36" i="107"/>
  <c r="V36" i="107" s="1"/>
  <c r="T41" i="111"/>
  <c r="U41" i="111" s="1"/>
  <c r="T41" i="48"/>
  <c r="U41" i="48" s="1"/>
  <c r="T35" i="48"/>
  <c r="U35" i="48" s="1"/>
  <c r="T34" i="48"/>
  <c r="T20" i="48"/>
  <c r="O22" i="105"/>
  <c r="U50" i="105"/>
  <c r="V19" i="105"/>
  <c r="T19" i="105"/>
  <c r="U26" i="105"/>
  <c r="U34" i="105" s="1"/>
  <c r="V50" i="105"/>
  <c r="T34" i="105"/>
  <c r="T50" i="105"/>
  <c r="V34" i="105"/>
  <c r="U19" i="105"/>
  <c r="W11" i="105"/>
  <c r="O11" i="105" s="1"/>
  <c r="T39" i="114"/>
  <c r="U39" i="114" s="1"/>
  <c r="T40" i="114"/>
  <c r="V40" i="114" s="1"/>
  <c r="T36" i="114"/>
  <c r="V36" i="114" s="1"/>
  <c r="T42" i="114"/>
  <c r="U42" i="114" s="1"/>
  <c r="T35" i="114"/>
  <c r="U35" i="114" s="1"/>
  <c r="T41" i="114"/>
  <c r="U41" i="114" s="1"/>
  <c r="T34" i="114"/>
  <c r="V34" i="114" s="1"/>
  <c r="T43" i="114"/>
  <c r="V43" i="114" s="1"/>
  <c r="T24" i="114"/>
  <c r="U24" i="114" s="1"/>
  <c r="T6" i="114"/>
  <c r="U6" i="114" s="1"/>
  <c r="T10" i="114"/>
  <c r="U10" i="114" s="1"/>
  <c r="T4" i="114"/>
  <c r="T5" i="114"/>
  <c r="T8" i="114"/>
  <c r="U8" i="114" s="1"/>
  <c r="T7" i="114"/>
  <c r="V7" i="114" s="1"/>
  <c r="T9" i="114"/>
  <c r="V9" i="114" s="1"/>
  <c r="T11" i="114"/>
  <c r="V11" i="114" s="1"/>
  <c r="T39" i="112"/>
  <c r="U39" i="112" s="1"/>
  <c r="T41" i="112"/>
  <c r="U41" i="112" s="1"/>
  <c r="T38" i="112"/>
  <c r="V38" i="112" s="1"/>
  <c r="T37" i="112"/>
  <c r="U37" i="112" s="1"/>
  <c r="Y34" i="112" s="1"/>
  <c r="T26" i="112"/>
  <c r="U26" i="112" s="1"/>
  <c r="T24" i="112"/>
  <c r="U24" i="112" s="1"/>
  <c r="T40" i="111"/>
  <c r="V40" i="111" s="1"/>
  <c r="T39" i="111"/>
  <c r="U39" i="111" s="1"/>
  <c r="T37" i="111"/>
  <c r="U37" i="111" s="1"/>
  <c r="T34" i="111"/>
  <c r="V34" i="111" s="1"/>
  <c r="T11" i="111"/>
  <c r="V11" i="111" s="1"/>
  <c r="T8" i="111"/>
  <c r="U8" i="111" s="1"/>
  <c r="T6" i="111"/>
  <c r="U6" i="111" s="1"/>
  <c r="T9" i="111"/>
  <c r="V9" i="111" s="1"/>
  <c r="T12" i="111"/>
  <c r="V12" i="111" s="1"/>
  <c r="T7" i="111"/>
  <c r="V7" i="111" s="1"/>
  <c r="T10" i="111"/>
  <c r="U10" i="111" s="1"/>
  <c r="T35" i="107"/>
  <c r="U35" i="107" s="1"/>
  <c r="Y34" i="107" s="1"/>
  <c r="O20" i="107" s="1"/>
  <c r="T41" i="107"/>
  <c r="U41" i="107" s="1"/>
  <c r="T42" i="107"/>
  <c r="V42" i="107" s="1"/>
  <c r="T27" i="107"/>
  <c r="V27" i="107" s="1"/>
  <c r="T9" i="107"/>
  <c r="V9" i="107" s="1"/>
  <c r="T10" i="107"/>
  <c r="U10" i="107" s="1"/>
  <c r="T12" i="107"/>
  <c r="V12" i="107" s="1"/>
  <c r="T38" i="106"/>
  <c r="U38" i="106" s="1"/>
  <c r="Y35" i="106" s="1"/>
  <c r="O20" i="106" s="1"/>
  <c r="T35" i="106"/>
  <c r="T39" i="106"/>
  <c r="V39" i="106" s="1"/>
  <c r="T24" i="106"/>
  <c r="V24" i="106" s="1"/>
  <c r="T27" i="106"/>
  <c r="U27" i="106" s="1"/>
  <c r="T25" i="106"/>
  <c r="U25" i="106" s="1"/>
  <c r="T23" i="106"/>
  <c r="U23" i="106" s="1"/>
  <c r="T25" i="114"/>
  <c r="V25" i="114" s="1"/>
  <c r="T20" i="114"/>
  <c r="T19" i="114"/>
  <c r="T21" i="114"/>
  <c r="V21" i="114" s="1"/>
  <c r="T22" i="114"/>
  <c r="U22" i="114" s="1"/>
  <c r="V5" i="114"/>
  <c r="T27" i="114"/>
  <c r="V27" i="114" s="1"/>
  <c r="U6" i="112"/>
  <c r="W5" i="112"/>
  <c r="T25" i="112"/>
  <c r="V25" i="112" s="1"/>
  <c r="T20" i="112"/>
  <c r="T19" i="112"/>
  <c r="T21" i="112"/>
  <c r="V21" i="112" s="1"/>
  <c r="T22" i="112"/>
  <c r="U22" i="112" s="1"/>
  <c r="V34" i="112"/>
  <c r="T13" i="112"/>
  <c r="V5" i="112"/>
  <c r="V13" i="112" s="1"/>
  <c r="T27" i="112"/>
  <c r="V27" i="112" s="1"/>
  <c r="T25" i="111"/>
  <c r="V25" i="111" s="1"/>
  <c r="T20" i="111"/>
  <c r="T19" i="111"/>
  <c r="T26" i="111"/>
  <c r="U26" i="111" s="1"/>
  <c r="T27" i="111"/>
  <c r="V27" i="111" s="1"/>
  <c r="V5" i="111"/>
  <c r="T22" i="111"/>
  <c r="U22" i="111" s="1"/>
  <c r="T24" i="111"/>
  <c r="U24" i="111" s="1"/>
  <c r="T23" i="111"/>
  <c r="V23" i="111" s="1"/>
  <c r="T21" i="111"/>
  <c r="V21" i="111" s="1"/>
  <c r="T25" i="107"/>
  <c r="V25" i="107" s="1"/>
  <c r="T20" i="107"/>
  <c r="T19" i="107"/>
  <c r="T24" i="107"/>
  <c r="U24" i="107" s="1"/>
  <c r="T23" i="107"/>
  <c r="V23" i="107" s="1"/>
  <c r="V34" i="107"/>
  <c r="T21" i="107"/>
  <c r="V21" i="107" s="1"/>
  <c r="T4" i="107"/>
  <c r="T5" i="107"/>
  <c r="T11" i="107"/>
  <c r="V11" i="107" s="1"/>
  <c r="T7" i="107"/>
  <c r="V7" i="107" s="1"/>
  <c r="T6" i="107"/>
  <c r="T26" i="107"/>
  <c r="U26" i="107" s="1"/>
  <c r="U6" i="106"/>
  <c r="U44" i="106"/>
  <c r="T26" i="106"/>
  <c r="V26" i="106" s="1"/>
  <c r="T21" i="106"/>
  <c r="T28" i="106"/>
  <c r="V28" i="106" s="1"/>
  <c r="T9" i="48"/>
  <c r="V9" i="48" s="1"/>
  <c r="T5" i="48"/>
  <c r="T6" i="48"/>
  <c r="T10" i="48"/>
  <c r="V10" i="48" s="1"/>
  <c r="T7" i="48"/>
  <c r="V7" i="48" s="1"/>
  <c r="T11" i="48"/>
  <c r="V11" i="48" s="1"/>
  <c r="T8" i="48"/>
  <c r="U8" i="48" s="1"/>
  <c r="T12" i="48"/>
  <c r="V12" i="48" s="1"/>
  <c r="T4" i="48"/>
  <c r="U6" i="48"/>
  <c r="Y5" i="48" s="1"/>
  <c r="T33" i="62"/>
  <c r="U26" i="62" s="1"/>
  <c r="W26" i="62" s="1"/>
  <c r="Q21" i="29"/>
  <c r="Q17" i="29"/>
  <c r="T7" i="62"/>
  <c r="V28" i="48" l="1"/>
  <c r="Y34" i="48"/>
  <c r="U29" i="62"/>
  <c r="V29" i="62" s="1"/>
  <c r="U27" i="62"/>
  <c r="V27" i="62" s="1"/>
  <c r="U25" i="62"/>
  <c r="V25" i="62" s="1"/>
  <c r="U31" i="62"/>
  <c r="V31" i="62" s="1"/>
  <c r="X24" i="62" s="1"/>
  <c r="O20" i="62" s="1"/>
  <c r="V13" i="106"/>
  <c r="V5" i="48"/>
  <c r="T13" i="48"/>
  <c r="T13" i="106"/>
  <c r="U44" i="112"/>
  <c r="Y34" i="114"/>
  <c r="O20" i="114" s="1"/>
  <c r="U20" i="48"/>
  <c r="W22" i="48"/>
  <c r="U13" i="48"/>
  <c r="O10" i="48"/>
  <c r="T28" i="48"/>
  <c r="W5" i="106"/>
  <c r="T43" i="48"/>
  <c r="V34" i="48"/>
  <c r="V43" i="48" s="1"/>
  <c r="U43" i="48"/>
  <c r="V33" i="62"/>
  <c r="W50" i="105"/>
  <c r="W25" i="105"/>
  <c r="O16" i="105" s="1"/>
  <c r="W34" i="105"/>
  <c r="W19" i="105"/>
  <c r="V44" i="114"/>
  <c r="U44" i="114"/>
  <c r="T44" i="114"/>
  <c r="V13" i="114"/>
  <c r="W5" i="114"/>
  <c r="T13" i="114"/>
  <c r="T44" i="112"/>
  <c r="V44" i="112"/>
  <c r="Y43" i="112" s="1"/>
  <c r="O20" i="112"/>
  <c r="Y34" i="111"/>
  <c r="O20" i="111" s="1"/>
  <c r="U43" i="111"/>
  <c r="T43" i="111"/>
  <c r="V43" i="111"/>
  <c r="Y43" i="111" s="1"/>
  <c r="T13" i="111"/>
  <c r="V13" i="111"/>
  <c r="W5" i="111"/>
  <c r="V43" i="107"/>
  <c r="U43" i="107"/>
  <c r="T43" i="107"/>
  <c r="T44" i="106"/>
  <c r="V35" i="106"/>
  <c r="V44" i="106" s="1"/>
  <c r="Y44" i="106" s="1"/>
  <c r="U13" i="114"/>
  <c r="Y5" i="114"/>
  <c r="O10" i="114" s="1"/>
  <c r="T28" i="114"/>
  <c r="V19" i="114"/>
  <c r="V28" i="114" s="1"/>
  <c r="U20" i="114"/>
  <c r="W22" i="114"/>
  <c r="T28" i="112"/>
  <c r="V19" i="112"/>
  <c r="V28" i="112" s="1"/>
  <c r="U20" i="112"/>
  <c r="W22" i="112"/>
  <c r="U13" i="112"/>
  <c r="Y5" i="112"/>
  <c r="O10" i="112" s="1"/>
  <c r="T28" i="111"/>
  <c r="V19" i="111"/>
  <c r="V28" i="111" s="1"/>
  <c r="U13" i="111"/>
  <c r="Y5" i="111"/>
  <c r="O10" i="111" s="1"/>
  <c r="U20" i="111"/>
  <c r="W22" i="111"/>
  <c r="U6" i="107"/>
  <c r="W5" i="107"/>
  <c r="T28" i="107"/>
  <c r="V19" i="107"/>
  <c r="V28" i="107" s="1"/>
  <c r="U20" i="107"/>
  <c r="W22" i="107"/>
  <c r="T13" i="107"/>
  <c r="V5" i="107"/>
  <c r="V13" i="107" s="1"/>
  <c r="T29" i="106"/>
  <c r="V20" i="106"/>
  <c r="V29" i="106" s="1"/>
  <c r="U21" i="106"/>
  <c r="W23" i="106"/>
  <c r="U13" i="106"/>
  <c r="O10" i="106"/>
  <c r="V13" i="48"/>
  <c r="W5" i="48"/>
  <c r="U24" i="62"/>
  <c r="W24" i="62" s="1"/>
  <c r="U32" i="62"/>
  <c r="W32" i="62" s="1"/>
  <c r="U30" i="62"/>
  <c r="U23" i="62"/>
  <c r="U28" i="62"/>
  <c r="W28" i="62" s="1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C32" i="58"/>
  <c r="B32" i="58"/>
  <c r="A32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C31" i="58"/>
  <c r="B31" i="58"/>
  <c r="A31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C30" i="58"/>
  <c r="B30" i="58"/>
  <c r="A30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C29" i="58"/>
  <c r="B29" i="58"/>
  <c r="A29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C28" i="58"/>
  <c r="B28" i="58"/>
  <c r="A28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C27" i="58"/>
  <c r="B27" i="58"/>
  <c r="A27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A26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A25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A24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A23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A22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A21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A20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A19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A18" i="58"/>
  <c r="P17" i="58"/>
  <c r="O17" i="58"/>
  <c r="N17" i="58"/>
  <c r="M17" i="58"/>
  <c r="O3" i="29" s="1"/>
  <c r="L17" i="58"/>
  <c r="K17" i="58"/>
  <c r="J17" i="58"/>
  <c r="I17" i="58"/>
  <c r="H17" i="58"/>
  <c r="G17" i="58"/>
  <c r="F17" i="58"/>
  <c r="E17" i="58"/>
  <c r="D17" i="58"/>
  <c r="C17" i="58"/>
  <c r="B17" i="58"/>
  <c r="A17" i="58"/>
  <c r="P16" i="58"/>
  <c r="O16" i="58"/>
  <c r="N16" i="58"/>
  <c r="M16" i="58"/>
  <c r="O2" i="29" s="1"/>
  <c r="L16" i="58"/>
  <c r="K16" i="58"/>
  <c r="J16" i="58"/>
  <c r="I16" i="58"/>
  <c r="H16" i="58"/>
  <c r="G16" i="58"/>
  <c r="F16" i="58"/>
  <c r="E16" i="58"/>
  <c r="D16" i="58"/>
  <c r="N2" i="29" s="1"/>
  <c r="C16" i="58"/>
  <c r="B16" i="58"/>
  <c r="A16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C15" i="58"/>
  <c r="B15" i="58"/>
  <c r="A15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C14" i="58"/>
  <c r="B14" i="58"/>
  <c r="A14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C13" i="58"/>
  <c r="B13" i="58"/>
  <c r="A13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C12" i="58"/>
  <c r="B12" i="58"/>
  <c r="A12" i="58"/>
  <c r="P11" i="58"/>
  <c r="O11" i="58"/>
  <c r="N11" i="58"/>
  <c r="M11" i="58"/>
  <c r="L11" i="58"/>
  <c r="K11" i="58"/>
  <c r="J11" i="58"/>
  <c r="I11" i="58"/>
  <c r="H11" i="58"/>
  <c r="G11" i="58"/>
  <c r="F11" i="58"/>
  <c r="E11" i="58"/>
  <c r="D11" i="58"/>
  <c r="C11" i="58"/>
  <c r="B11" i="58"/>
  <c r="A11" i="58"/>
  <c r="P10" i="58"/>
  <c r="O10" i="58"/>
  <c r="N10" i="58"/>
  <c r="M10" i="58"/>
  <c r="L10" i="58"/>
  <c r="K10" i="58"/>
  <c r="J10" i="58"/>
  <c r="I10" i="58"/>
  <c r="H10" i="58"/>
  <c r="G10" i="58"/>
  <c r="F10" i="58"/>
  <c r="E10" i="58"/>
  <c r="D10" i="58"/>
  <c r="C10" i="58"/>
  <c r="B10" i="58"/>
  <c r="A10" i="58"/>
  <c r="P9" i="58"/>
  <c r="O9" i="58"/>
  <c r="N9" i="58"/>
  <c r="M9" i="58"/>
  <c r="L9" i="58"/>
  <c r="K9" i="58"/>
  <c r="J9" i="58"/>
  <c r="I9" i="58"/>
  <c r="H9" i="58"/>
  <c r="G9" i="58"/>
  <c r="F9" i="58"/>
  <c r="E9" i="58"/>
  <c r="D9" i="58"/>
  <c r="C9" i="58"/>
  <c r="B9" i="58"/>
  <c r="A9" i="58"/>
  <c r="P8" i="58"/>
  <c r="O8" i="58"/>
  <c r="N8" i="58"/>
  <c r="M8" i="58"/>
  <c r="L8" i="58"/>
  <c r="K8" i="58"/>
  <c r="J8" i="58"/>
  <c r="I8" i="58"/>
  <c r="H8" i="58"/>
  <c r="G8" i="58"/>
  <c r="F8" i="58"/>
  <c r="E8" i="58"/>
  <c r="D8" i="58"/>
  <c r="C8" i="58"/>
  <c r="B8" i="58"/>
  <c r="A8" i="58"/>
  <c r="P7" i="58"/>
  <c r="O7" i="58"/>
  <c r="N7" i="58"/>
  <c r="M7" i="58"/>
  <c r="L7" i="58"/>
  <c r="K7" i="58"/>
  <c r="J7" i="58"/>
  <c r="I7" i="58"/>
  <c r="H7" i="58"/>
  <c r="G7" i="58"/>
  <c r="F7" i="58"/>
  <c r="E7" i="58"/>
  <c r="D7" i="58"/>
  <c r="C7" i="58"/>
  <c r="B7" i="58"/>
  <c r="A7" i="58"/>
  <c r="P6" i="58"/>
  <c r="O6" i="58"/>
  <c r="N6" i="58"/>
  <c r="M6" i="58"/>
  <c r="L6" i="58"/>
  <c r="K6" i="58"/>
  <c r="J6" i="58"/>
  <c r="I6" i="58"/>
  <c r="H6" i="58"/>
  <c r="G6" i="58"/>
  <c r="F6" i="58"/>
  <c r="E6" i="58"/>
  <c r="D6" i="58"/>
  <c r="C6" i="58"/>
  <c r="B6" i="58"/>
  <c r="A6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B5" i="58"/>
  <c r="A5" i="58"/>
  <c r="P4" i="58"/>
  <c r="O4" i="58"/>
  <c r="N4" i="58"/>
  <c r="M4" i="58"/>
  <c r="L4" i="58"/>
  <c r="K4" i="58"/>
  <c r="J4" i="58"/>
  <c r="I4" i="58"/>
  <c r="H4" i="58"/>
  <c r="G4" i="58"/>
  <c r="F4" i="58"/>
  <c r="E4" i="58"/>
  <c r="D4" i="58"/>
  <c r="C4" i="58"/>
  <c r="B4" i="58"/>
  <c r="A4" i="58"/>
  <c r="P3" i="58"/>
  <c r="O3" i="58"/>
  <c r="N3" i="58"/>
  <c r="M3" i="58"/>
  <c r="L3" i="58"/>
  <c r="K3" i="58"/>
  <c r="J3" i="58"/>
  <c r="I3" i="58"/>
  <c r="H3" i="58"/>
  <c r="G3" i="58"/>
  <c r="F3" i="58"/>
  <c r="E3" i="58"/>
  <c r="D3" i="58"/>
  <c r="C3" i="58"/>
  <c r="B3" i="58"/>
  <c r="A3" i="58"/>
  <c r="P2" i="58"/>
  <c r="O2" i="58"/>
  <c r="N2" i="58"/>
  <c r="M2" i="58"/>
  <c r="L2" i="58"/>
  <c r="K2" i="58"/>
  <c r="J2" i="58"/>
  <c r="I2" i="58"/>
  <c r="H2" i="58"/>
  <c r="G2" i="58"/>
  <c r="F2" i="58"/>
  <c r="E2" i="58"/>
  <c r="D2" i="58"/>
  <c r="C2" i="58"/>
  <c r="B2" i="58"/>
  <c r="A2" i="58"/>
  <c r="Y19" i="48" l="1"/>
  <c r="U28" i="48"/>
  <c r="Y43" i="107"/>
  <c r="Y43" i="48"/>
  <c r="Q18" i="29"/>
  <c r="Q22" i="29"/>
  <c r="Q19" i="29"/>
  <c r="O4" i="29"/>
  <c r="Q20" i="29" s="1"/>
  <c r="U33" i="62"/>
  <c r="W30" i="62"/>
  <c r="W33" i="62" s="1"/>
  <c r="X33" i="62" s="1"/>
  <c r="W15" i="48"/>
  <c r="Y13" i="48"/>
  <c r="N3" i="105"/>
  <c r="N4" i="105"/>
  <c r="N2" i="105"/>
  <c r="M182" i="105" s="1"/>
  <c r="N5" i="105"/>
  <c r="N6" i="105"/>
  <c r="N3" i="114"/>
  <c r="N3" i="111"/>
  <c r="N3" i="107"/>
  <c r="N3" i="112"/>
  <c r="N4" i="112"/>
  <c r="N4" i="111"/>
  <c r="N4" i="107"/>
  <c r="N4" i="114"/>
  <c r="N2" i="107"/>
  <c r="N2" i="111"/>
  <c r="N2" i="114"/>
  <c r="N2" i="112"/>
  <c r="N5" i="111"/>
  <c r="N5" i="112"/>
  <c r="N5" i="107"/>
  <c r="N5" i="114"/>
  <c r="N6" i="107"/>
  <c r="N6" i="112"/>
  <c r="N6" i="114"/>
  <c r="N6" i="111"/>
  <c r="Y44" i="114"/>
  <c r="U28" i="114"/>
  <c r="Y19" i="114"/>
  <c r="O15" i="114" s="1"/>
  <c r="W15" i="114"/>
  <c r="Y13" i="114"/>
  <c r="W15" i="112"/>
  <c r="Y13" i="112"/>
  <c r="U28" i="112"/>
  <c r="Y19" i="112"/>
  <c r="O15" i="112" s="1"/>
  <c r="W15" i="111"/>
  <c r="Y13" i="111"/>
  <c r="U28" i="111"/>
  <c r="Y19" i="111"/>
  <c r="O15" i="111" s="1"/>
  <c r="U28" i="107"/>
  <c r="Y19" i="107"/>
  <c r="O15" i="107" s="1"/>
  <c r="U13" i="107"/>
  <c r="Y5" i="107"/>
  <c r="O10" i="107" s="1"/>
  <c r="U29" i="106"/>
  <c r="Y20" i="106"/>
  <c r="O15" i="106" s="1"/>
  <c r="W15" i="106"/>
  <c r="N4" i="29"/>
  <c r="N3" i="29"/>
  <c r="G22" i="3"/>
  <c r="G20" i="3"/>
  <c r="L22" i="3"/>
  <c r="L20" i="3"/>
  <c r="L13" i="3"/>
  <c r="L11" i="3"/>
  <c r="G13" i="3"/>
  <c r="G11" i="3"/>
  <c r="Y28" i="48" l="1"/>
  <c r="W32" i="48"/>
  <c r="K396" i="105"/>
  <c r="K367" i="105"/>
  <c r="K392" i="105"/>
  <c r="K206" i="105"/>
  <c r="K261" i="105"/>
  <c r="K432" i="105"/>
  <c r="K185" i="105"/>
  <c r="K482" i="105"/>
  <c r="K221" i="105"/>
  <c r="L358" i="105"/>
  <c r="K281" i="105"/>
  <c r="K321" i="105"/>
  <c r="K20" i="3"/>
  <c r="K452" i="105"/>
  <c r="K524" i="105"/>
  <c r="K412" i="105"/>
  <c r="K449" i="105"/>
  <c r="K469" i="105"/>
  <c r="K320" i="105"/>
  <c r="K473" i="105"/>
  <c r="K388" i="105"/>
  <c r="K303" i="105"/>
  <c r="K217" i="105"/>
  <c r="K89" i="105"/>
  <c r="K435" i="105"/>
  <c r="K264" i="105"/>
  <c r="K417" i="105"/>
  <c r="K141" i="105"/>
  <c r="K123" i="105"/>
  <c r="K290" i="105"/>
  <c r="L248" i="105"/>
  <c r="K316" i="105"/>
  <c r="K395" i="105"/>
  <c r="K516" i="105"/>
  <c r="K431" i="105"/>
  <c r="K345" i="105"/>
  <c r="K260" i="105"/>
  <c r="K153" i="105"/>
  <c r="K504" i="105"/>
  <c r="K349" i="105"/>
  <c r="K159" i="105"/>
  <c r="K273" i="105"/>
  <c r="K389" i="105"/>
  <c r="K418" i="105"/>
  <c r="K45" i="105"/>
  <c r="M350" i="105"/>
  <c r="K508" i="105"/>
  <c r="K507" i="105"/>
  <c r="K357" i="105"/>
  <c r="K495" i="105"/>
  <c r="K409" i="105"/>
  <c r="K324" i="105"/>
  <c r="K239" i="105"/>
  <c r="K121" i="105"/>
  <c r="K477" i="105"/>
  <c r="K307" i="105"/>
  <c r="K95" i="105"/>
  <c r="K231" i="105"/>
  <c r="K240" i="105"/>
  <c r="K354" i="105"/>
  <c r="L407" i="105"/>
  <c r="K523" i="105"/>
  <c r="K465" i="105"/>
  <c r="K407" i="105"/>
  <c r="K353" i="105"/>
  <c r="K517" i="105"/>
  <c r="K480" i="105"/>
  <c r="K437" i="105"/>
  <c r="K405" i="105"/>
  <c r="K368" i="105"/>
  <c r="K331" i="105"/>
  <c r="K293" i="105"/>
  <c r="K521" i="105"/>
  <c r="K500" i="105"/>
  <c r="K479" i="105"/>
  <c r="K457" i="105"/>
  <c r="K436" i="105"/>
  <c r="K415" i="105"/>
  <c r="K393" i="105"/>
  <c r="K372" i="105"/>
  <c r="K351" i="105"/>
  <c r="K329" i="105"/>
  <c r="K308" i="105"/>
  <c r="K287" i="105"/>
  <c r="K265" i="105"/>
  <c r="K244" i="105"/>
  <c r="K223" i="105"/>
  <c r="K193" i="105"/>
  <c r="K161" i="105"/>
  <c r="K129" i="105"/>
  <c r="K97" i="105"/>
  <c r="K509" i="105"/>
  <c r="K488" i="105"/>
  <c r="K445" i="105"/>
  <c r="K403" i="105"/>
  <c r="K360" i="105"/>
  <c r="K317" i="105"/>
  <c r="K275" i="105"/>
  <c r="K232" i="105"/>
  <c r="K175" i="105"/>
  <c r="K111" i="105"/>
  <c r="K455" i="105"/>
  <c r="K337" i="105"/>
  <c r="K284" i="105"/>
  <c r="K241" i="105"/>
  <c r="K173" i="105"/>
  <c r="K471" i="105"/>
  <c r="K443" i="105"/>
  <c r="K267" i="105"/>
  <c r="K155" i="105"/>
  <c r="K498" i="105"/>
  <c r="K434" i="105"/>
  <c r="K370" i="105"/>
  <c r="K306" i="105"/>
  <c r="K234" i="105"/>
  <c r="L437" i="105"/>
  <c r="K40" i="105"/>
  <c r="L376" i="105"/>
  <c r="L83" i="105"/>
  <c r="L137" i="105"/>
  <c r="K145" i="105"/>
  <c r="K520" i="105"/>
  <c r="K424" i="105"/>
  <c r="K339" i="105"/>
  <c r="K253" i="105"/>
  <c r="K207" i="105"/>
  <c r="K143" i="105"/>
  <c r="K375" i="105"/>
  <c r="K305" i="105"/>
  <c r="K263" i="105"/>
  <c r="K220" i="105"/>
  <c r="K109" i="105"/>
  <c r="K327" i="105"/>
  <c r="K336" i="105"/>
  <c r="K219" i="105"/>
  <c r="K91" i="105"/>
  <c r="K466" i="105"/>
  <c r="K402" i="105"/>
  <c r="K338" i="105"/>
  <c r="K274" i="105"/>
  <c r="K138" i="105"/>
  <c r="L414" i="105"/>
  <c r="L522" i="105"/>
  <c r="L84" i="105"/>
  <c r="L190" i="105"/>
  <c r="M137" i="105"/>
  <c r="M361" i="105"/>
  <c r="M171" i="105"/>
  <c r="M398" i="105"/>
  <c r="M375" i="105"/>
  <c r="M264" i="105"/>
  <c r="M417" i="105"/>
  <c r="L38" i="105"/>
  <c r="L35" i="105"/>
  <c r="L105" i="105"/>
  <c r="L169" i="105"/>
  <c r="L233" i="105"/>
  <c r="M274" i="105"/>
  <c r="M472" i="105"/>
  <c r="L31" i="105"/>
  <c r="L82" i="105"/>
  <c r="L126" i="105"/>
  <c r="L166" i="105"/>
  <c r="L210" i="105"/>
  <c r="L254" i="105"/>
  <c r="L294" i="105"/>
  <c r="L338" i="105"/>
  <c r="L382" i="105"/>
  <c r="M380" i="105"/>
  <c r="M512" i="105"/>
  <c r="L63" i="105"/>
  <c r="L103" i="105"/>
  <c r="L147" i="105"/>
  <c r="L191" i="105"/>
  <c r="L231" i="105"/>
  <c r="L275" i="105"/>
  <c r="M400" i="105"/>
  <c r="M514" i="105"/>
  <c r="L64" i="105"/>
  <c r="L108" i="105"/>
  <c r="L148" i="105"/>
  <c r="L192" i="105"/>
  <c r="L232" i="105"/>
  <c r="L264" i="105"/>
  <c r="L296" i="105"/>
  <c r="L328" i="105"/>
  <c r="L360" i="105"/>
  <c r="L392" i="105"/>
  <c r="L424" i="105"/>
  <c r="L269" i="105"/>
  <c r="L337" i="105"/>
  <c r="L395" i="105"/>
  <c r="L438" i="105"/>
  <c r="L474" i="105"/>
  <c r="L506" i="105"/>
  <c r="K31" i="105"/>
  <c r="K63" i="105"/>
  <c r="L323" i="105"/>
  <c r="L386" i="105"/>
  <c r="L429" i="105"/>
  <c r="L467" i="105"/>
  <c r="L499" i="105"/>
  <c r="L22" i="105"/>
  <c r="K56" i="105"/>
  <c r="K88" i="105"/>
  <c r="K120" i="105"/>
  <c r="K152" i="105"/>
  <c r="K184" i="105"/>
  <c r="K216" i="105"/>
  <c r="L333" i="105"/>
  <c r="L393" i="105"/>
  <c r="L435" i="105"/>
  <c r="L472" i="105"/>
  <c r="L504" i="105"/>
  <c r="K29" i="105"/>
  <c r="K61" i="105"/>
  <c r="L303" i="105"/>
  <c r="L367" i="105"/>
  <c r="L415" i="105"/>
  <c r="L457" i="105"/>
  <c r="L489" i="105"/>
  <c r="L521" i="105"/>
  <c r="K42" i="105"/>
  <c r="K62" i="105"/>
  <c r="K82" i="105"/>
  <c r="K106" i="105"/>
  <c r="K126" i="105"/>
  <c r="K146" i="105"/>
  <c r="K170" i="105"/>
  <c r="K190" i="105"/>
  <c r="K210" i="105"/>
  <c r="M105" i="105"/>
  <c r="M150" i="105"/>
  <c r="M203" i="105"/>
  <c r="M430" i="105"/>
  <c r="M403" i="105"/>
  <c r="M286" i="105"/>
  <c r="M433" i="105"/>
  <c r="L54" i="105"/>
  <c r="L40" i="105"/>
  <c r="L109" i="105"/>
  <c r="L173" i="105"/>
  <c r="L237" i="105"/>
  <c r="M295" i="105"/>
  <c r="M483" i="105"/>
  <c r="L41" i="105"/>
  <c r="L86" i="105"/>
  <c r="L130" i="105"/>
  <c r="L174" i="105"/>
  <c r="L214" i="105"/>
  <c r="L258" i="105"/>
  <c r="L302" i="105"/>
  <c r="L342" i="105"/>
  <c r="M64" i="105"/>
  <c r="M412" i="105"/>
  <c r="M518" i="105"/>
  <c r="L67" i="105"/>
  <c r="L111" i="105"/>
  <c r="L151" i="105"/>
  <c r="L195" i="105"/>
  <c r="L239" i="105"/>
  <c r="M80" i="105"/>
  <c r="M416" i="105"/>
  <c r="M524" i="105"/>
  <c r="L68" i="105"/>
  <c r="L112" i="105"/>
  <c r="L156" i="105"/>
  <c r="L196" i="105"/>
  <c r="L236" i="105"/>
  <c r="L268" i="105"/>
  <c r="L300" i="105"/>
  <c r="L332" i="105"/>
  <c r="L364" i="105"/>
  <c r="L396" i="105"/>
  <c r="L428" i="105"/>
  <c r="L281" i="105"/>
  <c r="L345" i="105"/>
  <c r="L401" i="105"/>
  <c r="L443" i="105"/>
  <c r="L478" i="105"/>
  <c r="L510" i="105"/>
  <c r="K35" i="105"/>
  <c r="K67" i="105"/>
  <c r="L331" i="105"/>
  <c r="L391" i="105"/>
  <c r="L434" i="105"/>
  <c r="L471" i="105"/>
  <c r="L503" i="105"/>
  <c r="K28" i="105"/>
  <c r="K60" i="105"/>
  <c r="K92" i="105"/>
  <c r="K124" i="105"/>
  <c r="K156" i="105"/>
  <c r="K188" i="105"/>
  <c r="L277" i="105"/>
  <c r="L341" i="105"/>
  <c r="L398" i="105"/>
  <c r="L441" i="105"/>
  <c r="L476" i="105"/>
  <c r="L508" i="105"/>
  <c r="K33" i="105"/>
  <c r="K65" i="105"/>
  <c r="L311" i="105"/>
  <c r="L375" i="105"/>
  <c r="L421" i="105"/>
  <c r="L461" i="105"/>
  <c r="L493" i="105"/>
  <c r="L525" i="105"/>
  <c r="K46" i="105"/>
  <c r="K66" i="105"/>
  <c r="K90" i="105"/>
  <c r="K110" i="105"/>
  <c r="K130" i="105"/>
  <c r="K154" i="105"/>
  <c r="K174" i="105"/>
  <c r="K194" i="105"/>
  <c r="M265" i="105"/>
  <c r="M43" i="105"/>
  <c r="M282" i="105"/>
  <c r="M236" i="105"/>
  <c r="M68" i="105"/>
  <c r="M369" i="105"/>
  <c r="M497" i="105"/>
  <c r="M452" i="105"/>
  <c r="L77" i="105"/>
  <c r="L141" i="105"/>
  <c r="L205" i="105"/>
  <c r="M48" i="105"/>
  <c r="M408" i="105"/>
  <c r="M516" i="105"/>
  <c r="L66" i="105"/>
  <c r="L110" i="105"/>
  <c r="L150" i="105"/>
  <c r="L194" i="105"/>
  <c r="L238" i="105"/>
  <c r="L278" i="105"/>
  <c r="L322" i="105"/>
  <c r="L366" i="105"/>
  <c r="M300" i="105"/>
  <c r="M484" i="105"/>
  <c r="L43" i="105"/>
  <c r="L87" i="105"/>
  <c r="L131" i="105"/>
  <c r="L175" i="105"/>
  <c r="L215" i="105"/>
  <c r="L259" i="105"/>
  <c r="M327" i="105"/>
  <c r="M487" i="105"/>
  <c r="L44" i="105"/>
  <c r="L92" i="105"/>
  <c r="L132" i="105"/>
  <c r="L176" i="105"/>
  <c r="L220" i="105"/>
  <c r="L252" i="105"/>
  <c r="L284" i="105"/>
  <c r="L316" i="105"/>
  <c r="L348" i="105"/>
  <c r="L380" i="105"/>
  <c r="L412" i="105"/>
  <c r="L444" i="105"/>
  <c r="L313" i="105"/>
  <c r="L377" i="105"/>
  <c r="L422" i="105"/>
  <c r="L462" i="105"/>
  <c r="L494" i="105"/>
  <c r="L526" i="105"/>
  <c r="K51" i="105"/>
  <c r="L299" i="105"/>
  <c r="L363" i="105"/>
  <c r="L413" i="105"/>
  <c r="L455" i="105"/>
  <c r="L487" i="105"/>
  <c r="L519" i="105"/>
  <c r="K44" i="105"/>
  <c r="K76" i="105"/>
  <c r="K108" i="105"/>
  <c r="K140" i="105"/>
  <c r="K172" i="105"/>
  <c r="K204" i="105"/>
  <c r="L309" i="105"/>
  <c r="L373" i="105"/>
  <c r="L419" i="105"/>
  <c r="L460" i="105"/>
  <c r="L492" i="105"/>
  <c r="L524" i="105"/>
  <c r="K49" i="105"/>
  <c r="L279" i="105"/>
  <c r="L343" i="105"/>
  <c r="L399" i="105"/>
  <c r="L442" i="105"/>
  <c r="L477" i="105"/>
  <c r="L509" i="105"/>
  <c r="K34" i="105"/>
  <c r="K58" i="105"/>
  <c r="K78" i="105"/>
  <c r="K98" i="105"/>
  <c r="K122" i="105"/>
  <c r="K142" i="105"/>
  <c r="K162" i="105"/>
  <c r="K186" i="105"/>
  <c r="M108" i="105"/>
  <c r="M388" i="105"/>
  <c r="L265" i="105"/>
  <c r="L102" i="105"/>
  <c r="L274" i="105"/>
  <c r="M476" i="105"/>
  <c r="L167" i="105"/>
  <c r="M479" i="105"/>
  <c r="L172" i="105"/>
  <c r="L312" i="105"/>
  <c r="L440" i="105"/>
  <c r="L458" i="105"/>
  <c r="L291" i="105"/>
  <c r="L483" i="105"/>
  <c r="K104" i="105"/>
  <c r="L301" i="105"/>
  <c r="L488" i="105"/>
  <c r="L335" i="105"/>
  <c r="L505" i="105"/>
  <c r="K94" i="105"/>
  <c r="K178" i="105"/>
  <c r="K222" i="105"/>
  <c r="K242" i="105"/>
  <c r="K266" i="105"/>
  <c r="K282" i="105"/>
  <c r="K298" i="105"/>
  <c r="K314" i="105"/>
  <c r="K330" i="105"/>
  <c r="K346" i="105"/>
  <c r="K362" i="105"/>
  <c r="K378" i="105"/>
  <c r="K394" i="105"/>
  <c r="K410" i="105"/>
  <c r="K426" i="105"/>
  <c r="K442" i="105"/>
  <c r="K458" i="105"/>
  <c r="K474" i="105"/>
  <c r="K490" i="105"/>
  <c r="K506" i="105"/>
  <c r="K71" i="105"/>
  <c r="K107" i="105"/>
  <c r="K139" i="105"/>
  <c r="K171" i="105"/>
  <c r="K203" i="105"/>
  <c r="K229" i="105"/>
  <c r="K251" i="105"/>
  <c r="K277" i="105"/>
  <c r="K315" i="105"/>
  <c r="K363" i="105"/>
  <c r="K416" i="105"/>
  <c r="K464" i="105"/>
  <c r="K512" i="105"/>
  <c r="K385" i="105"/>
  <c r="K444" i="105"/>
  <c r="K513" i="105"/>
  <c r="K93" i="105"/>
  <c r="K125" i="105"/>
  <c r="K157" i="105"/>
  <c r="K189" i="105"/>
  <c r="M233" i="105"/>
  <c r="M467" i="105"/>
  <c r="L73" i="105"/>
  <c r="M376" i="105"/>
  <c r="L146" i="105"/>
  <c r="L318" i="105"/>
  <c r="L32" i="105"/>
  <c r="L211" i="105"/>
  <c r="L39" i="105"/>
  <c r="L212" i="105"/>
  <c r="L344" i="105"/>
  <c r="L305" i="105"/>
  <c r="L490" i="105"/>
  <c r="L355" i="105"/>
  <c r="L515" i="105"/>
  <c r="K136" i="105"/>
  <c r="L365" i="105"/>
  <c r="L520" i="105"/>
  <c r="L394" i="105"/>
  <c r="K30" i="105"/>
  <c r="K114" i="105"/>
  <c r="K202" i="105"/>
  <c r="K226" i="105"/>
  <c r="K250" i="105"/>
  <c r="K270" i="105"/>
  <c r="K286" i="105"/>
  <c r="K302" i="105"/>
  <c r="K318" i="105"/>
  <c r="K334" i="105"/>
  <c r="K350" i="105"/>
  <c r="K366" i="105"/>
  <c r="K382" i="105"/>
  <c r="K398" i="105"/>
  <c r="K414" i="105"/>
  <c r="K430" i="105"/>
  <c r="K446" i="105"/>
  <c r="K462" i="105"/>
  <c r="K478" i="105"/>
  <c r="K494" i="105"/>
  <c r="K510" i="105"/>
  <c r="K83" i="105"/>
  <c r="K115" i="105"/>
  <c r="K147" i="105"/>
  <c r="K179" i="105"/>
  <c r="K211" i="105"/>
  <c r="K235" i="105"/>
  <c r="K256" i="105"/>
  <c r="K283" i="105"/>
  <c r="K325" i="105"/>
  <c r="K379" i="105"/>
  <c r="K427" i="105"/>
  <c r="K475" i="105"/>
  <c r="K526" i="105"/>
  <c r="K401" i="105"/>
  <c r="K460" i="105"/>
  <c r="K101" i="105"/>
  <c r="K133" i="105"/>
  <c r="K165" i="105"/>
  <c r="K197" i="105"/>
  <c r="K225" i="105"/>
  <c r="K247" i="105"/>
  <c r="K268" i="105"/>
  <c r="K289" i="105"/>
  <c r="K311" i="105"/>
  <c r="K343" i="105"/>
  <c r="K391" i="105"/>
  <c r="K481" i="105"/>
  <c r="K87" i="105"/>
  <c r="K119" i="105"/>
  <c r="K151" i="105"/>
  <c r="K183" i="105"/>
  <c r="K215" i="105"/>
  <c r="K237" i="105"/>
  <c r="K259" i="105"/>
  <c r="K280" i="105"/>
  <c r="K301" i="105"/>
  <c r="K323" i="105"/>
  <c r="K344" i="105"/>
  <c r="K365" i="105"/>
  <c r="K387" i="105"/>
  <c r="K408" i="105"/>
  <c r="K429" i="105"/>
  <c r="K451" i="105"/>
  <c r="K472" i="105"/>
  <c r="M200" i="105"/>
  <c r="M481" i="105"/>
  <c r="L201" i="105"/>
  <c r="L62" i="105"/>
  <c r="L230" i="105"/>
  <c r="M279" i="105"/>
  <c r="L127" i="105"/>
  <c r="M284" i="105"/>
  <c r="L128" i="105"/>
  <c r="L280" i="105"/>
  <c r="L408" i="105"/>
  <c r="L417" i="105"/>
  <c r="K47" i="105"/>
  <c r="L450" i="105"/>
  <c r="K72" i="105"/>
  <c r="K200" i="105"/>
  <c r="L456" i="105"/>
  <c r="K77" i="105"/>
  <c r="L473" i="105"/>
  <c r="K74" i="105"/>
  <c r="K158" i="105"/>
  <c r="K218" i="105"/>
  <c r="K238" i="105"/>
  <c r="K258" i="105"/>
  <c r="K278" i="105"/>
  <c r="K294" i="105"/>
  <c r="K310" i="105"/>
  <c r="K326" i="105"/>
  <c r="K342" i="105"/>
  <c r="K358" i="105"/>
  <c r="K374" i="105"/>
  <c r="K390" i="105"/>
  <c r="K406" i="105"/>
  <c r="K422" i="105"/>
  <c r="K438" i="105"/>
  <c r="K454" i="105"/>
  <c r="K470" i="105"/>
  <c r="K486" i="105"/>
  <c r="K502" i="105"/>
  <c r="K518" i="105"/>
  <c r="K99" i="105"/>
  <c r="K131" i="105"/>
  <c r="K163" i="105"/>
  <c r="K195" i="105"/>
  <c r="K224" i="105"/>
  <c r="K245" i="105"/>
  <c r="K272" i="105"/>
  <c r="K299" i="105"/>
  <c r="K352" i="105"/>
  <c r="K400" i="105"/>
  <c r="K453" i="105"/>
  <c r="K501" i="105"/>
  <c r="K369" i="105"/>
  <c r="K428" i="105"/>
  <c r="K497" i="105"/>
  <c r="K85" i="105"/>
  <c r="K117" i="105"/>
  <c r="K149" i="105"/>
  <c r="K181" i="105"/>
  <c r="K213" i="105"/>
  <c r="K236" i="105"/>
  <c r="K257" i="105"/>
  <c r="K279" i="105"/>
  <c r="K300" i="105"/>
  <c r="K332" i="105"/>
  <c r="K359" i="105"/>
  <c r="K439" i="105"/>
  <c r="K519" i="105"/>
  <c r="K103" i="105"/>
  <c r="K135" i="105"/>
  <c r="K167" i="105"/>
  <c r="K199" i="105"/>
  <c r="K227" i="105"/>
  <c r="K248" i="105"/>
  <c r="K269" i="105"/>
  <c r="K291" i="105"/>
  <c r="K312" i="105"/>
  <c r="K333" i="105"/>
  <c r="K355" i="105"/>
  <c r="K376" i="105"/>
  <c r="K397" i="105"/>
  <c r="K419" i="105"/>
  <c r="K440" i="105"/>
  <c r="K461" i="105"/>
  <c r="K483" i="105"/>
  <c r="K492" i="105"/>
  <c r="K433" i="105"/>
  <c r="K380" i="105"/>
  <c r="K24" i="105"/>
  <c r="K496" i="105"/>
  <c r="K459" i="105"/>
  <c r="K421" i="105"/>
  <c r="K384" i="105"/>
  <c r="K347" i="105"/>
  <c r="K309" i="105"/>
  <c r="K23" i="105"/>
  <c r="K511" i="105"/>
  <c r="K489" i="105"/>
  <c r="K468" i="105"/>
  <c r="K447" i="105"/>
  <c r="K425" i="105"/>
  <c r="K404" i="105"/>
  <c r="K383" i="105"/>
  <c r="K361" i="105"/>
  <c r="K340" i="105"/>
  <c r="K319" i="105"/>
  <c r="K297" i="105"/>
  <c r="K276" i="105"/>
  <c r="K255" i="105"/>
  <c r="K233" i="105"/>
  <c r="K209" i="105"/>
  <c r="K177" i="105"/>
  <c r="K113" i="105"/>
  <c r="K81" i="105"/>
  <c r="K499" i="105"/>
  <c r="K467" i="105"/>
  <c r="K381" i="105"/>
  <c r="K296" i="105"/>
  <c r="K79" i="105"/>
  <c r="K22" i="105"/>
  <c r="K476" i="105"/>
  <c r="K423" i="105"/>
  <c r="K364" i="105"/>
  <c r="K522" i="105"/>
  <c r="K485" i="105"/>
  <c r="K448" i="105"/>
  <c r="K411" i="105"/>
  <c r="K373" i="105"/>
  <c r="K341" i="105"/>
  <c r="K304" i="105"/>
  <c r="K525" i="105"/>
  <c r="K505" i="105"/>
  <c r="K484" i="105"/>
  <c r="K463" i="105"/>
  <c r="K441" i="105"/>
  <c r="K420" i="105"/>
  <c r="K399" i="105"/>
  <c r="K377" i="105"/>
  <c r="K356" i="105"/>
  <c r="K335" i="105"/>
  <c r="K313" i="105"/>
  <c r="K292" i="105"/>
  <c r="K271" i="105"/>
  <c r="K249" i="105"/>
  <c r="K228" i="105"/>
  <c r="K201" i="105"/>
  <c r="K169" i="105"/>
  <c r="K137" i="105"/>
  <c r="K105" i="105"/>
  <c r="K487" i="105"/>
  <c r="K515" i="105"/>
  <c r="K493" i="105"/>
  <c r="K456" i="105"/>
  <c r="K413" i="105"/>
  <c r="K371" i="105"/>
  <c r="K328" i="105"/>
  <c r="K285" i="105"/>
  <c r="K243" i="105"/>
  <c r="K191" i="105"/>
  <c r="K127" i="105"/>
  <c r="K503" i="105"/>
  <c r="K348" i="105"/>
  <c r="K295" i="105"/>
  <c r="K252" i="105"/>
  <c r="K205" i="105"/>
  <c r="K75" i="105"/>
  <c r="K491" i="105"/>
  <c r="K288" i="105"/>
  <c r="K187" i="105"/>
  <c r="K514" i="105"/>
  <c r="K450" i="105"/>
  <c r="K386" i="105"/>
  <c r="K322" i="105"/>
  <c r="K254" i="105"/>
  <c r="K50" i="105"/>
  <c r="K168" i="105"/>
  <c r="L369" i="105"/>
  <c r="L255" i="105"/>
  <c r="M511" i="105"/>
  <c r="M75" i="105"/>
  <c r="M54" i="105"/>
  <c r="M37" i="105"/>
  <c r="M53" i="105"/>
  <c r="M69" i="105"/>
  <c r="M85" i="105"/>
  <c r="M101" i="105"/>
  <c r="M117" i="105"/>
  <c r="M133" i="105"/>
  <c r="M149" i="105"/>
  <c r="M165" i="105"/>
  <c r="M181" i="105"/>
  <c r="M197" i="105"/>
  <c r="M213" i="105"/>
  <c r="M229" i="105"/>
  <c r="M245" i="105"/>
  <c r="M261" i="105"/>
  <c r="M277" i="105"/>
  <c r="M293" i="105"/>
  <c r="M309" i="105"/>
  <c r="M325" i="105"/>
  <c r="M341" i="105"/>
  <c r="M357" i="105"/>
  <c r="M34" i="105"/>
  <c r="M50" i="105"/>
  <c r="M66" i="105"/>
  <c r="M82" i="105"/>
  <c r="M98" i="105"/>
  <c r="M114" i="105"/>
  <c r="M130" i="105"/>
  <c r="M146" i="105"/>
  <c r="M162" i="105"/>
  <c r="M178" i="105"/>
  <c r="M194" i="105"/>
  <c r="M210" i="105"/>
  <c r="M226" i="105"/>
  <c r="M242" i="105"/>
  <c r="M258" i="105"/>
  <c r="M39" i="105"/>
  <c r="M55" i="105"/>
  <c r="M71" i="105"/>
  <c r="M87" i="105"/>
  <c r="M103" i="105"/>
  <c r="M119" i="105"/>
  <c r="M135" i="105"/>
  <c r="M151" i="105"/>
  <c r="M167" i="105"/>
  <c r="M183" i="105"/>
  <c r="M199" i="105"/>
  <c r="M215" i="105"/>
  <c r="M231" i="105"/>
  <c r="M247" i="105"/>
  <c r="M56" i="105"/>
  <c r="M120" i="105"/>
  <c r="M184" i="105"/>
  <c r="M248" i="105"/>
  <c r="M276" i="105"/>
  <c r="M298" i="105"/>
  <c r="M319" i="105"/>
  <c r="M340" i="105"/>
  <c r="M362" i="105"/>
  <c r="M378" i="105"/>
  <c r="M394" i="105"/>
  <c r="M410" i="105"/>
  <c r="M426" i="105"/>
  <c r="M442" i="105"/>
  <c r="M458" i="105"/>
  <c r="M474" i="105"/>
  <c r="M490" i="105"/>
  <c r="M28" i="105"/>
  <c r="M92" i="105"/>
  <c r="M156" i="105"/>
  <c r="M220" i="105"/>
  <c r="M267" i="105"/>
  <c r="M288" i="105"/>
  <c r="M310" i="105"/>
  <c r="M331" i="105"/>
  <c r="M352" i="105"/>
  <c r="M371" i="105"/>
  <c r="M387" i="105"/>
  <c r="M29" i="105"/>
  <c r="M45" i="105"/>
  <c r="M61" i="105"/>
  <c r="M77" i="105"/>
  <c r="M93" i="105"/>
  <c r="M109" i="105"/>
  <c r="M125" i="105"/>
  <c r="M141" i="105"/>
  <c r="M157" i="105"/>
  <c r="M173" i="105"/>
  <c r="M189" i="105"/>
  <c r="M205" i="105"/>
  <c r="M221" i="105"/>
  <c r="M237" i="105"/>
  <c r="M253" i="105"/>
  <c r="M269" i="105"/>
  <c r="M285" i="105"/>
  <c r="M301" i="105"/>
  <c r="M317" i="105"/>
  <c r="M333" i="105"/>
  <c r="M349" i="105"/>
  <c r="M26" i="105"/>
  <c r="M42" i="105"/>
  <c r="M58" i="105"/>
  <c r="M74" i="105"/>
  <c r="M90" i="105"/>
  <c r="M106" i="105"/>
  <c r="M122" i="105"/>
  <c r="M138" i="105"/>
  <c r="M154" i="105"/>
  <c r="M170" i="105"/>
  <c r="M186" i="105"/>
  <c r="M202" i="105"/>
  <c r="M218" i="105"/>
  <c r="M234" i="105"/>
  <c r="M250" i="105"/>
  <c r="M31" i="105"/>
  <c r="M47" i="105"/>
  <c r="M63" i="105"/>
  <c r="M79" i="105"/>
  <c r="M95" i="105"/>
  <c r="M111" i="105"/>
  <c r="M127" i="105"/>
  <c r="M143" i="105"/>
  <c r="M159" i="105"/>
  <c r="M175" i="105"/>
  <c r="M191" i="105"/>
  <c r="M207" i="105"/>
  <c r="M223" i="105"/>
  <c r="M239" i="105"/>
  <c r="M255" i="105"/>
  <c r="M88" i="105"/>
  <c r="M152" i="105"/>
  <c r="M216" i="105"/>
  <c r="M266" i="105"/>
  <c r="M287" i="105"/>
  <c r="M308" i="105"/>
  <c r="M330" i="105"/>
  <c r="M351" i="105"/>
  <c r="M370" i="105"/>
  <c r="M386" i="105"/>
  <c r="M402" i="105"/>
  <c r="M418" i="105"/>
  <c r="M434" i="105"/>
  <c r="M450" i="105"/>
  <c r="M466" i="105"/>
  <c r="M482" i="105"/>
  <c r="M498" i="105"/>
  <c r="M60" i="105"/>
  <c r="M124" i="105"/>
  <c r="M188" i="105"/>
  <c r="M252" i="105"/>
  <c r="M278" i="105"/>
  <c r="M299" i="105"/>
  <c r="M320" i="105"/>
  <c r="M342" i="105"/>
  <c r="M363" i="105"/>
  <c r="M379" i="105"/>
  <c r="M395" i="105"/>
  <c r="M411" i="105"/>
  <c r="M427" i="105"/>
  <c r="M443" i="105"/>
  <c r="M459" i="105"/>
  <c r="M475" i="105"/>
  <c r="M84" i="105"/>
  <c r="M49" i="105"/>
  <c r="M81" i="105"/>
  <c r="M113" i="105"/>
  <c r="M145" i="105"/>
  <c r="M177" i="105"/>
  <c r="M209" i="105"/>
  <c r="M241" i="105"/>
  <c r="M273" i="105"/>
  <c r="M305" i="105"/>
  <c r="M337" i="105"/>
  <c r="M30" i="105"/>
  <c r="M62" i="105"/>
  <c r="M94" i="105"/>
  <c r="M126" i="105"/>
  <c r="M158" i="105"/>
  <c r="M190" i="105"/>
  <c r="M222" i="105"/>
  <c r="M254" i="105"/>
  <c r="M51" i="105"/>
  <c r="M83" i="105"/>
  <c r="M115" i="105"/>
  <c r="M147" i="105"/>
  <c r="M179" i="105"/>
  <c r="M211" i="105"/>
  <c r="M243" i="105"/>
  <c r="M104" i="105"/>
  <c r="M232" i="105"/>
  <c r="M292" i="105"/>
  <c r="M335" i="105"/>
  <c r="M374" i="105"/>
  <c r="M406" i="105"/>
  <c r="M438" i="105"/>
  <c r="M470" i="105"/>
  <c r="M502" i="105"/>
  <c r="M140" i="105"/>
  <c r="M262" i="105"/>
  <c r="M304" i="105"/>
  <c r="M347" i="105"/>
  <c r="M383" i="105"/>
  <c r="M407" i="105"/>
  <c r="M431" i="105"/>
  <c r="M451" i="105"/>
  <c r="M471" i="105"/>
  <c r="M100" i="105"/>
  <c r="M164" i="105"/>
  <c r="M228" i="105"/>
  <c r="M270" i="105"/>
  <c r="M291" i="105"/>
  <c r="M312" i="105"/>
  <c r="M334" i="105"/>
  <c r="M355" i="105"/>
  <c r="M373" i="105"/>
  <c r="M389" i="105"/>
  <c r="M405" i="105"/>
  <c r="M421" i="105"/>
  <c r="M437" i="105"/>
  <c r="M453" i="105"/>
  <c r="M469" i="105"/>
  <c r="M485" i="105"/>
  <c r="M501" i="105"/>
  <c r="M517" i="105"/>
  <c r="L26" i="105"/>
  <c r="L42" i="105"/>
  <c r="L58" i="105"/>
  <c r="M224" i="105"/>
  <c r="M332" i="105"/>
  <c r="M404" i="105"/>
  <c r="M468" i="105"/>
  <c r="M504" i="105"/>
  <c r="M526" i="105"/>
  <c r="M25" i="105"/>
  <c r="M57" i="105"/>
  <c r="M89" i="105"/>
  <c r="M121" i="105"/>
  <c r="M153" i="105"/>
  <c r="M185" i="105"/>
  <c r="M217" i="105"/>
  <c r="M249" i="105"/>
  <c r="M281" i="105"/>
  <c r="M313" i="105"/>
  <c r="M345" i="105"/>
  <c r="M38" i="105"/>
  <c r="M70" i="105"/>
  <c r="M102" i="105"/>
  <c r="M134" i="105"/>
  <c r="M166" i="105"/>
  <c r="M198" i="105"/>
  <c r="M230" i="105"/>
  <c r="M27" i="105"/>
  <c r="M59" i="105"/>
  <c r="M91" i="105"/>
  <c r="M123" i="105"/>
  <c r="M155" i="105"/>
  <c r="M187" i="105"/>
  <c r="M219" i="105"/>
  <c r="M251" i="105"/>
  <c r="M136" i="105"/>
  <c r="M260" i="105"/>
  <c r="M303" i="105"/>
  <c r="M346" i="105"/>
  <c r="M382" i="105"/>
  <c r="M414" i="105"/>
  <c r="M446" i="105"/>
  <c r="M478" i="105"/>
  <c r="M44" i="105"/>
  <c r="M172" i="105"/>
  <c r="M272" i="105"/>
  <c r="M315" i="105"/>
  <c r="M358" i="105"/>
  <c r="M391" i="105"/>
  <c r="M415" i="105"/>
  <c r="M435" i="105"/>
  <c r="M455" i="105"/>
  <c r="M36" i="105"/>
  <c r="M116" i="105"/>
  <c r="M180" i="105"/>
  <c r="M244" i="105"/>
  <c r="M275" i="105"/>
  <c r="M296" i="105"/>
  <c r="M318" i="105"/>
  <c r="M339" i="105"/>
  <c r="M360" i="105"/>
  <c r="M377" i="105"/>
  <c r="M393" i="105"/>
  <c r="M409" i="105"/>
  <c r="M425" i="105"/>
  <c r="M441" i="105"/>
  <c r="M457" i="105"/>
  <c r="M473" i="105"/>
  <c r="M489" i="105"/>
  <c r="M505" i="105"/>
  <c r="M521" i="105"/>
  <c r="L30" i="105"/>
  <c r="L46" i="105"/>
  <c r="M32" i="105"/>
  <c r="M268" i="105"/>
  <c r="M354" i="105"/>
  <c r="M420" i="105"/>
  <c r="M480" i="105"/>
  <c r="M510" i="105"/>
  <c r="M22" i="105"/>
  <c r="L45" i="105"/>
  <c r="L65" i="105"/>
  <c r="L81" i="105"/>
  <c r="L97" i="105"/>
  <c r="L113" i="105"/>
  <c r="L129" i="105"/>
  <c r="L145" i="105"/>
  <c r="L161" i="105"/>
  <c r="L177" i="105"/>
  <c r="L193" i="105"/>
  <c r="L209" i="105"/>
  <c r="L225" i="105"/>
  <c r="L241" i="105"/>
  <c r="L257" i="105"/>
  <c r="M33" i="105"/>
  <c r="M65" i="105"/>
  <c r="M97" i="105"/>
  <c r="M129" i="105"/>
  <c r="M161" i="105"/>
  <c r="M193" i="105"/>
  <c r="M225" i="105"/>
  <c r="M257" i="105"/>
  <c r="M289" i="105"/>
  <c r="M321" i="105"/>
  <c r="M353" i="105"/>
  <c r="M46" i="105"/>
  <c r="M78" i="105"/>
  <c r="M110" i="105"/>
  <c r="M142" i="105"/>
  <c r="M174" i="105"/>
  <c r="M206" i="105"/>
  <c r="M238" i="105"/>
  <c r="M35" i="105"/>
  <c r="M67" i="105"/>
  <c r="M99" i="105"/>
  <c r="M131" i="105"/>
  <c r="M163" i="105"/>
  <c r="M195" i="105"/>
  <c r="M227" i="105"/>
  <c r="M40" i="105"/>
  <c r="M168" i="105"/>
  <c r="M271" i="105"/>
  <c r="M314" i="105"/>
  <c r="M356" i="105"/>
  <c r="M390" i="105"/>
  <c r="M422" i="105"/>
  <c r="M454" i="105"/>
  <c r="M486" i="105"/>
  <c r="M76" i="105"/>
  <c r="M204" i="105"/>
  <c r="M283" i="105"/>
  <c r="M326" i="105"/>
  <c r="M367" i="105"/>
  <c r="M399" i="105"/>
  <c r="M419" i="105"/>
  <c r="M439" i="105"/>
  <c r="M463" i="105"/>
  <c r="M52" i="105"/>
  <c r="M132" i="105"/>
  <c r="M196" i="105"/>
  <c r="M259" i="105"/>
  <c r="M280" i="105"/>
  <c r="M302" i="105"/>
  <c r="M323" i="105"/>
  <c r="M344" i="105"/>
  <c r="M365" i="105"/>
  <c r="M381" i="105"/>
  <c r="M397" i="105"/>
  <c r="M413" i="105"/>
  <c r="M429" i="105"/>
  <c r="M445" i="105"/>
  <c r="M461" i="105"/>
  <c r="M477" i="105"/>
  <c r="M493" i="105"/>
  <c r="M509" i="105"/>
  <c r="M525" i="105"/>
  <c r="L34" i="105"/>
  <c r="L50" i="105"/>
  <c r="M96" i="105"/>
  <c r="M290" i="105"/>
  <c r="M372" i="105"/>
  <c r="M436" i="105"/>
  <c r="M488" i="105"/>
  <c r="M515" i="105"/>
  <c r="L29" i="105"/>
  <c r="L51" i="105"/>
  <c r="L69" i="105"/>
  <c r="L85" i="105"/>
  <c r="L101" i="105"/>
  <c r="L117" i="105"/>
  <c r="L133" i="105"/>
  <c r="L149" i="105"/>
  <c r="L165" i="105"/>
  <c r="L181" i="105"/>
  <c r="L197" i="105"/>
  <c r="L213" i="105"/>
  <c r="L229" i="105"/>
  <c r="L245" i="105"/>
  <c r="L261" i="105"/>
  <c r="M176" i="105"/>
  <c r="M316" i="105"/>
  <c r="M392" i="105"/>
  <c r="M456" i="105"/>
  <c r="M499" i="105"/>
  <c r="M522" i="105"/>
  <c r="L36" i="105"/>
  <c r="L57" i="105"/>
  <c r="L74" i="105"/>
  <c r="L90" i="105"/>
  <c r="L106" i="105"/>
  <c r="L122" i="105"/>
  <c r="L138" i="105"/>
  <c r="L154" i="105"/>
  <c r="L170" i="105"/>
  <c r="L186" i="105"/>
  <c r="L202" i="105"/>
  <c r="L218" i="105"/>
  <c r="L234" i="105"/>
  <c r="L250" i="105"/>
  <c r="L266" i="105"/>
  <c r="L282" i="105"/>
  <c r="L298" i="105"/>
  <c r="L314" i="105"/>
  <c r="L330" i="105"/>
  <c r="L346" i="105"/>
  <c r="L362" i="105"/>
  <c r="L378" i="105"/>
  <c r="M192" i="105"/>
  <c r="M322" i="105"/>
  <c r="M396" i="105"/>
  <c r="M460" i="105"/>
  <c r="M500" i="105"/>
  <c r="M523" i="105"/>
  <c r="L37" i="105"/>
  <c r="L59" i="105"/>
  <c r="L75" i="105"/>
  <c r="L91" i="105"/>
  <c r="L107" i="105"/>
  <c r="L123" i="105"/>
  <c r="L139" i="105"/>
  <c r="L155" i="105"/>
  <c r="L171" i="105"/>
  <c r="L187" i="105"/>
  <c r="L203" i="105"/>
  <c r="L219" i="105"/>
  <c r="L235" i="105"/>
  <c r="L251" i="105"/>
  <c r="L267" i="105"/>
  <c r="M144" i="105"/>
  <c r="M306" i="105"/>
  <c r="M384" i="105"/>
  <c r="M448" i="105"/>
  <c r="M495" i="105"/>
  <c r="M519" i="105"/>
  <c r="L33" i="105"/>
  <c r="L55" i="105"/>
  <c r="L72" i="105"/>
  <c r="L88" i="105"/>
  <c r="L104" i="105"/>
  <c r="L120" i="105"/>
  <c r="L136" i="105"/>
  <c r="L152" i="105"/>
  <c r="L168" i="105"/>
  <c r="L184" i="105"/>
  <c r="L200" i="105"/>
  <c r="L216" i="105"/>
  <c r="M41" i="105"/>
  <c r="M169" i="105"/>
  <c r="M297" i="105"/>
  <c r="M86" i="105"/>
  <c r="M214" i="105"/>
  <c r="M107" i="105"/>
  <c r="M235" i="105"/>
  <c r="M324" i="105"/>
  <c r="M462" i="105"/>
  <c r="M294" i="105"/>
  <c r="M423" i="105"/>
  <c r="M148" i="105"/>
  <c r="M307" i="105"/>
  <c r="M385" i="105"/>
  <c r="M449" i="105"/>
  <c r="M513" i="105"/>
  <c r="M160" i="105"/>
  <c r="M496" i="105"/>
  <c r="L56" i="105"/>
  <c r="L89" i="105"/>
  <c r="L121" i="105"/>
  <c r="L153" i="105"/>
  <c r="L185" i="105"/>
  <c r="L217" i="105"/>
  <c r="L249" i="105"/>
  <c r="M112" i="105"/>
  <c r="M338" i="105"/>
  <c r="M424" i="105"/>
  <c r="M491" i="105"/>
  <c r="L47" i="105"/>
  <c r="L70" i="105"/>
  <c r="L94" i="105"/>
  <c r="L114" i="105"/>
  <c r="L134" i="105"/>
  <c r="L158" i="105"/>
  <c r="L178" i="105"/>
  <c r="L198" i="105"/>
  <c r="L222" i="105"/>
  <c r="L242" i="105"/>
  <c r="L262" i="105"/>
  <c r="L286" i="105"/>
  <c r="L306" i="105"/>
  <c r="L326" i="105"/>
  <c r="L350" i="105"/>
  <c r="L370" i="105"/>
  <c r="M128" i="105"/>
  <c r="M343" i="105"/>
  <c r="M428" i="105"/>
  <c r="M492" i="105"/>
  <c r="L48" i="105"/>
  <c r="L71" i="105"/>
  <c r="L95" i="105"/>
  <c r="L115" i="105"/>
  <c r="L135" i="105"/>
  <c r="L159" i="105"/>
  <c r="L179" i="105"/>
  <c r="L199" i="105"/>
  <c r="L223" i="105"/>
  <c r="L243" i="105"/>
  <c r="L263" i="105"/>
  <c r="M208" i="105"/>
  <c r="M348" i="105"/>
  <c r="M432" i="105"/>
  <c r="M503" i="105"/>
  <c r="M24" i="105"/>
  <c r="L49" i="105"/>
  <c r="L76" i="105"/>
  <c r="L96" i="105"/>
  <c r="L116" i="105"/>
  <c r="L140" i="105"/>
  <c r="L160" i="105"/>
  <c r="L180" i="105"/>
  <c r="L204" i="105"/>
  <c r="L224" i="105"/>
  <c r="L240" i="105"/>
  <c r="L256" i="105"/>
  <c r="L272" i="105"/>
  <c r="L288" i="105"/>
  <c r="L304" i="105"/>
  <c r="L320" i="105"/>
  <c r="L336" i="105"/>
  <c r="L352" i="105"/>
  <c r="L368" i="105"/>
  <c r="L384" i="105"/>
  <c r="L400" i="105"/>
  <c r="L416" i="105"/>
  <c r="L432" i="105"/>
  <c r="L448" i="105"/>
  <c r="L289" i="105"/>
  <c r="L321" i="105"/>
  <c r="L353" i="105"/>
  <c r="L385" i="105"/>
  <c r="L406" i="105"/>
  <c r="L427" i="105"/>
  <c r="L449" i="105"/>
  <c r="L466" i="105"/>
  <c r="L482" i="105"/>
  <c r="L498" i="105"/>
  <c r="L514" i="105"/>
  <c r="L24" i="105"/>
  <c r="K39" i="105"/>
  <c r="K55" i="105"/>
  <c r="L273" i="105"/>
  <c r="L307" i="105"/>
  <c r="L339" i="105"/>
  <c r="L371" i="105"/>
  <c r="L397" i="105"/>
  <c r="L418" i="105"/>
  <c r="L439" i="105"/>
  <c r="L459" i="105"/>
  <c r="L475" i="105"/>
  <c r="L491" i="105"/>
  <c r="L507" i="105"/>
  <c r="L523" i="105"/>
  <c r="K32" i="105"/>
  <c r="K48" i="105"/>
  <c r="K64" i="105"/>
  <c r="K80" i="105"/>
  <c r="K96" i="105"/>
  <c r="K112" i="105"/>
  <c r="K128" i="105"/>
  <c r="K144" i="105"/>
  <c r="K160" i="105"/>
  <c r="K176" i="105"/>
  <c r="K192" i="105"/>
  <c r="K208" i="105"/>
  <c r="L285" i="105"/>
  <c r="L317" i="105"/>
  <c r="L349" i="105"/>
  <c r="L381" i="105"/>
  <c r="L403" i="105"/>
  <c r="L425" i="105"/>
  <c r="L446" i="105"/>
  <c r="L464" i="105"/>
  <c r="L480" i="105"/>
  <c r="L496" i="105"/>
  <c r="L512" i="105"/>
  <c r="K37" i="105"/>
  <c r="K53" i="105"/>
  <c r="K69" i="105"/>
  <c r="L287" i="105"/>
  <c r="L319" i="105"/>
  <c r="L351" i="105"/>
  <c r="L383" i="105"/>
  <c r="L405" i="105"/>
  <c r="L426" i="105"/>
  <c r="L447" i="105"/>
  <c r="L465" i="105"/>
  <c r="L481" i="105"/>
  <c r="L497" i="105"/>
  <c r="L513" i="105"/>
  <c r="L23" i="105"/>
  <c r="K38" i="105"/>
  <c r="K54" i="105"/>
  <c r="K70" i="105"/>
  <c r="K86" i="105"/>
  <c r="K102" i="105"/>
  <c r="K118" i="105"/>
  <c r="K134" i="105"/>
  <c r="K150" i="105"/>
  <c r="K166" i="105"/>
  <c r="K182" i="105"/>
  <c r="K198" i="105"/>
  <c r="K214" i="105"/>
  <c r="K230" i="105"/>
  <c r="K246" i="105"/>
  <c r="K262" i="105"/>
  <c r="M73" i="105"/>
  <c r="M201" i="105"/>
  <c r="M329" i="105"/>
  <c r="M118" i="105"/>
  <c r="M246" i="105"/>
  <c r="M139" i="105"/>
  <c r="M72" i="105"/>
  <c r="M366" i="105"/>
  <c r="M494" i="105"/>
  <c r="M336" i="105"/>
  <c r="M447" i="105"/>
  <c r="M212" i="105"/>
  <c r="M328" i="105"/>
  <c r="M401" i="105"/>
  <c r="M465" i="105"/>
  <c r="M23" i="105"/>
  <c r="M311" i="105"/>
  <c r="M520" i="105"/>
  <c r="L61" i="105"/>
  <c r="L93" i="105"/>
  <c r="L125" i="105"/>
  <c r="L157" i="105"/>
  <c r="L189" i="105"/>
  <c r="L221" i="105"/>
  <c r="L253" i="105"/>
  <c r="M240" i="105"/>
  <c r="M359" i="105"/>
  <c r="M440" i="105"/>
  <c r="M506" i="105"/>
  <c r="L25" i="105"/>
  <c r="L52" i="105"/>
  <c r="L78" i="105"/>
  <c r="L98" i="105"/>
  <c r="L118" i="105"/>
  <c r="L142" i="105"/>
  <c r="L162" i="105"/>
  <c r="L182" i="105"/>
  <c r="L206" i="105"/>
  <c r="L226" i="105"/>
  <c r="L246" i="105"/>
  <c r="L270" i="105"/>
  <c r="L290" i="105"/>
  <c r="L310" i="105"/>
  <c r="L334" i="105"/>
  <c r="L354" i="105"/>
  <c r="L374" i="105"/>
  <c r="M256" i="105"/>
  <c r="M364" i="105"/>
  <c r="M444" i="105"/>
  <c r="M507" i="105"/>
  <c r="L27" i="105"/>
  <c r="L53" i="105"/>
  <c r="L79" i="105"/>
  <c r="L99" i="105"/>
  <c r="L119" i="105"/>
  <c r="L143" i="105"/>
  <c r="L163" i="105"/>
  <c r="L183" i="105"/>
  <c r="L207" i="105"/>
  <c r="L227" i="105"/>
  <c r="L247" i="105"/>
  <c r="L271" i="105"/>
  <c r="M263" i="105"/>
  <c r="M368" i="105"/>
  <c r="M464" i="105"/>
  <c r="M508" i="105"/>
  <c r="L28" i="105"/>
  <c r="L60" i="105"/>
  <c r="L80" i="105"/>
  <c r="L100" i="105"/>
  <c r="L124" i="105"/>
  <c r="L144" i="105"/>
  <c r="L164" i="105"/>
  <c r="L188" i="105"/>
  <c r="L208" i="105"/>
  <c r="L228" i="105"/>
  <c r="L244" i="105"/>
  <c r="L260" i="105"/>
  <c r="L276" i="105"/>
  <c r="L292" i="105"/>
  <c r="L308" i="105"/>
  <c r="L324" i="105"/>
  <c r="L340" i="105"/>
  <c r="L356" i="105"/>
  <c r="L372" i="105"/>
  <c r="L388" i="105"/>
  <c r="L404" i="105"/>
  <c r="L420" i="105"/>
  <c r="L436" i="105"/>
  <c r="L452" i="105"/>
  <c r="L297" i="105"/>
  <c r="L329" i="105"/>
  <c r="L361" i="105"/>
  <c r="L390" i="105"/>
  <c r="L411" i="105"/>
  <c r="L433" i="105"/>
  <c r="L454" i="105"/>
  <c r="L470" i="105"/>
  <c r="L486" i="105"/>
  <c r="L502" i="105"/>
  <c r="L518" i="105"/>
  <c r="K27" i="105"/>
  <c r="K43" i="105"/>
  <c r="K59" i="105"/>
  <c r="L283" i="105"/>
  <c r="L315" i="105"/>
  <c r="L347" i="105"/>
  <c r="L379" i="105"/>
  <c r="L402" i="105"/>
  <c r="L423" i="105"/>
  <c r="L445" i="105"/>
  <c r="L463" i="105"/>
  <c r="L479" i="105"/>
  <c r="L495" i="105"/>
  <c r="L511" i="105"/>
  <c r="K36" i="105"/>
  <c r="K52" i="105"/>
  <c r="K68" i="105"/>
  <c r="K84" i="105"/>
  <c r="K100" i="105"/>
  <c r="K116" i="105"/>
  <c r="K132" i="105"/>
  <c r="K148" i="105"/>
  <c r="K164" i="105"/>
  <c r="K180" i="105"/>
  <c r="K196" i="105"/>
  <c r="K212" i="105"/>
  <c r="L293" i="105"/>
  <c r="L325" i="105"/>
  <c r="L357" i="105"/>
  <c r="L387" i="105"/>
  <c r="L409" i="105"/>
  <c r="L430" i="105"/>
  <c r="L451" i="105"/>
  <c r="L468" i="105"/>
  <c r="L484" i="105"/>
  <c r="L500" i="105"/>
  <c r="L516" i="105"/>
  <c r="K25" i="105"/>
  <c r="K41" i="105"/>
  <c r="K57" i="105"/>
  <c r="K73" i="105"/>
  <c r="L295" i="105"/>
  <c r="L327" i="105"/>
  <c r="L359" i="105"/>
  <c r="L389" i="105"/>
  <c r="L410" i="105"/>
  <c r="L431" i="105"/>
  <c r="L453" i="105"/>
  <c r="L469" i="105"/>
  <c r="L485" i="105"/>
  <c r="L501" i="105"/>
  <c r="L517" i="105"/>
  <c r="K26" i="105"/>
  <c r="M22" i="3"/>
  <c r="W32" i="114"/>
  <c r="Y28" i="114"/>
  <c r="W32" i="112"/>
  <c r="Y28" i="112"/>
  <c r="Y28" i="111"/>
  <c r="W32" i="111"/>
  <c r="W15" i="107"/>
  <c r="Y13" i="107"/>
  <c r="W32" i="107"/>
  <c r="Y28" i="107"/>
  <c r="Y29" i="106"/>
  <c r="W33" i="106"/>
  <c r="M20" i="3"/>
  <c r="M11" i="3"/>
  <c r="K13" i="3"/>
  <c r="K22" i="3"/>
  <c r="K11" i="3"/>
  <c r="L28" i="3"/>
  <c r="K28" i="3"/>
  <c r="G28" i="3"/>
  <c r="A28" i="3" l="1"/>
  <c r="G30" i="3"/>
  <c r="G31" i="3"/>
  <c r="A31" i="3" s="1"/>
  <c r="W31" i="3" s="1"/>
  <c r="G32" i="3"/>
  <c r="A32" i="3" s="1"/>
  <c r="W32" i="3" s="1"/>
  <c r="G33" i="3"/>
  <c r="A33" i="3" s="1"/>
  <c r="W33" i="3" s="1"/>
  <c r="G34" i="3"/>
  <c r="A34" i="3" s="1"/>
  <c r="W34" i="3" s="1"/>
  <c r="G35" i="3"/>
  <c r="A35" i="3" s="1"/>
  <c r="W35" i="3" s="1"/>
  <c r="G36" i="3"/>
  <c r="A36" i="3" s="1"/>
  <c r="W36" i="3" s="1"/>
  <c r="G37" i="3"/>
  <c r="A37" i="3" s="1"/>
  <c r="W37" i="3" s="1"/>
  <c r="G38" i="3"/>
  <c r="A38" i="3" s="1"/>
  <c r="W38" i="3" s="1"/>
  <c r="G39" i="3"/>
  <c r="A39" i="3" s="1"/>
  <c r="W39" i="3" s="1"/>
  <c r="G40" i="3"/>
  <c r="A40" i="3" s="1"/>
  <c r="W40" i="3" s="1"/>
  <c r="G41" i="3"/>
  <c r="A41" i="3" s="1"/>
  <c r="W41" i="3" s="1"/>
  <c r="G42" i="3"/>
  <c r="A42" i="3" s="1"/>
  <c r="W42" i="3" s="1"/>
  <c r="G43" i="3"/>
  <c r="A43" i="3" s="1"/>
  <c r="W43" i="3" s="1"/>
  <c r="G44" i="3"/>
  <c r="A44" i="3" s="1"/>
  <c r="W44" i="3" s="1"/>
  <c r="G45" i="3"/>
  <c r="A45" i="3" s="1"/>
  <c r="W45" i="3" s="1"/>
  <c r="G46" i="3"/>
  <c r="A46" i="3" s="1"/>
  <c r="W46" i="3" s="1"/>
  <c r="G47" i="3"/>
  <c r="A47" i="3" s="1"/>
  <c r="W47" i="3" s="1"/>
  <c r="G48" i="3"/>
  <c r="A48" i="3" s="1"/>
  <c r="W48" i="3" s="1"/>
  <c r="G49" i="3"/>
  <c r="A49" i="3" s="1"/>
  <c r="W49" i="3" s="1"/>
  <c r="G50" i="3"/>
  <c r="A50" i="3" s="1"/>
  <c r="W50" i="3" s="1"/>
  <c r="G51" i="3"/>
  <c r="A51" i="3" s="1"/>
  <c r="W51" i="3" s="1"/>
  <c r="G52" i="3"/>
  <c r="A52" i="3" s="1"/>
  <c r="W52" i="3" s="1"/>
  <c r="G53" i="3"/>
  <c r="A53" i="3" s="1"/>
  <c r="W53" i="3" s="1"/>
  <c r="G54" i="3"/>
  <c r="A54" i="3" s="1"/>
  <c r="W54" i="3" s="1"/>
  <c r="G55" i="3"/>
  <c r="A55" i="3" s="1"/>
  <c r="W55" i="3" s="1"/>
  <c r="G56" i="3"/>
  <c r="A56" i="3" s="1"/>
  <c r="W56" i="3" s="1"/>
  <c r="G57" i="3"/>
  <c r="A57" i="3" s="1"/>
  <c r="W57" i="3" s="1"/>
  <c r="G58" i="3"/>
  <c r="A58" i="3" s="1"/>
  <c r="W58" i="3" s="1"/>
  <c r="G59" i="3"/>
  <c r="A59" i="3" s="1"/>
  <c r="W59" i="3" s="1"/>
  <c r="G60" i="3"/>
  <c r="A60" i="3" s="1"/>
  <c r="W60" i="3" s="1"/>
  <c r="G61" i="3"/>
  <c r="A61" i="3" s="1"/>
  <c r="W61" i="3" s="1"/>
  <c r="G62" i="3"/>
  <c r="A62" i="3" s="1"/>
  <c r="W62" i="3" s="1"/>
  <c r="G63" i="3"/>
  <c r="A63" i="3" s="1"/>
  <c r="W63" i="3" s="1"/>
  <c r="G64" i="3"/>
  <c r="A64" i="3" s="1"/>
  <c r="W64" i="3" s="1"/>
  <c r="G65" i="3"/>
  <c r="A65" i="3" s="1"/>
  <c r="W65" i="3" s="1"/>
  <c r="G66" i="3"/>
  <c r="A66" i="3" s="1"/>
  <c r="W66" i="3" s="1"/>
  <c r="G67" i="3"/>
  <c r="A67" i="3" s="1"/>
  <c r="W67" i="3" s="1"/>
  <c r="G68" i="3"/>
  <c r="A68" i="3" s="1"/>
  <c r="W68" i="3" s="1"/>
  <c r="G69" i="3"/>
  <c r="A69" i="3" s="1"/>
  <c r="W69" i="3" s="1"/>
  <c r="G70" i="3"/>
  <c r="A70" i="3" s="1"/>
  <c r="W70" i="3" s="1"/>
  <c r="G71" i="3"/>
  <c r="A71" i="3" s="1"/>
  <c r="W71" i="3" s="1"/>
  <c r="G72" i="3"/>
  <c r="A72" i="3" s="1"/>
  <c r="W72" i="3" s="1"/>
  <c r="G73" i="3"/>
  <c r="A73" i="3" s="1"/>
  <c r="W73" i="3" s="1"/>
  <c r="G74" i="3"/>
  <c r="A74" i="3" s="1"/>
  <c r="W74" i="3" s="1"/>
  <c r="G75" i="3"/>
  <c r="A75" i="3" s="1"/>
  <c r="W75" i="3" s="1"/>
  <c r="G76" i="3"/>
  <c r="A76" i="3" s="1"/>
  <c r="W76" i="3" s="1"/>
  <c r="G77" i="3"/>
  <c r="A77" i="3" s="1"/>
  <c r="W77" i="3" s="1"/>
  <c r="G78" i="3"/>
  <c r="A78" i="3" s="1"/>
  <c r="W78" i="3" s="1"/>
  <c r="A30" i="3" l="1"/>
  <c r="G9" i="29"/>
  <c r="E6" i="111"/>
  <c r="E4" i="111"/>
  <c r="J21" i="114"/>
  <c r="J20" i="114"/>
  <c r="J16" i="114"/>
  <c r="J15" i="114"/>
  <c r="J11" i="114"/>
  <c r="J10" i="114"/>
  <c r="I21" i="114"/>
  <c r="I20" i="114"/>
  <c r="I16" i="114"/>
  <c r="I15" i="114"/>
  <c r="I11" i="114"/>
  <c r="I10" i="114"/>
  <c r="H21" i="114"/>
  <c r="H20" i="114"/>
  <c r="H16" i="114"/>
  <c r="H15" i="114"/>
  <c r="H11" i="114"/>
  <c r="H10" i="114"/>
  <c r="E21" i="114"/>
  <c r="E20" i="114"/>
  <c r="E16" i="114"/>
  <c r="E15" i="114"/>
  <c r="E11" i="114"/>
  <c r="E10" i="114"/>
  <c r="E6" i="114"/>
  <c r="D6" i="114"/>
  <c r="E4" i="114"/>
  <c r="D4" i="114"/>
  <c r="E2" i="114"/>
  <c r="D2" i="114"/>
  <c r="C6" i="114"/>
  <c r="C4" i="114"/>
  <c r="C2" i="114"/>
  <c r="J21" i="112"/>
  <c r="J20" i="112"/>
  <c r="J16" i="112"/>
  <c r="J15" i="112"/>
  <c r="J11" i="112"/>
  <c r="J10" i="112"/>
  <c r="I21" i="112"/>
  <c r="I20" i="112"/>
  <c r="I16" i="112"/>
  <c r="I15" i="112"/>
  <c r="I11" i="112"/>
  <c r="I10" i="112"/>
  <c r="H21" i="112"/>
  <c r="H20" i="112"/>
  <c r="H16" i="112"/>
  <c r="H15" i="112"/>
  <c r="H11" i="112"/>
  <c r="H10" i="112"/>
  <c r="E21" i="112"/>
  <c r="E20" i="112"/>
  <c r="E16" i="112"/>
  <c r="E15" i="112"/>
  <c r="E11" i="112"/>
  <c r="E10" i="112"/>
  <c r="D6" i="111"/>
  <c r="C6" i="111"/>
  <c r="D4" i="111"/>
  <c r="C4" i="111"/>
  <c r="W30" i="3" l="1"/>
  <c r="B2" i="114"/>
  <c r="B6" i="114"/>
  <c r="B4" i="114"/>
  <c r="E6" i="112" l="1"/>
  <c r="E4" i="112"/>
  <c r="E2" i="112"/>
  <c r="D6" i="112"/>
  <c r="D4" i="112"/>
  <c r="D2" i="112"/>
  <c r="C6" i="112"/>
  <c r="C4" i="112"/>
  <c r="C2" i="112"/>
  <c r="B2" i="112" s="1"/>
  <c r="J21" i="111"/>
  <c r="J20" i="111"/>
  <c r="I21" i="111"/>
  <c r="I20" i="111"/>
  <c r="H21" i="111"/>
  <c r="H20" i="111"/>
  <c r="E21" i="111"/>
  <c r="E20" i="111"/>
  <c r="J16" i="111"/>
  <c r="J15" i="111"/>
  <c r="I16" i="111"/>
  <c r="I15" i="111"/>
  <c r="H16" i="111"/>
  <c r="H15" i="111"/>
  <c r="E16" i="111"/>
  <c r="E15" i="111"/>
  <c r="J11" i="111"/>
  <c r="J10" i="111"/>
  <c r="I11" i="111"/>
  <c r="I10" i="111"/>
  <c r="H11" i="111"/>
  <c r="H10" i="111"/>
  <c r="E11" i="111"/>
  <c r="E10" i="111"/>
  <c r="B4" i="111"/>
  <c r="J21" i="107"/>
  <c r="J20" i="107"/>
  <c r="I21" i="107"/>
  <c r="I20" i="107"/>
  <c r="H21" i="107"/>
  <c r="H20" i="107"/>
  <c r="E21" i="107"/>
  <c r="E20" i="107"/>
  <c r="J16" i="107"/>
  <c r="J15" i="107"/>
  <c r="I16" i="107"/>
  <c r="I15" i="107"/>
  <c r="H16" i="107"/>
  <c r="H15" i="107"/>
  <c r="E16" i="107"/>
  <c r="E15" i="107"/>
  <c r="J11" i="107"/>
  <c r="J10" i="107"/>
  <c r="I11" i="107"/>
  <c r="I10" i="107"/>
  <c r="H11" i="107"/>
  <c r="H10" i="107"/>
  <c r="E11" i="107"/>
  <c r="E10" i="107"/>
  <c r="B6" i="112" l="1"/>
  <c r="B4" i="112"/>
  <c r="B6" i="111"/>
  <c r="E6" i="107" l="1"/>
  <c r="E4" i="107"/>
  <c r="E2" i="107"/>
  <c r="D6" i="107"/>
  <c r="D4" i="107"/>
  <c r="D2" i="107"/>
  <c r="C6" i="107"/>
  <c r="C4" i="107"/>
  <c r="C2" i="107"/>
  <c r="E6" i="105" l="1"/>
  <c r="E4" i="105"/>
  <c r="E2" i="105"/>
  <c r="A23" i="105" l="1"/>
  <c r="A22" i="105"/>
  <c r="A25" i="105"/>
  <c r="A37" i="105"/>
  <c r="A46" i="105"/>
  <c r="A52" i="105"/>
  <c r="A56" i="105"/>
  <c r="A60" i="105"/>
  <c r="A64" i="105"/>
  <c r="A68" i="105"/>
  <c r="A72" i="105"/>
  <c r="A76" i="105"/>
  <c r="A80" i="105"/>
  <c r="A84" i="105"/>
  <c r="A88" i="105"/>
  <c r="A93" i="105"/>
  <c r="A97" i="105"/>
  <c r="A101" i="105"/>
  <c r="A105" i="105"/>
  <c r="A34" i="105"/>
  <c r="A45" i="105"/>
  <c r="A33" i="105"/>
  <c r="A107" i="105"/>
  <c r="A111" i="105"/>
  <c r="A115" i="105"/>
  <c r="A119" i="105"/>
  <c r="A123" i="105"/>
  <c r="A127" i="105"/>
  <c r="A131" i="105"/>
  <c r="A135" i="105"/>
  <c r="A139" i="105"/>
  <c r="A143" i="105"/>
  <c r="A147" i="105"/>
  <c r="A151" i="105"/>
  <c r="A155" i="105"/>
  <c r="A159" i="105"/>
  <c r="A163" i="105"/>
  <c r="A167" i="105"/>
  <c r="A171" i="105"/>
  <c r="A175" i="105"/>
  <c r="A179" i="105"/>
  <c r="A183" i="105"/>
  <c r="A187" i="105"/>
  <c r="A191" i="105"/>
  <c r="A195" i="105"/>
  <c r="A199" i="105"/>
  <c r="A203" i="105"/>
  <c r="A207" i="105"/>
  <c r="A211" i="105"/>
  <c r="A215" i="105"/>
  <c r="A219" i="105"/>
  <c r="A223" i="105"/>
  <c r="A227" i="105"/>
  <c r="A231" i="105"/>
  <c r="A235" i="105"/>
  <c r="A239" i="105"/>
  <c r="A243" i="105"/>
  <c r="A247" i="105"/>
  <c r="A251" i="105"/>
  <c r="A256" i="105"/>
  <c r="A260" i="105"/>
  <c r="A264" i="105"/>
  <c r="A268" i="105"/>
  <c r="A272" i="105"/>
  <c r="A276" i="105"/>
  <c r="A366" i="105"/>
  <c r="A370" i="105"/>
  <c r="A374" i="105"/>
  <c r="A281" i="105"/>
  <c r="A285" i="105"/>
  <c r="A289" i="105"/>
  <c r="A293" i="105"/>
  <c r="A297" i="105"/>
  <c r="A301" i="105"/>
  <c r="A305" i="105"/>
  <c r="A309" i="105"/>
  <c r="A313" i="105"/>
  <c r="A317" i="105"/>
  <c r="A321" i="105"/>
  <c r="A325" i="105"/>
  <c r="A329" i="105"/>
  <c r="A333" i="105"/>
  <c r="A337" i="105"/>
  <c r="A341" i="105"/>
  <c r="A345" i="105"/>
  <c r="A349" i="105"/>
  <c r="A353" i="105"/>
  <c r="A357" i="105"/>
  <c r="A361" i="105"/>
  <c r="A377" i="105"/>
  <c r="A27" i="105"/>
  <c r="A40" i="105"/>
  <c r="A47" i="105"/>
  <c r="A53" i="105"/>
  <c r="A57" i="105"/>
  <c r="A61" i="105"/>
  <c r="A65" i="105"/>
  <c r="A69" i="105"/>
  <c r="A73" i="105"/>
  <c r="A77" i="105"/>
  <c r="A81" i="105"/>
  <c r="A85" i="105"/>
  <c r="A89" i="105"/>
  <c r="A94" i="105"/>
  <c r="A98" i="105"/>
  <c r="A102" i="105"/>
  <c r="A106" i="105"/>
  <c r="A38" i="105"/>
  <c r="A50" i="105"/>
  <c r="A36" i="105"/>
  <c r="A108" i="105"/>
  <c r="A112" i="105"/>
  <c r="A116" i="105"/>
  <c r="A120" i="105"/>
  <c r="A124" i="105"/>
  <c r="A128" i="105"/>
  <c r="A132" i="105"/>
  <c r="A136" i="105"/>
  <c r="A140" i="105"/>
  <c r="A144" i="105"/>
  <c r="A148" i="105"/>
  <c r="A152" i="105"/>
  <c r="A156" i="105"/>
  <c r="A160" i="105"/>
  <c r="A164" i="105"/>
  <c r="A168" i="105"/>
  <c r="A172" i="105"/>
  <c r="A176" i="105"/>
  <c r="A180" i="105"/>
  <c r="A184" i="105"/>
  <c r="A188" i="105"/>
  <c r="A192" i="105"/>
  <c r="A196" i="105"/>
  <c r="A200" i="105"/>
  <c r="A204" i="105"/>
  <c r="A208" i="105"/>
  <c r="A212" i="105"/>
  <c r="A216" i="105"/>
  <c r="A220" i="105"/>
  <c r="A224" i="105"/>
  <c r="A228" i="105"/>
  <c r="A232" i="105"/>
  <c r="A236" i="105"/>
  <c r="A240" i="105"/>
  <c r="A244" i="105"/>
  <c r="A248" i="105"/>
  <c r="A252" i="105"/>
  <c r="A257" i="105"/>
  <c r="A261" i="105"/>
  <c r="A265" i="105"/>
  <c r="A269" i="105"/>
  <c r="A273" i="105"/>
  <c r="A277" i="105"/>
  <c r="A367" i="105"/>
  <c r="A371" i="105"/>
  <c r="A278" i="105"/>
  <c r="A282" i="105"/>
  <c r="A286" i="105"/>
  <c r="A290" i="105"/>
  <c r="A294" i="105"/>
  <c r="A298" i="105"/>
  <c r="A302" i="105"/>
  <c r="A306" i="105"/>
  <c r="A310" i="105"/>
  <c r="A314" i="105"/>
  <c r="A318" i="105"/>
  <c r="A322" i="105"/>
  <c r="A326" i="105"/>
  <c r="A330" i="105"/>
  <c r="A334" i="105"/>
  <c r="A338" i="105"/>
  <c r="A342" i="105"/>
  <c r="A346" i="105"/>
  <c r="A350" i="105"/>
  <c r="A354" i="105"/>
  <c r="A30" i="105"/>
  <c r="A43" i="105"/>
  <c r="A48" i="105"/>
  <c r="A54" i="105"/>
  <c r="A58" i="105"/>
  <c r="A62" i="105"/>
  <c r="A66" i="105"/>
  <c r="A70" i="105"/>
  <c r="A74" i="105"/>
  <c r="A78" i="105"/>
  <c r="A82" i="105"/>
  <c r="A86" i="105"/>
  <c r="A91" i="105"/>
  <c r="A95" i="105"/>
  <c r="A99" i="105"/>
  <c r="A103" i="105"/>
  <c r="A26" i="105"/>
  <c r="A39" i="105"/>
  <c r="A24" i="105"/>
  <c r="A41" i="105"/>
  <c r="A109" i="105"/>
  <c r="A113" i="105"/>
  <c r="A117" i="105"/>
  <c r="A121" i="105"/>
  <c r="A125" i="105"/>
  <c r="A129" i="105"/>
  <c r="A133" i="105"/>
  <c r="A137" i="105"/>
  <c r="A141" i="105"/>
  <c r="A145" i="105"/>
  <c r="A149" i="105"/>
  <c r="A153" i="105"/>
  <c r="A157" i="105"/>
  <c r="A161" i="105"/>
  <c r="A165" i="105"/>
  <c r="A169" i="105"/>
  <c r="A173" i="105"/>
  <c r="A177" i="105"/>
  <c r="A181" i="105"/>
  <c r="A185" i="105"/>
  <c r="A189" i="105"/>
  <c r="A193" i="105"/>
  <c r="A197" i="105"/>
  <c r="A201" i="105"/>
  <c r="A205" i="105"/>
  <c r="A209" i="105"/>
  <c r="A213" i="105"/>
  <c r="A217" i="105"/>
  <c r="A221" i="105"/>
  <c r="A225" i="105"/>
  <c r="A229" i="105"/>
  <c r="A233" i="105"/>
  <c r="A237" i="105"/>
  <c r="A241" i="105"/>
  <c r="A245" i="105"/>
  <c r="A249" i="105"/>
  <c r="A254" i="105"/>
  <c r="A258" i="105"/>
  <c r="A262" i="105"/>
  <c r="A266" i="105"/>
  <c r="A270" i="105"/>
  <c r="A274" i="105"/>
  <c r="A364" i="105"/>
  <c r="A368" i="105"/>
  <c r="A372" i="105"/>
  <c r="A279" i="105"/>
  <c r="A283" i="105"/>
  <c r="A287" i="105"/>
  <c r="A291" i="105"/>
  <c r="A295" i="105"/>
  <c r="A299" i="105"/>
  <c r="A303" i="105"/>
  <c r="A307" i="105"/>
  <c r="A35" i="105"/>
  <c r="A44" i="105"/>
  <c r="A51" i="105"/>
  <c r="A55" i="105"/>
  <c r="A59" i="105"/>
  <c r="A63" i="105"/>
  <c r="A67" i="105"/>
  <c r="A71" i="105"/>
  <c r="A75" i="105"/>
  <c r="A79" i="105"/>
  <c r="A83" i="105"/>
  <c r="A87" i="105"/>
  <c r="A92" i="105"/>
  <c r="A96" i="105"/>
  <c r="A100" i="105"/>
  <c r="A104" i="105"/>
  <c r="A29" i="105"/>
  <c r="A42" i="105"/>
  <c r="A28" i="105"/>
  <c r="A49" i="105"/>
  <c r="A110" i="105"/>
  <c r="A114" i="105"/>
  <c r="A118" i="105"/>
  <c r="A122" i="105"/>
  <c r="A126" i="105"/>
  <c r="A130" i="105"/>
  <c r="A134" i="105"/>
  <c r="A138" i="105"/>
  <c r="A142" i="105"/>
  <c r="A146" i="105"/>
  <c r="A150" i="105"/>
  <c r="A154" i="105"/>
  <c r="A158" i="105"/>
  <c r="A162" i="105"/>
  <c r="A166" i="105"/>
  <c r="A170" i="105"/>
  <c r="A174" i="105"/>
  <c r="A178" i="105"/>
  <c r="A182" i="105"/>
  <c r="A186" i="105"/>
  <c r="A190" i="105"/>
  <c r="A194" i="105"/>
  <c r="A198" i="105"/>
  <c r="A202" i="105"/>
  <c r="A206" i="105"/>
  <c r="A210" i="105"/>
  <c r="A214" i="105"/>
  <c r="A218" i="105"/>
  <c r="A222" i="105"/>
  <c r="A226" i="105"/>
  <c r="A230" i="105"/>
  <c r="A234" i="105"/>
  <c r="A238" i="105"/>
  <c r="A242" i="105"/>
  <c r="A246" i="105"/>
  <c r="A250" i="105"/>
  <c r="A255" i="105"/>
  <c r="A259" i="105"/>
  <c r="A263" i="105"/>
  <c r="A267" i="105"/>
  <c r="A271" i="105"/>
  <c r="A275" i="105"/>
  <c r="A365" i="105"/>
  <c r="A369" i="105"/>
  <c r="A373" i="105"/>
  <c r="A280" i="105"/>
  <c r="A284" i="105"/>
  <c r="A288" i="105"/>
  <c r="A292" i="105"/>
  <c r="A296" i="105"/>
  <c r="A300" i="105"/>
  <c r="A304" i="105"/>
  <c r="A308" i="105"/>
  <c r="A312" i="105"/>
  <c r="A316" i="105"/>
  <c r="A320" i="105"/>
  <c r="A324" i="105"/>
  <c r="A328" i="105"/>
  <c r="A332" i="105"/>
  <c r="A336" i="105"/>
  <c r="A340" i="105"/>
  <c r="A344" i="105"/>
  <c r="A348" i="105"/>
  <c r="A352" i="105"/>
  <c r="A356" i="105"/>
  <c r="A360" i="105"/>
  <c r="A376" i="105"/>
  <c r="A380" i="105"/>
  <c r="A384" i="105"/>
  <c r="A388" i="105"/>
  <c r="A392" i="105"/>
  <c r="A396" i="105"/>
  <c r="A400" i="105"/>
  <c r="A404" i="105"/>
  <c r="A408" i="105"/>
  <c r="A412" i="105"/>
  <c r="A416" i="105"/>
  <c r="A420" i="105"/>
  <c r="A424" i="105"/>
  <c r="A428" i="105"/>
  <c r="A432" i="105"/>
  <c r="A436" i="105"/>
  <c r="A440" i="105"/>
  <c r="A444" i="105"/>
  <c r="A448" i="105"/>
  <c r="A452" i="105"/>
  <c r="A456" i="105"/>
  <c r="A460" i="105"/>
  <c r="A464" i="105"/>
  <c r="A468" i="105"/>
  <c r="A472" i="105"/>
  <c r="A476" i="105"/>
  <c r="A480" i="105"/>
  <c r="A484" i="105"/>
  <c r="A488" i="105"/>
  <c r="A492" i="105"/>
  <c r="A496" i="105"/>
  <c r="A500" i="105"/>
  <c r="A504" i="105"/>
  <c r="A508" i="105"/>
  <c r="A512" i="105"/>
  <c r="A516" i="105"/>
  <c r="A520" i="105"/>
  <c r="A524" i="105"/>
  <c r="A253" i="105"/>
  <c r="A311" i="105"/>
  <c r="A327" i="105"/>
  <c r="A343" i="105"/>
  <c r="A358" i="105"/>
  <c r="A378" i="105"/>
  <c r="A383" i="105"/>
  <c r="A389" i="105"/>
  <c r="A394" i="105"/>
  <c r="A399" i="105"/>
  <c r="A405" i="105"/>
  <c r="A410" i="105"/>
  <c r="A415" i="105"/>
  <c r="A421" i="105"/>
  <c r="A426" i="105"/>
  <c r="A431" i="105"/>
  <c r="A437" i="105"/>
  <c r="A442" i="105"/>
  <c r="A447" i="105"/>
  <c r="A453" i="105"/>
  <c r="A458" i="105"/>
  <c r="A463" i="105"/>
  <c r="A469" i="105"/>
  <c r="A474" i="105"/>
  <c r="A479" i="105"/>
  <c r="A485" i="105"/>
  <c r="A490" i="105"/>
  <c r="A495" i="105"/>
  <c r="A501" i="105"/>
  <c r="A506" i="105"/>
  <c r="A511" i="105"/>
  <c r="A517" i="105"/>
  <c r="A522" i="105"/>
  <c r="A363" i="105"/>
  <c r="A351" i="105"/>
  <c r="A386" i="105"/>
  <c r="A402" i="105"/>
  <c r="A413" i="105"/>
  <c r="A434" i="105"/>
  <c r="A461" i="105"/>
  <c r="A477" i="105"/>
  <c r="A493" i="105"/>
  <c r="A509" i="105"/>
  <c r="A31" i="105"/>
  <c r="A315" i="105"/>
  <c r="A331" i="105"/>
  <c r="A347" i="105"/>
  <c r="A359" i="105"/>
  <c r="A379" i="105"/>
  <c r="A385" i="105"/>
  <c r="A390" i="105"/>
  <c r="A395" i="105"/>
  <c r="A401" i="105"/>
  <c r="A406" i="105"/>
  <c r="A411" i="105"/>
  <c r="A417" i="105"/>
  <c r="A422" i="105"/>
  <c r="A427" i="105"/>
  <c r="A433" i="105"/>
  <c r="A438" i="105"/>
  <c r="A443" i="105"/>
  <c r="A449" i="105"/>
  <c r="A454" i="105"/>
  <c r="A459" i="105"/>
  <c r="A465" i="105"/>
  <c r="A470" i="105"/>
  <c r="A475" i="105"/>
  <c r="A481" i="105"/>
  <c r="A486" i="105"/>
  <c r="A491" i="105"/>
  <c r="A497" i="105"/>
  <c r="A502" i="105"/>
  <c r="A507" i="105"/>
  <c r="A513" i="105"/>
  <c r="A518" i="105"/>
  <c r="A523" i="105"/>
  <c r="A32" i="105"/>
  <c r="A335" i="105"/>
  <c r="A362" i="105"/>
  <c r="A391" i="105"/>
  <c r="A407" i="105"/>
  <c r="A423" i="105"/>
  <c r="A439" i="105"/>
  <c r="A455" i="105"/>
  <c r="A471" i="105"/>
  <c r="A487" i="105"/>
  <c r="A503" i="105"/>
  <c r="A519" i="105"/>
  <c r="A450" i="105"/>
  <c r="A323" i="105"/>
  <c r="A339" i="105"/>
  <c r="A355" i="105"/>
  <c r="A375" i="105"/>
  <c r="A382" i="105"/>
  <c r="A387" i="105"/>
  <c r="A393" i="105"/>
  <c r="A398" i="105"/>
  <c r="A403" i="105"/>
  <c r="A409" i="105"/>
  <c r="A414" i="105"/>
  <c r="A419" i="105"/>
  <c r="A425" i="105"/>
  <c r="A430" i="105"/>
  <c r="A435" i="105"/>
  <c r="A441" i="105"/>
  <c r="A446" i="105"/>
  <c r="A451" i="105"/>
  <c r="A457" i="105"/>
  <c r="A462" i="105"/>
  <c r="A467" i="105"/>
  <c r="A473" i="105"/>
  <c r="A478" i="105"/>
  <c r="A483" i="105"/>
  <c r="A489" i="105"/>
  <c r="A494" i="105"/>
  <c r="A499" i="105"/>
  <c r="A505" i="105"/>
  <c r="A510" i="105"/>
  <c r="A515" i="105"/>
  <c r="A521" i="105"/>
  <c r="A526" i="105"/>
  <c r="A90" i="105"/>
  <c r="A319" i="105"/>
  <c r="A381" i="105"/>
  <c r="A397" i="105"/>
  <c r="A418" i="105"/>
  <c r="A429" i="105"/>
  <c r="A445" i="105"/>
  <c r="A466" i="105"/>
  <c r="A482" i="105"/>
  <c r="A498" i="105"/>
  <c r="A514" i="105"/>
  <c r="A525" i="105"/>
  <c r="D20" i="106"/>
  <c r="D15" i="106"/>
  <c r="D11" i="106"/>
  <c r="D10" i="106"/>
  <c r="E6" i="106" l="1"/>
  <c r="B6" i="106"/>
  <c r="E4" i="106"/>
  <c r="E2" i="106"/>
  <c r="D2" i="106"/>
  <c r="C2" i="106"/>
  <c r="B2" i="106" s="1"/>
  <c r="B6" i="107"/>
  <c r="B4" i="107"/>
  <c r="B2" i="107"/>
  <c r="B4" i="106" l="1"/>
  <c r="T43" i="62" l="1"/>
  <c r="B6" i="105"/>
  <c r="B2" i="105"/>
  <c r="T45" i="62" l="1"/>
  <c r="B4" i="105"/>
  <c r="U40" i="62" l="1"/>
  <c r="U41" i="62"/>
  <c r="U42" i="62"/>
  <c r="U44" i="62"/>
  <c r="U39" i="62"/>
  <c r="U43" i="62"/>
  <c r="E6" i="62"/>
  <c r="D2" i="29"/>
  <c r="G24" i="62"/>
  <c r="G23" i="62"/>
  <c r="G14" i="62"/>
  <c r="G13" i="62"/>
  <c r="B43" i="71"/>
  <c r="E2" i="29"/>
  <c r="A9" i="29"/>
  <c r="G8" i="29"/>
  <c r="A8" i="29" s="1"/>
  <c r="G59" i="29"/>
  <c r="G58" i="29"/>
  <c r="G57" i="29"/>
  <c r="G56" i="29"/>
  <c r="G55" i="29"/>
  <c r="G54" i="29"/>
  <c r="G53" i="29"/>
  <c r="A53" i="29" s="1"/>
  <c r="G52" i="29"/>
  <c r="G51" i="29"/>
  <c r="G50" i="29"/>
  <c r="G49" i="29"/>
  <c r="A49" i="29" s="1"/>
  <c r="G48" i="29"/>
  <c r="G47" i="29"/>
  <c r="G46" i="29"/>
  <c r="G45" i="29"/>
  <c r="A45" i="29" s="1"/>
  <c r="G44" i="29"/>
  <c r="G43" i="29"/>
  <c r="G42" i="29"/>
  <c r="G41" i="29"/>
  <c r="A41" i="29" s="1"/>
  <c r="G40" i="29"/>
  <c r="G39" i="29"/>
  <c r="G38" i="29"/>
  <c r="G37" i="29"/>
  <c r="A37" i="29" s="1"/>
  <c r="G36" i="29"/>
  <c r="G35" i="29"/>
  <c r="G34" i="29"/>
  <c r="G33" i="29"/>
  <c r="A33" i="29" s="1"/>
  <c r="G32" i="29"/>
  <c r="G31" i="29"/>
  <c r="G30" i="29"/>
  <c r="G29" i="29"/>
  <c r="A29" i="29" s="1"/>
  <c r="G28" i="29"/>
  <c r="G27" i="29"/>
  <c r="G26" i="29"/>
  <c r="G25" i="29"/>
  <c r="A25" i="29" s="1"/>
  <c r="G24" i="29"/>
  <c r="G23" i="29"/>
  <c r="G22" i="29"/>
  <c r="G21" i="29"/>
  <c r="A21" i="29" s="1"/>
  <c r="G20" i="29"/>
  <c r="G19" i="29"/>
  <c r="G18" i="29"/>
  <c r="G17" i="29"/>
  <c r="A17" i="29" s="1"/>
  <c r="G16" i="29"/>
  <c r="G15" i="29"/>
  <c r="G14" i="29"/>
  <c r="G13" i="29"/>
  <c r="A13" i="29" s="1"/>
  <c r="G12" i="29"/>
  <c r="G11" i="29"/>
  <c r="G5" i="64"/>
  <c r="L15" i="3"/>
  <c r="L14" i="3"/>
  <c r="G15" i="3"/>
  <c r="G14" i="3"/>
  <c r="A12" i="29" l="1"/>
  <c r="A16" i="29"/>
  <c r="A57" i="29"/>
  <c r="A14" i="29"/>
  <c r="A18" i="29"/>
  <c r="A22" i="29"/>
  <c r="A26" i="29"/>
  <c r="A30" i="29"/>
  <c r="A34" i="29"/>
  <c r="A38" i="29"/>
  <c r="A42" i="29"/>
  <c r="A46" i="29"/>
  <c r="A50" i="29"/>
  <c r="A54" i="29"/>
  <c r="A58" i="29"/>
  <c r="A11" i="29"/>
  <c r="A15" i="29"/>
  <c r="A19" i="29"/>
  <c r="A23" i="29"/>
  <c r="A27" i="29"/>
  <c r="A31" i="29"/>
  <c r="A35" i="29"/>
  <c r="A39" i="29"/>
  <c r="A43" i="29"/>
  <c r="A47" i="29"/>
  <c r="A51" i="29"/>
  <c r="A55" i="29"/>
  <c r="A59" i="29"/>
  <c r="A20" i="29"/>
  <c r="A24" i="29"/>
  <c r="A28" i="29"/>
  <c r="A32" i="29"/>
  <c r="A36" i="29"/>
  <c r="A40" i="29"/>
  <c r="A44" i="29"/>
  <c r="A48" i="29"/>
  <c r="A52" i="29"/>
  <c r="A56" i="29"/>
  <c r="G10" i="29"/>
  <c r="K34" i="29"/>
  <c r="K40" i="29"/>
  <c r="K41" i="29"/>
  <c r="K42" i="29"/>
  <c r="K43" i="29"/>
  <c r="K45" i="29"/>
  <c r="K46" i="29"/>
  <c r="K52" i="29"/>
  <c r="K54" i="29"/>
  <c r="K55" i="29"/>
  <c r="K56" i="29"/>
  <c r="K59" i="29"/>
  <c r="K14" i="29"/>
  <c r="K15" i="29"/>
  <c r="K16" i="29"/>
  <c r="K17" i="29"/>
  <c r="K18" i="29"/>
  <c r="K19" i="29"/>
  <c r="K21" i="29"/>
  <c r="K22" i="29"/>
  <c r="K23" i="29"/>
  <c r="K24" i="29"/>
  <c r="K25" i="29"/>
  <c r="K28" i="29"/>
  <c r="K30" i="29"/>
  <c r="K33" i="29"/>
  <c r="K58" i="29"/>
  <c r="K38" i="29"/>
  <c r="K39" i="29"/>
  <c r="K12" i="29"/>
  <c r="K53" i="29"/>
  <c r="K35" i="29"/>
  <c r="K37" i="29"/>
  <c r="K47" i="29"/>
  <c r="K49" i="29"/>
  <c r="K50" i="29"/>
  <c r="K51" i="29"/>
  <c r="K13" i="29"/>
  <c r="K26" i="29"/>
  <c r="K20" i="29"/>
  <c r="K27" i="29"/>
  <c r="K31" i="29"/>
  <c r="K32" i="29"/>
  <c r="K36" i="29"/>
  <c r="K11" i="29"/>
  <c r="K29" i="29"/>
  <c r="K44" i="29"/>
  <c r="K48" i="29"/>
  <c r="K57" i="29"/>
  <c r="K10" i="29"/>
  <c r="L10" i="29"/>
  <c r="L11" i="29"/>
  <c r="L12" i="29"/>
  <c r="L13" i="29"/>
  <c r="L14" i="29"/>
  <c r="L15" i="29"/>
  <c r="L16" i="29"/>
  <c r="L17" i="29"/>
  <c r="L18" i="29"/>
  <c r="L19" i="29"/>
  <c r="L20" i="29"/>
  <c r="L21" i="29"/>
  <c r="L22" i="29"/>
  <c r="L23" i="29"/>
  <c r="L24" i="29"/>
  <c r="L25" i="29"/>
  <c r="L26" i="29"/>
  <c r="L27" i="29"/>
  <c r="L28" i="29"/>
  <c r="L29" i="29"/>
  <c r="L30" i="29"/>
  <c r="L31" i="29"/>
  <c r="L32" i="29"/>
  <c r="L33" i="29"/>
  <c r="L34" i="29"/>
  <c r="L35" i="29"/>
  <c r="L36" i="29"/>
  <c r="L37" i="29"/>
  <c r="L38" i="29"/>
  <c r="L39" i="29"/>
  <c r="L40" i="29"/>
  <c r="L41" i="29"/>
  <c r="L42" i="29"/>
  <c r="L43" i="29"/>
  <c r="L44" i="29"/>
  <c r="L45" i="29"/>
  <c r="L46" i="29"/>
  <c r="L47" i="29"/>
  <c r="L48" i="29"/>
  <c r="L49" i="29"/>
  <c r="L50" i="29"/>
  <c r="L51" i="29"/>
  <c r="L52" i="29"/>
  <c r="L53" i="29"/>
  <c r="L54" i="29"/>
  <c r="L55" i="29"/>
  <c r="L56" i="29"/>
  <c r="L57" i="29"/>
  <c r="L58" i="29"/>
  <c r="L59" i="29"/>
  <c r="M10" i="29"/>
  <c r="M11" i="29"/>
  <c r="M12" i="29"/>
  <c r="M13" i="29"/>
  <c r="M14" i="29"/>
  <c r="M15" i="29"/>
  <c r="M16" i="29"/>
  <c r="M17" i="29"/>
  <c r="M18" i="29"/>
  <c r="M19" i="29"/>
  <c r="M20" i="29"/>
  <c r="M21" i="29"/>
  <c r="M22" i="29"/>
  <c r="M23" i="29"/>
  <c r="M24" i="29"/>
  <c r="M25" i="29"/>
  <c r="M26" i="29"/>
  <c r="M27" i="29"/>
  <c r="M28" i="29"/>
  <c r="M29" i="29"/>
  <c r="M30" i="29"/>
  <c r="M31" i="29"/>
  <c r="M32" i="29"/>
  <c r="M33" i="29"/>
  <c r="M34" i="29"/>
  <c r="M35" i="29"/>
  <c r="M36" i="29"/>
  <c r="M37" i="29"/>
  <c r="M38" i="29"/>
  <c r="M39" i="29"/>
  <c r="M40" i="29"/>
  <c r="M41" i="29"/>
  <c r="M42" i="29"/>
  <c r="M43" i="29"/>
  <c r="M44" i="29"/>
  <c r="M45" i="29"/>
  <c r="M46" i="29"/>
  <c r="M47" i="29"/>
  <c r="M48" i="29"/>
  <c r="M49" i="29"/>
  <c r="M50" i="29"/>
  <c r="M51" i="29"/>
  <c r="M52" i="29"/>
  <c r="M53" i="29"/>
  <c r="M54" i="29"/>
  <c r="M55" i="29"/>
  <c r="M56" i="29"/>
  <c r="M57" i="29"/>
  <c r="M58" i="29"/>
  <c r="M59" i="29"/>
  <c r="K14" i="3"/>
  <c r="K15" i="3"/>
  <c r="M14" i="3"/>
  <c r="M15" i="3"/>
  <c r="K16" i="114"/>
  <c r="L16" i="114"/>
  <c r="K21" i="114"/>
  <c r="M16" i="114"/>
  <c r="M21" i="114"/>
  <c r="L21" i="114"/>
  <c r="G21" i="114"/>
  <c r="A21" i="114" s="1"/>
  <c r="G16" i="114"/>
  <c r="A16" i="114" s="1"/>
  <c r="M15" i="114"/>
  <c r="L15" i="114"/>
  <c r="K15" i="114"/>
  <c r="M11" i="114"/>
  <c r="L11" i="114"/>
  <c r="K11" i="114"/>
  <c r="K10" i="114"/>
  <c r="L10" i="114"/>
  <c r="M10" i="114"/>
  <c r="M20" i="114"/>
  <c r="L20" i="114"/>
  <c r="K20" i="114"/>
  <c r="G11" i="114"/>
  <c r="A11" i="114" s="1"/>
  <c r="G10" i="114"/>
  <c r="A10" i="114" s="1"/>
  <c r="G20" i="114"/>
  <c r="A20" i="114" s="1"/>
  <c r="G15" i="114"/>
  <c r="A15" i="114" s="1"/>
  <c r="L16" i="112"/>
  <c r="G16" i="112"/>
  <c r="A16" i="112" s="1"/>
  <c r="G11" i="105"/>
  <c r="K23" i="62"/>
  <c r="K24" i="62"/>
  <c r="K14" i="62"/>
  <c r="G29" i="62"/>
  <c r="A29" i="62" s="1"/>
  <c r="K13" i="62"/>
  <c r="L14" i="62"/>
  <c r="L23" i="62"/>
  <c r="L24" i="62"/>
  <c r="M13" i="62"/>
  <c r="M11" i="48"/>
  <c r="L13" i="62"/>
  <c r="M14" i="62"/>
  <c r="M23" i="62"/>
  <c r="M24" i="62"/>
  <c r="G11" i="48"/>
  <c r="K5" i="65"/>
  <c r="M5" i="64"/>
  <c r="L5" i="64"/>
  <c r="K5" i="64"/>
  <c r="M5" i="65"/>
  <c r="L5" i="65"/>
  <c r="A10" i="29" l="1"/>
  <c r="G60" i="29"/>
  <c r="A60" i="29" s="1"/>
  <c r="N10" i="114"/>
  <c r="K2" i="114" s="1"/>
  <c r="H2" i="114" s="1"/>
  <c r="D38" i="34" s="1"/>
  <c r="J38" i="34" s="1"/>
  <c r="N15" i="114"/>
  <c r="L4" i="114" s="1"/>
  <c r="I4" i="114" s="1"/>
  <c r="E39" i="34" s="1"/>
  <c r="K39" i="34" s="1"/>
  <c r="N20" i="114"/>
  <c r="J6" i="114" s="1"/>
  <c r="G6" i="114" s="1"/>
  <c r="K16" i="112"/>
  <c r="G15" i="111"/>
  <c r="A15" i="111" s="1"/>
  <c r="G10" i="111"/>
  <c r="A10" i="111" s="1"/>
  <c r="G20" i="111"/>
  <c r="A20" i="111" s="1"/>
  <c r="G11" i="111"/>
  <c r="A11" i="111" s="1"/>
  <c r="M20" i="111"/>
  <c r="L20" i="111"/>
  <c r="L10" i="111"/>
  <c r="M15" i="111"/>
  <c r="K15" i="111"/>
  <c r="K11" i="111"/>
  <c r="K10" i="111"/>
  <c r="L11" i="111"/>
  <c r="K20" i="111"/>
  <c r="M10" i="111"/>
  <c r="L15" i="111"/>
  <c r="M11" i="111"/>
  <c r="G10" i="112"/>
  <c r="A10" i="112" s="1"/>
  <c r="G15" i="112"/>
  <c r="A15" i="112" s="1"/>
  <c r="G11" i="112"/>
  <c r="A11" i="112" s="1"/>
  <c r="G20" i="112"/>
  <c r="A20" i="112" s="1"/>
  <c r="M15" i="112"/>
  <c r="L10" i="112"/>
  <c r="K11" i="112"/>
  <c r="L15" i="112"/>
  <c r="L20" i="112"/>
  <c r="M10" i="112"/>
  <c r="K10" i="112"/>
  <c r="M11" i="112"/>
  <c r="K15" i="112"/>
  <c r="L11" i="112"/>
  <c r="M20" i="112"/>
  <c r="K20" i="112"/>
  <c r="N20" i="112" s="1"/>
  <c r="L21" i="112"/>
  <c r="K21" i="112"/>
  <c r="M21" i="112"/>
  <c r="M16" i="112"/>
  <c r="G21" i="112"/>
  <c r="A21" i="112" s="1"/>
  <c r="K21" i="111"/>
  <c r="L21" i="111"/>
  <c r="M16" i="111"/>
  <c r="L16" i="111"/>
  <c r="M21" i="111"/>
  <c r="K16" i="111"/>
  <c r="G21" i="111"/>
  <c r="A21" i="111" s="1"/>
  <c r="G16" i="111"/>
  <c r="A16" i="111" s="1"/>
  <c r="M16" i="107"/>
  <c r="M21" i="107"/>
  <c r="K21" i="107"/>
  <c r="L21" i="107"/>
  <c r="L16" i="107"/>
  <c r="K16" i="107"/>
  <c r="G16" i="107"/>
  <c r="A16" i="107" s="1"/>
  <c r="G21" i="107"/>
  <c r="A21" i="107" s="1"/>
  <c r="G17" i="105"/>
  <c r="M11" i="105"/>
  <c r="K11" i="105"/>
  <c r="G12" i="105"/>
  <c r="A12" i="105" s="1"/>
  <c r="K16" i="105"/>
  <c r="G16" i="105"/>
  <c r="G11" i="107"/>
  <c r="A11" i="107" s="1"/>
  <c r="G10" i="107"/>
  <c r="A10" i="107" s="1"/>
  <c r="G15" i="107"/>
  <c r="A15" i="107" s="1"/>
  <c r="G20" i="107"/>
  <c r="A20" i="107" s="1"/>
  <c r="K10" i="107"/>
  <c r="L10" i="107"/>
  <c r="K11" i="107"/>
  <c r="L11" i="107"/>
  <c r="K20" i="107"/>
  <c r="M10" i="107"/>
  <c r="M20" i="107"/>
  <c r="K15" i="107"/>
  <c r="M15" i="107"/>
  <c r="M11" i="107"/>
  <c r="L20" i="107"/>
  <c r="L15" i="107"/>
  <c r="M12" i="105"/>
  <c r="L16" i="105"/>
  <c r="M17" i="105"/>
  <c r="L11" i="105"/>
  <c r="K17" i="105"/>
  <c r="L17" i="105"/>
  <c r="L20" i="48"/>
  <c r="L12" i="105"/>
  <c r="M16" i="105"/>
  <c r="K12" i="105"/>
  <c r="K11" i="106"/>
  <c r="M10" i="106"/>
  <c r="L10" i="106"/>
  <c r="M11" i="106"/>
  <c r="L11" i="106"/>
  <c r="G11" i="106"/>
  <c r="A11" i="106" s="1"/>
  <c r="G10" i="106"/>
  <c r="A10" i="106" s="1"/>
  <c r="B18" i="106"/>
  <c r="A15" i="106"/>
  <c r="B13" i="106" s="1"/>
  <c r="K11" i="48"/>
  <c r="L11" i="48"/>
  <c r="A11" i="105"/>
  <c r="G21" i="62"/>
  <c r="G11" i="62"/>
  <c r="G12" i="62"/>
  <c r="G28" i="62"/>
  <c r="A28" i="62" s="1"/>
  <c r="G22" i="62"/>
  <c r="G30" i="62"/>
  <c r="A30" i="62" s="1"/>
  <c r="K10" i="48"/>
  <c r="L10" i="48"/>
  <c r="K20" i="48"/>
  <c r="G20" i="48"/>
  <c r="M20" i="48" s="1"/>
  <c r="G10" i="48"/>
  <c r="U63" i="71"/>
  <c r="T63" i="71"/>
  <c r="S63" i="71"/>
  <c r="R63" i="71"/>
  <c r="Q63" i="71"/>
  <c r="P63" i="71"/>
  <c r="O63" i="71"/>
  <c r="N63" i="71"/>
  <c r="M63" i="71"/>
  <c r="L63" i="71"/>
  <c r="K63" i="71"/>
  <c r="J63" i="71"/>
  <c r="I63" i="71"/>
  <c r="H63" i="71"/>
  <c r="G63" i="71"/>
  <c r="F63" i="71"/>
  <c r="E63" i="71"/>
  <c r="D63" i="71"/>
  <c r="C63" i="71"/>
  <c r="B63" i="71"/>
  <c r="A63" i="71"/>
  <c r="U62" i="71"/>
  <c r="T62" i="71"/>
  <c r="S62" i="71"/>
  <c r="R62" i="71"/>
  <c r="Q62" i="71"/>
  <c r="P62" i="71"/>
  <c r="O62" i="71"/>
  <c r="N62" i="71"/>
  <c r="M62" i="71"/>
  <c r="L62" i="71"/>
  <c r="K62" i="71"/>
  <c r="J62" i="71"/>
  <c r="I62" i="71"/>
  <c r="H62" i="71"/>
  <c r="G62" i="71"/>
  <c r="F62" i="71"/>
  <c r="E62" i="71"/>
  <c r="D62" i="71"/>
  <c r="C62" i="71"/>
  <c r="B62" i="71"/>
  <c r="A62" i="71"/>
  <c r="U61" i="71"/>
  <c r="T61" i="71"/>
  <c r="S61" i="71"/>
  <c r="R61" i="71"/>
  <c r="Q61" i="71"/>
  <c r="P61" i="71"/>
  <c r="O61" i="71"/>
  <c r="N61" i="71"/>
  <c r="M61" i="71"/>
  <c r="L61" i="71"/>
  <c r="K61" i="71"/>
  <c r="J61" i="71"/>
  <c r="I61" i="71"/>
  <c r="H61" i="71"/>
  <c r="G61" i="71"/>
  <c r="F61" i="71"/>
  <c r="E61" i="71"/>
  <c r="D61" i="71"/>
  <c r="C61" i="71"/>
  <c r="B61" i="71"/>
  <c r="A61" i="71"/>
  <c r="U60" i="71"/>
  <c r="T60" i="71"/>
  <c r="S60" i="71"/>
  <c r="R60" i="71"/>
  <c r="Q60" i="71"/>
  <c r="P60" i="71"/>
  <c r="O60" i="71"/>
  <c r="N60" i="71"/>
  <c r="M60" i="71"/>
  <c r="L60" i="71"/>
  <c r="K60" i="71"/>
  <c r="J60" i="71"/>
  <c r="I60" i="71"/>
  <c r="H60" i="71"/>
  <c r="G60" i="71"/>
  <c r="F60" i="71"/>
  <c r="E60" i="71"/>
  <c r="D60" i="71"/>
  <c r="C60" i="71"/>
  <c r="B60" i="71"/>
  <c r="A60" i="71"/>
  <c r="U59" i="71"/>
  <c r="T59" i="71"/>
  <c r="S59" i="71"/>
  <c r="R59" i="71"/>
  <c r="Q59" i="71"/>
  <c r="P59" i="71"/>
  <c r="O59" i="71"/>
  <c r="N59" i="71"/>
  <c r="M59" i="71"/>
  <c r="L59" i="71"/>
  <c r="K59" i="71"/>
  <c r="J59" i="71"/>
  <c r="I59" i="71"/>
  <c r="H59" i="71"/>
  <c r="G59" i="71"/>
  <c r="F59" i="71"/>
  <c r="E59" i="71"/>
  <c r="D59" i="71"/>
  <c r="C59" i="71"/>
  <c r="B59" i="71"/>
  <c r="A59" i="71"/>
  <c r="U58" i="71"/>
  <c r="T58" i="71"/>
  <c r="S58" i="71"/>
  <c r="R58" i="71"/>
  <c r="Q58" i="71"/>
  <c r="P58" i="71"/>
  <c r="O58" i="71"/>
  <c r="N58" i="71"/>
  <c r="M58" i="71"/>
  <c r="L58" i="71"/>
  <c r="K58" i="71"/>
  <c r="J58" i="71"/>
  <c r="I58" i="71"/>
  <c r="H58" i="71"/>
  <c r="G58" i="71"/>
  <c r="F58" i="71"/>
  <c r="E58" i="71"/>
  <c r="D58" i="71"/>
  <c r="C58" i="71"/>
  <c r="B58" i="71"/>
  <c r="A58" i="71"/>
  <c r="U57" i="71"/>
  <c r="T57" i="71"/>
  <c r="S57" i="71"/>
  <c r="R57" i="71"/>
  <c r="Q57" i="71"/>
  <c r="P57" i="71"/>
  <c r="O57" i="71"/>
  <c r="N57" i="71"/>
  <c r="M57" i="71"/>
  <c r="L57" i="71"/>
  <c r="K57" i="71"/>
  <c r="J57" i="71"/>
  <c r="I57" i="71"/>
  <c r="H57" i="71"/>
  <c r="G57" i="71"/>
  <c r="F57" i="71"/>
  <c r="E57" i="71"/>
  <c r="D57" i="71"/>
  <c r="C57" i="71"/>
  <c r="B57" i="71"/>
  <c r="A57" i="71"/>
  <c r="U56" i="71"/>
  <c r="T56" i="71"/>
  <c r="S56" i="71"/>
  <c r="R56" i="71"/>
  <c r="Q56" i="71"/>
  <c r="P56" i="71"/>
  <c r="O56" i="71"/>
  <c r="N56" i="71"/>
  <c r="M56" i="71"/>
  <c r="L56" i="71"/>
  <c r="K56" i="71"/>
  <c r="J56" i="71"/>
  <c r="I56" i="71"/>
  <c r="H56" i="71"/>
  <c r="G56" i="71"/>
  <c r="F56" i="71"/>
  <c r="E56" i="71"/>
  <c r="D56" i="71"/>
  <c r="C56" i="71"/>
  <c r="B56" i="71"/>
  <c r="A56" i="71"/>
  <c r="U55" i="71"/>
  <c r="T55" i="71"/>
  <c r="S55" i="71"/>
  <c r="R55" i="71"/>
  <c r="Q55" i="71"/>
  <c r="P55" i="71"/>
  <c r="O55" i="71"/>
  <c r="N55" i="71"/>
  <c r="M55" i="71"/>
  <c r="L55" i="71"/>
  <c r="K55" i="71"/>
  <c r="J55" i="71"/>
  <c r="I55" i="71"/>
  <c r="H55" i="71"/>
  <c r="G55" i="71"/>
  <c r="F55" i="71"/>
  <c r="E55" i="71"/>
  <c r="D55" i="71"/>
  <c r="C55" i="71"/>
  <c r="B55" i="71"/>
  <c r="A55" i="71"/>
  <c r="U54" i="71"/>
  <c r="T54" i="71"/>
  <c r="S54" i="71"/>
  <c r="R54" i="71"/>
  <c r="Q54" i="71"/>
  <c r="P54" i="71"/>
  <c r="O54" i="71"/>
  <c r="N54" i="71"/>
  <c r="M54" i="71"/>
  <c r="L54" i="71"/>
  <c r="K54" i="71"/>
  <c r="J54" i="71"/>
  <c r="I54" i="71"/>
  <c r="H54" i="71"/>
  <c r="G54" i="71"/>
  <c r="F54" i="71"/>
  <c r="E54" i="71"/>
  <c r="D54" i="71"/>
  <c r="C54" i="71"/>
  <c r="B54" i="71"/>
  <c r="A54" i="71"/>
  <c r="U53" i="71"/>
  <c r="T53" i="71"/>
  <c r="S53" i="71"/>
  <c r="R53" i="71"/>
  <c r="Q53" i="71"/>
  <c r="P53" i="71"/>
  <c r="O53" i="71"/>
  <c r="N53" i="71"/>
  <c r="M53" i="71"/>
  <c r="L53" i="71"/>
  <c r="K53" i="71"/>
  <c r="J53" i="71"/>
  <c r="I53" i="71"/>
  <c r="H53" i="71"/>
  <c r="G53" i="71"/>
  <c r="F53" i="71"/>
  <c r="E53" i="71"/>
  <c r="D53" i="71"/>
  <c r="C53" i="71"/>
  <c r="B53" i="71"/>
  <c r="A53" i="71"/>
  <c r="U52" i="71"/>
  <c r="T52" i="71"/>
  <c r="S52" i="71"/>
  <c r="R52" i="71"/>
  <c r="Q52" i="71"/>
  <c r="P52" i="71"/>
  <c r="O52" i="71"/>
  <c r="N52" i="71"/>
  <c r="M52" i="71"/>
  <c r="L52" i="71"/>
  <c r="K52" i="71"/>
  <c r="J52" i="71"/>
  <c r="I52" i="71"/>
  <c r="H52" i="71"/>
  <c r="G52" i="71"/>
  <c r="F52" i="71"/>
  <c r="E52" i="71"/>
  <c r="D52" i="71"/>
  <c r="C52" i="71"/>
  <c r="B52" i="71"/>
  <c r="A52" i="71"/>
  <c r="U51" i="71"/>
  <c r="T51" i="71"/>
  <c r="S51" i="71"/>
  <c r="R51" i="71"/>
  <c r="Q51" i="71"/>
  <c r="P51" i="71"/>
  <c r="O51" i="71"/>
  <c r="N51" i="71"/>
  <c r="M51" i="71"/>
  <c r="L51" i="71"/>
  <c r="K51" i="71"/>
  <c r="J51" i="71"/>
  <c r="I51" i="71"/>
  <c r="H51" i="71"/>
  <c r="G51" i="71"/>
  <c r="F51" i="71"/>
  <c r="E51" i="71"/>
  <c r="D51" i="71"/>
  <c r="C51" i="71"/>
  <c r="B51" i="71"/>
  <c r="A51" i="71"/>
  <c r="U50" i="71"/>
  <c r="T50" i="71"/>
  <c r="S50" i="71"/>
  <c r="R50" i="71"/>
  <c r="Q50" i="71"/>
  <c r="P50" i="71"/>
  <c r="O50" i="71"/>
  <c r="N50" i="71"/>
  <c r="M50" i="71"/>
  <c r="L50" i="71"/>
  <c r="K50" i="71"/>
  <c r="J50" i="71"/>
  <c r="I50" i="71"/>
  <c r="H50" i="71"/>
  <c r="G50" i="71"/>
  <c r="F50" i="71"/>
  <c r="E50" i="71"/>
  <c r="D50" i="71"/>
  <c r="C50" i="71"/>
  <c r="B50" i="71"/>
  <c r="A50" i="71"/>
  <c r="U49" i="71"/>
  <c r="T49" i="71"/>
  <c r="S49" i="71"/>
  <c r="R49" i="71"/>
  <c r="Q49" i="71"/>
  <c r="P49" i="71"/>
  <c r="O49" i="71"/>
  <c r="N49" i="71"/>
  <c r="M49" i="71"/>
  <c r="L49" i="71"/>
  <c r="K49" i="71"/>
  <c r="J49" i="71"/>
  <c r="I49" i="71"/>
  <c r="H49" i="71"/>
  <c r="G49" i="71"/>
  <c r="F49" i="71"/>
  <c r="E49" i="71"/>
  <c r="D49" i="71"/>
  <c r="C49" i="71"/>
  <c r="B49" i="71"/>
  <c r="A49" i="71"/>
  <c r="U48" i="71"/>
  <c r="T48" i="71"/>
  <c r="S48" i="71"/>
  <c r="R48" i="71"/>
  <c r="Q48" i="71"/>
  <c r="P48" i="71"/>
  <c r="O48" i="71"/>
  <c r="N48" i="71"/>
  <c r="M48" i="71"/>
  <c r="L48" i="71"/>
  <c r="K48" i="71"/>
  <c r="J48" i="71"/>
  <c r="I48" i="71"/>
  <c r="H48" i="71"/>
  <c r="G48" i="71"/>
  <c r="F48" i="71"/>
  <c r="E48" i="71"/>
  <c r="D48" i="71"/>
  <c r="C48" i="71"/>
  <c r="B48" i="71"/>
  <c r="A48" i="71"/>
  <c r="U47" i="71"/>
  <c r="T47" i="71"/>
  <c r="S47" i="71"/>
  <c r="R47" i="71"/>
  <c r="Q47" i="71"/>
  <c r="P47" i="71"/>
  <c r="O47" i="71"/>
  <c r="N47" i="71"/>
  <c r="M47" i="71"/>
  <c r="L47" i="71"/>
  <c r="K47" i="71"/>
  <c r="J47" i="71"/>
  <c r="I47" i="71"/>
  <c r="H47" i="71"/>
  <c r="G47" i="71"/>
  <c r="F47" i="71"/>
  <c r="E47" i="71"/>
  <c r="D47" i="71"/>
  <c r="C47" i="71"/>
  <c r="B47" i="71"/>
  <c r="A47" i="71"/>
  <c r="U46" i="71"/>
  <c r="T46" i="71"/>
  <c r="S46" i="71"/>
  <c r="R46" i="71"/>
  <c r="Q46" i="71"/>
  <c r="P46" i="71"/>
  <c r="O46" i="71"/>
  <c r="N46" i="71"/>
  <c r="M46" i="71"/>
  <c r="L46" i="71"/>
  <c r="K46" i="71"/>
  <c r="J46" i="71"/>
  <c r="I46" i="71"/>
  <c r="H46" i="71"/>
  <c r="G46" i="71"/>
  <c r="F46" i="71"/>
  <c r="E46" i="71"/>
  <c r="D46" i="71"/>
  <c r="C46" i="71"/>
  <c r="B46" i="71"/>
  <c r="A46" i="71"/>
  <c r="U45" i="71"/>
  <c r="T45" i="71"/>
  <c r="S45" i="71"/>
  <c r="R45" i="71"/>
  <c r="Q45" i="71"/>
  <c r="P45" i="71"/>
  <c r="O45" i="71"/>
  <c r="N45" i="71"/>
  <c r="M45" i="71"/>
  <c r="L45" i="71"/>
  <c r="K45" i="71"/>
  <c r="J45" i="71"/>
  <c r="I45" i="71"/>
  <c r="H45" i="71"/>
  <c r="G45" i="71"/>
  <c r="F45" i="71"/>
  <c r="E45" i="71"/>
  <c r="D45" i="71"/>
  <c r="C45" i="71"/>
  <c r="B45" i="71"/>
  <c r="A45" i="71"/>
  <c r="U44" i="71"/>
  <c r="T44" i="71"/>
  <c r="S44" i="71"/>
  <c r="R44" i="71"/>
  <c r="Q44" i="71"/>
  <c r="P44" i="71"/>
  <c r="O44" i="71"/>
  <c r="N44" i="71"/>
  <c r="M44" i="71"/>
  <c r="L44" i="71"/>
  <c r="K44" i="71"/>
  <c r="J44" i="71"/>
  <c r="I44" i="71"/>
  <c r="H44" i="71"/>
  <c r="G44" i="71"/>
  <c r="F44" i="71"/>
  <c r="E44" i="71"/>
  <c r="D44" i="71"/>
  <c r="C44" i="71"/>
  <c r="B44" i="71"/>
  <c r="A44" i="71"/>
  <c r="U43" i="71"/>
  <c r="T43" i="71"/>
  <c r="S43" i="71"/>
  <c r="R43" i="71"/>
  <c r="Q43" i="71"/>
  <c r="P43" i="71"/>
  <c r="O43" i="71"/>
  <c r="N43" i="71"/>
  <c r="M43" i="71"/>
  <c r="L43" i="71"/>
  <c r="K43" i="71"/>
  <c r="J43" i="71"/>
  <c r="I43" i="71"/>
  <c r="H43" i="71"/>
  <c r="G43" i="71"/>
  <c r="F43" i="71"/>
  <c r="E43" i="71"/>
  <c r="D43" i="71"/>
  <c r="C43" i="71"/>
  <c r="A43" i="71"/>
  <c r="U42" i="71"/>
  <c r="T42" i="71"/>
  <c r="S42" i="71"/>
  <c r="R42" i="71"/>
  <c r="Q42" i="71"/>
  <c r="P42" i="71"/>
  <c r="O42" i="71"/>
  <c r="N42" i="71"/>
  <c r="M42" i="71"/>
  <c r="L42" i="71"/>
  <c r="K42" i="71"/>
  <c r="J42" i="71"/>
  <c r="I42" i="71"/>
  <c r="H42" i="71"/>
  <c r="G42" i="71"/>
  <c r="F42" i="71"/>
  <c r="E42" i="71"/>
  <c r="D42" i="71"/>
  <c r="C42" i="71"/>
  <c r="B42" i="71"/>
  <c r="A42" i="71"/>
  <c r="U41" i="71"/>
  <c r="T41" i="71"/>
  <c r="S41" i="71"/>
  <c r="R41" i="71"/>
  <c r="Q41" i="71"/>
  <c r="P41" i="71"/>
  <c r="O41" i="71"/>
  <c r="N41" i="71"/>
  <c r="M41" i="71"/>
  <c r="L41" i="71"/>
  <c r="K41" i="71"/>
  <c r="J41" i="71"/>
  <c r="I41" i="71"/>
  <c r="H41" i="71"/>
  <c r="G41" i="71"/>
  <c r="F41" i="71"/>
  <c r="E41" i="71"/>
  <c r="D41" i="71"/>
  <c r="C41" i="71"/>
  <c r="B41" i="71"/>
  <c r="A41" i="71"/>
  <c r="U40" i="71"/>
  <c r="T40" i="71"/>
  <c r="S40" i="71"/>
  <c r="R40" i="71"/>
  <c r="Q40" i="71"/>
  <c r="P40" i="71"/>
  <c r="O40" i="71"/>
  <c r="N40" i="71"/>
  <c r="M40" i="71"/>
  <c r="L40" i="71"/>
  <c r="K40" i="71"/>
  <c r="J40" i="71"/>
  <c r="I40" i="71"/>
  <c r="H40" i="71"/>
  <c r="G40" i="71"/>
  <c r="F40" i="71"/>
  <c r="E40" i="71"/>
  <c r="D40" i="71"/>
  <c r="C40" i="71"/>
  <c r="B40" i="71"/>
  <c r="A40" i="71"/>
  <c r="U39" i="71"/>
  <c r="T39" i="71"/>
  <c r="S39" i="71"/>
  <c r="R39" i="71"/>
  <c r="Q39" i="71"/>
  <c r="P39" i="71"/>
  <c r="O39" i="71"/>
  <c r="N39" i="71"/>
  <c r="M39" i="71"/>
  <c r="L39" i="71"/>
  <c r="K39" i="71"/>
  <c r="J39" i="71"/>
  <c r="I39" i="71"/>
  <c r="H39" i="71"/>
  <c r="G39" i="71"/>
  <c r="F39" i="71"/>
  <c r="E39" i="71"/>
  <c r="D39" i="71"/>
  <c r="C39" i="71"/>
  <c r="B39" i="71"/>
  <c r="A39" i="71"/>
  <c r="U38" i="71"/>
  <c r="T38" i="71"/>
  <c r="S38" i="71"/>
  <c r="R38" i="71"/>
  <c r="Q38" i="71"/>
  <c r="P38" i="71"/>
  <c r="O38" i="71"/>
  <c r="N38" i="71"/>
  <c r="M38" i="71"/>
  <c r="L38" i="71"/>
  <c r="K38" i="71"/>
  <c r="J38" i="71"/>
  <c r="I38" i="71"/>
  <c r="H38" i="71"/>
  <c r="G38" i="71"/>
  <c r="F38" i="71"/>
  <c r="E38" i="71"/>
  <c r="D38" i="71"/>
  <c r="C38" i="71"/>
  <c r="B38" i="71"/>
  <c r="A38" i="71"/>
  <c r="U37" i="71"/>
  <c r="T37" i="71"/>
  <c r="S37" i="71"/>
  <c r="R37" i="71"/>
  <c r="Q37" i="71"/>
  <c r="P37" i="71"/>
  <c r="O37" i="71"/>
  <c r="N37" i="71"/>
  <c r="M37" i="71"/>
  <c r="L37" i="71"/>
  <c r="K37" i="71"/>
  <c r="J37" i="71"/>
  <c r="I37" i="71"/>
  <c r="H37" i="71"/>
  <c r="G37" i="71"/>
  <c r="F37" i="71"/>
  <c r="E37" i="71"/>
  <c r="D37" i="71"/>
  <c r="C37" i="71"/>
  <c r="B37" i="71"/>
  <c r="A37" i="71"/>
  <c r="U36" i="71"/>
  <c r="T36" i="71"/>
  <c r="S36" i="71"/>
  <c r="R36" i="71"/>
  <c r="Q36" i="71"/>
  <c r="P36" i="71"/>
  <c r="O36" i="71"/>
  <c r="N36" i="71"/>
  <c r="M36" i="71"/>
  <c r="L36" i="71"/>
  <c r="K36" i="71"/>
  <c r="J36" i="71"/>
  <c r="I36" i="71"/>
  <c r="H36" i="71"/>
  <c r="G36" i="71"/>
  <c r="F36" i="71"/>
  <c r="E36" i="71"/>
  <c r="D36" i="71"/>
  <c r="C36" i="71"/>
  <c r="B36" i="71"/>
  <c r="A36" i="71"/>
  <c r="U35" i="71"/>
  <c r="T35" i="71"/>
  <c r="S35" i="71"/>
  <c r="R35" i="71"/>
  <c r="Q35" i="71"/>
  <c r="P35" i="71"/>
  <c r="O35" i="71"/>
  <c r="N35" i="71"/>
  <c r="M35" i="71"/>
  <c r="L35" i="71"/>
  <c r="K35" i="71"/>
  <c r="J35" i="71"/>
  <c r="I35" i="71"/>
  <c r="H35" i="71"/>
  <c r="G35" i="71"/>
  <c r="F35" i="71"/>
  <c r="E35" i="71"/>
  <c r="D35" i="71"/>
  <c r="C35" i="71"/>
  <c r="B35" i="71"/>
  <c r="A35" i="71"/>
  <c r="U34" i="71"/>
  <c r="T34" i="71"/>
  <c r="S34" i="71"/>
  <c r="R34" i="71"/>
  <c r="Q34" i="71"/>
  <c r="P34" i="71"/>
  <c r="O34" i="71"/>
  <c r="N34" i="71"/>
  <c r="M34" i="71"/>
  <c r="L34" i="71"/>
  <c r="K34" i="71"/>
  <c r="J34" i="71"/>
  <c r="I34" i="71"/>
  <c r="H34" i="71"/>
  <c r="G34" i="71"/>
  <c r="F34" i="71"/>
  <c r="E34" i="71"/>
  <c r="D34" i="71"/>
  <c r="C34" i="71"/>
  <c r="B34" i="71"/>
  <c r="A34" i="71"/>
  <c r="U33" i="71"/>
  <c r="T33" i="71"/>
  <c r="S33" i="71"/>
  <c r="R33" i="71"/>
  <c r="Q33" i="71"/>
  <c r="P33" i="71"/>
  <c r="O33" i="71"/>
  <c r="N33" i="71"/>
  <c r="M33" i="71"/>
  <c r="L33" i="71"/>
  <c r="K33" i="71"/>
  <c r="J33" i="71"/>
  <c r="I33" i="71"/>
  <c r="H33" i="71"/>
  <c r="G33" i="71"/>
  <c r="F33" i="71"/>
  <c r="E33" i="71"/>
  <c r="D33" i="71"/>
  <c r="C33" i="71"/>
  <c r="B33" i="71"/>
  <c r="A33" i="71"/>
  <c r="U32" i="71"/>
  <c r="T32" i="71"/>
  <c r="S32" i="71"/>
  <c r="R32" i="71"/>
  <c r="Q32" i="71"/>
  <c r="P32" i="71"/>
  <c r="O32" i="71"/>
  <c r="N32" i="71"/>
  <c r="M32" i="71"/>
  <c r="L32" i="71"/>
  <c r="K32" i="71"/>
  <c r="J32" i="71"/>
  <c r="I32" i="71"/>
  <c r="H32" i="71"/>
  <c r="G32" i="71"/>
  <c r="F32" i="71"/>
  <c r="E32" i="71"/>
  <c r="D32" i="71"/>
  <c r="C32" i="71"/>
  <c r="B32" i="71"/>
  <c r="A32" i="71"/>
  <c r="U31" i="71"/>
  <c r="T31" i="71"/>
  <c r="S31" i="71"/>
  <c r="R31" i="71"/>
  <c r="Q31" i="71"/>
  <c r="P31" i="71"/>
  <c r="O31" i="71"/>
  <c r="N31" i="71"/>
  <c r="M31" i="71"/>
  <c r="L31" i="71"/>
  <c r="K31" i="71"/>
  <c r="J31" i="71"/>
  <c r="I31" i="71"/>
  <c r="H31" i="71"/>
  <c r="G31" i="71"/>
  <c r="F31" i="71"/>
  <c r="E31" i="71"/>
  <c r="D31" i="71"/>
  <c r="C31" i="71"/>
  <c r="B31" i="71"/>
  <c r="A31" i="71"/>
  <c r="U30" i="71"/>
  <c r="T30" i="71"/>
  <c r="S30" i="71"/>
  <c r="R30" i="71"/>
  <c r="Q30" i="71"/>
  <c r="P30" i="71"/>
  <c r="O30" i="71"/>
  <c r="N30" i="71"/>
  <c r="M30" i="71"/>
  <c r="L30" i="71"/>
  <c r="K30" i="71"/>
  <c r="J30" i="71"/>
  <c r="I30" i="71"/>
  <c r="H30" i="71"/>
  <c r="G30" i="71"/>
  <c r="F30" i="71"/>
  <c r="E30" i="71"/>
  <c r="D30" i="71"/>
  <c r="C30" i="71"/>
  <c r="B30" i="71"/>
  <c r="A30" i="71"/>
  <c r="U29" i="71"/>
  <c r="T29" i="71"/>
  <c r="S29" i="71"/>
  <c r="R29" i="71"/>
  <c r="Q29" i="71"/>
  <c r="P29" i="71"/>
  <c r="O29" i="71"/>
  <c r="N29" i="71"/>
  <c r="M29" i="71"/>
  <c r="L29" i="71"/>
  <c r="K29" i="71"/>
  <c r="J29" i="71"/>
  <c r="I29" i="71"/>
  <c r="H29" i="71"/>
  <c r="G29" i="71"/>
  <c r="F29" i="71"/>
  <c r="E29" i="71"/>
  <c r="D29" i="71"/>
  <c r="C29" i="71"/>
  <c r="B29" i="71"/>
  <c r="A29" i="71"/>
  <c r="U28" i="71"/>
  <c r="T28" i="71"/>
  <c r="S28" i="71"/>
  <c r="R28" i="71"/>
  <c r="Q28" i="71"/>
  <c r="P28" i="71"/>
  <c r="O28" i="71"/>
  <c r="N28" i="71"/>
  <c r="M28" i="71"/>
  <c r="L28" i="71"/>
  <c r="K28" i="71"/>
  <c r="J28" i="71"/>
  <c r="I28" i="71"/>
  <c r="H28" i="71"/>
  <c r="G28" i="71"/>
  <c r="F28" i="71"/>
  <c r="E28" i="71"/>
  <c r="D28" i="71"/>
  <c r="C28" i="71"/>
  <c r="B28" i="71"/>
  <c r="A28" i="71"/>
  <c r="U27" i="71"/>
  <c r="T27" i="71"/>
  <c r="S27" i="71"/>
  <c r="R27" i="71"/>
  <c r="Q27" i="71"/>
  <c r="P27" i="71"/>
  <c r="O27" i="71"/>
  <c r="N27" i="71"/>
  <c r="M27" i="71"/>
  <c r="L27" i="71"/>
  <c r="K27" i="71"/>
  <c r="J27" i="71"/>
  <c r="I27" i="71"/>
  <c r="H27" i="71"/>
  <c r="G27" i="71"/>
  <c r="F27" i="71"/>
  <c r="E27" i="71"/>
  <c r="D27" i="71"/>
  <c r="C27" i="71"/>
  <c r="B27" i="71"/>
  <c r="A27" i="71"/>
  <c r="U26" i="71"/>
  <c r="T26" i="71"/>
  <c r="S26" i="71"/>
  <c r="R26" i="71"/>
  <c r="Q26" i="71"/>
  <c r="P26" i="71"/>
  <c r="O26" i="71"/>
  <c r="N26" i="71"/>
  <c r="M26" i="71"/>
  <c r="L26" i="71"/>
  <c r="K26" i="71"/>
  <c r="J26" i="71"/>
  <c r="I26" i="71"/>
  <c r="H26" i="71"/>
  <c r="G26" i="71"/>
  <c r="F26" i="71"/>
  <c r="E26" i="71"/>
  <c r="D26" i="71"/>
  <c r="C26" i="71"/>
  <c r="B26" i="71"/>
  <c r="A26" i="71"/>
  <c r="U25" i="71"/>
  <c r="T25" i="71"/>
  <c r="S25" i="71"/>
  <c r="R25" i="71"/>
  <c r="Q25" i="71"/>
  <c r="P25" i="71"/>
  <c r="O25" i="71"/>
  <c r="N25" i="71"/>
  <c r="M25" i="71"/>
  <c r="L25" i="71"/>
  <c r="K25" i="71"/>
  <c r="J25" i="71"/>
  <c r="I25" i="71"/>
  <c r="H25" i="71"/>
  <c r="G25" i="71"/>
  <c r="F25" i="71"/>
  <c r="E25" i="71"/>
  <c r="D25" i="71"/>
  <c r="C25" i="71"/>
  <c r="B25" i="71"/>
  <c r="A25" i="71"/>
  <c r="U24" i="71"/>
  <c r="T24" i="71"/>
  <c r="S24" i="71"/>
  <c r="R24" i="71"/>
  <c r="Q24" i="71"/>
  <c r="P24" i="71"/>
  <c r="O24" i="71"/>
  <c r="N24" i="71"/>
  <c r="M24" i="71"/>
  <c r="L24" i="71"/>
  <c r="K24" i="71"/>
  <c r="J24" i="71"/>
  <c r="I24" i="71"/>
  <c r="H24" i="71"/>
  <c r="G24" i="71"/>
  <c r="F24" i="71"/>
  <c r="E24" i="71"/>
  <c r="D24" i="71"/>
  <c r="C24" i="71"/>
  <c r="B24" i="71"/>
  <c r="A24" i="71"/>
  <c r="U23" i="71"/>
  <c r="T23" i="71"/>
  <c r="S23" i="71"/>
  <c r="R23" i="71"/>
  <c r="Q23" i="71"/>
  <c r="P23" i="71"/>
  <c r="O23" i="71"/>
  <c r="N23" i="71"/>
  <c r="M23" i="71"/>
  <c r="L23" i="71"/>
  <c r="K23" i="71"/>
  <c r="J23" i="71"/>
  <c r="I23" i="71"/>
  <c r="H23" i="71"/>
  <c r="G23" i="71"/>
  <c r="F23" i="71"/>
  <c r="E23" i="71"/>
  <c r="D23" i="71"/>
  <c r="C23" i="71"/>
  <c r="B23" i="71"/>
  <c r="A23" i="71"/>
  <c r="U22" i="71"/>
  <c r="T22" i="71"/>
  <c r="S22" i="71"/>
  <c r="R22" i="71"/>
  <c r="Q22" i="71"/>
  <c r="P22" i="71"/>
  <c r="O22" i="71"/>
  <c r="N22" i="71"/>
  <c r="M22" i="71"/>
  <c r="L22" i="71"/>
  <c r="K22" i="71"/>
  <c r="J22" i="71"/>
  <c r="I22" i="71"/>
  <c r="H22" i="71"/>
  <c r="G22" i="71"/>
  <c r="F22" i="71"/>
  <c r="E22" i="71"/>
  <c r="D22" i="71"/>
  <c r="C22" i="71"/>
  <c r="B22" i="71"/>
  <c r="A22" i="71"/>
  <c r="U21" i="71"/>
  <c r="T21" i="71"/>
  <c r="S21" i="71"/>
  <c r="R21" i="71"/>
  <c r="Q21" i="71"/>
  <c r="P21" i="71"/>
  <c r="O21" i="71"/>
  <c r="N21" i="71"/>
  <c r="M21" i="71"/>
  <c r="L21" i="71"/>
  <c r="K21" i="71"/>
  <c r="J21" i="71"/>
  <c r="I21" i="71"/>
  <c r="H21" i="71"/>
  <c r="G21" i="71"/>
  <c r="F21" i="71"/>
  <c r="E21" i="71"/>
  <c r="D21" i="71"/>
  <c r="C21" i="71"/>
  <c r="B21" i="71"/>
  <c r="A21" i="71"/>
  <c r="U20" i="71"/>
  <c r="T20" i="71"/>
  <c r="S20" i="71"/>
  <c r="R20" i="71"/>
  <c r="Q20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D20" i="71"/>
  <c r="C20" i="71"/>
  <c r="B20" i="71"/>
  <c r="A20" i="71"/>
  <c r="U19" i="71"/>
  <c r="T19" i="71"/>
  <c r="S19" i="71"/>
  <c r="R19" i="71"/>
  <c r="Q19" i="71"/>
  <c r="P19" i="71"/>
  <c r="O19" i="71"/>
  <c r="N19" i="71"/>
  <c r="M19" i="71"/>
  <c r="L19" i="71"/>
  <c r="K19" i="71"/>
  <c r="J19" i="71"/>
  <c r="I19" i="71"/>
  <c r="H19" i="71"/>
  <c r="G19" i="71"/>
  <c r="F19" i="71"/>
  <c r="E19" i="71"/>
  <c r="D19" i="71"/>
  <c r="C19" i="71"/>
  <c r="B19" i="71"/>
  <c r="A19" i="71"/>
  <c r="U18" i="71"/>
  <c r="T18" i="71"/>
  <c r="S18" i="71"/>
  <c r="R18" i="71"/>
  <c r="Q18" i="71"/>
  <c r="P18" i="71"/>
  <c r="O18" i="71"/>
  <c r="N18" i="71"/>
  <c r="M18" i="71"/>
  <c r="L18" i="71"/>
  <c r="K18" i="71"/>
  <c r="J18" i="71"/>
  <c r="I18" i="71"/>
  <c r="H18" i="71"/>
  <c r="G18" i="71"/>
  <c r="F18" i="71"/>
  <c r="E18" i="71"/>
  <c r="D18" i="71"/>
  <c r="C18" i="71"/>
  <c r="B18" i="71"/>
  <c r="A18" i="71"/>
  <c r="U17" i="71"/>
  <c r="T17" i="71"/>
  <c r="S17" i="71"/>
  <c r="R17" i="71"/>
  <c r="Q17" i="71"/>
  <c r="P17" i="71"/>
  <c r="O17" i="71"/>
  <c r="N17" i="71"/>
  <c r="M17" i="71"/>
  <c r="L17" i="71"/>
  <c r="K17" i="71"/>
  <c r="J17" i="71"/>
  <c r="I17" i="71"/>
  <c r="H17" i="71"/>
  <c r="G17" i="71"/>
  <c r="F17" i="71"/>
  <c r="E17" i="71"/>
  <c r="D17" i="71"/>
  <c r="C17" i="71"/>
  <c r="B17" i="71"/>
  <c r="A17" i="71"/>
  <c r="U16" i="71"/>
  <c r="T16" i="71"/>
  <c r="S16" i="71"/>
  <c r="R16" i="71"/>
  <c r="Q16" i="71"/>
  <c r="P16" i="71"/>
  <c r="O16" i="71"/>
  <c r="N16" i="71"/>
  <c r="M16" i="71"/>
  <c r="L16" i="71"/>
  <c r="K16" i="71"/>
  <c r="J16" i="71"/>
  <c r="I16" i="71"/>
  <c r="H16" i="71"/>
  <c r="G16" i="71"/>
  <c r="F16" i="71"/>
  <c r="E16" i="71"/>
  <c r="D16" i="71"/>
  <c r="C16" i="71"/>
  <c r="B16" i="71"/>
  <c r="A16" i="71"/>
  <c r="U15" i="71"/>
  <c r="T15" i="71"/>
  <c r="S15" i="71"/>
  <c r="R15" i="71"/>
  <c r="Q15" i="71"/>
  <c r="P15" i="71"/>
  <c r="O15" i="71"/>
  <c r="N15" i="71"/>
  <c r="M15" i="71"/>
  <c r="L15" i="71"/>
  <c r="K15" i="71"/>
  <c r="J15" i="71"/>
  <c r="I15" i="71"/>
  <c r="H15" i="71"/>
  <c r="G15" i="71"/>
  <c r="F15" i="71"/>
  <c r="E15" i="71"/>
  <c r="D15" i="71"/>
  <c r="C15" i="71"/>
  <c r="B15" i="71"/>
  <c r="A15" i="71"/>
  <c r="U14" i="71"/>
  <c r="T14" i="71"/>
  <c r="S14" i="71"/>
  <c r="R14" i="71"/>
  <c r="Q14" i="71"/>
  <c r="P14" i="71"/>
  <c r="O14" i="71"/>
  <c r="N14" i="71"/>
  <c r="M14" i="71"/>
  <c r="L14" i="71"/>
  <c r="K14" i="71"/>
  <c r="J14" i="71"/>
  <c r="I14" i="71"/>
  <c r="H14" i="71"/>
  <c r="G14" i="71"/>
  <c r="F14" i="71"/>
  <c r="E14" i="71"/>
  <c r="D14" i="71"/>
  <c r="C14" i="71"/>
  <c r="B14" i="71"/>
  <c r="A14" i="71"/>
  <c r="U13" i="71"/>
  <c r="T13" i="71"/>
  <c r="S13" i="71"/>
  <c r="R13" i="71"/>
  <c r="Q13" i="71"/>
  <c r="P13" i="71"/>
  <c r="O13" i="71"/>
  <c r="N13" i="71"/>
  <c r="M13" i="71"/>
  <c r="L13" i="71"/>
  <c r="K13" i="71"/>
  <c r="J13" i="71"/>
  <c r="I13" i="71"/>
  <c r="H13" i="71"/>
  <c r="G13" i="71"/>
  <c r="F13" i="71"/>
  <c r="E13" i="71"/>
  <c r="D13" i="71"/>
  <c r="C13" i="71"/>
  <c r="B13" i="71"/>
  <c r="A13" i="71"/>
  <c r="U12" i="71"/>
  <c r="T12" i="71"/>
  <c r="S12" i="71"/>
  <c r="R12" i="71"/>
  <c r="Q12" i="71"/>
  <c r="P12" i="71"/>
  <c r="O12" i="71"/>
  <c r="N12" i="71"/>
  <c r="M12" i="71"/>
  <c r="L12" i="71"/>
  <c r="K12" i="71"/>
  <c r="J12" i="71"/>
  <c r="I12" i="71"/>
  <c r="H12" i="71"/>
  <c r="G12" i="71"/>
  <c r="F12" i="71"/>
  <c r="E12" i="71"/>
  <c r="D12" i="71"/>
  <c r="C12" i="71"/>
  <c r="B12" i="71"/>
  <c r="A12" i="71"/>
  <c r="U11" i="71"/>
  <c r="T11" i="71"/>
  <c r="S11" i="71"/>
  <c r="R11" i="71"/>
  <c r="Q11" i="71"/>
  <c r="P11" i="71"/>
  <c r="O11" i="71"/>
  <c r="N11" i="71"/>
  <c r="M11" i="71"/>
  <c r="L11" i="71"/>
  <c r="K11" i="71"/>
  <c r="J11" i="71"/>
  <c r="I11" i="71"/>
  <c r="H11" i="71"/>
  <c r="G11" i="71"/>
  <c r="F11" i="71"/>
  <c r="E11" i="71"/>
  <c r="D11" i="71"/>
  <c r="C11" i="71"/>
  <c r="B11" i="71"/>
  <c r="A11" i="71"/>
  <c r="U10" i="71"/>
  <c r="T10" i="71"/>
  <c r="S10" i="71"/>
  <c r="R10" i="71"/>
  <c r="Q10" i="71"/>
  <c r="P10" i="71"/>
  <c r="O10" i="71"/>
  <c r="N10" i="71"/>
  <c r="M10" i="71"/>
  <c r="L10" i="71"/>
  <c r="K10" i="71"/>
  <c r="J10" i="71"/>
  <c r="I10" i="71"/>
  <c r="H10" i="71"/>
  <c r="G10" i="71"/>
  <c r="F10" i="71"/>
  <c r="E10" i="71"/>
  <c r="D10" i="71"/>
  <c r="C10" i="71"/>
  <c r="B10" i="71"/>
  <c r="A10" i="71"/>
  <c r="U9" i="71"/>
  <c r="T9" i="71"/>
  <c r="S9" i="71"/>
  <c r="R9" i="71"/>
  <c r="Q9" i="71"/>
  <c r="P9" i="71"/>
  <c r="O9" i="71"/>
  <c r="N9" i="71"/>
  <c r="M9" i="71"/>
  <c r="L9" i="71"/>
  <c r="K9" i="71"/>
  <c r="J9" i="71"/>
  <c r="I9" i="71"/>
  <c r="H9" i="71"/>
  <c r="G9" i="71"/>
  <c r="F9" i="71"/>
  <c r="E9" i="71"/>
  <c r="D9" i="71"/>
  <c r="C9" i="71"/>
  <c r="B9" i="71"/>
  <c r="A9" i="71"/>
  <c r="U8" i="71"/>
  <c r="T8" i="71"/>
  <c r="S8" i="71"/>
  <c r="R8" i="71"/>
  <c r="Q8" i="71"/>
  <c r="P8" i="71"/>
  <c r="O8" i="71"/>
  <c r="N8" i="71"/>
  <c r="M8" i="71"/>
  <c r="L8" i="71"/>
  <c r="K8" i="71"/>
  <c r="J8" i="71"/>
  <c r="I8" i="71"/>
  <c r="H8" i="71"/>
  <c r="G8" i="71"/>
  <c r="F8" i="71"/>
  <c r="E8" i="71"/>
  <c r="D8" i="71"/>
  <c r="C8" i="71"/>
  <c r="B8" i="71"/>
  <c r="A8" i="71"/>
  <c r="U7" i="71"/>
  <c r="T7" i="71"/>
  <c r="S7" i="71"/>
  <c r="R7" i="71"/>
  <c r="Q7" i="71"/>
  <c r="P7" i="71"/>
  <c r="O7" i="71"/>
  <c r="N7" i="71"/>
  <c r="M7" i="71"/>
  <c r="L7" i="71"/>
  <c r="K7" i="71"/>
  <c r="J7" i="71"/>
  <c r="I7" i="71"/>
  <c r="H7" i="71"/>
  <c r="G7" i="71"/>
  <c r="F7" i="71"/>
  <c r="E7" i="71"/>
  <c r="D7" i="71"/>
  <c r="C7" i="71"/>
  <c r="B7" i="71"/>
  <c r="A7" i="71"/>
  <c r="U6" i="71"/>
  <c r="T6" i="71"/>
  <c r="S6" i="71"/>
  <c r="R6" i="71"/>
  <c r="Q6" i="71"/>
  <c r="P6" i="71"/>
  <c r="O6" i="71"/>
  <c r="N6" i="71"/>
  <c r="M6" i="71"/>
  <c r="L6" i="71"/>
  <c r="K6" i="71"/>
  <c r="J6" i="71"/>
  <c r="I6" i="71"/>
  <c r="H6" i="71"/>
  <c r="G6" i="71"/>
  <c r="F6" i="71"/>
  <c r="E6" i="71"/>
  <c r="D6" i="71"/>
  <c r="C6" i="71"/>
  <c r="B6" i="71"/>
  <c r="A6" i="71"/>
  <c r="U5" i="71"/>
  <c r="T5" i="71"/>
  <c r="S5" i="71"/>
  <c r="R5" i="71"/>
  <c r="Q5" i="71"/>
  <c r="P5" i="71"/>
  <c r="O5" i="71"/>
  <c r="N5" i="71"/>
  <c r="M5" i="71"/>
  <c r="L5" i="71"/>
  <c r="K5" i="71"/>
  <c r="J5" i="71"/>
  <c r="I5" i="71"/>
  <c r="H5" i="71"/>
  <c r="G5" i="71"/>
  <c r="F5" i="71"/>
  <c r="E5" i="71"/>
  <c r="D5" i="71"/>
  <c r="C5" i="71"/>
  <c r="B5" i="71"/>
  <c r="A5" i="71"/>
  <c r="U4" i="71"/>
  <c r="T4" i="71"/>
  <c r="S4" i="71"/>
  <c r="R4" i="71"/>
  <c r="Q4" i="71"/>
  <c r="P4" i="71"/>
  <c r="O4" i="71"/>
  <c r="N4" i="71"/>
  <c r="M4" i="71"/>
  <c r="L4" i="71"/>
  <c r="K4" i="71"/>
  <c r="J4" i="71"/>
  <c r="I4" i="71"/>
  <c r="H4" i="71"/>
  <c r="G4" i="71"/>
  <c r="F4" i="71"/>
  <c r="E4" i="71"/>
  <c r="D4" i="71"/>
  <c r="C4" i="71"/>
  <c r="B4" i="71"/>
  <c r="A4" i="71"/>
  <c r="U3" i="71"/>
  <c r="T3" i="71"/>
  <c r="S3" i="71"/>
  <c r="R3" i="71"/>
  <c r="Q3" i="71"/>
  <c r="P3" i="71"/>
  <c r="O3" i="71"/>
  <c r="N3" i="71"/>
  <c r="M3" i="71"/>
  <c r="L3" i="71"/>
  <c r="K3" i="71"/>
  <c r="J3" i="71"/>
  <c r="I3" i="71"/>
  <c r="H3" i="71"/>
  <c r="G3" i="71"/>
  <c r="F3" i="71"/>
  <c r="E3" i="71"/>
  <c r="D3" i="71"/>
  <c r="C3" i="71"/>
  <c r="B3" i="71"/>
  <c r="A3" i="71"/>
  <c r="U2" i="71"/>
  <c r="T2" i="7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D2" i="71"/>
  <c r="B2" i="71"/>
  <c r="A2" i="71"/>
  <c r="A15" i="48" l="1"/>
  <c r="J4" i="106"/>
  <c r="P23" i="29"/>
  <c r="Q23" i="29" s="1"/>
  <c r="J4" i="114"/>
  <c r="G4" i="114" s="1"/>
  <c r="C39" i="34" s="1"/>
  <c r="I39" i="34" s="1"/>
  <c r="K4" i="114"/>
  <c r="H4" i="114" s="1"/>
  <c r="D39" i="34" s="1"/>
  <c r="J39" i="34" s="1"/>
  <c r="L2" i="114"/>
  <c r="I2" i="114" s="1"/>
  <c r="E38" i="34" s="1"/>
  <c r="K38" i="34" s="1"/>
  <c r="J2" i="114"/>
  <c r="G2" i="114" s="1"/>
  <c r="C38" i="34" s="1"/>
  <c r="I38" i="34" s="1"/>
  <c r="K6" i="114"/>
  <c r="I6" i="114" s="1"/>
  <c r="L6" i="114"/>
  <c r="H6" i="114" s="1"/>
  <c r="N15" i="111"/>
  <c r="L4" i="111" s="1"/>
  <c r="I4" i="111" s="1"/>
  <c r="E29" i="34" s="1"/>
  <c r="K29" i="34" s="1"/>
  <c r="N20" i="111"/>
  <c r="L6" i="111" s="1"/>
  <c r="H6" i="111" s="1"/>
  <c r="D30" i="34" s="1"/>
  <c r="J30" i="34" s="1"/>
  <c r="N10" i="111"/>
  <c r="J2" i="111" s="1"/>
  <c r="N15" i="112"/>
  <c r="L4" i="112" s="1"/>
  <c r="I4" i="112" s="1"/>
  <c r="E36" i="34" s="1"/>
  <c r="K36" i="34" s="1"/>
  <c r="N10" i="112"/>
  <c r="L2" i="112" s="1"/>
  <c r="I2" i="112" s="1"/>
  <c r="E35" i="34" s="1"/>
  <c r="K35" i="34" s="1"/>
  <c r="K6" i="112"/>
  <c r="I6" i="112" s="1"/>
  <c r="L6" i="112"/>
  <c r="H6" i="112" s="1"/>
  <c r="J6" i="112"/>
  <c r="G6" i="112" s="1"/>
  <c r="N11" i="105"/>
  <c r="K2" i="105" s="1"/>
  <c r="H2" i="105" s="1"/>
  <c r="D24" i="34" s="1"/>
  <c r="J24" i="34" s="1"/>
  <c r="N15" i="107"/>
  <c r="L4" i="107" s="1"/>
  <c r="N16" i="105"/>
  <c r="L4" i="105" s="1"/>
  <c r="I4" i="105" s="1"/>
  <c r="N20" i="107"/>
  <c r="J6" i="107" s="1"/>
  <c r="N10" i="107"/>
  <c r="J4" i="107" s="1"/>
  <c r="N10" i="106"/>
  <c r="K2" i="106" s="1"/>
  <c r="H2" i="106" s="1"/>
  <c r="D20" i="34" s="1"/>
  <c r="J20" i="34" s="1"/>
  <c r="L6" i="106"/>
  <c r="H6" i="106" s="1"/>
  <c r="D22" i="34" s="1"/>
  <c r="J22" i="34" s="1"/>
  <c r="L4" i="106"/>
  <c r="I4" i="106" s="1"/>
  <c r="E21" i="34" s="1"/>
  <c r="K21" i="34" s="1"/>
  <c r="N22" i="105"/>
  <c r="M10" i="48"/>
  <c r="G23" i="65"/>
  <c r="G22" i="65"/>
  <c r="G21" i="65"/>
  <c r="G20" i="65"/>
  <c r="G19" i="65"/>
  <c r="G18" i="65"/>
  <c r="G17" i="65"/>
  <c r="G14" i="65"/>
  <c r="G13" i="65"/>
  <c r="G11" i="65"/>
  <c r="G10" i="65"/>
  <c r="G8" i="65"/>
  <c r="G7" i="65"/>
  <c r="A6" i="65"/>
  <c r="G36" i="64"/>
  <c r="G35" i="64"/>
  <c r="G34" i="64"/>
  <c r="G33" i="64"/>
  <c r="G32" i="64"/>
  <c r="G31" i="64"/>
  <c r="G30" i="64"/>
  <c r="G29" i="64"/>
  <c r="G28" i="64"/>
  <c r="G27" i="64"/>
  <c r="G26" i="64"/>
  <c r="G25" i="64"/>
  <c r="G24" i="64"/>
  <c r="G23" i="64"/>
  <c r="G22" i="64"/>
  <c r="G21" i="64"/>
  <c r="G20" i="64"/>
  <c r="G19" i="64"/>
  <c r="G18" i="64"/>
  <c r="G17" i="64"/>
  <c r="G16" i="64"/>
  <c r="G15" i="64"/>
  <c r="G14" i="64"/>
  <c r="G13" i="64"/>
  <c r="G12" i="64"/>
  <c r="G11" i="64"/>
  <c r="G10" i="64"/>
  <c r="G9" i="64"/>
  <c r="G8" i="64"/>
  <c r="E2" i="64"/>
  <c r="A6" i="64"/>
  <c r="E2" i="65"/>
  <c r="D2" i="65"/>
  <c r="E2" i="62"/>
  <c r="D4" i="62"/>
  <c r="E4" i="62"/>
  <c r="B6" i="62"/>
  <c r="G16" i="62"/>
  <c r="B2" i="29"/>
  <c r="A11" i="48"/>
  <c r="E2" i="48"/>
  <c r="E4" i="48"/>
  <c r="B6" i="48"/>
  <c r="E6" i="48"/>
  <c r="G10" i="3"/>
  <c r="A10" i="3" s="1"/>
  <c r="L10" i="3"/>
  <c r="L12" i="3"/>
  <c r="G19" i="3"/>
  <c r="A19" i="3" s="1"/>
  <c r="L19" i="3"/>
  <c r="G21" i="3"/>
  <c r="L21" i="3"/>
  <c r="E4" i="2"/>
  <c r="Q4" i="2"/>
  <c r="T4" i="2"/>
  <c r="C5" i="2"/>
  <c r="F5" i="2" s="1"/>
  <c r="D5" i="2"/>
  <c r="G5" i="2" s="1"/>
  <c r="H5" i="2" s="1"/>
  <c r="I5" i="2" s="1"/>
  <c r="N5" i="2"/>
  <c r="Q5" i="2" s="1"/>
  <c r="S5" i="2" s="1"/>
  <c r="O5" i="2"/>
  <c r="O6" i="2" s="1"/>
  <c r="O7" i="2" s="1"/>
  <c r="O8" i="2" s="1"/>
  <c r="O9" i="2" s="1"/>
  <c r="O10" i="2" s="1"/>
  <c r="O11" i="2" s="1"/>
  <c r="O12" i="2" s="1"/>
  <c r="O13" i="2" s="1"/>
  <c r="O14" i="2" s="1"/>
  <c r="O15" i="2" s="1"/>
  <c r="P5" i="2"/>
  <c r="C6" i="2"/>
  <c r="F6" i="2" s="1"/>
  <c r="N6" i="2"/>
  <c r="N7" i="2" s="1"/>
  <c r="N8" i="2" s="1"/>
  <c r="N9" i="2" s="1"/>
  <c r="N10" i="2" s="1"/>
  <c r="N11" i="2" s="1"/>
  <c r="N12" i="2" s="1"/>
  <c r="N13" i="2" s="1"/>
  <c r="N14" i="2" s="1"/>
  <c r="N15" i="2" s="1"/>
  <c r="P6" i="2"/>
  <c r="P7" i="2" s="1"/>
  <c r="P8" i="2" s="1"/>
  <c r="P9" i="2" s="1"/>
  <c r="P10" i="2" s="1"/>
  <c r="P11" i="2" s="1"/>
  <c r="P12" i="2" s="1"/>
  <c r="P13" i="2" s="1"/>
  <c r="P14" i="2" s="1"/>
  <c r="P15" i="2" s="1"/>
  <c r="W7" i="2"/>
  <c r="X7" i="2"/>
  <c r="C7" i="2" l="1"/>
  <c r="F7" i="2" s="1"/>
  <c r="Q26" i="29"/>
  <c r="A10" i="65"/>
  <c r="A17" i="65"/>
  <c r="A21" i="65"/>
  <c r="A13" i="64"/>
  <c r="A11" i="65"/>
  <c r="A18" i="65"/>
  <c r="A22" i="65"/>
  <c r="B2" i="64"/>
  <c r="A12" i="64"/>
  <c r="A20" i="64"/>
  <c r="A32" i="64"/>
  <c r="A9" i="64"/>
  <c r="A21" i="64"/>
  <c r="A29" i="64"/>
  <c r="B2" i="65"/>
  <c r="A10" i="64"/>
  <c r="A14" i="64"/>
  <c r="A18" i="64"/>
  <c r="A22" i="64"/>
  <c r="A26" i="64"/>
  <c r="A30" i="64"/>
  <c r="A7" i="65"/>
  <c r="A13" i="65"/>
  <c r="A19" i="65"/>
  <c r="A23" i="65"/>
  <c r="A8" i="64"/>
  <c r="A16" i="64"/>
  <c r="A24" i="64"/>
  <c r="A28" i="64"/>
  <c r="A36" i="64"/>
  <c r="A17" i="64"/>
  <c r="A25" i="64"/>
  <c r="A33" i="64"/>
  <c r="A11" i="64"/>
  <c r="A15" i="64"/>
  <c r="A19" i="64"/>
  <c r="A23" i="64"/>
  <c r="A27" i="64"/>
  <c r="A31" i="64"/>
  <c r="A35" i="64"/>
  <c r="A8" i="65"/>
  <c r="A14" i="65"/>
  <c r="A20" i="65"/>
  <c r="L6" i="105"/>
  <c r="H6" i="105" s="1"/>
  <c r="J6" i="105"/>
  <c r="G6" i="105" s="1"/>
  <c r="C23" i="34" s="1"/>
  <c r="I23" i="34" s="1"/>
  <c r="K6" i="105"/>
  <c r="I6" i="105" s="1"/>
  <c r="T18" i="62"/>
  <c r="B4" i="3"/>
  <c r="A22" i="3"/>
  <c r="A20" i="3"/>
  <c r="A13" i="3"/>
  <c r="J13" i="3" s="1"/>
  <c r="M13" i="3" s="1"/>
  <c r="A11" i="3"/>
  <c r="Q6" i="2"/>
  <c r="S6" i="2" s="1"/>
  <c r="T6" i="2" s="1"/>
  <c r="U6" i="2" s="1"/>
  <c r="R6" i="2"/>
  <c r="T5" i="2"/>
  <c r="U5" i="2" s="1"/>
  <c r="C8" i="2"/>
  <c r="E5" i="2"/>
  <c r="J5" i="2" s="1"/>
  <c r="D6" i="2"/>
  <c r="B2" i="3"/>
  <c r="A14" i="3"/>
  <c r="A15" i="3"/>
  <c r="J6" i="111"/>
  <c r="G6" i="111" s="1"/>
  <c r="C30" i="34" s="1"/>
  <c r="I30" i="34" s="1"/>
  <c r="K6" i="111"/>
  <c r="I6" i="111" s="1"/>
  <c r="E30" i="34" s="1"/>
  <c r="K30" i="34" s="1"/>
  <c r="J4" i="111"/>
  <c r="G4" i="111" s="1"/>
  <c r="C29" i="34" s="1"/>
  <c r="I29" i="34" s="1"/>
  <c r="K2" i="111"/>
  <c r="L2" i="111"/>
  <c r="K4" i="111"/>
  <c r="H4" i="111" s="1"/>
  <c r="D29" i="34" s="1"/>
  <c r="J29" i="34" s="1"/>
  <c r="J2" i="112"/>
  <c r="G2" i="112" s="1"/>
  <c r="C35" i="34" s="1"/>
  <c r="I35" i="34" s="1"/>
  <c r="K2" i="112"/>
  <c r="H2" i="112" s="1"/>
  <c r="D35" i="34" s="1"/>
  <c r="J35" i="34" s="1"/>
  <c r="K4" i="112"/>
  <c r="H4" i="112" s="1"/>
  <c r="D36" i="34" s="1"/>
  <c r="J36" i="34" s="1"/>
  <c r="J4" i="112"/>
  <c r="G4" i="112" s="1"/>
  <c r="C36" i="34" s="1"/>
  <c r="I36" i="34" s="1"/>
  <c r="L6" i="107"/>
  <c r="H6" i="107" s="1"/>
  <c r="D28" i="34" s="1"/>
  <c r="J28" i="34" s="1"/>
  <c r="K4" i="107"/>
  <c r="H4" i="107" s="1"/>
  <c r="D27" i="34" s="1"/>
  <c r="J27" i="34" s="1"/>
  <c r="K6" i="107"/>
  <c r="I6" i="107" s="1"/>
  <c r="E28" i="34" s="1"/>
  <c r="K28" i="34" s="1"/>
  <c r="I4" i="107"/>
  <c r="E27" i="34" s="1"/>
  <c r="K27" i="34" s="1"/>
  <c r="J2" i="105"/>
  <c r="G2" i="105" s="1"/>
  <c r="C24" i="34" s="1"/>
  <c r="I24" i="34" s="1"/>
  <c r="E25" i="34"/>
  <c r="K25" i="34" s="1"/>
  <c r="L2" i="105"/>
  <c r="I2" i="105" s="1"/>
  <c r="E24" i="34" s="1"/>
  <c r="K24" i="34" s="1"/>
  <c r="K4" i="105"/>
  <c r="H4" i="105" s="1"/>
  <c r="J4" i="105"/>
  <c r="G4" i="105" s="1"/>
  <c r="G6" i="107"/>
  <c r="C28" i="34" s="1"/>
  <c r="I28" i="34" s="1"/>
  <c r="K2" i="107"/>
  <c r="H2" i="107" s="1"/>
  <c r="D26" i="34" s="1"/>
  <c r="J26" i="34" s="1"/>
  <c r="L2" i="107"/>
  <c r="I2" i="107" s="1"/>
  <c r="E26" i="34" s="1"/>
  <c r="K26" i="34" s="1"/>
  <c r="J2" i="107"/>
  <c r="G2" i="107" s="1"/>
  <c r="C26" i="34" s="1"/>
  <c r="I26" i="34" s="1"/>
  <c r="G4" i="107"/>
  <c r="C27" i="34" s="1"/>
  <c r="I27" i="34" s="1"/>
  <c r="C22" i="34"/>
  <c r="I22" i="34" s="1"/>
  <c r="K6" i="106"/>
  <c r="I6" i="106" s="1"/>
  <c r="E22" i="34" s="1"/>
  <c r="K22" i="34" s="1"/>
  <c r="J2" i="106"/>
  <c r="G4" i="106"/>
  <c r="C21" i="34" s="1"/>
  <c r="I21" i="34" s="1"/>
  <c r="L2" i="106"/>
  <c r="I2" i="106" s="1"/>
  <c r="E20" i="34" s="1"/>
  <c r="K20" i="34" s="1"/>
  <c r="K4" i="106"/>
  <c r="H4" i="106" s="1"/>
  <c r="D21" i="34" s="1"/>
  <c r="J21" i="34" s="1"/>
  <c r="N10" i="48"/>
  <c r="L2" i="48" s="1"/>
  <c r="B4" i="48"/>
  <c r="B2" i="48"/>
  <c r="A10" i="48"/>
  <c r="B4" i="62"/>
  <c r="A21" i="62"/>
  <c r="A23" i="62"/>
  <c r="A24" i="62"/>
  <c r="A22" i="62"/>
  <c r="A16" i="62"/>
  <c r="B2" i="62"/>
  <c r="A12" i="62"/>
  <c r="A14" i="62"/>
  <c r="A11" i="62"/>
  <c r="A13" i="62"/>
  <c r="G25" i="3"/>
  <c r="M22" i="65"/>
  <c r="K22" i="65"/>
  <c r="K23" i="65"/>
  <c r="L22" i="65"/>
  <c r="L23" i="65"/>
  <c r="M23" i="65"/>
  <c r="M16" i="62"/>
  <c r="K9" i="64"/>
  <c r="K11" i="64"/>
  <c r="K12" i="64"/>
  <c r="K13" i="64"/>
  <c r="K27" i="64"/>
  <c r="K29" i="64"/>
  <c r="L16" i="62"/>
  <c r="K7" i="65"/>
  <c r="K10" i="65"/>
  <c r="K13" i="65"/>
  <c r="K14" i="65"/>
  <c r="K15" i="65"/>
  <c r="K17" i="65"/>
  <c r="K18" i="65"/>
  <c r="K19" i="65"/>
  <c r="K20" i="65"/>
  <c r="K21" i="65"/>
  <c r="L11" i="64"/>
  <c r="L12" i="64"/>
  <c r="L26" i="64"/>
  <c r="L27" i="64"/>
  <c r="L28" i="64"/>
  <c r="L29" i="64"/>
  <c r="L7" i="65"/>
  <c r="L8" i="65"/>
  <c r="L10" i="65"/>
  <c r="L11" i="65"/>
  <c r="L13" i="65"/>
  <c r="L14" i="65"/>
  <c r="L15" i="65"/>
  <c r="L16" i="65"/>
  <c r="L17" i="65"/>
  <c r="L18" i="65"/>
  <c r="L19" i="65"/>
  <c r="L20" i="65"/>
  <c r="L21" i="65"/>
  <c r="M9" i="64"/>
  <c r="M11" i="64"/>
  <c r="M12" i="64"/>
  <c r="M15" i="64"/>
  <c r="M26" i="64"/>
  <c r="M19" i="3"/>
  <c r="M12" i="3"/>
  <c r="M7" i="65"/>
  <c r="M8" i="65"/>
  <c r="M9" i="65"/>
  <c r="M10" i="65"/>
  <c r="M11" i="65"/>
  <c r="M12" i="65"/>
  <c r="K72" i="3"/>
  <c r="K61" i="3"/>
  <c r="K60" i="3"/>
  <c r="K58" i="3"/>
  <c r="K57" i="3"/>
  <c r="K51" i="3"/>
  <c r="K47" i="3"/>
  <c r="K1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K48" i="3"/>
  <c r="M16" i="64"/>
  <c r="L46" i="3"/>
  <c r="M13" i="65"/>
  <c r="M15" i="65"/>
  <c r="L8" i="64"/>
  <c r="K78" i="3"/>
  <c r="K77" i="3"/>
  <c r="K76" i="3"/>
  <c r="K75" i="3"/>
  <c r="K74" i="3"/>
  <c r="K73" i="3"/>
  <c r="K71" i="3"/>
  <c r="K70" i="3"/>
  <c r="K69" i="3"/>
  <c r="K68" i="3"/>
  <c r="K67" i="3"/>
  <c r="K66" i="3"/>
  <c r="K65" i="3"/>
  <c r="K64" i="3"/>
  <c r="K63" i="3"/>
  <c r="K62" i="3"/>
  <c r="M10" i="3"/>
  <c r="M7" i="64"/>
  <c r="M8" i="64"/>
  <c r="L9" i="64"/>
  <c r="M17" i="64"/>
  <c r="M18" i="64"/>
  <c r="M19" i="64"/>
  <c r="M20" i="64"/>
  <c r="M21" i="64"/>
  <c r="M22" i="64"/>
  <c r="M23" i="64"/>
  <c r="M24" i="64"/>
  <c r="M25" i="64"/>
  <c r="M30" i="64"/>
  <c r="L78" i="3"/>
  <c r="L77" i="3"/>
  <c r="L76" i="3"/>
  <c r="L75" i="3"/>
  <c r="L74" i="3"/>
  <c r="L72" i="3"/>
  <c r="L71" i="3"/>
  <c r="L70" i="3"/>
  <c r="L69" i="3"/>
  <c r="L68" i="3"/>
  <c r="L67" i="3"/>
  <c r="L66" i="3"/>
  <c r="L65" i="3"/>
  <c r="L64" i="3"/>
  <c r="L63" i="3"/>
  <c r="L62" i="3"/>
  <c r="K39" i="3"/>
  <c r="K38" i="3"/>
  <c r="K37" i="3"/>
  <c r="K36" i="3"/>
  <c r="K35" i="3"/>
  <c r="K34" i="3"/>
  <c r="K21" i="3"/>
  <c r="K19" i="3"/>
  <c r="L7" i="64"/>
  <c r="M13" i="64"/>
  <c r="L15" i="64"/>
  <c r="L16" i="64"/>
  <c r="L17" i="64"/>
  <c r="L18" i="64"/>
  <c r="L19" i="64"/>
  <c r="L20" i="64"/>
  <c r="L21" i="64"/>
  <c r="L22" i="64"/>
  <c r="L23" i="64"/>
  <c r="L24" i="64"/>
  <c r="L25" i="64"/>
  <c r="M27" i="64"/>
  <c r="M29" i="64"/>
  <c r="L30" i="64"/>
  <c r="M28" i="64"/>
  <c r="K56" i="3"/>
  <c r="K55" i="3"/>
  <c r="K54" i="3"/>
  <c r="K53" i="3"/>
  <c r="K52" i="3"/>
  <c r="K50" i="3"/>
  <c r="K49" i="3"/>
  <c r="L39" i="3"/>
  <c r="L38" i="3"/>
  <c r="L37" i="3"/>
  <c r="L36" i="3"/>
  <c r="L35" i="3"/>
  <c r="L34" i="3"/>
  <c r="K10" i="3"/>
  <c r="M14" i="65"/>
  <c r="M16" i="65"/>
  <c r="M17" i="65"/>
  <c r="M18" i="65"/>
  <c r="M19" i="65"/>
  <c r="M20" i="65"/>
  <c r="M21" i="65"/>
  <c r="K7" i="64"/>
  <c r="K8" i="64"/>
  <c r="L13" i="64"/>
  <c r="K15" i="64"/>
  <c r="K16" i="64"/>
  <c r="K25" i="64"/>
  <c r="K26" i="64"/>
  <c r="K28" i="64"/>
  <c r="K30" i="64"/>
  <c r="G15" i="65"/>
  <c r="A15" i="65" s="1"/>
  <c r="L73" i="3"/>
  <c r="K46" i="3"/>
  <c r="K33" i="3"/>
  <c r="L33" i="3"/>
  <c r="K32" i="3"/>
  <c r="L32" i="3"/>
  <c r="L10" i="64"/>
  <c r="K10" i="64"/>
  <c r="K14" i="64"/>
  <c r="L14" i="64"/>
  <c r="M14" i="64"/>
  <c r="K31" i="3"/>
  <c r="K30" i="3"/>
  <c r="K31" i="64"/>
  <c r="K32" i="64"/>
  <c r="K33" i="64"/>
  <c r="K34" i="64"/>
  <c r="K35" i="64"/>
  <c r="K36" i="64"/>
  <c r="A21" i="3"/>
  <c r="M21" i="3"/>
  <c r="K16" i="65"/>
  <c r="G16" i="65"/>
  <c r="A16" i="65" s="1"/>
  <c r="K59" i="3"/>
  <c r="K45" i="3"/>
  <c r="K44" i="3"/>
  <c r="K43" i="3"/>
  <c r="K42" i="3"/>
  <c r="K41" i="3"/>
  <c r="K40" i="3"/>
  <c r="L31" i="3"/>
  <c r="L30" i="3"/>
  <c r="K8" i="65"/>
  <c r="K11" i="65"/>
  <c r="M10" i="64"/>
  <c r="K17" i="64"/>
  <c r="K18" i="64"/>
  <c r="K19" i="64"/>
  <c r="K20" i="64"/>
  <c r="K21" i="64"/>
  <c r="K22" i="64"/>
  <c r="K23" i="64"/>
  <c r="K24" i="64"/>
  <c r="M31" i="64"/>
  <c r="M32" i="64"/>
  <c r="M33" i="64"/>
  <c r="M34" i="64"/>
  <c r="M35" i="64"/>
  <c r="M36" i="64"/>
  <c r="K9" i="65"/>
  <c r="G9" i="65"/>
  <c r="A9" i="65" s="1"/>
  <c r="L9" i="65"/>
  <c r="L12" i="65"/>
  <c r="G12" i="65"/>
  <c r="A12" i="65" s="1"/>
  <c r="K12" i="65"/>
  <c r="L59" i="3"/>
  <c r="L45" i="3"/>
  <c r="L44" i="3"/>
  <c r="L43" i="3"/>
  <c r="L42" i="3"/>
  <c r="L41" i="3"/>
  <c r="L40" i="3"/>
  <c r="L31" i="64"/>
  <c r="L32" i="64"/>
  <c r="L33" i="64"/>
  <c r="L34" i="64"/>
  <c r="L35" i="64"/>
  <c r="L36" i="64"/>
  <c r="U15" i="62" l="1"/>
  <c r="V15" i="62" s="1"/>
  <c r="U11" i="62"/>
  <c r="U13" i="62"/>
  <c r="V13" i="62" s="1"/>
  <c r="U8" i="62"/>
  <c r="U17" i="62"/>
  <c r="W17" i="62" s="1"/>
  <c r="U16" i="62"/>
  <c r="V16" i="62" s="1"/>
  <c r="U10" i="62"/>
  <c r="W10" i="62" s="1"/>
  <c r="U14" i="62"/>
  <c r="W14" i="62" s="1"/>
  <c r="U12" i="62"/>
  <c r="W12" i="62" s="1"/>
  <c r="G2" i="106"/>
  <c r="C20" i="34" s="1"/>
  <c r="I20" i="34" s="1"/>
  <c r="B3" i="64"/>
  <c r="N27" i="3"/>
  <c r="K6" i="3" s="1"/>
  <c r="B8" i="3"/>
  <c r="A27" i="3"/>
  <c r="R21" i="29"/>
  <c r="T21" i="29" s="1"/>
  <c r="R22" i="29"/>
  <c r="S22" i="29" s="1"/>
  <c r="R20" i="29"/>
  <c r="S20" i="29" s="1"/>
  <c r="R19" i="29"/>
  <c r="S19" i="29" s="1"/>
  <c r="R23" i="29"/>
  <c r="S23" i="29" s="1"/>
  <c r="R17" i="29"/>
  <c r="T17" i="29" s="1"/>
  <c r="R25" i="29"/>
  <c r="T25" i="29" s="1"/>
  <c r="R18" i="29"/>
  <c r="S18" i="29" s="1"/>
  <c r="U18" i="29" s="1"/>
  <c r="O8" i="29" s="1"/>
  <c r="R24" i="29"/>
  <c r="N5" i="65"/>
  <c r="N19" i="3"/>
  <c r="G4" i="3" s="1"/>
  <c r="U6" i="62"/>
  <c r="U7" i="62"/>
  <c r="K9" i="29"/>
  <c r="L9" i="29"/>
  <c r="M9" i="29"/>
  <c r="K8" i="29"/>
  <c r="L8" i="29"/>
  <c r="M8" i="29"/>
  <c r="F8" i="2"/>
  <c r="C9" i="2"/>
  <c r="G6" i="2"/>
  <c r="H6" i="2" s="1"/>
  <c r="I6" i="2" s="1"/>
  <c r="D7" i="2"/>
  <c r="E6" i="2"/>
  <c r="J6" i="2" s="1"/>
  <c r="R7" i="2"/>
  <c r="C25" i="34"/>
  <c r="I25" i="34" s="1"/>
  <c r="D25" i="34"/>
  <c r="J25" i="34" s="1"/>
  <c r="E23" i="34"/>
  <c r="K23" i="34" s="1"/>
  <c r="D23" i="34"/>
  <c r="J23" i="34" s="1"/>
  <c r="J2" i="48"/>
  <c r="G2" i="48" s="1"/>
  <c r="K2" i="48"/>
  <c r="M30" i="62"/>
  <c r="L30" i="62"/>
  <c r="K30" i="62"/>
  <c r="L28" i="62"/>
  <c r="K29" i="62"/>
  <c r="M29" i="62"/>
  <c r="K28" i="62"/>
  <c r="L29" i="62"/>
  <c r="M28" i="62"/>
  <c r="L21" i="62"/>
  <c r="M21" i="62"/>
  <c r="M22" i="62"/>
  <c r="K21" i="62"/>
  <c r="K22" i="62"/>
  <c r="L22" i="62"/>
  <c r="K11" i="62"/>
  <c r="K12" i="62"/>
  <c r="M11" i="62"/>
  <c r="L11" i="62"/>
  <c r="L12" i="62"/>
  <c r="M12" i="62"/>
  <c r="B17" i="3"/>
  <c r="G2" i="3"/>
  <c r="N5" i="64"/>
  <c r="L2" i="64" s="1"/>
  <c r="L2" i="65" l="1"/>
  <c r="I2" i="65" s="1"/>
  <c r="J2" i="65"/>
  <c r="G2" i="65" s="1"/>
  <c r="U20" i="29"/>
  <c r="P8" i="29" s="1"/>
  <c r="G2" i="64"/>
  <c r="K2" i="64"/>
  <c r="H2" i="64" s="1"/>
  <c r="K2" i="65"/>
  <c r="H2" i="65" s="1"/>
  <c r="V18" i="62"/>
  <c r="O11" i="62"/>
  <c r="W18" i="62"/>
  <c r="U18" i="62"/>
  <c r="S45" i="62"/>
  <c r="H6" i="3"/>
  <c r="D3" i="34" s="1"/>
  <c r="J3" i="34" s="1"/>
  <c r="L6" i="3"/>
  <c r="I6" i="3" s="1"/>
  <c r="G7" i="2"/>
  <c r="H7" i="2" s="1"/>
  <c r="I7" i="2" s="1"/>
  <c r="D8" i="2"/>
  <c r="E7" i="2"/>
  <c r="J7" i="2" s="1"/>
  <c r="V7" i="2"/>
  <c r="Q7" i="2"/>
  <c r="S7" i="2" s="1"/>
  <c r="T7" i="2" s="1"/>
  <c r="U7" i="2" s="1"/>
  <c r="F9" i="2"/>
  <c r="C10" i="2"/>
  <c r="C5" i="34"/>
  <c r="I5" i="34" s="1"/>
  <c r="N20" i="62"/>
  <c r="N27" i="62"/>
  <c r="K2" i="3"/>
  <c r="H2" i="3" s="1"/>
  <c r="L2" i="3"/>
  <c r="I2" i="3" s="1"/>
  <c r="L4" i="3"/>
  <c r="H4" i="3" s="1"/>
  <c r="K4" i="3"/>
  <c r="I4" i="3" s="1"/>
  <c r="L4" i="48"/>
  <c r="L6" i="48"/>
  <c r="H6" i="48" s="1"/>
  <c r="D19" i="34" s="1"/>
  <c r="J19" i="34" s="1"/>
  <c r="I2" i="64"/>
  <c r="K4" i="62" l="1"/>
  <c r="J4" i="62"/>
  <c r="L4" i="62"/>
  <c r="I4" i="62" s="1"/>
  <c r="U38" i="62"/>
  <c r="F10" i="2"/>
  <c r="C11" i="2"/>
  <c r="R8" i="2"/>
  <c r="D9" i="2"/>
  <c r="E8" i="2"/>
  <c r="J8" i="2" s="1"/>
  <c r="G8" i="2"/>
  <c r="H8" i="2" s="1"/>
  <c r="I8" i="2" s="1"/>
  <c r="C9" i="34"/>
  <c r="I9" i="34" s="1"/>
  <c r="E9" i="34"/>
  <c r="K9" i="34" s="1"/>
  <c r="D9" i="34"/>
  <c r="J9" i="34" s="1"/>
  <c r="D5" i="34"/>
  <c r="J5" i="34" s="1"/>
  <c r="E5" i="34"/>
  <c r="K5" i="34" s="1"/>
  <c r="C4" i="34"/>
  <c r="I4" i="34" s="1"/>
  <c r="D4" i="34"/>
  <c r="J4" i="34" s="1"/>
  <c r="E4" i="34"/>
  <c r="K4" i="34" s="1"/>
  <c r="E3" i="34"/>
  <c r="K3" i="34" s="1"/>
  <c r="C18" i="34"/>
  <c r="I18" i="34" s="1"/>
  <c r="C17" i="34"/>
  <c r="I17" i="34" s="1"/>
  <c r="I2" i="48"/>
  <c r="E17" i="34" s="1"/>
  <c r="K17" i="34" s="1"/>
  <c r="H2" i="48"/>
  <c r="D17" i="34" s="1"/>
  <c r="J17" i="34" s="1"/>
  <c r="G6" i="3"/>
  <c r="K6" i="48"/>
  <c r="I6" i="48" s="1"/>
  <c r="E19" i="34" s="1"/>
  <c r="K19" i="34" s="1"/>
  <c r="J6" i="48"/>
  <c r="G6" i="48" s="1"/>
  <c r="C19" i="34" s="1"/>
  <c r="I19" i="34" s="1"/>
  <c r="N11" i="62"/>
  <c r="J2" i="62" s="1"/>
  <c r="G2" i="62" s="1"/>
  <c r="I4" i="48"/>
  <c r="E18" i="34" s="1"/>
  <c r="K18" i="34" s="1"/>
  <c r="K4" i="48"/>
  <c r="H4" i="48" s="1"/>
  <c r="D18" i="34" s="1"/>
  <c r="J18" i="34" s="1"/>
  <c r="V43" i="62" l="1"/>
  <c r="W42" i="62"/>
  <c r="W44" i="62"/>
  <c r="V41" i="62"/>
  <c r="W39" i="62"/>
  <c r="V40" i="62"/>
  <c r="X40" i="62"/>
  <c r="L2" i="62"/>
  <c r="I2" i="62" s="1"/>
  <c r="K2" i="62"/>
  <c r="H2" i="62" s="1"/>
  <c r="U45" i="62"/>
  <c r="D10" i="2"/>
  <c r="E9" i="2"/>
  <c r="J9" i="2" s="1"/>
  <c r="G9" i="2"/>
  <c r="H9" i="2" s="1"/>
  <c r="I9" i="2" s="1"/>
  <c r="Q8" i="2"/>
  <c r="S8" i="2" s="1"/>
  <c r="T8" i="2" s="1"/>
  <c r="U8" i="2" s="1"/>
  <c r="R9" i="2"/>
  <c r="F11" i="2"/>
  <c r="C12" i="2"/>
  <c r="E16" i="34"/>
  <c r="K16" i="34" s="1"/>
  <c r="C3" i="34"/>
  <c r="I3" i="34" s="1"/>
  <c r="N8" i="29"/>
  <c r="H4" i="62"/>
  <c r="V45" i="62" l="1"/>
  <c r="W45" i="62"/>
  <c r="O27" i="62"/>
  <c r="X42" i="62"/>
  <c r="L2" i="29"/>
  <c r="I2" i="29" s="1"/>
  <c r="E13" i="34" s="1"/>
  <c r="K13" i="34" s="1"/>
  <c r="K2" i="29"/>
  <c r="H2" i="29" s="1"/>
  <c r="J2" i="29"/>
  <c r="G2" i="29" s="1"/>
  <c r="Q9" i="2"/>
  <c r="S9" i="2" s="1"/>
  <c r="T9" i="2" s="1"/>
  <c r="U9" i="2" s="1"/>
  <c r="R10" i="2"/>
  <c r="F12" i="2"/>
  <c r="C13" i="2"/>
  <c r="D11" i="2"/>
  <c r="E10" i="2"/>
  <c r="J10" i="2" s="1"/>
  <c r="G10" i="2"/>
  <c r="H10" i="2" s="1"/>
  <c r="I10" i="2" s="1"/>
  <c r="D16" i="34"/>
  <c r="J16" i="34" s="1"/>
  <c r="E15" i="34"/>
  <c r="K15" i="34" s="1"/>
  <c r="C15" i="34"/>
  <c r="I15" i="34" s="1"/>
  <c r="D15" i="34"/>
  <c r="J15" i="34" s="1"/>
  <c r="G4" i="62"/>
  <c r="X45" i="62" l="1"/>
  <c r="P27" i="62"/>
  <c r="K6" i="62" s="1"/>
  <c r="I6" i="62" s="1"/>
  <c r="E14" i="34" s="1"/>
  <c r="K14" i="34" s="1"/>
  <c r="Q10" i="2"/>
  <c r="S10" i="2" s="1"/>
  <c r="T10" i="2" s="1"/>
  <c r="U10" i="2" s="1"/>
  <c r="D12" i="2"/>
  <c r="E11" i="2"/>
  <c r="J11" i="2" s="1"/>
  <c r="G11" i="2"/>
  <c r="H11" i="2" s="1"/>
  <c r="I11" i="2" s="1"/>
  <c r="F13" i="2"/>
  <c r="C14" i="2"/>
  <c r="C16" i="34"/>
  <c r="I16" i="34" s="1"/>
  <c r="D13" i="34"/>
  <c r="J13" i="34" s="1"/>
  <c r="C13" i="34"/>
  <c r="I13" i="34" s="1"/>
  <c r="R11" i="2" l="1"/>
  <c r="L6" i="62"/>
  <c r="H6" i="62" s="1"/>
  <c r="D14" i="34" s="1"/>
  <c r="J14" i="34" s="1"/>
  <c r="J6" i="62"/>
  <c r="G6" i="62" s="1"/>
  <c r="C15" i="2"/>
  <c r="F15" i="2" s="1"/>
  <c r="F14" i="2"/>
  <c r="D13" i="2"/>
  <c r="E12" i="2"/>
  <c r="J12" i="2" s="1"/>
  <c r="G12" i="2"/>
  <c r="H12" i="2" s="1"/>
  <c r="I12" i="2" s="1"/>
  <c r="Q11" i="2"/>
  <c r="S11" i="2" s="1"/>
  <c r="T11" i="2" s="1"/>
  <c r="U11" i="2" s="1"/>
  <c r="R12" i="2"/>
  <c r="C14" i="34" l="1"/>
  <c r="I14" i="34" s="1"/>
  <c r="Q12" i="2"/>
  <c r="S12" i="2" s="1"/>
  <c r="T12" i="2" s="1"/>
  <c r="U12" i="2" s="1"/>
  <c r="D14" i="2"/>
  <c r="E13" i="2"/>
  <c r="J13" i="2" s="1"/>
  <c r="G13" i="2"/>
  <c r="H13" i="2" s="1"/>
  <c r="I13" i="2" s="1"/>
  <c r="R13" i="2" l="1"/>
  <c r="D15" i="2"/>
  <c r="E14" i="2"/>
  <c r="J14" i="2" s="1"/>
  <c r="G14" i="2"/>
  <c r="H14" i="2" s="1"/>
  <c r="I14" i="2" s="1"/>
  <c r="Q13" i="2"/>
  <c r="S13" i="2" s="1"/>
  <c r="T13" i="2" s="1"/>
  <c r="U13" i="2" s="1"/>
  <c r="R14" i="2" l="1"/>
  <c r="Q14" i="2" s="1"/>
  <c r="S14" i="2" s="1"/>
  <c r="T14" i="2" s="1"/>
  <c r="U14" i="2" s="1"/>
  <c r="G15" i="2"/>
  <c r="H15" i="2" s="1"/>
  <c r="I15" i="2" s="1"/>
  <c r="E15" i="2"/>
  <c r="J15" i="2" s="1"/>
  <c r="R15" i="2" l="1"/>
  <c r="Q15" i="2" s="1"/>
  <c r="S15" i="2" s="1"/>
  <c r="T15" i="2" s="1"/>
  <c r="U15" i="2" s="1"/>
  <c r="S26" i="29" l="1"/>
  <c r="R26" i="29"/>
  <c r="T26" i="29"/>
  <c r="U25" i="29" l="1"/>
</calcChain>
</file>

<file path=xl/comments1.xml><?xml version="1.0" encoding="utf-8"?>
<comments xmlns="http://schemas.openxmlformats.org/spreadsheetml/2006/main">
  <authors>
    <author>柯鈞逵</author>
  </authors>
  <commentList>
    <comment ref="I3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3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4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4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7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7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9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9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102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102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112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112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118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118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125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125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</commentList>
</comments>
</file>

<file path=xl/comments2.xml><?xml version="1.0" encoding="utf-8"?>
<comments xmlns="http://schemas.openxmlformats.org/spreadsheetml/2006/main">
  <authors>
    <author>鄭世濱</author>
  </authors>
  <commentList>
    <comment ref="O1" authorId="0">
      <text>
        <r>
          <rPr>
            <b/>
            <sz val="9"/>
            <color indexed="81"/>
            <rFont val="細明體"/>
            <family val="3"/>
            <charset val="136"/>
          </rPr>
          <t>鄭世濱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KEY IN PCF</t>
        </r>
        <r>
          <rPr>
            <sz val="9"/>
            <color indexed="81"/>
            <rFont val="細明體"/>
            <family val="3"/>
            <charset val="136"/>
          </rPr>
          <t>資料</t>
        </r>
      </text>
    </comment>
  </commentList>
</comments>
</file>

<file path=xl/sharedStrings.xml><?xml version="1.0" encoding="utf-8"?>
<sst xmlns="http://schemas.openxmlformats.org/spreadsheetml/2006/main" count="6196" uniqueCount="3452">
  <si>
    <t>Day</t>
    <phoneticPr fontId="0" type="noConversion"/>
  </si>
  <si>
    <t>指數漲跌</t>
    <phoneticPr fontId="0" type="noConversion"/>
  </si>
  <si>
    <t>每日資產市值</t>
    <phoneticPr fontId="0" type="noConversion"/>
  </si>
  <si>
    <t>每日總損益</t>
    <phoneticPr fontId="0" type="noConversion"/>
  </si>
  <si>
    <t>槓桿市值</t>
    <phoneticPr fontId="0" type="noConversion"/>
  </si>
  <si>
    <t>反向市值</t>
    <phoneticPr fontId="0" type="noConversion"/>
  </si>
  <si>
    <t>槓桿損益</t>
    <phoneticPr fontId="0" type="noConversion"/>
  </si>
  <si>
    <t>反向損益</t>
    <phoneticPr fontId="0" type="noConversion"/>
  </si>
  <si>
    <t>每日報酬率</t>
    <phoneticPr fontId="0" type="noConversion"/>
  </si>
  <si>
    <t>累計報酬率</t>
    <phoneticPr fontId="0" type="noConversion"/>
  </si>
  <si>
    <t>市值差額</t>
    <phoneticPr fontId="0" type="noConversion"/>
  </si>
  <si>
    <t>靜態Hedge</t>
    <phoneticPr fontId="0" type="noConversion"/>
  </si>
  <si>
    <t>動態Hedge</t>
    <phoneticPr fontId="0" type="noConversion"/>
  </si>
  <si>
    <t>動態Hedge總市值</t>
    <phoneticPr fontId="0" type="noConversion"/>
  </si>
  <si>
    <t>單位(百萬)</t>
    <phoneticPr fontId="0" type="noConversion"/>
  </si>
  <si>
    <r>
      <t>槓桿</t>
    </r>
    <r>
      <rPr>
        <sz val="12"/>
        <rFont val="新細明體"/>
        <family val="1"/>
        <charset val="136"/>
      </rPr>
      <t>+2*</t>
    </r>
    <r>
      <rPr>
        <sz val="12"/>
        <rFont val="新細明體"/>
        <family val="1"/>
        <charset val="136"/>
      </rPr>
      <t>反向</t>
    </r>
    <r>
      <rPr>
        <sz val="12"/>
        <rFont val="新細明體"/>
        <family val="1"/>
        <charset val="136"/>
      </rPr>
      <t>ETF(</t>
    </r>
    <r>
      <rPr>
        <sz val="12"/>
        <rFont val="新細明體"/>
        <family val="1"/>
        <charset val="136"/>
      </rPr>
      <t>動態</t>
    </r>
    <r>
      <rPr>
        <sz val="12"/>
        <rFont val="新細明體"/>
        <family val="1"/>
        <charset val="136"/>
      </rPr>
      <t>Hedge</t>
    </r>
    <r>
      <rPr>
        <sz val="12"/>
        <rFont val="新細明體"/>
        <family val="1"/>
        <charset val="136"/>
      </rPr>
      <t>前</t>
    </r>
    <r>
      <rPr>
        <sz val="12"/>
        <rFont val="新細明體"/>
        <family val="1"/>
        <charset val="136"/>
      </rPr>
      <t>)</t>
    </r>
    <phoneticPr fontId="0" type="noConversion"/>
  </si>
  <si>
    <r>
      <t>槓桿</t>
    </r>
    <r>
      <rPr>
        <sz val="12"/>
        <rFont val="新細明體"/>
        <family val="1"/>
        <charset val="136"/>
      </rPr>
      <t>+</t>
    </r>
    <r>
      <rPr>
        <sz val="12"/>
        <rFont val="新細明體"/>
        <family val="1"/>
        <charset val="136"/>
      </rPr>
      <t>反向</t>
    </r>
    <r>
      <rPr>
        <sz val="12"/>
        <rFont val="新細明體"/>
        <family val="1"/>
        <charset val="136"/>
      </rPr>
      <t>ETF(</t>
    </r>
    <r>
      <rPr>
        <sz val="12"/>
        <rFont val="新細明體"/>
        <family val="1"/>
        <charset val="136"/>
      </rPr>
      <t>動態</t>
    </r>
    <r>
      <rPr>
        <sz val="12"/>
        <rFont val="新細明體"/>
        <family val="1"/>
        <charset val="136"/>
      </rPr>
      <t>Hedge</t>
    </r>
    <r>
      <rPr>
        <sz val="12"/>
        <rFont val="新細明體"/>
        <family val="1"/>
        <charset val="136"/>
      </rPr>
      <t>後</t>
    </r>
    <r>
      <rPr>
        <sz val="12"/>
        <rFont val="新細明體"/>
        <family val="1"/>
        <charset val="136"/>
      </rPr>
      <t>)</t>
    </r>
    <phoneticPr fontId="0" type="noConversion"/>
  </si>
  <si>
    <r>
      <t>槓桿反向</t>
    </r>
    <r>
      <rPr>
        <sz val="12"/>
        <rFont val="新細明體"/>
        <family val="1"/>
        <charset val="136"/>
      </rPr>
      <t>ETF</t>
    </r>
    <r>
      <rPr>
        <sz val="12"/>
        <rFont val="新細明體"/>
        <family val="1"/>
        <charset val="136"/>
      </rPr>
      <t>動態調整過程</t>
    </r>
    <r>
      <rPr>
        <sz val="12"/>
        <rFont val="新細明體"/>
        <family val="1"/>
        <charset val="136"/>
      </rPr>
      <t>(</t>
    </r>
    <r>
      <rPr>
        <sz val="12"/>
        <rFont val="新細明體"/>
        <family val="1"/>
        <charset val="136"/>
      </rPr>
      <t>實際狀況</t>
    </r>
    <r>
      <rPr>
        <sz val="12"/>
        <rFont val="新細明體"/>
        <family val="1"/>
        <charset val="136"/>
      </rPr>
      <t>)</t>
    </r>
    <phoneticPr fontId="0" type="noConversion"/>
  </si>
  <si>
    <t>權重</t>
    <phoneticPr fontId="0" type="noConversion"/>
  </si>
  <si>
    <t>代號</t>
    <phoneticPr fontId="0" type="noConversion"/>
  </si>
  <si>
    <t>單位數</t>
    <phoneticPr fontId="0" type="noConversion"/>
  </si>
  <si>
    <t>即時淨值</t>
    <phoneticPr fontId="0" type="noConversion"/>
  </si>
  <si>
    <t>預估費用</t>
    <phoneticPr fontId="0" type="noConversion"/>
  </si>
  <si>
    <t>發行單位數</t>
    <phoneticPr fontId="0" type="noConversion"/>
  </si>
  <si>
    <t>類別</t>
    <phoneticPr fontId="0" type="noConversion"/>
  </si>
  <si>
    <t>00632R</t>
  </si>
  <si>
    <t>折溢價</t>
    <phoneticPr fontId="0" type="noConversion"/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</si>
  <si>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</si>
  <si>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</si>
  <si>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</si>
  <si>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</si>
  <si>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</si>
  <si>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</si>
  <si>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</si>
  <si>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</si>
  <si>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</si>
  <si>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</si>
  <si>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0061</t>
  </si>
  <si>
    <t>006201</t>
  </si>
  <si>
    <t>006203</t>
  </si>
  <si>
    <t>006204</t>
  </si>
  <si>
    <t>006205</t>
  </si>
  <si>
    <t>006206</t>
  </si>
  <si>
    <t>006207</t>
  </si>
  <si>
    <t>006208</t>
  </si>
  <si>
    <t>00631L</t>
  </si>
  <si>
    <t>008201</t>
  </si>
  <si>
    <t>昨價</t>
    <phoneticPr fontId="0" type="noConversion"/>
  </si>
  <si>
    <t>FITX*1</t>
    <phoneticPr fontId="0" type="noConversion"/>
  </si>
  <si>
    <t>匯率</t>
    <phoneticPr fontId="0" type="noConversion"/>
  </si>
  <si>
    <t>00633L</t>
  </si>
  <si>
    <t>00634R</t>
  </si>
  <si>
    <t>Bid</t>
    <phoneticPr fontId="0" type="noConversion"/>
  </si>
  <si>
    <t>Ask</t>
    <phoneticPr fontId="0" type="noConversion"/>
  </si>
  <si>
    <t>ETF商品</t>
    <phoneticPr fontId="0" type="noConversion"/>
  </si>
  <si>
    <t>股票名稱</t>
  </si>
  <si>
    <t>00636</t>
  </si>
  <si>
    <t>股票代號</t>
  </si>
  <si>
    <t>00639</t>
  </si>
  <si>
    <t>00643</t>
  </si>
  <si>
    <t>00637L</t>
  </si>
  <si>
    <t>00638R</t>
  </si>
  <si>
    <t>00635U</t>
  </si>
  <si>
    <t>00642U</t>
  </si>
  <si>
    <t>00646</t>
  </si>
  <si>
    <t>00647L</t>
  </si>
  <si>
    <t>00648R</t>
  </si>
  <si>
    <t>00652</t>
  </si>
  <si>
    <t>00653L</t>
  </si>
  <si>
    <t>00654R</t>
  </si>
  <si>
    <t>0050</t>
    <phoneticPr fontId="0" type="noConversion"/>
  </si>
  <si>
    <t>0055</t>
    <phoneticPr fontId="0" type="noConversion"/>
  </si>
  <si>
    <t>00631L</t>
    <phoneticPr fontId="0" type="noConversion"/>
  </si>
  <si>
    <t>00632R</t>
    <phoneticPr fontId="0" type="noConversion"/>
  </si>
  <si>
    <t>00637L</t>
    <phoneticPr fontId="0" type="noConversion"/>
  </si>
  <si>
    <t>00638R</t>
    <phoneticPr fontId="0" type="noConversion"/>
  </si>
  <si>
    <t>00642U</t>
    <phoneticPr fontId="0" type="noConversion"/>
  </si>
  <si>
    <t>00640L</t>
  </si>
  <si>
    <t>00641R</t>
  </si>
  <si>
    <t>00658L</t>
  </si>
  <si>
    <t>00659R</t>
  </si>
  <si>
    <t>00655L</t>
  </si>
  <si>
    <t>00656R</t>
  </si>
  <si>
    <t>00649</t>
  </si>
  <si>
    <t>00650L</t>
  </si>
  <si>
    <t>00651R</t>
  </si>
  <si>
    <t>00657</t>
  </si>
  <si>
    <t>00660</t>
  </si>
  <si>
    <t>00661</t>
  </si>
  <si>
    <t>00662</t>
  </si>
  <si>
    <t>00645</t>
  </si>
  <si>
    <t>00625K</t>
  </si>
  <si>
    <t>00663L</t>
  </si>
  <si>
    <t>00664R</t>
  </si>
  <si>
    <t>00665L</t>
  </si>
  <si>
    <t>00666R</t>
  </si>
  <si>
    <t>00667</t>
  </si>
  <si>
    <t>00672L</t>
  </si>
  <si>
    <t>00673R</t>
  </si>
  <si>
    <t>00674R</t>
  </si>
  <si>
    <t>00668</t>
  </si>
  <si>
    <t>00669R</t>
  </si>
  <si>
    <t>00675L</t>
  </si>
  <si>
    <t>00676R</t>
  </si>
  <si>
    <t>00677U</t>
  </si>
  <si>
    <t>00678</t>
  </si>
  <si>
    <t>00679B</t>
  </si>
  <si>
    <t>00680L</t>
  </si>
  <si>
    <t>00681R</t>
  </si>
  <si>
    <t>00671R</t>
  </si>
  <si>
    <t>00670L</t>
  </si>
  <si>
    <t>00685L</t>
  </si>
  <si>
    <t>00686R</t>
  </si>
  <si>
    <t>00691R</t>
  </si>
  <si>
    <t>00690</t>
  </si>
  <si>
    <t>格式：一般排行///文字///日期//否/</t>
  </si>
  <si>
    <t>表格欄位/代號種類^=^S^;^週期編號^=^D^;^AllCMenuIDs^=^M708,M708,M708,M707,M707,M707,M707,M326,M326,M326^;^是否轉置^=^False^;^檢視方式^=^2^;^AllFields^=^淨值,基金淨資產價值(千),已發行受益權單位總數(千),每申購／買回基數之受益權單位數(千),每申購／買回基數約當市值(元),每申購／買回基數估計現金差額(元),每申購基數之實際申購總價金(元),交易手續費費率,管理費(%),保管費(%)^;^MainTable^=^^;^ListType^=^^;^SelectDate^=^TOP 1|TOP 1|TOP 1|TOP 1|TOP 1|TOP 1|TOP 1|TOP 1|TOP 1|TOP 1^;^SelectCMenuID^=^M708|M707|M326^;^SelectDate種類^=^1|1|1|1|1|1|1|1|1|1^;^AllFieldsNO^=^,,,,,,,,,^;^自訂欄位公式^=^|||||||||^;^自訂欄位Where條件^=^|||||||||^;^多期數值處理方式^=^1|1|1|1|1|1|1|1|1|1^;^多欄指定個股方式^=^^;^多欄指定個股^=^^;^多欄指定群組名稱^=^^;^欄位顯示狀態^=^1|1|1|1|1|1|1|1|1|1^;^欄位轉換日期方式^=^|||||||||^;^欄位排序方式^=^|||||||||^;^欄位採用各期最新^=^1|1|1|1|1|1|1|||^;^樣本表系統定義全部代號^=^^;^單項目比較欄位^=^^;^單項目比較欄位編號^=^^;^表格類型^=^</t>
  </si>
  <si>
    <t>ETF折溢價表.淨值/每一期/最近/1/遞增/日//最新</t>
  </si>
  <si>
    <t>ETF折溢價表.基金淨資產價值(千)/每一期/最近/1/遞增/日//最新</t>
  </si>
  <si>
    <t>ETF折溢價表.已發行受益權單位總數(千)/每一期/最近/1/遞增/日//最新</t>
  </si>
  <si>
    <t>ETF申購買回清單.每申購／買回基數之受益權單位數(千)/每一期/最近/1/遞增/日//最新</t>
  </si>
  <si>
    <t>ETF申購買回清單.每申購／買回基數約當市值(元)/每一期/最近/1/遞增/日//最新</t>
  </si>
  <si>
    <t>ETF申購買回清單.每申購／買回基數估計現金差額(元)/每一期/最近/1/遞增/日//最新</t>
  </si>
  <si>
    <t>ETF申購買回清單.每申購基數之實際申購總價金(元)/每一期/最近/1/遞增/日//最新</t>
  </si>
  <si>
    <t>ETF基本資料表.交易手續費費率/每一期/最近/1/遞增/年//</t>
  </si>
  <si>
    <t>ETF基本資料表.管理費(%)/每一期/最近/1/遞增/年//</t>
  </si>
  <si>
    <t>ETF基本資料表.保管費(%)/每一期/最近/1/遞增/年//</t>
  </si>
  <si>
    <t>基準日:最近一日</t>
  </si>
  <si>
    <t>資料日期/</t>
  </si>
  <si>
    <t>更新標題:是</t>
  </si>
  <si>
    <t>參考標題</t>
  </si>
  <si>
    <t>同上市證券，由證券商訂定，但不得超過千分之一．四二五</t>
  </si>
  <si>
    <t>同上櫃證券</t>
  </si>
  <si>
    <t>同上市證券，由證券商訂定，但不得超過千分之一點四二五</t>
  </si>
  <si>
    <t>基金淨資產價值7.8億港元的部分，每年0.89%；基金淨資產價值超過7.8億港元的部分，每年0.99%。</t>
  </si>
  <si>
    <t>從管理費中支出</t>
  </si>
  <si>
    <t>萬分之一</t>
  </si>
  <si>
    <t>ETFID</t>
    <phoneticPr fontId="0" type="noConversion"/>
  </si>
  <si>
    <t>資產淨值</t>
    <phoneticPr fontId="0" type="noConversion"/>
  </si>
  <si>
    <t>發行單位數(千)</t>
    <phoneticPr fontId="0" type="noConversion"/>
  </si>
  <si>
    <t>昨日淨值</t>
    <phoneticPr fontId="0" type="noConversion"/>
  </si>
  <si>
    <t>鴻海</t>
    <phoneticPr fontId="0" type="noConversion"/>
  </si>
  <si>
    <t>鴻準</t>
    <phoneticPr fontId="0" type="noConversion"/>
  </si>
  <si>
    <t>FINYF*1</t>
    <phoneticPr fontId="0" type="noConversion"/>
  </si>
  <si>
    <t>00672L</t>
    <phoneticPr fontId="0" type="noConversion"/>
  </si>
  <si>
    <t>00673R</t>
    <phoneticPr fontId="0" type="noConversion"/>
  </si>
  <si>
    <t>代碼</t>
  </si>
  <si>
    <t>商品</t>
  </si>
  <si>
    <t>成交</t>
  </si>
  <si>
    <t>買進</t>
  </si>
  <si>
    <t>賣出</t>
  </si>
  <si>
    <t>現價</t>
    <phoneticPr fontId="0" type="noConversion"/>
  </si>
  <si>
    <t>現貨價格</t>
    <phoneticPr fontId="0" type="noConversion"/>
  </si>
  <si>
    <t>自算淨值</t>
    <phoneticPr fontId="0" type="noConversion"/>
  </si>
  <si>
    <t>30億(含)以下：0.17%30億(不含)以上，200億(含)以下：0.10%200億(不含)以上：0.06%</t>
  </si>
  <si>
    <t>0061</t>
    <phoneticPr fontId="0" type="noConversion"/>
  </si>
  <si>
    <t>代碼</t>
    <phoneticPr fontId="0" type="noConversion"/>
  </si>
  <si>
    <t>成交價</t>
    <phoneticPr fontId="0" type="noConversion"/>
  </si>
  <si>
    <t>台泥</t>
  </si>
  <si>
    <t>亞泥</t>
  </si>
  <si>
    <t>統一</t>
  </si>
  <si>
    <t>台塑</t>
  </si>
  <si>
    <t>南亞</t>
  </si>
  <si>
    <t>台化</t>
  </si>
  <si>
    <t>遠東新</t>
  </si>
  <si>
    <t>中鋼</t>
  </si>
  <si>
    <t>正新</t>
  </si>
  <si>
    <t>和泰車</t>
  </si>
  <si>
    <t>光寶科</t>
  </si>
  <si>
    <t>聯電</t>
  </si>
  <si>
    <t>台達電</t>
  </si>
  <si>
    <t>鴻海</t>
  </si>
  <si>
    <t>仁寶</t>
  </si>
  <si>
    <t>台積電</t>
  </si>
  <si>
    <t>華碩</t>
  </si>
  <si>
    <t>廣達</t>
  </si>
  <si>
    <t>研華</t>
  </si>
  <si>
    <t>南亞科</t>
  </si>
  <si>
    <t>友達</t>
  </si>
  <si>
    <t>中華電</t>
  </si>
  <si>
    <t>聯發科</t>
  </si>
  <si>
    <t>可成</t>
  </si>
  <si>
    <t>台灣高鐵</t>
  </si>
  <si>
    <t>彰銀</t>
  </si>
  <si>
    <t>中壽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</si>
  <si>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</si>
  <si>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</si>
  <si>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</si>
  <si>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</si>
  <si>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</si>
  <si>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</si>
  <si>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</si>
  <si>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</si>
  <si>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永豐金</t>
  </si>
  <si>
    <t>中信金</t>
  </si>
  <si>
    <t>第一金</t>
  </si>
  <si>
    <t>統一超</t>
  </si>
  <si>
    <t>大立光</t>
  </si>
  <si>
    <t>台灣大</t>
  </si>
  <si>
    <t>遠傳</t>
  </si>
  <si>
    <t>和碩</t>
  </si>
  <si>
    <t>合庫金</t>
  </si>
  <si>
    <t>台塑化</t>
  </si>
  <si>
    <t>寶成</t>
  </si>
  <si>
    <t>臺企銀</t>
  </si>
  <si>
    <t>新光金</t>
  </si>
  <si>
    <t>中租-KY</t>
  </si>
  <si>
    <t>聯強</t>
  </si>
  <si>
    <t>英業達</t>
  </si>
  <si>
    <t>技嘉</t>
  </si>
  <si>
    <t>微星</t>
  </si>
  <si>
    <t>群光</t>
  </si>
  <si>
    <t>京元電子</t>
  </si>
  <si>
    <t>創見</t>
  </si>
  <si>
    <t>興富發</t>
  </si>
  <si>
    <t>聯詠</t>
  </si>
  <si>
    <t>緯創</t>
  </si>
  <si>
    <t>大聯大</t>
  </si>
  <si>
    <t>瑞儀</t>
  </si>
  <si>
    <t>力成</t>
  </si>
  <si>
    <t>市值</t>
  </si>
  <si>
    <t>代號</t>
  </si>
  <si>
    <t>成交價</t>
  </si>
  <si>
    <t>漲幅%</t>
  </si>
  <si>
    <t>單量</t>
  </si>
  <si>
    <t>總量</t>
  </si>
  <si>
    <t>開盤</t>
  </si>
  <si>
    <t>最高</t>
  </si>
  <si>
    <t>最低</t>
  </si>
  <si>
    <t>振幅%</t>
  </si>
  <si>
    <t>昨收</t>
  </si>
  <si>
    <t>昨量</t>
  </si>
  <si>
    <t>漲跌</t>
  </si>
  <si>
    <t>FITX*1</t>
  </si>
  <si>
    <t>股數/口數</t>
    <phoneticPr fontId="0" type="noConversion"/>
  </si>
  <si>
    <t>股數/口數</t>
    <phoneticPr fontId="0" type="noConversion"/>
  </si>
  <si>
    <t>金融期</t>
    <phoneticPr fontId="8" type="noConversion"/>
  </si>
  <si>
    <t>FITF*1</t>
  </si>
  <si>
    <t>ETFID</t>
    <phoneticPr fontId="0" type="noConversion"/>
  </si>
  <si>
    <t>Bid</t>
    <phoneticPr fontId="0" type="noConversion"/>
  </si>
  <si>
    <t>Ask</t>
    <phoneticPr fontId="0" type="noConversion"/>
  </si>
  <si>
    <t>0056</t>
    <phoneticPr fontId="0" type="noConversion"/>
  </si>
  <si>
    <t>即時表彰市值</t>
    <phoneticPr fontId="0" type="noConversion"/>
  </si>
  <si>
    <t>即時表彰市值(Bid)</t>
    <phoneticPr fontId="0" type="noConversion"/>
  </si>
  <si>
    <t>即時表彰市值(Ask)</t>
    <phoneticPr fontId="0" type="noConversion"/>
  </si>
  <si>
    <t>預估淨資產</t>
    <phoneticPr fontId="0" type="noConversion"/>
  </si>
  <si>
    <t>預估淨資產(Bid)</t>
    <phoneticPr fontId="0" type="noConversion"/>
  </si>
  <si>
    <t>預估淨資產(Ask)</t>
    <phoneticPr fontId="0" type="noConversion"/>
  </si>
  <si>
    <t>基金資產淨值</t>
    <phoneticPr fontId="0" type="noConversion"/>
  </si>
  <si>
    <t>單位淨值_昨日</t>
    <phoneticPr fontId="0" type="noConversion"/>
  </si>
  <si>
    <t>昨日表彰市值</t>
    <phoneticPr fontId="0" type="noConversion"/>
  </si>
  <si>
    <t>預估淨資產(成交價)</t>
    <phoneticPr fontId="0" type="noConversion"/>
  </si>
  <si>
    <t>浦發銀行</t>
  </si>
  <si>
    <t>民生銀行</t>
  </si>
  <si>
    <t>中國石化</t>
  </si>
  <si>
    <t>南方航空</t>
  </si>
  <si>
    <t>中信證券</t>
  </si>
  <si>
    <t>招商銀行</t>
  </si>
  <si>
    <t>保利地產</t>
  </si>
  <si>
    <t>中國聯通</t>
  </si>
  <si>
    <t>上汽集團</t>
  </si>
  <si>
    <t>華夏幸福</t>
  </si>
  <si>
    <t>貴州茅臺</t>
  </si>
  <si>
    <t>海通證券</t>
  </si>
  <si>
    <t>伊利股份</t>
  </si>
  <si>
    <t>中國神華</t>
  </si>
  <si>
    <t>興業銀行</t>
  </si>
  <si>
    <t>中國鐵建</t>
  </si>
  <si>
    <t>國泰君安</t>
  </si>
  <si>
    <t>上海銀行</t>
  </si>
  <si>
    <t>農業銀行</t>
  </si>
  <si>
    <t>中國平安</t>
  </si>
  <si>
    <t>交通銀行</t>
  </si>
  <si>
    <t>新華保險</t>
  </si>
  <si>
    <t>中國中鐵</t>
  </si>
  <si>
    <t>工商銀行</t>
  </si>
  <si>
    <t>中國太保</t>
  </si>
  <si>
    <t>中國人壽</t>
  </si>
  <si>
    <t>中國建筑</t>
  </si>
  <si>
    <t>華泰證券</t>
  </si>
  <si>
    <t>中國中車</t>
  </si>
  <si>
    <t>中國交建</t>
  </si>
  <si>
    <t>光大銀行</t>
  </si>
  <si>
    <t>中國石油</t>
  </si>
  <si>
    <t>中國銀行</t>
  </si>
  <si>
    <t>中國重工</t>
  </si>
  <si>
    <t>CN*1.SG</t>
  </si>
  <si>
    <t>即時表彰市值</t>
    <phoneticPr fontId="0" type="noConversion"/>
  </si>
  <si>
    <t>即時表彰市值(Bid)</t>
    <phoneticPr fontId="0" type="noConversion"/>
  </si>
  <si>
    <t>即時表彰市值(Ask)</t>
    <phoneticPr fontId="0" type="noConversion"/>
  </si>
  <si>
    <t>昨日表彰市值</t>
    <phoneticPr fontId="0" type="noConversion"/>
  </si>
  <si>
    <t>單位數(含匯率、期貨點數價值)</t>
    <phoneticPr fontId="0" type="noConversion"/>
  </si>
  <si>
    <t>權重</t>
  </si>
  <si>
    <t>類別</t>
  </si>
  <si>
    <t>單位數</t>
  </si>
  <si>
    <t>昨價</t>
  </si>
  <si>
    <t>股數/口數</t>
  </si>
  <si>
    <t>昨日表彰市值</t>
  </si>
  <si>
    <t>Bid</t>
  </si>
  <si>
    <t>Ask</t>
  </si>
  <si>
    <t>即時表彰市值</t>
  </si>
  <si>
    <t>即時表彰市值(Bid)</t>
  </si>
  <si>
    <t>即時表彰市值(Ask)</t>
  </si>
  <si>
    <t>0061</t>
    <phoneticPr fontId="8" type="noConversion"/>
  </si>
  <si>
    <t>元大寶滬深</t>
    <phoneticPr fontId="0" type="noConversion"/>
  </si>
  <si>
    <t>CN*2.SG</t>
  </si>
  <si>
    <t>FINZF*1.TF</t>
    <phoneticPr fontId="8" type="noConversion"/>
  </si>
  <si>
    <t>FINZF*2.TF</t>
  </si>
  <si>
    <t>(台北時間下午四點或接近四點以前：Bloomberg優先，Reuter次之)</t>
    <phoneticPr fontId="8" type="noConversion"/>
  </si>
  <si>
    <t>USD/TWD</t>
  </si>
  <si>
    <t>USD/TWD</t>
    <phoneticPr fontId="0" type="noConversion"/>
  </si>
  <si>
    <t>CNY/TW</t>
  </si>
  <si>
    <t>CNY/TW</t>
    <phoneticPr fontId="0" type="noConversion"/>
  </si>
  <si>
    <t>現價(XQ)</t>
    <phoneticPr fontId="0" type="noConversion"/>
  </si>
  <si>
    <t>流通單位數(千)</t>
    <phoneticPr fontId="0" type="noConversion"/>
  </si>
  <si>
    <t>流通單位數(千)</t>
    <phoneticPr fontId="0" type="noConversion"/>
  </si>
  <si>
    <t>2827.HK</t>
    <phoneticPr fontId="0" type="noConversion"/>
  </si>
  <si>
    <t>HKD/TW</t>
  </si>
  <si>
    <t>HKD/TW</t>
    <phoneticPr fontId="0" type="noConversion"/>
  </si>
  <si>
    <t>成交價</t>
    <phoneticPr fontId="0" type="noConversion"/>
  </si>
  <si>
    <t>即時單位淨值</t>
    <phoneticPr fontId="0" type="noConversion"/>
  </si>
  <si>
    <t>即時單位淨值</t>
    <phoneticPr fontId="0" type="noConversion"/>
  </si>
  <si>
    <t>AUM(億)</t>
    <phoneticPr fontId="0" type="noConversion"/>
  </si>
  <si>
    <t>紐約輕原油</t>
    <phoneticPr fontId="0" type="noConversion"/>
  </si>
  <si>
    <t>預估淨資產(成交價)</t>
  </si>
  <si>
    <t>預估淨資產(成交價)</t>
    <phoneticPr fontId="0" type="noConversion"/>
  </si>
  <si>
    <t>預估淨資產(Bid)</t>
  </si>
  <si>
    <t>預估淨資產(Bid)</t>
    <phoneticPr fontId="0" type="noConversion"/>
  </si>
  <si>
    <t>預估淨資產(Ask)</t>
  </si>
  <si>
    <t>預估淨資產(Ask)</t>
    <phoneticPr fontId="0" type="noConversion"/>
  </si>
  <si>
    <t>USD/TWD</t>
    <phoneticPr fontId="0" type="noConversion"/>
  </si>
  <si>
    <t>CNY/TWD</t>
    <phoneticPr fontId="0" type="noConversion"/>
  </si>
  <si>
    <t>昨日設算匯率</t>
    <phoneticPr fontId="0" type="noConversion"/>
  </si>
  <si>
    <t>00692</t>
  </si>
  <si>
    <t>00687B</t>
  </si>
  <si>
    <t>00688L</t>
  </si>
  <si>
    <t>00689R</t>
  </si>
  <si>
    <t>00693U</t>
  </si>
  <si>
    <t>00703</t>
  </si>
  <si>
    <t>00704L</t>
  </si>
  <si>
    <t>00705R</t>
  </si>
  <si>
    <t>最高千分之一點四二五</t>
  </si>
  <si>
    <t>30億以下：0.17%30億以上：0.10%</t>
  </si>
  <si>
    <t>檔數(↓輸入)</t>
    <phoneticPr fontId="8" type="noConversion"/>
  </si>
  <si>
    <t xml:space="preserve"> </t>
    <phoneticPr fontId="8" type="noConversion"/>
  </si>
  <si>
    <t>交易所代碼(↓輸入)</t>
    <phoneticPr fontId="8" type="noConversion"/>
  </si>
  <si>
    <t>交易所名稱</t>
    <phoneticPr fontId="8" type="noConversion"/>
  </si>
  <si>
    <t>商品代碼(↓輸入)</t>
    <phoneticPr fontId="8" type="noConversion"/>
  </si>
  <si>
    <t>商品名稱</t>
    <phoneticPr fontId="8" type="noConversion"/>
  </si>
  <si>
    <t>開盤價</t>
    <phoneticPr fontId="8" type="noConversion"/>
  </si>
  <si>
    <t>最高價</t>
    <phoneticPr fontId="8" type="noConversion"/>
  </si>
  <si>
    <t>最低價</t>
    <phoneticPr fontId="8" type="noConversion"/>
  </si>
  <si>
    <t>成交價</t>
    <phoneticPr fontId="8" type="noConversion"/>
  </si>
  <si>
    <t>結算價</t>
  </si>
  <si>
    <t>昨收、參考價</t>
    <phoneticPr fontId="8" type="noConversion"/>
  </si>
  <si>
    <t>買價</t>
  </si>
  <si>
    <t>買量</t>
  </si>
  <si>
    <t>賣價</t>
  </si>
  <si>
    <t>賣量</t>
  </si>
  <si>
    <t>成交量</t>
    <phoneticPr fontId="8" type="noConversion"/>
  </si>
  <si>
    <t>SGX</t>
  </si>
  <si>
    <t>CNIDX</t>
    <phoneticPr fontId="8" type="noConversion"/>
  </si>
  <si>
    <t>CME</t>
  </si>
  <si>
    <t>元大台灣50</t>
  </si>
  <si>
    <t>元大中型100</t>
  </si>
  <si>
    <t>元大電子</t>
  </si>
  <si>
    <t>元大台商50</t>
  </si>
  <si>
    <t>元大MSCI金融</t>
  </si>
  <si>
    <t>元大高股息</t>
  </si>
  <si>
    <t>元大寶滬深</t>
  </si>
  <si>
    <t>元大富櫃50</t>
  </si>
  <si>
    <t>元大MSCI台灣</t>
  </si>
  <si>
    <t>元大台灣50正2</t>
  </si>
  <si>
    <t>元大台灣50反1</t>
  </si>
  <si>
    <t>元大上證50</t>
  </si>
  <si>
    <t>元大滬深300正2</t>
  </si>
  <si>
    <t>元大滬深300反1</t>
  </si>
  <si>
    <t>元大S&amp;P黃金</t>
  </si>
  <si>
    <t>元大S&amp;P石油</t>
  </si>
  <si>
    <t>元大S&amp;P500</t>
  </si>
  <si>
    <t>元大S&amp;P500正2</t>
  </si>
  <si>
    <t>元大S&amp;P500反1</t>
  </si>
  <si>
    <t>元大歐洲50</t>
  </si>
  <si>
    <t>元大日經225</t>
  </si>
  <si>
    <t>元大韓國</t>
  </si>
  <si>
    <t>元大S&amp;P原油正2</t>
  </si>
  <si>
    <t>元大S&amp;P原油反1</t>
  </si>
  <si>
    <t>元大S&amp;P黃金反1</t>
  </si>
  <si>
    <t>元大美債20年</t>
  </si>
  <si>
    <t>元大美債20正2</t>
  </si>
  <si>
    <t>元大美債20反1</t>
  </si>
  <si>
    <t>元大美元指數</t>
  </si>
  <si>
    <t>元大美元指數正2</t>
  </si>
  <si>
    <t>元大美元指數反1</t>
  </si>
  <si>
    <t>元大美債7-10</t>
  </si>
  <si>
    <t>元大美債7-10正2</t>
  </si>
  <si>
    <t>元大美債7-10反1</t>
  </si>
  <si>
    <t>0050</t>
    <phoneticPr fontId="0" type="noConversion"/>
  </si>
  <si>
    <t>00631L</t>
    <phoneticPr fontId="0" type="noConversion"/>
  </si>
  <si>
    <t>00632R</t>
    <phoneticPr fontId="0" type="noConversion"/>
  </si>
  <si>
    <t>0051</t>
    <phoneticPr fontId="0" type="noConversion"/>
  </si>
  <si>
    <t>0053</t>
    <phoneticPr fontId="0" type="noConversion"/>
  </si>
  <si>
    <t>0054</t>
    <phoneticPr fontId="0" type="noConversion"/>
  </si>
  <si>
    <t>0055</t>
    <phoneticPr fontId="0" type="noConversion"/>
  </si>
  <si>
    <t>0056</t>
    <phoneticPr fontId="0" type="noConversion"/>
  </si>
  <si>
    <t>006201</t>
    <phoneticPr fontId="0" type="noConversion"/>
  </si>
  <si>
    <t>006203</t>
    <phoneticPr fontId="0" type="noConversion"/>
  </si>
  <si>
    <t>006206</t>
    <phoneticPr fontId="0" type="noConversion"/>
  </si>
  <si>
    <t>0061</t>
    <phoneticPr fontId="0" type="noConversion"/>
  </si>
  <si>
    <t>00637L</t>
    <phoneticPr fontId="0" type="noConversion"/>
  </si>
  <si>
    <t>00638R</t>
    <phoneticPr fontId="0" type="noConversion"/>
  </si>
  <si>
    <t>00642U</t>
    <phoneticPr fontId="0" type="noConversion"/>
  </si>
  <si>
    <t>00672L</t>
    <phoneticPr fontId="0" type="noConversion"/>
  </si>
  <si>
    <t>00673R</t>
    <phoneticPr fontId="0" type="noConversion"/>
  </si>
  <si>
    <t>00635U</t>
    <phoneticPr fontId="0" type="noConversion"/>
  </si>
  <si>
    <t>元大S&amp;P黃金正2</t>
    <phoneticPr fontId="0" type="noConversion"/>
  </si>
  <si>
    <t>00674R</t>
    <phoneticPr fontId="0" type="noConversion"/>
  </si>
  <si>
    <t>00646</t>
    <phoneticPr fontId="0" type="noConversion"/>
  </si>
  <si>
    <t>00647L</t>
    <phoneticPr fontId="0" type="noConversion"/>
  </si>
  <si>
    <t>00648R</t>
    <phoneticPr fontId="0" type="noConversion"/>
  </si>
  <si>
    <t>00682U</t>
    <phoneticPr fontId="0" type="noConversion"/>
  </si>
  <si>
    <t>00683L</t>
    <phoneticPr fontId="0" type="noConversion"/>
  </si>
  <si>
    <t>00684R</t>
    <phoneticPr fontId="0" type="noConversion"/>
  </si>
  <si>
    <t>元大日圓正2</t>
    <phoneticPr fontId="0" type="noConversion"/>
  </si>
  <si>
    <t>元大日圓反1</t>
    <phoneticPr fontId="0" type="noConversion"/>
  </si>
  <si>
    <t>00660</t>
    <phoneticPr fontId="0" type="noConversion"/>
  </si>
  <si>
    <t>00661</t>
    <phoneticPr fontId="0" type="noConversion"/>
  </si>
  <si>
    <t>00667</t>
    <phoneticPr fontId="0" type="noConversion"/>
  </si>
  <si>
    <t>00679B</t>
    <phoneticPr fontId="0" type="noConversion"/>
  </si>
  <si>
    <t>00680L</t>
    <phoneticPr fontId="0" type="noConversion"/>
  </si>
  <si>
    <t>00681R</t>
    <phoneticPr fontId="0" type="noConversion"/>
  </si>
  <si>
    <t>00697B</t>
    <phoneticPr fontId="0" type="noConversion"/>
  </si>
  <si>
    <t>00698L</t>
    <phoneticPr fontId="0" type="noConversion"/>
  </si>
  <si>
    <t>00699R</t>
    <phoneticPr fontId="0" type="noConversion"/>
  </si>
  <si>
    <t>00708L</t>
    <phoneticPr fontId="0" type="noConversion"/>
  </si>
  <si>
    <t>00708L</t>
    <phoneticPr fontId="0" type="noConversion"/>
  </si>
  <si>
    <t>00706L</t>
    <phoneticPr fontId="0" type="noConversion"/>
  </si>
  <si>
    <t>00707R</t>
    <phoneticPr fontId="0" type="noConversion"/>
  </si>
  <si>
    <t>小SP期_09</t>
    <phoneticPr fontId="0" type="noConversion"/>
  </si>
  <si>
    <t>小SP期_12</t>
    <phoneticPr fontId="0" type="noConversion"/>
  </si>
  <si>
    <t>SGX</t>
    <phoneticPr fontId="8" type="noConversion"/>
  </si>
  <si>
    <t>NYM</t>
    <phoneticPr fontId="8" type="noConversion"/>
  </si>
  <si>
    <t>25</t>
    <phoneticPr fontId="8" type="noConversion"/>
  </si>
  <si>
    <t>NYB</t>
    <phoneticPr fontId="8" type="noConversion"/>
  </si>
  <si>
    <t>NYB</t>
    <phoneticPr fontId="8" type="noConversion"/>
  </si>
  <si>
    <t>CBT</t>
    <phoneticPr fontId="8" type="noConversion"/>
  </si>
  <si>
    <t>CFFE</t>
    <phoneticPr fontId="8" type="noConversion"/>
  </si>
  <si>
    <t>NKI</t>
    <phoneticPr fontId="8" type="noConversion"/>
  </si>
  <si>
    <t>CIF1709</t>
    <phoneticPr fontId="8" type="noConversion"/>
  </si>
  <si>
    <t>CIF1710</t>
    <phoneticPr fontId="8" type="noConversion"/>
  </si>
  <si>
    <t>NKN1709</t>
    <phoneticPr fontId="8" type="noConversion"/>
  </si>
  <si>
    <t>NKN1710</t>
    <phoneticPr fontId="8" type="noConversion"/>
  </si>
  <si>
    <t>CN1709</t>
    <phoneticPr fontId="8" type="noConversion"/>
  </si>
  <si>
    <t>CN1710</t>
    <phoneticPr fontId="8" type="noConversion"/>
  </si>
  <si>
    <t>JY_1709</t>
    <phoneticPr fontId="8" type="noConversion"/>
  </si>
  <si>
    <t>JY_1712</t>
    <phoneticPr fontId="8" type="noConversion"/>
  </si>
  <si>
    <t>ES_1709</t>
    <phoneticPr fontId="8" type="noConversion"/>
  </si>
  <si>
    <t>ES_1712</t>
    <phoneticPr fontId="8" type="noConversion"/>
  </si>
  <si>
    <t>DX1709</t>
    <phoneticPr fontId="8" type="noConversion"/>
  </si>
  <si>
    <t>DX1712</t>
    <phoneticPr fontId="8" type="noConversion"/>
  </si>
  <si>
    <t>CL1710</t>
    <phoneticPr fontId="8" type="noConversion"/>
  </si>
  <si>
    <t>CL1711</t>
    <phoneticPr fontId="8" type="noConversion"/>
  </si>
  <si>
    <t>CL1812</t>
    <phoneticPr fontId="8" type="noConversion"/>
  </si>
  <si>
    <t>GC1710</t>
    <phoneticPr fontId="8" type="noConversion"/>
  </si>
  <si>
    <t>GC1712</t>
    <phoneticPr fontId="8" type="noConversion"/>
  </si>
  <si>
    <t>UB1709</t>
    <phoneticPr fontId="8" type="noConversion"/>
  </si>
  <si>
    <t>00706L</t>
    <phoneticPr fontId="0" type="noConversion"/>
  </si>
  <si>
    <t>00707R</t>
    <phoneticPr fontId="0" type="noConversion"/>
  </si>
  <si>
    <t>00708L</t>
    <phoneticPr fontId="0" type="noConversion"/>
  </si>
  <si>
    <t>紐約黃金</t>
    <phoneticPr fontId="0" type="noConversion"/>
  </si>
  <si>
    <t>00682U</t>
  </si>
  <si>
    <t>00683L</t>
  </si>
  <si>
    <t>00684R</t>
  </si>
  <si>
    <t>00697B</t>
  </si>
  <si>
    <t>00698L</t>
  </si>
  <si>
    <t>00699R</t>
  </si>
  <si>
    <t>00694B</t>
  </si>
  <si>
    <t>00695B</t>
  </si>
  <si>
    <t>00696B</t>
  </si>
  <si>
    <t>00700</t>
  </si>
  <si>
    <t>00709</t>
  </si>
  <si>
    <t>00701</t>
  </si>
  <si>
    <t>00702</t>
  </si>
  <si>
    <t>00710B</t>
  </si>
  <si>
    <t>00711B</t>
  </si>
  <si>
    <t>00712</t>
  </si>
  <si>
    <t>未達30億元(不含)：0.46%30億元(含)以上~100億元(含)：0.41%100億元(不含)以上：0.36%</t>
  </si>
  <si>
    <t>未達30億元(不含)：0.16%30億元(含)以上~100億元(含)：0.10%100億元(不含)以上：0.08%</t>
  </si>
  <si>
    <t>未達30億元(不含)：0.50%30億元(含)以上~100億元(含)：0.45%100億元(不含)以上：0.40%</t>
  </si>
  <si>
    <t>未達30億元(不含)：0.16%30億元(含)以上~100億元(含)：0.14%100億元(不含)以上：0.12%</t>
  </si>
  <si>
    <t>未達30億元(不含)：0.35%30億元(含)以上~100億元(含)：0.30%100億元(不含)以上：0.25%</t>
  </si>
  <si>
    <t>NYB美元指數</t>
    <phoneticPr fontId="0" type="noConversion"/>
  </si>
  <si>
    <t>DX1709</t>
    <phoneticPr fontId="0" type="noConversion"/>
  </si>
  <si>
    <t>DX1712</t>
    <phoneticPr fontId="0" type="noConversion"/>
  </si>
  <si>
    <t>DX1712</t>
    <phoneticPr fontId="8" type="noConversion"/>
  </si>
  <si>
    <t>CME日圓</t>
    <phoneticPr fontId="0" type="noConversion"/>
  </si>
  <si>
    <t>JY_1709</t>
  </si>
  <si>
    <t>JY_1712</t>
  </si>
  <si>
    <t>00680L</t>
    <phoneticPr fontId="8" type="noConversion"/>
  </si>
  <si>
    <t>UB1712</t>
    <phoneticPr fontId="8" type="noConversion"/>
  </si>
  <si>
    <t>UB1709</t>
  </si>
  <si>
    <t>UB1712</t>
  </si>
  <si>
    <t>UB1712</t>
    <phoneticPr fontId="8" type="noConversion"/>
  </si>
  <si>
    <t>CBT超長債券</t>
    <phoneticPr fontId="0" type="noConversion"/>
  </si>
  <si>
    <t>ZN = TY</t>
    <phoneticPr fontId="8" type="noConversion"/>
  </si>
  <si>
    <t>ZN1709</t>
    <phoneticPr fontId="8" type="noConversion"/>
  </si>
  <si>
    <t>ZN1712</t>
    <phoneticPr fontId="8" type="noConversion"/>
  </si>
  <si>
    <t>CBT十年債</t>
    <phoneticPr fontId="0" type="noConversion"/>
  </si>
  <si>
    <t>ZN1709</t>
    <phoneticPr fontId="8" type="noConversion"/>
  </si>
  <si>
    <t>ZN1712</t>
    <phoneticPr fontId="8" type="noConversion"/>
  </si>
  <si>
    <t>現價(XQ)</t>
    <phoneticPr fontId="0" type="noConversion"/>
  </si>
  <si>
    <t>昨收(PCF匯率)</t>
  </si>
  <si>
    <t>昨收(PCF匯率)</t>
    <phoneticPr fontId="0" type="noConversion"/>
  </si>
  <si>
    <t>SGX新加坡交易所</t>
    <phoneticPr fontId="8" type="noConversion"/>
  </si>
  <si>
    <t>星日經電1709</t>
    <phoneticPr fontId="8" type="noConversion"/>
  </si>
  <si>
    <t>印度指十檔1709</t>
    <phoneticPr fontId="8" type="noConversion"/>
  </si>
  <si>
    <t>A50現貨</t>
    <phoneticPr fontId="8" type="noConversion"/>
  </si>
  <si>
    <t>SGX新加坡交易所</t>
    <phoneticPr fontId="8" type="noConversion"/>
  </si>
  <si>
    <t>日經指數</t>
    <phoneticPr fontId="8" type="noConversion"/>
  </si>
  <si>
    <t>中國金融期貨交易所</t>
    <phoneticPr fontId="8" type="noConversion"/>
  </si>
  <si>
    <t>滬深300期1709</t>
    <phoneticPr fontId="8" type="noConversion"/>
  </si>
  <si>
    <t>滬深300期1710</t>
    <phoneticPr fontId="8" type="noConversion"/>
  </si>
  <si>
    <t>A50指1709</t>
    <phoneticPr fontId="8" type="noConversion"/>
  </si>
  <si>
    <t>A50指1710</t>
    <phoneticPr fontId="8" type="noConversion"/>
  </si>
  <si>
    <t>CME芝加哥商品交易所</t>
    <phoneticPr fontId="8" type="noConversion"/>
  </si>
  <si>
    <t>日元1709</t>
    <phoneticPr fontId="8" type="noConversion"/>
  </si>
  <si>
    <t>日元1712</t>
    <phoneticPr fontId="8" type="noConversion"/>
  </si>
  <si>
    <t>小SP指數1709</t>
    <phoneticPr fontId="8" type="noConversion"/>
  </si>
  <si>
    <t>小SP指數1712</t>
    <phoneticPr fontId="8" type="noConversion"/>
  </si>
  <si>
    <t>NYBOT紐約期貨交易所</t>
    <phoneticPr fontId="8" type="noConversion"/>
  </si>
  <si>
    <t>美元指數1709</t>
    <phoneticPr fontId="8" type="noConversion"/>
  </si>
  <si>
    <t>美元指數1712</t>
    <phoneticPr fontId="8" type="noConversion"/>
  </si>
  <si>
    <t>NYM紐約商業交易所</t>
    <phoneticPr fontId="8" type="noConversion"/>
  </si>
  <si>
    <t>紐約輕原油1710</t>
    <phoneticPr fontId="8" type="noConversion"/>
  </si>
  <si>
    <t>紐約輕原油1711</t>
    <phoneticPr fontId="8" type="noConversion"/>
  </si>
  <si>
    <t>紐約輕原油1812</t>
    <phoneticPr fontId="8" type="noConversion"/>
  </si>
  <si>
    <t>紐約黃金1710</t>
    <phoneticPr fontId="8" type="noConversion"/>
  </si>
  <si>
    <t>紐約黃金1712</t>
    <phoneticPr fontId="8" type="noConversion"/>
  </si>
  <si>
    <t>CBOT芝加哥期貨交易所UB1709</t>
    <phoneticPr fontId="8" type="noConversion"/>
  </si>
  <si>
    <t>超長債券1709</t>
    <phoneticPr fontId="8" type="noConversion"/>
  </si>
  <si>
    <t>CBOT芝加哥期貨交易所UB1712</t>
    <phoneticPr fontId="8" type="noConversion"/>
  </si>
  <si>
    <t>超長債券1712</t>
    <phoneticPr fontId="8" type="noConversion"/>
  </si>
  <si>
    <t>CBOT芝加哥期貨交易所ZN1709</t>
    <phoneticPr fontId="8" type="noConversion"/>
  </si>
  <si>
    <t>十年債券1709</t>
    <phoneticPr fontId="8" type="noConversion"/>
  </si>
  <si>
    <t>CBOT芝加哥期貨交易所ZN1712</t>
    <phoneticPr fontId="8" type="noConversion"/>
  </si>
  <si>
    <t>十年債券1712</t>
    <phoneticPr fontId="8" type="noConversion"/>
  </si>
  <si>
    <t>台幣比</t>
    <phoneticPr fontId="8" type="noConversion"/>
  </si>
  <si>
    <t>遠匯(TWD/USD)</t>
    <phoneticPr fontId="8" type="noConversion"/>
  </si>
  <si>
    <t>遠匯(TWD/USD)</t>
    <phoneticPr fontId="8" type="noConversion"/>
  </si>
  <si>
    <t>保證金(TWD)</t>
    <phoneticPr fontId="8" type="noConversion"/>
  </si>
  <si>
    <t>現金(TWD)</t>
    <phoneticPr fontId="8" type="noConversion"/>
  </si>
  <si>
    <t>SUM</t>
    <phoneticPr fontId="8" type="noConversion"/>
  </si>
  <si>
    <t>項目</t>
    <phoneticPr fontId="8" type="noConversion"/>
  </si>
  <si>
    <t>淨值佔比</t>
    <phoneticPr fontId="8" type="noConversion"/>
  </si>
  <si>
    <t>外幣比</t>
    <phoneticPr fontId="8" type="noConversion"/>
  </si>
  <si>
    <t>台幣比</t>
    <phoneticPr fontId="8" type="noConversion"/>
  </si>
  <si>
    <t>遠匯(TWD/USD)</t>
    <phoneticPr fontId="8" type="noConversion"/>
  </si>
  <si>
    <t>保證金(TWD)</t>
    <phoneticPr fontId="8" type="noConversion"/>
  </si>
  <si>
    <t>現金(USD)</t>
    <phoneticPr fontId="8" type="noConversion"/>
  </si>
  <si>
    <t>項目</t>
    <phoneticPr fontId="8" type="noConversion"/>
  </si>
  <si>
    <t>保證金(USD)</t>
    <phoneticPr fontId="8" type="noConversion"/>
  </si>
  <si>
    <t>應付受益權益單位買回款(TWD)</t>
    <phoneticPr fontId="8" type="noConversion"/>
  </si>
  <si>
    <t>SUM</t>
    <phoneticPr fontId="8" type="noConversion"/>
  </si>
  <si>
    <t>006206</t>
    <phoneticPr fontId="8" type="noConversion"/>
  </si>
  <si>
    <t>網頁金額(TWD)</t>
    <phoneticPr fontId="8" type="noConversion"/>
  </si>
  <si>
    <t>淨值佔比</t>
    <phoneticPr fontId="8" type="noConversion"/>
  </si>
  <si>
    <t>外幣比</t>
    <phoneticPr fontId="8" type="noConversion"/>
  </si>
  <si>
    <t>台幣比</t>
    <phoneticPr fontId="8" type="noConversion"/>
  </si>
  <si>
    <t>USD</t>
    <phoneticPr fontId="8" type="noConversion"/>
  </si>
  <si>
    <t>保證金(USD)</t>
    <phoneticPr fontId="8" type="noConversion"/>
  </si>
  <si>
    <t>現金(TWD)</t>
    <phoneticPr fontId="8" type="noConversion"/>
  </si>
  <si>
    <t>應付受益權益單位買回款(TWD)</t>
    <phoneticPr fontId="8" type="noConversion"/>
  </si>
  <si>
    <t>項目</t>
    <phoneticPr fontId="8" type="noConversion"/>
  </si>
  <si>
    <t>淨值佔比</t>
    <phoneticPr fontId="8" type="noConversion"/>
  </si>
  <si>
    <t>台幣比</t>
    <phoneticPr fontId="8" type="noConversion"/>
  </si>
  <si>
    <t>USD</t>
    <phoneticPr fontId="8" type="noConversion"/>
  </si>
  <si>
    <t>SUM</t>
    <phoneticPr fontId="8" type="noConversion"/>
  </si>
  <si>
    <t>應付受益權益單位買回款(TWD)</t>
    <phoneticPr fontId="8" type="noConversion"/>
  </si>
  <si>
    <t>網頁金額(TWD)</t>
    <phoneticPr fontId="8" type="noConversion"/>
  </si>
  <si>
    <t>現金(USD)</t>
    <phoneticPr fontId="8" type="noConversion"/>
  </si>
  <si>
    <t>保證金(TWD)</t>
    <phoneticPr fontId="8" type="noConversion"/>
  </si>
  <si>
    <t>CNH/TWD</t>
    <phoneticPr fontId="0" type="noConversion"/>
  </si>
  <si>
    <t>現金(CNH)</t>
    <phoneticPr fontId="8" type="noConversion"/>
  </si>
  <si>
    <t>現金(CNY)</t>
    <phoneticPr fontId="8" type="noConversion"/>
  </si>
  <si>
    <t>現金(TWD)</t>
    <phoneticPr fontId="8" type="noConversion"/>
  </si>
  <si>
    <t>股票(CNY)</t>
    <phoneticPr fontId="8" type="noConversion"/>
  </si>
  <si>
    <t>預估費用</t>
    <phoneticPr fontId="0" type="noConversion"/>
  </si>
  <si>
    <t>外幣比(USD)</t>
    <phoneticPr fontId="0" type="noConversion"/>
  </si>
  <si>
    <t>外幣比(CN)</t>
    <phoneticPr fontId="0" type="noConversion"/>
  </si>
  <si>
    <t>00638R</t>
    <phoneticPr fontId="8" type="noConversion"/>
  </si>
  <si>
    <t>00637L</t>
    <phoneticPr fontId="8" type="noConversion"/>
  </si>
  <si>
    <t>FITX*2</t>
  </si>
  <si>
    <t>FINYF*2</t>
  </si>
  <si>
    <t>委買</t>
  </si>
  <si>
    <t>委賣</t>
  </si>
  <si>
    <t>內外盤比圖</t>
  </si>
  <si>
    <t>均價</t>
  </si>
  <si>
    <t>股本</t>
  </si>
  <si>
    <t>盈餘</t>
  </si>
  <si>
    <t>006206</t>
    <phoneticPr fontId="0" type="noConversion"/>
  </si>
  <si>
    <t>WISE-CSI300 CHINA
標智滬深300</t>
    <phoneticPr fontId="0" type="noConversion"/>
  </si>
  <si>
    <t>遠匯(TWD/USD)</t>
    <phoneticPr fontId="8" type="noConversion"/>
  </si>
  <si>
    <t>保證金(TWD)</t>
    <phoneticPr fontId="8" type="noConversion"/>
  </si>
  <si>
    <t>保證金(USD)</t>
    <phoneticPr fontId="8" type="noConversion"/>
  </si>
  <si>
    <t>現金(HKD)</t>
    <phoneticPr fontId="8" type="noConversion"/>
  </si>
  <si>
    <t>現金(TWD)</t>
    <phoneticPr fontId="8" type="noConversion"/>
  </si>
  <si>
    <t>股票2827.HK(HKD)</t>
    <phoneticPr fontId="8" type="noConversion"/>
  </si>
  <si>
    <t>HKD</t>
    <phoneticPr fontId="8" type="noConversion"/>
  </si>
  <si>
    <t>外幣比(HKD)</t>
    <phoneticPr fontId="0" type="noConversion"/>
  </si>
  <si>
    <t>CNY</t>
    <phoneticPr fontId="8" type="noConversion"/>
  </si>
  <si>
    <t>股票_0061(TWD)</t>
    <phoneticPr fontId="8" type="noConversion"/>
  </si>
  <si>
    <t>應收利息(TWD)</t>
    <phoneticPr fontId="0" type="noConversion"/>
  </si>
  <si>
    <t>應收利息(USD)</t>
    <phoneticPr fontId="0" type="noConversion"/>
  </si>
  <si>
    <t>附買回債券(TWD)</t>
    <phoneticPr fontId="0" type="noConversion"/>
  </si>
  <si>
    <t>附買回債券(USD)</t>
    <phoneticPr fontId="0" type="noConversion"/>
  </si>
  <si>
    <t>網頁金額(TWD)</t>
    <phoneticPr fontId="8" type="noConversion"/>
  </si>
  <si>
    <t>網頁金額(原幣)</t>
    <phoneticPr fontId="8" type="noConversion"/>
  </si>
  <si>
    <t>網頁金額(原幣)</t>
    <phoneticPr fontId="8" type="noConversion"/>
  </si>
  <si>
    <t>寶滬深股期_10</t>
    <phoneticPr fontId="8" type="noConversion"/>
  </si>
  <si>
    <t>寶滬深股期_11</t>
    <phoneticPr fontId="0" type="noConversion"/>
  </si>
  <si>
    <t>寶滬深股期_11</t>
    <phoneticPr fontId="0" type="noConversion"/>
  </si>
  <si>
    <t>網頁金額(原幣)</t>
  </si>
  <si>
    <t>網頁金額(TWD)</t>
  </si>
  <si>
    <t>應付款(TWD)</t>
    <phoneticPr fontId="8" type="noConversion"/>
  </si>
  <si>
    <t>USD</t>
    <phoneticPr fontId="0" type="noConversion"/>
  </si>
  <si>
    <t>CNY</t>
    <phoneticPr fontId="0" type="noConversion"/>
  </si>
  <si>
    <t>項目</t>
  </si>
  <si>
    <t>遠匯(TWD/USD)</t>
  </si>
  <si>
    <t>保證金(TWD)</t>
  </si>
  <si>
    <t>保證金(USD)</t>
  </si>
  <si>
    <t>現金(TWD)</t>
  </si>
  <si>
    <t>現金(USD)</t>
  </si>
  <si>
    <t>附買回債券(TWD)</t>
  </si>
  <si>
    <t>附買回債券(USD)</t>
  </si>
  <si>
    <t>應收利息(TWD)</t>
  </si>
  <si>
    <t>應收利息(USD)</t>
  </si>
  <si>
    <t>應付受益權益單位買回款(TWD)</t>
  </si>
  <si>
    <t>SUM</t>
  </si>
  <si>
    <t>淨值佔比</t>
  </si>
  <si>
    <t>外幣比</t>
  </si>
  <si>
    <t>台幣比</t>
  </si>
  <si>
    <t>USD</t>
    <phoneticPr fontId="8" type="noConversion"/>
  </si>
  <si>
    <t>CNY</t>
    <phoneticPr fontId="8" type="noConversion"/>
  </si>
  <si>
    <t>00642U</t>
    <phoneticPr fontId="8" type="noConversion"/>
  </si>
  <si>
    <t>00672L</t>
    <phoneticPr fontId="8" type="noConversion"/>
  </si>
  <si>
    <t>00673R</t>
    <phoneticPr fontId="8" type="noConversion"/>
  </si>
  <si>
    <t>USD/JPY</t>
    <phoneticPr fontId="0" type="noConversion"/>
  </si>
  <si>
    <t>EUR/USD</t>
    <phoneticPr fontId="0" type="noConversion"/>
  </si>
  <si>
    <t>定存(TWD)</t>
    <phoneticPr fontId="0" type="noConversion"/>
  </si>
  <si>
    <t>附買回債券(TWD)</t>
    <phoneticPr fontId="0" type="noConversion"/>
  </si>
  <si>
    <t>USD</t>
    <phoneticPr fontId="0" type="noConversion"/>
  </si>
  <si>
    <t>外幣比</t>
    <phoneticPr fontId="8" type="noConversion"/>
  </si>
  <si>
    <t>00635U</t>
    <phoneticPr fontId="8" type="noConversion"/>
  </si>
  <si>
    <t>00708L</t>
    <phoneticPr fontId="8" type="noConversion"/>
  </si>
  <si>
    <t>00674R</t>
    <phoneticPr fontId="8" type="noConversion"/>
  </si>
  <si>
    <t>00682U</t>
    <phoneticPr fontId="8" type="noConversion"/>
  </si>
  <si>
    <t>00683L</t>
    <phoneticPr fontId="8" type="noConversion"/>
  </si>
  <si>
    <t>00684R</t>
    <phoneticPr fontId="8" type="noConversion"/>
  </si>
  <si>
    <t>00706L</t>
    <phoneticPr fontId="8" type="noConversion"/>
  </si>
  <si>
    <t>00707R</t>
    <phoneticPr fontId="8" type="noConversion"/>
  </si>
  <si>
    <t>00680L</t>
    <phoneticPr fontId="8" type="noConversion"/>
  </si>
  <si>
    <t>00681R</t>
    <phoneticPr fontId="8" type="noConversion"/>
  </si>
  <si>
    <t>00679B</t>
    <phoneticPr fontId="8" type="noConversion"/>
  </si>
  <si>
    <t>Bond(USD)</t>
    <phoneticPr fontId="0" type="noConversion"/>
  </si>
  <si>
    <t>Bond(USD)</t>
    <phoneticPr fontId="0" type="noConversion"/>
  </si>
  <si>
    <t>00646</t>
    <phoneticPr fontId="8" type="noConversion"/>
  </si>
  <si>
    <t>00647L</t>
    <phoneticPr fontId="8" type="noConversion"/>
  </si>
  <si>
    <t>00648R</t>
    <phoneticPr fontId="8" type="noConversion"/>
  </si>
  <si>
    <t>Stock(USD)</t>
    <phoneticPr fontId="0" type="noConversion"/>
  </si>
  <si>
    <t>AGILENT TECHNOLOGIES INC</t>
  </si>
  <si>
    <t>AMERICAN AIRLINES GROUP INC</t>
  </si>
  <si>
    <t>ADVANCE AUTO PARTS INC</t>
  </si>
  <si>
    <t>APPLE INC</t>
  </si>
  <si>
    <t>ABBVIE INC</t>
  </si>
  <si>
    <t>AMERISOURCEBERGEN CORP</t>
  </si>
  <si>
    <t>ABBOTT LABORATORIES</t>
  </si>
  <si>
    <t>ACCENTURE PLC-CL A</t>
  </si>
  <si>
    <t>ANALOG DEVICES INC</t>
  </si>
  <si>
    <t>ARCHER-DANIELS-MIDLAND CO</t>
  </si>
  <si>
    <t>AUTOMATIC DATA PROCESSING</t>
  </si>
  <si>
    <t>ALLIANCE DATA SYSTEMS CORP</t>
  </si>
  <si>
    <t>AUTODESK INC</t>
  </si>
  <si>
    <t>AMEREN CORPORATION</t>
  </si>
  <si>
    <t>AMERICAN ELECTRIC POWER</t>
  </si>
  <si>
    <t>AES CORP</t>
  </si>
  <si>
    <t>AFLAC INC</t>
  </si>
  <si>
    <t>ALLERGAN PLC</t>
  </si>
  <si>
    <t>AMERICAN INTERNATIONAL GROUP</t>
  </si>
  <si>
    <t>APARTMENT INVT &amp; MGMT CO -A</t>
  </si>
  <si>
    <t>ASSURANT INC</t>
  </si>
  <si>
    <t>ARTHUR J GALLAGHER &amp; CO</t>
  </si>
  <si>
    <t>AKAMAI TECHNOLOGIES INC</t>
  </si>
  <si>
    <t>ALBEMARLE CORP</t>
  </si>
  <si>
    <t>ALIGN TECHNOLOGY INC</t>
  </si>
  <si>
    <t>ALASKA AIR GROUP INC</t>
  </si>
  <si>
    <t>ALLSTATE CORP</t>
  </si>
  <si>
    <t>ALLEGION PLC</t>
  </si>
  <si>
    <t>ALEXION PHARMACEUTICALS INC</t>
  </si>
  <si>
    <t>APPLIED MATERIALS INC</t>
  </si>
  <si>
    <t>ADVANCED MICRO DEVICES</t>
  </si>
  <si>
    <t>AMETEK INC</t>
  </si>
  <si>
    <t>AFFILIATED MANAGERS GROUP</t>
  </si>
  <si>
    <t>AMGEN INC</t>
  </si>
  <si>
    <t>AMERIPRISE FINANCIAL INC</t>
  </si>
  <si>
    <t>AMERICAN TOWER CORP</t>
  </si>
  <si>
    <t>AMAZON.COM INC</t>
  </si>
  <si>
    <t>ANSYS INC</t>
  </si>
  <si>
    <t>ANTHEM INC</t>
  </si>
  <si>
    <t>AON PLC</t>
  </si>
  <si>
    <t>SMITH (A.O.) CORP</t>
  </si>
  <si>
    <t>APACHE CORP</t>
  </si>
  <si>
    <t>ANADARKO PETROLEUM CORP</t>
  </si>
  <si>
    <t>AIR PRODUCTS &amp; CHEMICALS INC</t>
  </si>
  <si>
    <t>AMPHENOL CORP-CL A</t>
  </si>
  <si>
    <t>ALEXANDRIA REAL ESTATE EQUIT</t>
  </si>
  <si>
    <t>ARCONIC INC</t>
  </si>
  <si>
    <t>ACTIVISION BLIZZARD INC</t>
  </si>
  <si>
    <t>AVALONBAY COMMUNITIES INC</t>
  </si>
  <si>
    <t>AVERY DENNISON CORP</t>
  </si>
  <si>
    <t>AMERICAN WATER WORKS CO INC</t>
  </si>
  <si>
    <t>AMERICAN EXPRESS CO</t>
  </si>
  <si>
    <t>AUTOZONE INC</t>
  </si>
  <si>
    <t>BOEING CO/THE</t>
  </si>
  <si>
    <t>BANK OF AMERICA CORP</t>
  </si>
  <si>
    <t>BAXTER INTERNATIONAL INC</t>
  </si>
  <si>
    <t>BB&amp;T CORP</t>
  </si>
  <si>
    <t>BEST BUY CO INC</t>
  </si>
  <si>
    <t>BECTON DICKINSON AND CO</t>
  </si>
  <si>
    <t>FRANKLIN RESOURCES INC</t>
  </si>
  <si>
    <t>BROWN-FORMAN CORP-CLASS B</t>
  </si>
  <si>
    <t>BAKER HUGHES A GE CO</t>
  </si>
  <si>
    <t>BIOGEN INC</t>
  </si>
  <si>
    <t>BANK OF NEW YORK MELLON CORP</t>
  </si>
  <si>
    <t>BLACKROCK INC</t>
  </si>
  <si>
    <t>BALL CORP</t>
  </si>
  <si>
    <t>BRISTOL-MYERS SQUIBB CO</t>
  </si>
  <si>
    <t>BERKSHIRE HATHAWAY INC-CL B</t>
  </si>
  <si>
    <t>BOSTON SCIENTIFIC CORP</t>
  </si>
  <si>
    <t>BORGWARNER INC</t>
  </si>
  <si>
    <t>BOSTON PROPERTIES INC</t>
  </si>
  <si>
    <t>CITIGROUP INC</t>
  </si>
  <si>
    <t>CONAGRA BRANDS INC</t>
  </si>
  <si>
    <t>CARDINAL HEALTH INC</t>
  </si>
  <si>
    <t>CATERPILLAR INC</t>
  </si>
  <si>
    <t>CHUBB LTD</t>
  </si>
  <si>
    <t>CBRE GROUP INC - A</t>
  </si>
  <si>
    <t>CBS CORP-CLASS B NON VOTING</t>
  </si>
  <si>
    <t>CROWN CASTLE INTL CORP</t>
  </si>
  <si>
    <t>CARNIVAL CORP</t>
  </si>
  <si>
    <t>CADENCE DESIGN SYS INC</t>
  </si>
  <si>
    <t>CELGENE CORP</t>
  </si>
  <si>
    <t>CERNER CORP</t>
  </si>
  <si>
    <t>CF INDUSTRIES HOLDINGS INC</t>
  </si>
  <si>
    <t>CITIZENS FINANCIAL GROUP</t>
  </si>
  <si>
    <t>CHURCH &amp; DWIGHT CO INC</t>
  </si>
  <si>
    <t>C.H. ROBINSON WORLDWIDE INC</t>
  </si>
  <si>
    <t>CHARTER COMMUNICATIONS INC-A</t>
  </si>
  <si>
    <t>CIGNA CORP</t>
  </si>
  <si>
    <t>CINCINNATI FINANCIAL CORP</t>
  </si>
  <si>
    <t>COLGATE-PALMOLIVE CO</t>
  </si>
  <si>
    <t>CLOROX COMPANY</t>
  </si>
  <si>
    <t>COMERICA INC</t>
  </si>
  <si>
    <t>COMCAST CORP-CLASS A</t>
  </si>
  <si>
    <t>CME GROUP INC</t>
  </si>
  <si>
    <t>CHIPOTLE MEXICAN GRILL INC</t>
  </si>
  <si>
    <t>CUMMINS INC</t>
  </si>
  <si>
    <t>CMS ENERGY CORP</t>
  </si>
  <si>
    <t>CENTENE CORP</t>
  </si>
  <si>
    <t>CENTERPOINT ENERGY INC</t>
  </si>
  <si>
    <t>CAPITAL ONE FINANCIAL CORP</t>
  </si>
  <si>
    <t>CABOT OIL &amp; GAS CORP</t>
  </si>
  <si>
    <t>COOPER COS INC/THE</t>
  </si>
  <si>
    <t>CONOCOPHILLIPS</t>
  </si>
  <si>
    <t>COSTCO WHOLESALE CORP</t>
  </si>
  <si>
    <t>COTY INC-CL A</t>
  </si>
  <si>
    <t>CAMPBELL SOUP CO</t>
  </si>
  <si>
    <t>SALESFORCE.COM INC</t>
  </si>
  <si>
    <t>CISCO SYSTEMS INC</t>
  </si>
  <si>
    <t>CSX CORP</t>
  </si>
  <si>
    <t>CINTAS CORP</t>
  </si>
  <si>
    <t>CENTURYLINK INC</t>
  </si>
  <si>
    <t>COGNIZANT TECH SOLUTIONS-A</t>
  </si>
  <si>
    <t>CITRIX SYSTEMS INC</t>
  </si>
  <si>
    <t>CVS HEALTH CORP</t>
  </si>
  <si>
    <t>CHEVRON CORP</t>
  </si>
  <si>
    <t>CONCHO RESOURCES INC</t>
  </si>
  <si>
    <t>DOMINION ENERGY INC</t>
  </si>
  <si>
    <t>DELTA AIR LINES INC</t>
  </si>
  <si>
    <t>DEERE &amp; CO</t>
  </si>
  <si>
    <t>DISCOVER FINANCIAL SERVICES</t>
  </si>
  <si>
    <t>DOLLAR GENERAL CORP</t>
  </si>
  <si>
    <t>QUEST DIAGNOSTICS INC</t>
  </si>
  <si>
    <t>DR HORTON INC</t>
  </si>
  <si>
    <t>DANAHER CORP</t>
  </si>
  <si>
    <t>WALT DISNEY CO/THE</t>
  </si>
  <si>
    <t>DISH NETWORK CORP-A</t>
  </si>
  <si>
    <t>DIGITAL REALTY TRUST INC</t>
  </si>
  <si>
    <t>DOLLAR TREE INC</t>
  </si>
  <si>
    <t>DOVER CORP</t>
  </si>
  <si>
    <t>DUKE REALTY CORP</t>
  </si>
  <si>
    <t>DARDEN RESTAURANTS INC</t>
  </si>
  <si>
    <t>DTE ENERGY COMPANY</t>
  </si>
  <si>
    <t>DUKE ENERGY CORP</t>
  </si>
  <si>
    <t>DAVITA INC</t>
  </si>
  <si>
    <t>DEVON ENERGY CORP</t>
  </si>
  <si>
    <t>DXC TECHNOLOGY CO</t>
  </si>
  <si>
    <t>ELECTRONIC ARTS INC</t>
  </si>
  <si>
    <t>EBAY INC</t>
  </si>
  <si>
    <t>ECOLAB INC</t>
  </si>
  <si>
    <t>CONSOLIDATED EDISON INC</t>
  </si>
  <si>
    <t>EQUIFAX INC</t>
  </si>
  <si>
    <t>EDISON INTERNATIONAL</t>
  </si>
  <si>
    <t>ESTEE LAUDER COMPANIES-CL A</t>
  </si>
  <si>
    <t>EASTMAN CHEMICAL CO</t>
  </si>
  <si>
    <t>EMERSON ELECTRIC CO</t>
  </si>
  <si>
    <t>EOG RESOURCES INC</t>
  </si>
  <si>
    <t>EQUINIX INC</t>
  </si>
  <si>
    <t>EQUITY RESIDENTIAL</t>
  </si>
  <si>
    <t>EVERSOURCE ENERGY</t>
  </si>
  <si>
    <t>ESSEX PROPERTY TRUST INC</t>
  </si>
  <si>
    <t>E*TRADE FINANCIAL CORP</t>
  </si>
  <si>
    <t>EATON CORP PLC</t>
  </si>
  <si>
    <t>ENTERGY CORP</t>
  </si>
  <si>
    <t>EDWARDS LIFESCIENCES CORP</t>
  </si>
  <si>
    <t>EXELON CORP</t>
  </si>
  <si>
    <t>EXPEDITORS INTL WASH INC</t>
  </si>
  <si>
    <t>EXTRA SPACE STORAGE INC</t>
  </si>
  <si>
    <t>FORD MOTOR CO</t>
  </si>
  <si>
    <t>FASTENAL CO</t>
  </si>
  <si>
    <t>FORTUNE BRANDS HOME &amp; SECURI</t>
  </si>
  <si>
    <t>FREEPORT-MCMORAN INC</t>
  </si>
  <si>
    <t>FEDEX CORP</t>
  </si>
  <si>
    <t>FIRSTENERGY CORP</t>
  </si>
  <si>
    <t>F5 NETWORKS INC</t>
  </si>
  <si>
    <t>FIDELITY NATIONAL INFO SERV</t>
  </si>
  <si>
    <t>FISERV INC</t>
  </si>
  <si>
    <t>FIFTH THIRD BANCORP</t>
  </si>
  <si>
    <t>FOOT LOCKER INC</t>
  </si>
  <si>
    <t>FLIR SYSTEMS INC</t>
  </si>
  <si>
    <t>FLOWSERVE CORP</t>
  </si>
  <si>
    <t>FMC CORP</t>
  </si>
  <si>
    <t>FEDERAL REALTY INVS TRUST</t>
  </si>
  <si>
    <t>TECHNIPFMC PLC</t>
  </si>
  <si>
    <t>FORTIVE CORP</t>
  </si>
  <si>
    <t>GENERAL DYNAMICS CORP</t>
  </si>
  <si>
    <t>GENERAL ELECTRIC CO</t>
  </si>
  <si>
    <t>GILEAD SCIENCES INC</t>
  </si>
  <si>
    <t>GENERAL MILLS INC</t>
  </si>
  <si>
    <t>CORNING INC</t>
  </si>
  <si>
    <t>GENERAL MOTORS CO</t>
  </si>
  <si>
    <t>ALPHABET INC-CL C</t>
  </si>
  <si>
    <t>ALPHABET INC-CL A</t>
  </si>
  <si>
    <t>GENUINE PARTS CO</t>
  </si>
  <si>
    <t>GLOBAL PAYMENTS INC</t>
  </si>
  <si>
    <t>GAP INC/THE</t>
  </si>
  <si>
    <t>GARMIN LTD</t>
  </si>
  <si>
    <t>GOLDMAN SACHS GROUP INC</t>
  </si>
  <si>
    <t>WW GRAINGER INC</t>
  </si>
  <si>
    <t>HALLIBURTON CO</t>
  </si>
  <si>
    <t>HASBRO INC</t>
  </si>
  <si>
    <t>HUNTINGTON BANCSHARES INC</t>
  </si>
  <si>
    <t>HANESBRANDS INC</t>
  </si>
  <si>
    <t>HCA HEALTHCARE INC</t>
  </si>
  <si>
    <t>WELLTOWER INC</t>
  </si>
  <si>
    <t>HCP INC</t>
  </si>
  <si>
    <t>HOME DEPOT INC</t>
  </si>
  <si>
    <t>HESS CORP</t>
  </si>
  <si>
    <t>HARTFORD FINANCIAL SVCS GRP</t>
  </si>
  <si>
    <t>HILTON WORLDWIDE HOLDINGS IN</t>
  </si>
  <si>
    <t>HARLEY-DAVIDSON INC</t>
  </si>
  <si>
    <t>HOLOGIC INC</t>
  </si>
  <si>
    <t>HONEYWELL INTERNATIONAL INC</t>
  </si>
  <si>
    <t>HELMERICH &amp; PAYNE</t>
  </si>
  <si>
    <t>HP INC</t>
  </si>
  <si>
    <t>H&amp;R BLOCK INC</t>
  </si>
  <si>
    <t>HORMEL FOODS CORP</t>
  </si>
  <si>
    <t>HENRY SCHEIN INC</t>
  </si>
  <si>
    <t>HOST HOTELS &amp; RESORTS INC</t>
  </si>
  <si>
    <t>HERSHEY CO/THE</t>
  </si>
  <si>
    <t>HUMANA INC</t>
  </si>
  <si>
    <t>INTL BUSINESS MACHINES CORP</t>
  </si>
  <si>
    <t>INTERCONTINENTAL EXCHANGE IN</t>
  </si>
  <si>
    <t>IDEXX LABORATORIES INC</t>
  </si>
  <si>
    <t>INTL FLAVORS &amp; FRAGRANCES</t>
  </si>
  <si>
    <t>ILLUMINA INC</t>
  </si>
  <si>
    <t>INCYTE CORP</t>
  </si>
  <si>
    <t>IHS MARKIT LTD</t>
  </si>
  <si>
    <t>INTEL CORP</t>
  </si>
  <si>
    <t>INTUIT INC</t>
  </si>
  <si>
    <t>INTERNATIONAL PAPER CO</t>
  </si>
  <si>
    <t>INTERPUBLIC GROUP OF COS INC</t>
  </si>
  <si>
    <t>INGERSOLL-RAND PLC</t>
  </si>
  <si>
    <t>IRON MOUNTAIN INC</t>
  </si>
  <si>
    <t>INTUITIVE SURGICAL INC</t>
  </si>
  <si>
    <t>GARTNER INC</t>
  </si>
  <si>
    <t>ILLINOIS TOOL WORKS</t>
  </si>
  <si>
    <t>INVESCO LTD</t>
  </si>
  <si>
    <t>HUNT (JB) TRANSPRT SVCS INC</t>
  </si>
  <si>
    <t>JOHNSON CONTROLS INTERNATION</t>
  </si>
  <si>
    <t>JACOBS ENGINEERING GROUP INC</t>
  </si>
  <si>
    <t>JOHNSON &amp; JOHNSON</t>
  </si>
  <si>
    <t>JUNIPER NETWORKS INC</t>
  </si>
  <si>
    <t>JPMORGAN CHASE &amp; CO</t>
  </si>
  <si>
    <t>NORDSTROM INC</t>
  </si>
  <si>
    <t>KELLOGG CO</t>
  </si>
  <si>
    <t>KEYCORP</t>
  </si>
  <si>
    <t>KRAFT HEINZ CO/THE</t>
  </si>
  <si>
    <t>KIMCO REALTY CORP</t>
  </si>
  <si>
    <t>KLA-TENCOR CORP</t>
  </si>
  <si>
    <t>KIMBERLY-CLARK CORP</t>
  </si>
  <si>
    <t>KINDER MORGAN INC</t>
  </si>
  <si>
    <t>CARMAX INC</t>
  </si>
  <si>
    <t>COCA-COLA CO/THE</t>
  </si>
  <si>
    <t>KROGER CO</t>
  </si>
  <si>
    <t>KOHLS CORP</t>
  </si>
  <si>
    <t>KANSAS CITY SOUTHERN</t>
  </si>
  <si>
    <t>LOEWS CORP</t>
  </si>
  <si>
    <t>L BRANDS INC</t>
  </si>
  <si>
    <t>LEGGETT &amp; PLATT INC</t>
  </si>
  <si>
    <t>LENNAR CORP-A</t>
  </si>
  <si>
    <t>LABORATORY CRP OF AMER HLDGS</t>
  </si>
  <si>
    <t>LKQ CORP</t>
  </si>
  <si>
    <t>ELI LILLY &amp; CO</t>
  </si>
  <si>
    <t>LOCKHEED MARTIN CORP</t>
  </si>
  <si>
    <t>LINCOLN NATIONAL CORP</t>
  </si>
  <si>
    <t>ALLIANT ENERGY CORP</t>
  </si>
  <si>
    <t>LOWE`S COS INC</t>
  </si>
  <si>
    <t>LAM RESEARCH CORP</t>
  </si>
  <si>
    <t>SOUTHWEST AIRLINES CO</t>
  </si>
  <si>
    <t>LYONDELLBASELL INDU-CL A</t>
  </si>
  <si>
    <t>MACY`S INC</t>
  </si>
  <si>
    <t>MASTERCARD INC - A</t>
  </si>
  <si>
    <t>MID-AMERICA APARTMENT COMM</t>
  </si>
  <si>
    <t>MACERICH CO/THE</t>
  </si>
  <si>
    <t>MARRIOTT INTERNATIONAL -CL A</t>
  </si>
  <si>
    <t>MASCO CORP</t>
  </si>
  <si>
    <t>MCDONALD`S CORP</t>
  </si>
  <si>
    <t>MICROCHIP TECHNOLOGY INC</t>
  </si>
  <si>
    <t>MCKESSON CORP</t>
  </si>
  <si>
    <t>MOODY`S CORP</t>
  </si>
  <si>
    <t>MONDELEZ INTERNATIONAL INC-A</t>
  </si>
  <si>
    <t>MEDTRONIC PLC</t>
  </si>
  <si>
    <t>METLIFE INC</t>
  </si>
  <si>
    <t>MGM RESORTS INTERNATIONAL</t>
  </si>
  <si>
    <t>MOHAWK INDUSTRIES INC</t>
  </si>
  <si>
    <t>MCCORMICK &amp; CO-NON VTG SHRS</t>
  </si>
  <si>
    <t>MARTIN MARIETTA MATERIALS</t>
  </si>
  <si>
    <t>MARSH &amp; MCLENNAN COS</t>
  </si>
  <si>
    <t>3M CO</t>
  </si>
  <si>
    <t>MONSTER BEVERAGE CORP</t>
  </si>
  <si>
    <t>ALTRIA GROUP INC</t>
  </si>
  <si>
    <t>MOSAIC CO/THE</t>
  </si>
  <si>
    <t>MARATHON PETROLEUM CORP</t>
  </si>
  <si>
    <t>MERCK &amp; CO. INC.</t>
  </si>
  <si>
    <t>MARATHON OIL CORP</t>
  </si>
  <si>
    <t>MORGAN STANLEY</t>
  </si>
  <si>
    <t>MICROSOFT CORP</t>
  </si>
  <si>
    <t>MOTOROLA SOLUTIONS INC</t>
  </si>
  <si>
    <t>M &amp; T BANK CORP</t>
  </si>
  <si>
    <t>METTLER-TOLEDO INTERNATIONAL</t>
  </si>
  <si>
    <t>MICRON TECHNOLOGY INC</t>
  </si>
  <si>
    <t>MYLAN NV</t>
  </si>
  <si>
    <t>NOBLE ENERGY INC</t>
  </si>
  <si>
    <t>NASDAQ INC</t>
  </si>
  <si>
    <t>NEXTERA ENERGY INC</t>
  </si>
  <si>
    <t>NETFLIX INC</t>
  </si>
  <si>
    <t>NISOURCE INC</t>
  </si>
  <si>
    <t>NIKE INC -CL B</t>
  </si>
  <si>
    <t>NIELSEN HOLDINGS PLC</t>
  </si>
  <si>
    <t>NORTHROP GRUMMAN CORP</t>
  </si>
  <si>
    <t>NATIONAL OILWELL VARCO INC</t>
  </si>
  <si>
    <t>NRG ENERGY INC</t>
  </si>
  <si>
    <t>NORFOLK SOUTHERN CORP</t>
  </si>
  <si>
    <t>NETAPP INC</t>
  </si>
  <si>
    <t>NORTHERN TRUST CORP</t>
  </si>
  <si>
    <t>NUCOR CORP</t>
  </si>
  <si>
    <t>NVIDIA CORP</t>
  </si>
  <si>
    <t>NEWELL BRANDS INC</t>
  </si>
  <si>
    <t>NEWS CORP - CLASS B</t>
  </si>
  <si>
    <t>NEWS CORP - CLASS A</t>
  </si>
  <si>
    <t>REALTY INCOME CORP</t>
  </si>
  <si>
    <t>ONEOK INC</t>
  </si>
  <si>
    <t>OMNICOM GROUP</t>
  </si>
  <si>
    <t>ORACLE CORP</t>
  </si>
  <si>
    <t>O`REILLY AUTOMOTIVE INC</t>
  </si>
  <si>
    <t>OCCIDENTAL PETROLEUM CORP</t>
  </si>
  <si>
    <t>PAYCHEX INC</t>
  </si>
  <si>
    <t>PEOPLE`S UNITED FINANCIAL</t>
  </si>
  <si>
    <t>PACCAR INC</t>
  </si>
  <si>
    <t>PUBLIC SERVICE ENTERPRISE GP</t>
  </si>
  <si>
    <t>PEPSICO INC</t>
  </si>
  <si>
    <t>PFIZER INC</t>
  </si>
  <si>
    <t>PRINCIPAL FINANCIAL GROUP</t>
  </si>
  <si>
    <t>PROCTER &amp; GAMBLE CO/THE</t>
  </si>
  <si>
    <t>PROGRESSIVE CORP</t>
  </si>
  <si>
    <t>PARKER HANNIFIN CORP</t>
  </si>
  <si>
    <t>PULTEGROUP INC</t>
  </si>
  <si>
    <t>PACKAGING CORP OF AMERICA</t>
  </si>
  <si>
    <t>PERKINELMER INC</t>
  </si>
  <si>
    <t>PROLOGIS INC</t>
  </si>
  <si>
    <t>PHILIP MORRIS INTERNATIONAL</t>
  </si>
  <si>
    <t>PNC FINANCIAL SERVICES GROUP</t>
  </si>
  <si>
    <t>PENTAIR PLC</t>
  </si>
  <si>
    <t>PINNACLE WEST CAPITAL</t>
  </si>
  <si>
    <t>PPG INDUSTRIES INC</t>
  </si>
  <si>
    <t>PPL CORP</t>
  </si>
  <si>
    <t>PERRIGO CO PLC</t>
  </si>
  <si>
    <t>PRUDENTIAL FINANCIAL INC</t>
  </si>
  <si>
    <t>PUBLIC STORAGE</t>
  </si>
  <si>
    <t>PHILLIPS 66</t>
  </si>
  <si>
    <t>PVH CORP</t>
  </si>
  <si>
    <t>QUANTA SERVICES INC</t>
  </si>
  <si>
    <t>PIONEER NATURAL RESOURCES CO</t>
  </si>
  <si>
    <t>PAYPAL HOLDINGS INC</t>
  </si>
  <si>
    <t>QUALCOMM INC</t>
  </si>
  <si>
    <t>QORVO INC</t>
  </si>
  <si>
    <t>ROYAL CARIBBEAN CRUISES LTD</t>
  </si>
  <si>
    <t>EVEREST RE GROUP LTD</t>
  </si>
  <si>
    <t>REGENCY CENTERS CORP</t>
  </si>
  <si>
    <t>REGENERON PHARMACEUTICALS</t>
  </si>
  <si>
    <t>REGIONS FINANCIAL CORP</t>
  </si>
  <si>
    <t>ROBERT HALF INTL INC</t>
  </si>
  <si>
    <t>RAYMOND JAMES FINANCIAL INC</t>
  </si>
  <si>
    <t>RALPH LAUREN CORP</t>
  </si>
  <si>
    <t>RESMED INC</t>
  </si>
  <si>
    <t>ROCKWELL AUTOMATION INC</t>
  </si>
  <si>
    <t>ROPER TECHNOLOGIES INC</t>
  </si>
  <si>
    <t>ROSS STORES INC</t>
  </si>
  <si>
    <t>REPUBLIC SERVICES INC</t>
  </si>
  <si>
    <t>RAYTHEON COMPANY</t>
  </si>
  <si>
    <t>SBA COMMUNICATIONS CORP</t>
  </si>
  <si>
    <t>STARBUCKS CORP</t>
  </si>
  <si>
    <t>SCHWAB (CHARLES) CORP</t>
  </si>
  <si>
    <t>SEALED AIR CORP</t>
  </si>
  <si>
    <t>SHERWIN-WILLIAMS CO/THE</t>
  </si>
  <si>
    <t>JM SMUCKER CO/THE</t>
  </si>
  <si>
    <t>SCHLUMBERGER LTD</t>
  </si>
  <si>
    <t>SL GREEN REALTY CORP</t>
  </si>
  <si>
    <t>SNAP-ON INC</t>
  </si>
  <si>
    <t>SYNOPSYS INC</t>
  </si>
  <si>
    <t>SOUTHERN CO/THE</t>
  </si>
  <si>
    <t>SIMON PROPERTY GROUP INC</t>
  </si>
  <si>
    <t>S&amp;P GLOBAL INC</t>
  </si>
  <si>
    <t>SEMPRA ENERGY</t>
  </si>
  <si>
    <t>SUNTRUST BANKS INC</t>
  </si>
  <si>
    <t>STATE STREET CORP</t>
  </si>
  <si>
    <t>SEAGATE TECHNOLOGY</t>
  </si>
  <si>
    <t>CONSTELLATION BRANDS INC-A</t>
  </si>
  <si>
    <t>STANLEY BLACK &amp; DECKER INC</t>
  </si>
  <si>
    <t>SKYWORKS SOLUTIONS INC</t>
  </si>
  <si>
    <t>SYNCHRONY FINANCIAL</t>
  </si>
  <si>
    <t>STRYKER CORP</t>
  </si>
  <si>
    <t>SYMANTEC CORP</t>
  </si>
  <si>
    <t>SYSCO CORP</t>
  </si>
  <si>
    <t>AT&amp;T INC</t>
  </si>
  <si>
    <t>MOLSON COORS BREWING CO -B</t>
  </si>
  <si>
    <t>TRANSDIGM GROUP INC</t>
  </si>
  <si>
    <t>TE CONNECTIVITY LTD</t>
  </si>
  <si>
    <t>TARGET CORP</t>
  </si>
  <si>
    <t>TIFFANY &amp; CO</t>
  </si>
  <si>
    <t>TJX COMPANIES INC</t>
  </si>
  <si>
    <t>TORCHMARK CORP</t>
  </si>
  <si>
    <t>THERMO FISHER SCIENTIFIC INC</t>
  </si>
  <si>
    <t>TRIPADVISOR INC</t>
  </si>
  <si>
    <t>T ROWE PRICE GROUP INC</t>
  </si>
  <si>
    <t>TRAVELERS COS INC/THE</t>
  </si>
  <si>
    <t>TRACTOR SUPPLY COMPANY</t>
  </si>
  <si>
    <t>TYSON FOODS INC-CL A</t>
  </si>
  <si>
    <t>TOTAL SYSTEM SERVICES INC</t>
  </si>
  <si>
    <t>TEXAS INSTRUMENTS INC</t>
  </si>
  <si>
    <t>TEXTRON INC</t>
  </si>
  <si>
    <t>UNDER ARMOUR INC-CLASS C</t>
  </si>
  <si>
    <t>UNDER ARMOUR INC-CLASS A</t>
  </si>
  <si>
    <t>UDR INC</t>
  </si>
  <si>
    <t>UNIVERSAL HEALTH SERVICES-B</t>
  </si>
  <si>
    <t>ULTA BEAUTY INC</t>
  </si>
  <si>
    <t>UNITEDHEALTH GROUP INC</t>
  </si>
  <si>
    <t>UNUM GROUP</t>
  </si>
  <si>
    <t>UNION PACIFIC CORP</t>
  </si>
  <si>
    <t>UNITED PARCEL SERVICE-CL B</t>
  </si>
  <si>
    <t>UNITED RENTALS INC</t>
  </si>
  <si>
    <t>US BANCORP</t>
  </si>
  <si>
    <t>UNITED TECHNOLOGIES CORP</t>
  </si>
  <si>
    <t>VISA INC-CLASS A SHARES</t>
  </si>
  <si>
    <t>VARIAN MEDICAL SYSTEMS INC</t>
  </si>
  <si>
    <t>VF CORP</t>
  </si>
  <si>
    <t>VIACOM INC-CLASS B</t>
  </si>
  <si>
    <t>VALERO ENERGY CORP</t>
  </si>
  <si>
    <t>VULCAN MATERIALS CO</t>
  </si>
  <si>
    <t>VORNADO REALTY TRUST</t>
  </si>
  <si>
    <t>VERISK ANALYTICS INC</t>
  </si>
  <si>
    <t>VERISIGN INC</t>
  </si>
  <si>
    <t>VERTEX PHARMACEUTICALS INC</t>
  </si>
  <si>
    <t>VENTAS INC</t>
  </si>
  <si>
    <t>VERIZON COMMUNICATIONS INC</t>
  </si>
  <si>
    <t>WATERS CORP</t>
  </si>
  <si>
    <t>WALGREENS BOOTS ALLIANCE INC</t>
  </si>
  <si>
    <t>WESTERN DIGITAL CORP</t>
  </si>
  <si>
    <t>WEC ENERGY GROUP INC</t>
  </si>
  <si>
    <t>WELLS FARGO &amp; CO</t>
  </si>
  <si>
    <t>WHIRLPOOL CORP</t>
  </si>
  <si>
    <t>WILLIS TOWERS WATSON PLC</t>
  </si>
  <si>
    <t>WASTE MANAGEMENT INC</t>
  </si>
  <si>
    <t>WILLIAMS COS INC</t>
  </si>
  <si>
    <t>WESTROCK CO</t>
  </si>
  <si>
    <t>WESTERN UNION CO</t>
  </si>
  <si>
    <t>WEYERHAEUSER CO</t>
  </si>
  <si>
    <t>WYNN RESORTS LTD</t>
  </si>
  <si>
    <t>CIMAREX ENERGY CO</t>
  </si>
  <si>
    <t>XCEL ENERGY INC</t>
  </si>
  <si>
    <t>XILINX INC</t>
  </si>
  <si>
    <t>EXXON MOBIL CORP</t>
  </si>
  <si>
    <t>DENTSPLY SIRONA INC</t>
  </si>
  <si>
    <t>XEROX CORP</t>
  </si>
  <si>
    <t>XYLEM INC</t>
  </si>
  <si>
    <t>YUM! BRANDS INC</t>
  </si>
  <si>
    <t>ZIMMER BIOMET HOLDINGS INC</t>
  </si>
  <si>
    <t>ZOETIS INC</t>
  </si>
  <si>
    <t>ETFId</t>
  </si>
  <si>
    <t>API位置</t>
  </si>
  <si>
    <t>發行商</t>
  </si>
  <si>
    <t>富邦投信</t>
  </si>
  <si>
    <t>http://websys.fsit.com.tw/FubonETF/Trade/FundInvestJson.aspx?stkId=00654R&amp;checkSum=37815</t>
  </si>
  <si>
    <t>元大投信</t>
  </si>
  <si>
    <t>群益投信</t>
  </si>
  <si>
    <t>http://websys.fsit.com.tw/FubonETF/Trade/FundInvestJson.aspx?stkId=006205&amp;checkSum=37815</t>
  </si>
  <si>
    <t>http://websys.fsit.com.tw/FubonETF/Trade/FundInvestJson.aspx?stkId=00625K&amp;checkSum=37815</t>
  </si>
  <si>
    <t>http://websys.fsit.com.tw/FubonETF/Trade/FundInvestJson.aspx?stkId=00639&amp;checkSum=37815</t>
  </si>
  <si>
    <t>http://websys.fsit.com.tw/FubonETF/Trade/FundInvestJson.aspx?stkId=00633L&amp;checkSum=37815</t>
  </si>
  <si>
    <t>http://websys.fsit.com.tw/FubonETF/Trade/FundInvestJson.aspx?stkId=00634R&amp;checkSum=37815</t>
  </si>
  <si>
    <t>http://websys.fsit.com.tw/FubonETF/Trade/FundInvestJson.aspx?stkId=00665L&amp;checkSum=37815</t>
  </si>
  <si>
    <t>http://websys.fsit.com.tw/FubonETF/Trade/FundInvestJson.aspx?stkId=00666R&amp;checkSum=37815</t>
  </si>
  <si>
    <t>http://websys.fsit.com.tw/FubonETF/Trade/FundInvestJson.aspx?stkId=00652&amp;checkSum=37815</t>
  </si>
  <si>
    <t>國泰投信</t>
  </si>
  <si>
    <t>https://www.cathaysite.com.tw/funds/etf/etf_ws.asmx/GetFundAssetsByStock?_stock_code=00655L</t>
  </si>
  <si>
    <t>http://websys.fsit.com.tw/FubonETF/Trade/FundInvestJson.aspx?stkId=00645&amp;checkSum=37815</t>
  </si>
  <si>
    <t>http://websys.fsit.com.tw/FubonETF/Trade/FundInvestJson.aspx?stkId=00640L&amp;checkSum=37815</t>
  </si>
  <si>
    <t>http://websys.fsit.com.tw/FubonETF/Trade/FundInvestJson.aspx?stkId=00641R&amp;checkSum=37815</t>
  </si>
  <si>
    <t>http://websys.fsit.com.tw/FubonETF/Trade/FundInvestJson.aspx?stkId=00662&amp;checkSum=37815</t>
  </si>
  <si>
    <t>https://www.cathaysite.com.tw/funds/etf/etf_ws.asmx/GetFundAssetsByStock?_stock_code=00656R</t>
  </si>
  <si>
    <t>https://www.cathaysite.com.tw/funds/etf/etf_ws.asmx/GetFundAssetsByStock?_stock_code=00657</t>
  </si>
  <si>
    <t>https://www.cathaysite.com.tw/funds/etf/etf_ws.asmx/GetFundAssetsByStock?_stock_code=00658L</t>
  </si>
  <si>
    <t>http://websys.fsit.com.tw/FubonETF/Trade/FundInvestJson.aspx?stkId=0052&amp;checkSum=37815</t>
  </si>
  <si>
    <t>http://websys.fsit.com.tw/FubonETF/Trade/FundInvestJson.aspx?stkId=0057&amp;checkSum=37815</t>
  </si>
  <si>
    <t>http://websys.fsit.com.tw/FubonETF/Trade/FundInvestJson.aspx?stkId=0058&amp;checkSum=37815</t>
  </si>
  <si>
    <t>http://websys.fsit.com.tw/FubonETF/Trade/FundInvestJson.aspx?stkId=0059&amp;checkSum=37815</t>
  </si>
  <si>
    <t>https://www.cathaysite.com.tw/funds/etf/etf_ws.asmx/GetFundAssetsByStock?_stock_code=00659R</t>
  </si>
  <si>
    <t>https://www.cathaysite.com.tw/funds/etf/etf_ws.asmx/GetFundAssetsByStock?_stock_code=00663L</t>
  </si>
  <si>
    <t>https://www.cathaysite.com.tw/funds/etf/etf_ws.asmx/GetFundAssetsByStock?_stock_code=00664R</t>
  </si>
  <si>
    <t>復華投信</t>
  </si>
  <si>
    <t>http://www.fhtrust.com.tw/funds/fund_intro_ETF_pcf.asp?QueryFund=ETF03</t>
  </si>
  <si>
    <t>http://www.fhtrust.com.tw/funds/fund_intro_ETF_pcf.asp?QueryFund=ETF04</t>
  </si>
  <si>
    <t>http://www.yuantaetfs.com/api/Orders?fundid=1082</t>
  </si>
  <si>
    <t>http://www.yuantaetfs.com/api/Orders?fundid=1083</t>
  </si>
  <si>
    <t>http://www.yuantaetfs.com/api/Orders?fundid=1084</t>
  </si>
  <si>
    <t>http://www.yuantaetfs.com/api/Orders?fundid=1090</t>
  </si>
  <si>
    <t>http://www.yuantaetfs.com/api/Orders?fundid=1099</t>
  </si>
  <si>
    <t>http://www.yuantaetfs.com/api/Orders?fundid=1103</t>
  </si>
  <si>
    <t>http://www.yuantaetfs.com/api/Orders?fundid=1106</t>
  </si>
  <si>
    <t>http://www.yuantaetfs.com/api/Orders?fundid=1116</t>
  </si>
  <si>
    <t>http://www.yuantaetfs.com/api/Orders?fundid=1117</t>
  </si>
  <si>
    <t>http://www.yuantaetfs.com/api/Orders?fundid=1120</t>
  </si>
  <si>
    <t>http://www.yuantaetfs.com/api/Orders?fundid=1121</t>
  </si>
  <si>
    <t>http://www.yuantaetfs.com/api/Orders?fundid=1129</t>
  </si>
  <si>
    <t>http://www.yuantaetfs.com/api/Orders?fundid=1130</t>
  </si>
  <si>
    <t>http://www.yuantaetfs.com/api/Orders?fundid=1131</t>
  </si>
  <si>
    <t>http://www.yuantaetfs.com/api/Orders?fundid=1144</t>
  </si>
  <si>
    <t>http://www.yuantaetfs.com/api/Orders?fundid=1145</t>
  </si>
  <si>
    <t>http://www.yuantaetfs.com/api/Orders?fundid=2004</t>
  </si>
  <si>
    <t>http://www.yuantaetfs.com/api/Orders?fundid=2005</t>
  </si>
  <si>
    <t>https://www.cathaysite.com.tw/funds/etf/etf_ws.asmx/GetFundAssetsByStock?_stock_code=00668</t>
  </si>
  <si>
    <t>https://www.cathaysite.com.tw/funds/etf/etf_ws.asmx/GetFundAssetsByStock?_stock_code=00669R</t>
  </si>
  <si>
    <t>http://www.yuantaetfs.com/api/Orders?fundid=1148</t>
  </si>
  <si>
    <t>http://www.yuantaetfs.com/api/Orders?fundid=2007</t>
  </si>
  <si>
    <t>http://www.yuantaetfs.com/api/Orders?fundid=2008</t>
  </si>
  <si>
    <t>http://websys.fsit.com.tw/FubonETF/Trade/FundInvestJson.aspx?stkId=00675L&amp;checkSum=37815</t>
  </si>
  <si>
    <t>http://websys.fsit.com.tw/FubonETF/Trade/FundInvestJson.aspx?stkId=00676R&amp;checkSum=37815</t>
  </si>
  <si>
    <t>http://websys.fsit.com.tw/FubonETF/Trade/FundInvestJson.aspx?stkId=00677U&amp;checkSum=37815</t>
  </si>
  <si>
    <t>兆豐投信</t>
  </si>
  <si>
    <t>http://www.megafunds.com.tw/ETF/api/Orders/X002</t>
  </si>
  <si>
    <t>https://www.cathaysite.com.tw/funds/etf/etf_ws.asmx/GetFundAssetsByStock?_stock_code=00687B</t>
  </si>
  <si>
    <t>https://www.cathaysite.com.tw/funds/etf/etf_ws.asmx/GetFundAssetsByStock?_stock_code=00688L</t>
  </si>
  <si>
    <t>https://www.cathaysite.com.tw/funds/etf/etf_ws.asmx/GetFundAssetsByStock?_stock_code=00689R</t>
  </si>
  <si>
    <t>http://websys.fsit.com.tw/FubonETF/Trade/FundInvestJson.aspx?stkId=00692&amp;checkSum=37815</t>
  </si>
  <si>
    <t>台新投信</t>
  </si>
  <si>
    <t>http://www.yuantaetfs.com/api/StkWeights?date=&amp;fundid=1081</t>
  </si>
  <si>
    <t>http://www.yuantaetfs.com/api/StkWeights?date=&amp;fundid=1090</t>
  </si>
  <si>
    <t>http://www.yuantaetfs.com/api/FutWeights?date=&amp;fundid=1090</t>
  </si>
  <si>
    <t>http://www.yuantaetfs.com/api/EtfWeights?date=&amp;fundid=1090</t>
  </si>
  <si>
    <t>http://www.yuantaetfs.com/api/Composition?fundid=1099</t>
  </si>
  <si>
    <t>http://www.yuantaetfs.com/api/Composition?fundid=1103</t>
  </si>
  <si>
    <t>http://www.yuantaetfs.com/api/StkWeights?date=&amp;fundid=1106</t>
  </si>
  <si>
    <t>http://www.yuantaetfs.com/api/FutWeights?date=&amp;fundid=1106</t>
  </si>
  <si>
    <t>http://www.yuantaetfs.com/api/EtfWeights?date=&amp;fundid=1106</t>
  </si>
  <si>
    <t>http://www.yuantaetfs.com/api/StkWeights?date=&amp;fundid=1116</t>
  </si>
  <si>
    <t>http://www.yuantaetfs.com/api/FutWeights?date=&amp;fundid=1116</t>
  </si>
  <si>
    <t>http://www.yuantaetfs.com/api/EtfWeights?date=&amp;fundid=1116</t>
  </si>
  <si>
    <t>http://www.yuantaetfs.com/api/StkWeights?date=&amp;fundid=1117</t>
  </si>
  <si>
    <t>http://www.yuantaetfs.com/api/FutWeights?date=&amp;fundid=1117</t>
  </si>
  <si>
    <t>http://www.yuantaetfs.com/api/EtfWeights?date=&amp;fundid=1117</t>
  </si>
  <si>
    <t>http://www.yuantaetfs.com/api/StkWeights?date=&amp;fundid=1120</t>
  </si>
  <si>
    <t>http://www.yuantaetfs.com/api/FutWeights?date=&amp;fundid=1120</t>
  </si>
  <si>
    <t>http://www.yuantaetfs.com/api/EtfWeights?date=&amp;fundid=1120</t>
  </si>
  <si>
    <t>http://www.yuantaetfs.com/api/StkWeights?date=&amp;fundid=1121</t>
  </si>
  <si>
    <t>http://www.yuantaetfs.com/api/FutWeights?date=&amp;fundid=1121</t>
  </si>
  <si>
    <t>http://www.yuantaetfs.com/api/EtfWeights?date=&amp;fundid=1121</t>
  </si>
  <si>
    <t>http://www.yuantaetfs.com/api/StkWeights?date=&amp;fundid=1129</t>
  </si>
  <si>
    <t>http://www.yuantaetfs.com/api/FutWeights?date=&amp;fundid=1129</t>
  </si>
  <si>
    <t>http://www.yuantaetfs.com/api/EtfWeights?date=&amp;fundid=1129</t>
  </si>
  <si>
    <t>http://www.yuantaetfs.com/api/StkWeights?date=&amp;fundid=1130</t>
  </si>
  <si>
    <t>http://www.yuantaetfs.com/api/FutWeights?date=&amp;fundid=1130</t>
  </si>
  <si>
    <t>http://www.yuantaetfs.com/api/EtfWeights?date=&amp;fundid=1130</t>
  </si>
  <si>
    <t>http://www.yuantaetfs.com/api/StkWeights?date=&amp;fundid=1131</t>
  </si>
  <si>
    <t>http://www.yuantaetfs.com/api/FutWeights?date=&amp;fundid=1131</t>
  </si>
  <si>
    <t>http://www.yuantaetfs.com/api/EtfWeights?date=&amp;fundid=1131</t>
  </si>
  <si>
    <t>http://www.yuantaetfs.com/api/StkWeights?date=&amp;fundid=1144</t>
  </si>
  <si>
    <t>http://www.yuantaetfs.com/api/FutWeights?date=&amp;fundid=1144</t>
  </si>
  <si>
    <t>http://www.yuantaetfs.com/api/EtfWeights?date=&amp;fundid=1144</t>
  </si>
  <si>
    <t>http://www.yuantaetfs.com/api/StkWeights?date=&amp;fundid=1145</t>
  </si>
  <si>
    <t>http://www.yuantaetfs.com/api/FutWeights?date=&amp;fundid=1145</t>
  </si>
  <si>
    <t>http://www.yuantaetfs.com/api/EtfWeights?date=&amp;fundid=1145</t>
  </si>
  <si>
    <t>http://www.yuantaetfs.com/api/StkWeights?date=&amp;fundid=2004</t>
  </si>
  <si>
    <t>http://www.yuantaetfs.com/api/FutWeights?date=&amp;fundid=2004</t>
  </si>
  <si>
    <t>http://www.yuantaetfs.com/api/EtfWeights?date=&amp;fundid=2004</t>
  </si>
  <si>
    <t>http://www.yuantaetfs.com/api/StkWeights?date=&amp;fundid=2005</t>
  </si>
  <si>
    <t>http://www.yuantaetfs.com/api/FutWeights?date=&amp;fundid=2005</t>
  </si>
  <si>
    <t>http://www.yuantaetfs.com/api/EtfWeights?date=&amp;fundid=2005</t>
  </si>
  <si>
    <t>https://www.cathaysite.com.tw/funds/etf/etf_ws.asmx/GetFundAssetsByStock?_stock_code=00636</t>
  </si>
  <si>
    <t>http://websys.fsit.com.tw/FubonETF/Trade/FundInvestJson.aspx?stkId=00653L&amp;checkSum=37815</t>
  </si>
  <si>
    <t>http://websys.fsit.com.tw/FubonETF/Trade/FundInvestJson.aspx?stkId=006208&amp;checkSum=37815</t>
  </si>
  <si>
    <t>http://www.fhtrust.com.tw/funds/fund_intro_ETF_FundAsset.asp?QueryFund=ETF01</t>
  </si>
  <si>
    <t>http://www.yuantaetfs.com/api/StkWeights?date=&amp;fundid=1148</t>
  </si>
  <si>
    <t>https://www.capitalfund.com.tw/ETFAPI/pcdstock?etfcode=00643</t>
  </si>
  <si>
    <t>https://www.capitalfund.com.tw/ETFAPI/pcdfutures?etfcode=00643</t>
  </si>
  <si>
    <t>http://www.fhtrust.com.tw/funds/fund_intro_ETF_FundAsset.asp?QueryFund=ETF02</t>
  </si>
  <si>
    <t>http://www.fhtrust.com.tw/funds/fund_intro_ETF_FundAsset.asp?QueryFund=ETF03</t>
  </si>
  <si>
    <t>http://www.fhtrust.com.tw/funds/fund_intro_ETF_FundAsset.asp?QueryFund=ETF04</t>
  </si>
  <si>
    <t>http://www.yuantaetfs.com/api/StkWeights?date=&amp;fundid=1066</t>
  </si>
  <si>
    <t>http://www.yuantaetfs.com/api/FutWeights?date=&amp;fundid=1066</t>
  </si>
  <si>
    <t>http://www.yuantaetfs.com/api/EtfWeights?date=&amp;fundid=1066</t>
  </si>
  <si>
    <t>http://www.yuantaetfs.com/api/StkWeights?date=&amp;fundid=1078</t>
  </si>
  <si>
    <t>http://www.yuantaetfs.com/api/FutWeights?date=&amp;fundid=1078</t>
  </si>
  <si>
    <t>http://www.yuantaetfs.com/api/EtfWeights?date=&amp;fundid=1078</t>
  </si>
  <si>
    <t>http://www.yuantaetfs.com/api/FutWeights?date=&amp;fundid=1081</t>
  </si>
  <si>
    <t>http://www.yuantaetfs.com/api/EtfWeights?date=&amp;fundid=1081</t>
  </si>
  <si>
    <t>http://www.yuantaetfs.com/api/StkWeights?date=&amp;fundid=1082</t>
  </si>
  <si>
    <t>http://www.yuantaetfs.com/api/FutWeights?date=&amp;fundid=1082</t>
  </si>
  <si>
    <t>http://www.yuantaetfs.com/api/EtfWeights?date=&amp;fundid=1082</t>
  </si>
  <si>
    <t>http://www.yuantaetfs.com/api/StkWeights?date=&amp;fundid=1083</t>
  </si>
  <si>
    <t>http://www.yuantaetfs.com/api/FutWeights?date=&amp;fundid=1083</t>
  </si>
  <si>
    <t>http://www.yuantaetfs.com/api/EtfWeights?date=&amp;fundid=1083</t>
  </si>
  <si>
    <t>http://www.yuantaetfs.com/api/StkWeights?date=&amp;fundid=1084</t>
  </si>
  <si>
    <t>http://www.yuantaetfs.com/api/FutWeights?date=&amp;fundid=1084</t>
  </si>
  <si>
    <t>http://www.yuantaetfs.com/api/EtfWeights?date=&amp;fundid=1084</t>
  </si>
  <si>
    <t>http://www.yuantaetfs.com/api/FutWeights?date=&amp;fundid=1148</t>
  </si>
  <si>
    <t>http://www.yuantaetfs.com/api/EtfWeights?date=&amp;fundid=1148</t>
  </si>
  <si>
    <t>http://www.yuantaetfs.com/api/StkWeights?date=&amp;fundid=2006</t>
  </si>
  <si>
    <t>http://www.yuantaetfs.com/api/FutWeights?date=&amp;fundid=2006</t>
  </si>
  <si>
    <t>http://www.yuantaetfs.com/api/EtfWeights?date=&amp;fundid=2006</t>
  </si>
  <si>
    <t>http://www.yuantaetfs.com/api/StkWeights?date=&amp;fundid=2007</t>
  </si>
  <si>
    <t>http://www.yuantaetfs.com/api/FutWeights?date=&amp;fundid=2007</t>
  </si>
  <si>
    <t>http://www.yuantaetfs.com/api/EtfWeights?date=&amp;fundid=2007</t>
  </si>
  <si>
    <t>http://www.yuantaetfs.com/api/StkWeights?date=&amp;fundid=2008</t>
  </si>
  <si>
    <t>http://www.yuantaetfs.com/api/FutWeights?date=&amp;fundid=2008</t>
  </si>
  <si>
    <t>http://www.yuantaetfs.com/api/EtfWeights?date=&amp;fundid=2008</t>
  </si>
  <si>
    <t>https://www.capitalfund.com.tw/ETFAPI/pcdstock?etfcode=00678</t>
  </si>
  <si>
    <t>https://www.capitalfund.com.tw/ETFAPI/pcdfutures?etfcode=00678</t>
  </si>
  <si>
    <t>https://www.capitalfund.com.tw/ETFAPI/pcdstock?etfcode=00685L</t>
  </si>
  <si>
    <t>https://www.capitalfund.com.tw/ETFAPI/pcdfutures?etfcode=00685L</t>
  </si>
  <si>
    <t>https://www.capitalfund.com.tw/ETFAPI/pcdstock?etfcode=00686R</t>
  </si>
  <si>
    <t>https://www.capitalfund.com.tw/ETFAPI/pcdfutures?etfcode=00686R</t>
  </si>
  <si>
    <t>http://www.megafunds.com.tw/ETF/api/StkWeights/X001/</t>
  </si>
  <si>
    <t>http://www.megafunds.com.tw/ETF/api/FutWeights/X001/</t>
  </si>
  <si>
    <t>http://www.megafunds.com.tw/ETF/api/StkWeights/X002/</t>
  </si>
  <si>
    <t>http://www.megafunds.com.tw/ETF/api/FutWeights/X002/</t>
  </si>
  <si>
    <t>http://www.yuantaetfs.com/api/PCF/get?etfid=00635U</t>
  </si>
  <si>
    <t>http://www.tsit.com.tw/api/pcd?etfcode=00705R</t>
  </si>
  <si>
    <t>http://www.tsit.com.tw/api/pcd?etfcode=00703</t>
  </si>
  <si>
    <t>http://www.yuantaetfs.com/api/PCF/get?etfid=00672L</t>
  </si>
  <si>
    <t>http://www.yuantaetfs.com/api/PCF/get?etfid=00673R</t>
  </si>
  <si>
    <t>http://www.yuantaetfs.com/api/PCF/get?etfid=00674R</t>
  </si>
  <si>
    <t>http://www.yuantaetfs.com/api/PCF/get?etfid=00642U</t>
  </si>
  <si>
    <t>http://www.tsit.com.tw/api/pcd?etfcode=00704L</t>
  </si>
  <si>
    <t>http://websys.fsit.com.tw/FubonETF/Trade/FundInvestJson.aspx?stkId=00653L&amp;checkSum=37815</t>
    <phoneticPr fontId="26" type="noConversion"/>
  </si>
  <si>
    <t>http://www.yuantaetfs.com/api/Orders?fundid=1066</t>
    <phoneticPr fontId="26" type="noConversion"/>
  </si>
  <si>
    <t>https://www.capitalfund.com.tw/ETFAPI/pcf?etfcode=00643&amp;qdate=2017/09/27</t>
    <phoneticPr fontId="8" type="noConversion"/>
  </si>
  <si>
    <t>http://websys.fsit.com.tw/FubonETF/Trade/FundInvestJson.aspx?stkId=006208&amp;checkSum=37815</t>
    <phoneticPr fontId="26" type="noConversion"/>
  </si>
  <si>
    <t>http://websys.fsit.com.tw/FubonETF/Trade/FundInvestJson.aspx?stkId=006205&amp;checkSum=37815</t>
    <phoneticPr fontId="8" type="noConversion"/>
  </si>
  <si>
    <t>http://websys.fsit.com.tw/FubonETF/Trade/FundInvestJson.aspx?stkId=00625K&amp;checkSum=37815</t>
    <phoneticPr fontId="8" type="noConversion"/>
  </si>
  <si>
    <t>http://websys.fsit.com.tw/FubonETF/Trade/FundInvestJson.aspx?stkId=00639&amp;checkSum=37815</t>
    <phoneticPr fontId="8" type="noConversion"/>
  </si>
  <si>
    <t>https://www.cathaysite.com.tw/funds/etf/etf_ws.asmx/GetFundAssetsByStock?_stock_code=00636</t>
    <phoneticPr fontId="26" type="noConversion"/>
  </si>
  <si>
    <t>655L</t>
    <phoneticPr fontId="8" type="noConversion"/>
  </si>
  <si>
    <t>https://www.cathaysite.com.tw/funds/etf/etf_ws.asmx/GetFundAssetsByStock?_stock_code=00655L</t>
    <phoneticPr fontId="8" type="noConversion"/>
  </si>
  <si>
    <t>656L</t>
    <phoneticPr fontId="8" type="noConversion"/>
  </si>
  <si>
    <t>https://www.cathaysite.com.tw/funds/etf/etf_ws.asmx/GetFundAssetsByStock?_stock_code=00656R</t>
    <phoneticPr fontId="8" type="noConversion"/>
  </si>
  <si>
    <t>http://websys.fsit.com.tw/FubonETF/Trade/FundInvestJson.aspx?stkId=00645&amp;checkSum=37815</t>
    <phoneticPr fontId="8" type="noConversion"/>
  </si>
  <si>
    <t>http://websys.fsit.com.tw/FubonETF/Trade/FundInvestJson.aspx?stkId=00640L&amp;checkSum=37815</t>
    <phoneticPr fontId="8" type="noConversion"/>
  </si>
  <si>
    <t>http://www.yuantaetfs.com/api/Orders?fundid=1078</t>
    <phoneticPr fontId="8" type="noConversion"/>
  </si>
  <si>
    <t>http://www.fhtrust.com.tw/funds/fund_intro_ETF_pcf.asp?QueryFund=ETF01</t>
    <phoneticPr fontId="8" type="noConversion"/>
  </si>
  <si>
    <t>http://www.fhtrust.com.tw/funds/fund_intro_ETF_pcf.asp?QueryFund=ETF02</t>
    <phoneticPr fontId="8" type="noConversion"/>
  </si>
  <si>
    <t>http://www.yuantaetfs.com/api/Orders?fundid=1081</t>
    <phoneticPr fontId="8" type="noConversion"/>
  </si>
  <si>
    <t>https://www.cathaysite.com.tw/funds/etf/etf_ws.asmx/GetFundAssetsByStock?_stock_code=00668</t>
    <phoneticPr fontId="8" type="noConversion"/>
  </si>
  <si>
    <t>https://www.cathaysite.com.tw/funds/etf/etf_ws.asmx/GetFundAssetsByStock?_stock_code=00669R</t>
    <phoneticPr fontId="8" type="noConversion"/>
  </si>
  <si>
    <t>http://www.yuantaetfs.com/api/Orders?fundid=2006</t>
    <phoneticPr fontId="8" type="noConversion"/>
  </si>
  <si>
    <t>http://websys.fsit.com.tw/FubonETF/Trade/FundInvestJson.aspx?stkId=00675L&amp;checkSum=37815</t>
    <phoneticPr fontId="8" type="noConversion"/>
  </si>
  <si>
    <t>http://websys.fsit.com.tw/FubonETF/Trade/FundInvestJson.aspx?stkId=00676R&amp;checkSum=37815</t>
    <phoneticPr fontId="8" type="noConversion"/>
  </si>
  <si>
    <t>http://websys.fsit.com.tw/FubonETF/Trade/FundInvestJson.aspx?stkId=00677U&amp;checkSum=37815</t>
    <phoneticPr fontId="8" type="noConversion"/>
  </si>
  <si>
    <t>http://www.megafunds.com.tw/ETF/api/Orders/X001</t>
    <phoneticPr fontId="8" type="noConversion"/>
  </si>
  <si>
    <t>691R</t>
    <phoneticPr fontId="8" type="noConversion"/>
  </si>
  <si>
    <t>https://www.capitalfund.com.tw/ETFAPI/pcf?etfcode=00685L&amp;qdate=2017/09/27</t>
    <phoneticPr fontId="8" type="noConversion"/>
  </si>
  <si>
    <t>https://www.capitalfund.com.tw/ETFAPI/pcf?etfcode=00686R&amp;qdate=2017/09/27</t>
    <phoneticPr fontId="8" type="noConversion"/>
  </si>
  <si>
    <t>http://www.megafunds.com.tw/ETF/api/Orders/X002</t>
    <phoneticPr fontId="8" type="noConversion"/>
  </si>
  <si>
    <t>https://www.cathaysite.com.tw/funds/etf/etf_ws.asmx/GetFundAssetsByStock?_stock_code=00687B</t>
    <phoneticPr fontId="8" type="noConversion"/>
  </si>
  <si>
    <t>https://www.cathaysite.com.tw/funds/etf/etf_ws.asmx/GetFundAssetsByStock?_stock_code=00688L</t>
    <phoneticPr fontId="8" type="noConversion"/>
  </si>
  <si>
    <t>https://www.cathaysite.com.tw/funds/etf/etf_ws.asmx/GetFundAssetsByStock?_stock_code=00689R</t>
    <phoneticPr fontId="8" type="noConversion"/>
  </si>
  <si>
    <t>http://websys.fsit.com.tw/FubonETF/Trade/FundInvestJson.aspx?stkId=00692&amp;checkSum=37815</t>
    <phoneticPr fontId="8" type="noConversion"/>
  </si>
  <si>
    <t>http://www.tsit.com.tw/api/pcf?etfcode=00703&amp;date=2017/09/27</t>
    <phoneticPr fontId="8" type="noConversion"/>
  </si>
  <si>
    <t>http://www.tsit.com.tw/api/pcf?etfcode=00704L&amp;date=2017/09/27</t>
    <phoneticPr fontId="8" type="noConversion"/>
  </si>
  <si>
    <t>http://www.tsit.com.tw/api/pcf?etfcode=00705R&amp;date=2017/09/27</t>
    <phoneticPr fontId="8" type="noConversion"/>
  </si>
  <si>
    <t>00693U</t>
    <phoneticPr fontId="8" type="noConversion"/>
  </si>
  <si>
    <t>http://www.paradigm-fund.com/ETF/PDLP.ashx?fundID=34</t>
    <phoneticPr fontId="8" type="noConversion"/>
  </si>
  <si>
    <t>華頓投信_黃豆</t>
    <phoneticPr fontId="8" type="noConversion"/>
  </si>
  <si>
    <r>
      <t>0</t>
    </r>
    <r>
      <rPr>
        <sz val="12"/>
        <rFont val="新細明體"/>
        <family val="1"/>
        <charset val="136"/>
      </rPr>
      <t>0713</t>
    </r>
    <phoneticPr fontId="0" type="noConversion"/>
  </si>
  <si>
    <t>淨資產價值&lt;=20億為0.45%20億&lt;淨資產價值&lt;=50億為0.35%50億&lt;淨資產價值為0.3%</t>
  </si>
  <si>
    <t>ETF基本資料表.追蹤指數中文名稱/每一期/最近/1/遞增/年//</t>
    <phoneticPr fontId="28" type="noConversion"/>
  </si>
  <si>
    <t>臺灣50指數</t>
  </si>
  <si>
    <t>臺灣中型100指數</t>
  </si>
  <si>
    <t>臺灣資訊科技指數</t>
  </si>
  <si>
    <t>電子類加權股價指數</t>
  </si>
  <si>
    <t>S&amp;P台商收成指數</t>
  </si>
  <si>
    <t>MSCI台灣金融指數</t>
  </si>
  <si>
    <t>臺灣高股息指數</t>
  </si>
  <si>
    <t>MSCI臺灣指數</t>
  </si>
  <si>
    <t>臺灣發達指數</t>
  </si>
  <si>
    <t>金融保險類股指數</t>
  </si>
  <si>
    <t>滬深300指數</t>
  </si>
  <si>
    <t>富櫃五十指數</t>
  </si>
  <si>
    <t>臺灣證券交易所發行量加權股價指數</t>
  </si>
  <si>
    <t>上証180指數</t>
  </si>
  <si>
    <t>上證50指數</t>
  </si>
  <si>
    <t>富時中國A50指數</t>
  </si>
  <si>
    <t>深証100指數</t>
  </si>
  <si>
    <t>深証中小板指數</t>
  </si>
  <si>
    <t>上証180兩倍槓桿指數</t>
  </si>
  <si>
    <t>上証180反向指數</t>
  </si>
  <si>
    <t>滬深300日報酬正向兩倍指數</t>
  </si>
  <si>
    <t>滬深300日報酬反向一倍指數</t>
  </si>
  <si>
    <t>富時中國A50兩倍槓桿指數</t>
  </si>
  <si>
    <t>富時中國A50反向指數</t>
  </si>
  <si>
    <t>標普高盛黃金ER指數</t>
  </si>
  <si>
    <t>標普高盛原油增強超額回報指數</t>
  </si>
  <si>
    <t>標普500指數</t>
  </si>
  <si>
    <t>標普500 2倍槓桿指數</t>
  </si>
  <si>
    <t>標普500反向指數</t>
  </si>
  <si>
    <t>NIFTY指數</t>
  </si>
  <si>
    <t>NIFTY正向2倍指數</t>
  </si>
  <si>
    <t>NIFTY反向1倍指數</t>
  </si>
  <si>
    <t>恒生指數</t>
  </si>
  <si>
    <t>恒指槓桿指數</t>
  </si>
  <si>
    <t>恒指短倉指數</t>
  </si>
  <si>
    <t>東証正向二倍指數</t>
  </si>
  <si>
    <t>東証反向一倍指數</t>
  </si>
  <si>
    <t>日經225</t>
  </si>
  <si>
    <t>富時日本單日正向2倍指數</t>
  </si>
  <si>
    <t>富時日本單日反向1倍指數</t>
  </si>
  <si>
    <t>歐洲 STOXX50 指數</t>
  </si>
  <si>
    <t>日經225指數</t>
  </si>
  <si>
    <t>NASDAQ-100 指數</t>
  </si>
  <si>
    <t>東證股價指數</t>
  </si>
  <si>
    <t>臺灣加權指數單日正向2倍指數</t>
  </si>
  <si>
    <t>臺灣證券交易所發行量加權股價日報酬反向一倍指數</t>
  </si>
  <si>
    <t>標普高盛原油日報酬正向兩倍ER指數</t>
  </si>
  <si>
    <t>標普高盛原油日報酬反向一倍ER指數</t>
  </si>
  <si>
    <t>標普高盛黃金日報酬反向一倍ER指數</t>
  </si>
  <si>
    <t>道瓊斯工業平均指數</t>
  </si>
  <si>
    <t>道瓊斯工業平均單日反向指數</t>
  </si>
  <si>
    <t>臺灣證券交易所發行量加權股價日報酬正向兩倍指數</t>
  </si>
  <si>
    <t>標普500波動率短期期貨ER指數</t>
  </si>
  <si>
    <t>那斯達克生技指數</t>
  </si>
  <si>
    <t>ICE美國政府20+年期債券指數</t>
  </si>
  <si>
    <t>ICE美國政府20+年期債券2倍槓桿指數</t>
  </si>
  <si>
    <t>ICE美國政府20+年期債券1倍反向指數</t>
  </si>
  <si>
    <t>NASDAQ-100反向1倍指數</t>
  </si>
  <si>
    <t>NASDAQ-100正向2倍指數</t>
  </si>
  <si>
    <t>藍籌30反向一倍指數</t>
  </si>
  <si>
    <t>藍籌30指數</t>
  </si>
  <si>
    <t>彭博巴克萊20年期(以上)美國公債指數</t>
  </si>
  <si>
    <t>彭博巴克萊20年期(以上)美國公債單日正向2倍指數</t>
  </si>
  <si>
    <t>彭博巴克萊20年期(以上)美國公債單日反向1倍指數</t>
  </si>
  <si>
    <t>標普高盛黃豆ER指數</t>
  </si>
  <si>
    <t>臺灣證券交易所公司治理100指數</t>
  </si>
  <si>
    <t>MSCI中國指數</t>
  </si>
  <si>
    <t>標普日圓期貨日報酬正向2倍ER指數</t>
  </si>
  <si>
    <t>標普日圓期貨日報酬反向1倍ER指數</t>
  </si>
  <si>
    <t>標普高盛黃金日報酬正向兩倍ER指數</t>
  </si>
  <si>
    <t>標普美元ER指數</t>
  </si>
  <si>
    <t>標普美元日報酬正向兩倍ER指數</t>
  </si>
  <si>
    <t>標普美元日報酬反向一倍ER指數</t>
  </si>
  <si>
    <t>ICE美國政府7-10年期債券指數</t>
  </si>
  <si>
    <t>恒生中國企業指數</t>
  </si>
  <si>
    <t>標普500低波動高股息指數</t>
  </si>
  <si>
    <t>富時發展歐洲指數</t>
  </si>
  <si>
    <t>彭博巴克萊1至5年期美元高收益債券(不含中國)發行量五億美元產業10%上限指數</t>
  </si>
  <si>
    <t>彭博巴克萊新興市場10年期以上美元投資等級債券(不含中國)國家10%上限指數</t>
  </si>
  <si>
    <t>富時NAREIT抵押權型不動產投資信託指數</t>
  </si>
  <si>
    <t>臺灣指數公司特選高股息低波動指數</t>
  </si>
  <si>
    <t>00715L</t>
    <phoneticPr fontId="0" type="noConversion"/>
  </si>
  <si>
    <t>00716R</t>
    <phoneticPr fontId="0" type="noConversion"/>
  </si>
  <si>
    <t>富邦台50</t>
  </si>
  <si>
    <t>富邦上証</t>
  </si>
  <si>
    <t>FH滬深</t>
  </si>
  <si>
    <t>國泰中國A50</t>
  </si>
  <si>
    <t>富邦深100</t>
  </si>
  <si>
    <t>群益深証中小</t>
  </si>
  <si>
    <t>富邦上証正2</t>
  </si>
  <si>
    <t>富邦上証反1</t>
  </si>
  <si>
    <t>國泰中國A50正2</t>
  </si>
  <si>
    <t>國泰中國A50反1</t>
  </si>
  <si>
    <t>富邦印度</t>
  </si>
  <si>
    <t>富邦印度正2</t>
  </si>
  <si>
    <t>富邦印度反1</t>
  </si>
  <si>
    <t>FH香港</t>
  </si>
  <si>
    <t>FH香港正2</t>
  </si>
  <si>
    <t>FH香港反1</t>
  </si>
  <si>
    <t>富邦日本正2</t>
  </si>
  <si>
    <t>富邦日本反1</t>
  </si>
  <si>
    <t>國泰日經225</t>
  </si>
  <si>
    <t>國泰日本正2</t>
  </si>
  <si>
    <t>國泰日本反1</t>
  </si>
  <si>
    <t>富邦NASDAQ</t>
  </si>
  <si>
    <t>富邦日本</t>
  </si>
  <si>
    <t>國泰臺灣加權正2</t>
  </si>
  <si>
    <t>國泰臺灣加權反1</t>
  </si>
  <si>
    <t>富邦H股正2</t>
  </si>
  <si>
    <t>富邦H股反1</t>
  </si>
  <si>
    <t>國泰美國道瓊</t>
  </si>
  <si>
    <t>國泰美國道瓊反1</t>
  </si>
  <si>
    <t>富邦臺灣加權正2</t>
  </si>
  <si>
    <t>富邦臺灣加權反1</t>
  </si>
  <si>
    <t>富邦VIX</t>
  </si>
  <si>
    <t>群益NBI生技</t>
  </si>
  <si>
    <t>富邦NASDAQ反1</t>
  </si>
  <si>
    <t>富邦NASDAQ正2</t>
  </si>
  <si>
    <t>群益臺灣加權正2</t>
  </si>
  <si>
    <t>群益臺灣加權反1</t>
  </si>
  <si>
    <t>兆豐藍籌30</t>
  </si>
  <si>
    <t>富邦公司治理</t>
  </si>
  <si>
    <t>富邦美債20年</t>
  </si>
  <si>
    <t>富邦H股</t>
  </si>
  <si>
    <t>富邦歐洲</t>
  </si>
  <si>
    <t>資產淨值API</t>
    <phoneticPr fontId="8" type="noConversion"/>
  </si>
  <si>
    <t>申購買回API</t>
    <phoneticPr fontId="8" type="noConversion"/>
  </si>
  <si>
    <t>網頁:</t>
  </si>
  <si>
    <t>83188:http://www.cam-hk.mdgms.com/iopv/nav.html?l=sc</t>
  </si>
  <si>
    <t>投信提供NAV:</t>
  </si>
  <si>
    <t>1.富邦網址:  http://websys.fsit.com.tw/fubonetf/TWSE/FubonRealtime.aspx</t>
  </si>
  <si>
    <t xml:space="preserve">   ETF: 006205、00625K、00639、00645、00652、00662</t>
  </si>
  <si>
    <t>2.復華網址: http://channel.ifund.com.tw/channel/data/etfInfo.ashx</t>
  </si>
  <si>
    <t xml:space="preserve">    ETF: 006207、00649</t>
  </si>
  <si>
    <t>3.元大網址: http://www.yuantaetfs.com/api/RtNav</t>
  </si>
  <si>
    <t xml:space="preserve">    ETF: 0061、006206、00646、00647L、00648R、00660、00661、00667、00679B</t>
  </si>
  <si>
    <t>4.國泰網址: https://www.cathaysite.com.tw/funds/etf/twse_inav.aspx</t>
  </si>
  <si>
    <t xml:space="preserve">   ETF: 00636、00668、00657</t>
  </si>
  <si>
    <t>5.群益網址: https://www.capitalfund.com.tw/ETFAPI/etf</t>
  </si>
  <si>
    <t xml:space="preserve">   ETF:00643、00643K、00678</t>
  </si>
  <si>
    <t>接投信提供WebAPI 的PCF自算淨值:</t>
  </si>
  <si>
    <t>1.富邦ETF:  00633L、00634R、00640L、00641R、00653L、00654R、00665L、00666R、00675L、00676R、00677U</t>
  </si>
  <si>
    <t xml:space="preserve">     網址:</t>
  </si>
  <si>
    <t>2.復華 ETF(網頁，未提供Werb API): 00650L、00651R</t>
  </si>
  <si>
    <t xml:space="preserve">    網址:</t>
  </si>
  <si>
    <t>http://www.fhtrust.com.tw/funds/fund_intro_ETF_pcf.asp?QueryFund=ETF03&amp;ShowDay=</t>
  </si>
  <si>
    <t>3.元大ETF: 00631L、00632R、00635U、00637L、00638R、00642U、00672L、00673R、00674R、00680L、00681R</t>
  </si>
  <si>
    <t xml:space="preserve">   非跨境網址:</t>
  </si>
  <si>
    <t xml:space="preserve">     </t>
  </si>
  <si>
    <t xml:space="preserve">    </t>
  </si>
  <si>
    <t>http://www.yuantaetfs.com/api/StkWeights?fundid=1116&amp;date=</t>
  </si>
  <si>
    <t>http://www.yuantaetfs.com/api/etfWeights?fundid=1116&amp;date=</t>
  </si>
  <si>
    <t>http://www.yuantaetfs.com/api/FutWeights?fundid=1116&amp;date=</t>
  </si>
  <si>
    <t xml:space="preserve">   跨境網址:</t>
  </si>
  <si>
    <t xml:space="preserve"> </t>
  </si>
  <si>
    <t>http://www.yuantaetfs.com/api/TodayPcd?etfid=00642U</t>
  </si>
  <si>
    <t>4.國泰ETF: 00655L、00656R、00658L、00659R、00663L、00664R、00669R</t>
  </si>
  <si>
    <t xml:space="preserve">  網址:</t>
  </si>
  <si>
    <t>https://www.cathaysite.com.tw/funds/etf/etf_ws.asmx 並以SOAPAction使用GetFundAssetsByStock 取得。</t>
  </si>
  <si>
    <t>5.元大ETF: 00690、00691R</t>
  </si>
  <si>
    <t>http://www.megafunds.com.tw/ETF/api/Orders/X001</t>
  </si>
  <si>
    <t>http://www.megafunds.com.tw/ETF/api/StkWeights/X001</t>
  </si>
  <si>
    <t>http://www.megafunds.com.tw/ETF/api/FutWeights/X001</t>
  </si>
  <si>
    <t>接投信提供WebAPI 的資產比例:</t>
  </si>
  <si>
    <t>http://www.yuantaetfs.com/api/PCF/get?etfid=00672l</t>
  </si>
  <si>
    <t>{"todaypcf":[{"cmEtfid":"00672L","iFundSize":5668766622.00,"iOsUnit":416687000.00,"iNav":13.6000}],"todaypcd":[{"cmEtfId":"00672L","cmObjId":"CL_201706","cmObjStockNos":4837.00,"cmCprice":46.4300000,"cpricedate":"20170508","crncy":"USD","exchange":30.16000000,"fx_date":"20170508","cm_obj_type":"Future","cm_obj_name":"輕原油","ratio":1.194861,"futures_date":"201706"},{"cmEtfId":"00672L","cmObjId":"CL_201707","cmObjStockNos":3199.00,"cmCprice":46.8400000,"cpricedate":"20170508","crncy":"USD","exchange":30.16000000,"fx_date":"20170508","cm_obj_type":"Future","cm_obj_name":"輕原油","ratio":0.797212,"futures_date":"201707"},{"cmEtfId":"00672L","cmObjId":"USD CASH","cmObjStockNos":45979278.28,"cmCprice":1.0000000,"cpricedate":"","crncy":"USD","exchange":30.16000000,"fx_date":"20170508","cm_obj_type":"Cash","cm_obj_name":"United States Dollar","ratio":0.253264,"futures_date":""}]}</t>
  </si>
  <si>
    <t>mObjStockNos":45979278.28,(美金現金部位)</t>
  </si>
  <si>
    <t>ratio:0.253264,"(美金現金比例)</t>
  </si>
  <si>
    <t>3188:  http://www.cam-hk.mdgms.com/iopv/nav.html?l=sc</t>
    <phoneticPr fontId="26" type="noConversion"/>
  </si>
  <si>
    <t>http://www.yuantaetfs.com/api/TodayPcf?etfid=00642U</t>
    <phoneticPr fontId="26" type="noConversion"/>
  </si>
  <si>
    <t>http://www.yuantaetfs.com/api/Orders?fundid=1116</t>
    <phoneticPr fontId="26" type="noConversion"/>
  </si>
  <si>
    <t>http://www.yuantaetfs.com/api/Orders?</t>
    <phoneticPr fontId="8" type="noConversion"/>
  </si>
  <si>
    <t>(查詢ETF代碼)</t>
    <phoneticPr fontId="8" type="noConversion"/>
  </si>
  <si>
    <t>元石油</t>
  </si>
  <si>
    <t>富邦美債1-3</t>
  </si>
  <si>
    <t>富邦美債7-10</t>
  </si>
  <si>
    <t>華頓標普高盛黃豆ER指數股票型期貨信託基金</t>
  </si>
  <si>
    <t>兆豐藍籌30反1</t>
  </si>
  <si>
    <t>台新MSCI中國基金</t>
  </si>
  <si>
    <t>台新MSCI台灣單日正向2倍基金</t>
  </si>
  <si>
    <t>元大投信</t>
    <phoneticPr fontId="26" type="noConversion"/>
  </si>
  <si>
    <t>証券代碼</t>
    <phoneticPr fontId="26" type="noConversion"/>
  </si>
  <si>
    <t>名稱</t>
    <phoneticPr fontId="26" type="noConversion"/>
  </si>
  <si>
    <t>淨值</t>
    <phoneticPr fontId="26" type="noConversion"/>
  </si>
  <si>
    <t>申購
手續費</t>
    <phoneticPr fontId="26" type="noConversion"/>
  </si>
  <si>
    <t>贖回
手續費</t>
    <phoneticPr fontId="26" type="noConversion"/>
  </si>
  <si>
    <t>取高者</t>
    <phoneticPr fontId="26" type="noConversion"/>
  </si>
  <si>
    <t>最高30萬台幣</t>
    <phoneticPr fontId="26" type="noConversion"/>
  </si>
  <si>
    <t>交割天期</t>
    <phoneticPr fontId="26" type="noConversion"/>
  </si>
  <si>
    <t>手續費率(%)</t>
    <phoneticPr fontId="26" type="noConversion"/>
  </si>
  <si>
    <t>申購交易費固定</t>
    <phoneticPr fontId="26" type="noConversion"/>
  </si>
  <si>
    <t>申購交易
費率(%)</t>
    <phoneticPr fontId="26" type="noConversion"/>
  </si>
  <si>
    <t>賣出
交易稅</t>
    <phoneticPr fontId="26" type="noConversion"/>
  </si>
  <si>
    <r>
      <rPr>
        <b/>
        <sz val="10"/>
        <color theme="1"/>
        <rFont val="微軟正黑體"/>
        <family val="2"/>
        <charset val="136"/>
      </rPr>
      <t>申購</t>
    </r>
    <r>
      <rPr>
        <b/>
        <sz val="10"/>
        <color theme="1"/>
        <rFont val="Arial"/>
        <family val="2"/>
      </rPr>
      <t>/</t>
    </r>
    <r>
      <rPr>
        <b/>
        <sz val="10"/>
        <color theme="1"/>
        <rFont val="微軟正黑體"/>
        <family val="2"/>
        <charset val="136"/>
      </rPr>
      <t>賣出
成本</t>
    </r>
    <phoneticPr fontId="26" type="noConversion"/>
  </si>
  <si>
    <t>贖回交易費</t>
    <phoneticPr fontId="26" type="noConversion"/>
  </si>
  <si>
    <t>贖回交易
費率(%)</t>
    <phoneticPr fontId="26" type="noConversion"/>
  </si>
  <si>
    <r>
      <rPr>
        <b/>
        <sz val="10"/>
        <color theme="1"/>
        <rFont val="微軟正黑體"/>
        <family val="2"/>
        <charset val="136"/>
      </rPr>
      <t>買進</t>
    </r>
    <r>
      <rPr>
        <b/>
        <sz val="10"/>
        <color theme="1"/>
        <rFont val="Arial"/>
        <family val="2"/>
      </rPr>
      <t>/</t>
    </r>
    <r>
      <rPr>
        <b/>
        <sz val="10"/>
        <color theme="1"/>
        <rFont val="微軟正黑體"/>
        <family val="2"/>
        <charset val="136"/>
      </rPr>
      <t>贖回
成本</t>
    </r>
    <phoneticPr fontId="26" type="noConversion"/>
  </si>
  <si>
    <t>經理費</t>
    <phoneticPr fontId="26" type="noConversion"/>
  </si>
  <si>
    <t>指數授權費(孰高者)</t>
    <phoneticPr fontId="26" type="noConversion"/>
  </si>
  <si>
    <t>保管費</t>
    <phoneticPr fontId="26" type="noConversion"/>
  </si>
  <si>
    <t>上市費</t>
    <phoneticPr fontId="26" type="noConversion"/>
  </si>
  <si>
    <t>sum</t>
    <phoneticPr fontId="26" type="noConversion"/>
  </si>
  <si>
    <t>召開受益人會議費用</t>
    <phoneticPr fontId="26" type="noConversion"/>
  </si>
  <si>
    <t>財務部資金成本</t>
    <phoneticPr fontId="26" type="noConversion"/>
  </si>
  <si>
    <t>借券成本</t>
    <phoneticPr fontId="26" type="noConversion"/>
  </si>
  <si>
    <t>申購ETF</t>
    <phoneticPr fontId="26" type="noConversion"/>
  </si>
  <si>
    <t>買回價金給付</t>
    <phoneticPr fontId="26" type="noConversion"/>
  </si>
  <si>
    <t>0055</t>
    <phoneticPr fontId="26" type="noConversion"/>
  </si>
  <si>
    <t>元大MSCI金融(實物)</t>
    <phoneticPr fontId="26" type="noConversion"/>
  </si>
  <si>
    <t>T+2</t>
    <phoneticPr fontId="26" type="noConversion"/>
  </si>
  <si>
    <t>0056</t>
    <phoneticPr fontId="26" type="noConversion"/>
  </si>
  <si>
    <t>元大高股息(實物)</t>
    <phoneticPr fontId="26" type="noConversion"/>
  </si>
  <si>
    <t>0050</t>
    <phoneticPr fontId="26" type="noConversion"/>
  </si>
  <si>
    <t>元大台灣50(實物)</t>
    <phoneticPr fontId="26" type="noConversion"/>
  </si>
  <si>
    <t>00631L</t>
    <phoneticPr fontId="26" type="noConversion"/>
  </si>
  <si>
    <t>00632R</t>
    <phoneticPr fontId="26" type="noConversion"/>
  </si>
  <si>
    <t>0061</t>
    <phoneticPr fontId="26" type="noConversion"/>
  </si>
  <si>
    <t>006206</t>
    <phoneticPr fontId="26" type="noConversion"/>
  </si>
  <si>
    <t>20萬人幣/0.04%</t>
    <phoneticPr fontId="26" type="noConversion"/>
  </si>
  <si>
    <t>00637L</t>
    <phoneticPr fontId="26" type="noConversion"/>
  </si>
  <si>
    <t>00638R</t>
    <phoneticPr fontId="26" type="noConversion"/>
  </si>
  <si>
    <t>00660</t>
    <phoneticPr fontId="26" type="noConversion"/>
  </si>
  <si>
    <t>2.5萬歐元/0.05%</t>
    <phoneticPr fontId="26" type="noConversion"/>
  </si>
  <si>
    <t>00661</t>
    <phoneticPr fontId="26" type="noConversion"/>
  </si>
  <si>
    <t>00667</t>
    <phoneticPr fontId="26" type="noConversion"/>
  </si>
  <si>
    <t>1000萬韓圜/0.03%</t>
    <phoneticPr fontId="26" type="noConversion"/>
  </si>
  <si>
    <t> 00646</t>
    <phoneticPr fontId="26" type="noConversion"/>
  </si>
  <si>
    <t>2.25萬美金/0.05%</t>
    <phoneticPr fontId="26" type="noConversion"/>
  </si>
  <si>
    <t> 00647L</t>
    <phoneticPr fontId="26" type="noConversion"/>
  </si>
  <si>
    <t>00648R</t>
    <phoneticPr fontId="26" type="noConversion"/>
  </si>
  <si>
    <t>00642U</t>
    <phoneticPr fontId="26" type="noConversion"/>
  </si>
  <si>
    <t>1.5萬美金/0.05%</t>
    <phoneticPr fontId="26" type="noConversion"/>
  </si>
  <si>
    <t>00672L</t>
    <phoneticPr fontId="26" type="noConversion"/>
  </si>
  <si>
    <t>元石油正2</t>
    <phoneticPr fontId="26" type="noConversion"/>
  </si>
  <si>
    <t>00673R</t>
    <phoneticPr fontId="26" type="noConversion"/>
  </si>
  <si>
    <t>元石油反1</t>
    <phoneticPr fontId="26" type="noConversion"/>
  </si>
  <si>
    <t>00635U</t>
    <phoneticPr fontId="26" type="noConversion"/>
  </si>
  <si>
    <t>元黃金</t>
    <phoneticPr fontId="26" type="noConversion"/>
  </si>
  <si>
    <t>00708L</t>
    <phoneticPr fontId="26" type="noConversion"/>
  </si>
  <si>
    <t>元黃金正2</t>
    <phoneticPr fontId="26" type="noConversion"/>
  </si>
  <si>
    <t>00674R</t>
    <phoneticPr fontId="26" type="noConversion"/>
  </si>
  <si>
    <t>元黃金反1</t>
    <phoneticPr fontId="26" type="noConversion"/>
  </si>
  <si>
    <t>00682U</t>
    <phoneticPr fontId="26" type="noConversion"/>
  </si>
  <si>
    <t>元大美元指數</t>
    <phoneticPr fontId="26" type="noConversion"/>
  </si>
  <si>
    <t>00683L</t>
    <phoneticPr fontId="26" type="noConversion"/>
  </si>
  <si>
    <t>元大美元指正2</t>
    <phoneticPr fontId="26" type="noConversion"/>
  </si>
  <si>
    <t>00684R</t>
    <phoneticPr fontId="26" type="noConversion"/>
  </si>
  <si>
    <t>元大美元指反1</t>
    <phoneticPr fontId="26" type="noConversion"/>
  </si>
  <si>
    <t>00706L</t>
    <phoneticPr fontId="26" type="noConversion"/>
  </si>
  <si>
    <t>元大日圓正2</t>
    <phoneticPr fontId="26" type="noConversion"/>
  </si>
  <si>
    <t>1.5萬美金/0.08%</t>
    <phoneticPr fontId="26" type="noConversion"/>
  </si>
  <si>
    <t>00707R</t>
    <phoneticPr fontId="26" type="noConversion"/>
  </si>
  <si>
    <t>元大日圓反1</t>
    <phoneticPr fontId="26" type="noConversion"/>
  </si>
  <si>
    <t>元大美債20年以上</t>
    <phoneticPr fontId="26" type="noConversion"/>
  </si>
  <si>
    <t>1.5萬美金/0.03%</t>
    <phoneticPr fontId="26" type="noConversion"/>
  </si>
  <si>
    <t>元大美債20年正2</t>
    <phoneticPr fontId="26" type="noConversion"/>
  </si>
  <si>
    <t>2.0萬美金/0.04%</t>
    <phoneticPr fontId="26" type="noConversion"/>
  </si>
  <si>
    <t>元大美債20年反1</t>
    <phoneticPr fontId="26" type="noConversion"/>
  </si>
  <si>
    <t>元大美債7-10年</t>
    <phoneticPr fontId="26" type="noConversion"/>
  </si>
  <si>
    <t>元大美債7-10年正2</t>
    <phoneticPr fontId="26" type="noConversion"/>
  </si>
  <si>
    <t>元大美債7-10年反1</t>
    <phoneticPr fontId="26" type="noConversion"/>
  </si>
  <si>
    <t>富邦投信</t>
    <phoneticPr fontId="26" type="noConversion"/>
  </si>
  <si>
    <t>証券代碼</t>
    <phoneticPr fontId="26" type="noConversion"/>
  </si>
  <si>
    <t>00677U</t>
    <phoneticPr fontId="26" type="noConversion"/>
  </si>
  <si>
    <t>25000美金/0.1%</t>
    <phoneticPr fontId="26" type="noConversion"/>
  </si>
  <si>
    <t>006208</t>
    <phoneticPr fontId="26" type="noConversion"/>
  </si>
  <si>
    <t>00692</t>
    <phoneticPr fontId="26" type="noConversion"/>
  </si>
  <si>
    <t>40萬台幣/0.02%</t>
    <phoneticPr fontId="26" type="noConversion"/>
  </si>
  <si>
    <t>00675L</t>
    <phoneticPr fontId="26" type="noConversion"/>
  </si>
  <si>
    <t>00676R</t>
    <phoneticPr fontId="26" type="noConversion"/>
  </si>
  <si>
    <t>006205</t>
    <phoneticPr fontId="26" type="noConversion"/>
  </si>
  <si>
    <t>10萬人幣/0.04%</t>
    <phoneticPr fontId="26" type="noConversion"/>
  </si>
  <si>
    <t>00633L</t>
    <phoneticPr fontId="26" type="noConversion"/>
  </si>
  <si>
    <t>00634R</t>
    <phoneticPr fontId="26" type="noConversion"/>
  </si>
  <si>
    <t>00639</t>
    <phoneticPr fontId="26" type="noConversion"/>
  </si>
  <si>
    <t>20萬人幣</t>
    <phoneticPr fontId="26" type="noConversion"/>
  </si>
  <si>
    <t>00700</t>
    <phoneticPr fontId="26" type="noConversion"/>
  </si>
  <si>
    <t>10萬港幣/0.04%</t>
    <phoneticPr fontId="26" type="noConversion"/>
  </si>
  <si>
    <t>00665L</t>
    <phoneticPr fontId="26" type="noConversion"/>
  </si>
  <si>
    <t>10萬港幣/0.05%</t>
  </si>
  <si>
    <t>00666R</t>
    <phoneticPr fontId="26" type="noConversion"/>
  </si>
  <si>
    <t>10萬港幣/0.06%</t>
  </si>
  <si>
    <t>00645</t>
    <phoneticPr fontId="26" type="noConversion"/>
  </si>
  <si>
    <t>50萬日幣/0.03%</t>
    <phoneticPr fontId="26" type="noConversion"/>
  </si>
  <si>
    <t>00640L</t>
    <phoneticPr fontId="26" type="noConversion"/>
  </si>
  <si>
    <t>50萬日幣/0.06%</t>
    <phoneticPr fontId="26" type="noConversion"/>
  </si>
  <si>
    <t>00641R</t>
    <phoneticPr fontId="26" type="noConversion"/>
  </si>
  <si>
    <t>00652</t>
    <phoneticPr fontId="26" type="noConversion"/>
  </si>
  <si>
    <t>15000美元/0.05%</t>
    <phoneticPr fontId="26" type="noConversion"/>
  </si>
  <si>
    <t>00653L</t>
    <phoneticPr fontId="26" type="noConversion"/>
  </si>
  <si>
    <t>00654R</t>
    <phoneticPr fontId="26" type="noConversion"/>
  </si>
  <si>
    <t>00662</t>
    <phoneticPr fontId="26" type="noConversion"/>
  </si>
  <si>
    <t>40000美元/0.06%</t>
    <phoneticPr fontId="26" type="noConversion"/>
  </si>
  <si>
    <t>00670L</t>
    <phoneticPr fontId="26" type="noConversion"/>
  </si>
  <si>
    <t>10000美元/0.06%</t>
    <phoneticPr fontId="26" type="noConversion"/>
  </si>
  <si>
    <t>00671R</t>
    <phoneticPr fontId="26" type="noConversion"/>
  </si>
  <si>
    <t>00709</t>
    <phoneticPr fontId="26" type="noConversion"/>
  </si>
  <si>
    <t>0.02%-0.04%</t>
    <phoneticPr fontId="26" type="noConversion"/>
  </si>
  <si>
    <t>00694B</t>
    <phoneticPr fontId="26" type="noConversion"/>
  </si>
  <si>
    <t>3750美元/0.03%</t>
    <phoneticPr fontId="26" type="noConversion"/>
  </si>
  <si>
    <t>0.17-0.1%</t>
    <phoneticPr fontId="26" type="noConversion"/>
  </si>
  <si>
    <t>00695B</t>
    <phoneticPr fontId="26" type="noConversion"/>
  </si>
  <si>
    <t>0.17-0.2%</t>
  </si>
  <si>
    <t>00696B</t>
    <phoneticPr fontId="26" type="noConversion"/>
  </si>
  <si>
    <t>0.17-0.3%</t>
  </si>
  <si>
    <t>國泰投信</t>
    <phoneticPr fontId="26" type="noConversion"/>
  </si>
  <si>
    <t>指數授權費</t>
    <phoneticPr fontId="26" type="noConversion"/>
  </si>
  <si>
    <t>sum</t>
    <phoneticPr fontId="26" type="noConversion"/>
  </si>
  <si>
    <t>00663L</t>
    <phoneticPr fontId="26" type="noConversion"/>
  </si>
  <si>
    <t>40萬台幣/0.02%</t>
    <phoneticPr fontId="26" type="noConversion"/>
  </si>
  <si>
    <t>00664R</t>
    <phoneticPr fontId="26" type="noConversion"/>
  </si>
  <si>
    <t>00636</t>
    <phoneticPr fontId="26" type="noConversion"/>
  </si>
  <si>
    <t>00655L</t>
    <phoneticPr fontId="26" type="noConversion"/>
  </si>
  <si>
    <t>00656R</t>
    <phoneticPr fontId="26" type="noConversion"/>
  </si>
  <si>
    <t>00657</t>
    <phoneticPr fontId="26" type="noConversion"/>
  </si>
  <si>
    <t>00658L</t>
    <phoneticPr fontId="26" type="noConversion"/>
  </si>
  <si>
    <t>00659R</t>
    <phoneticPr fontId="26" type="noConversion"/>
  </si>
  <si>
    <t>00668</t>
    <phoneticPr fontId="26" type="noConversion"/>
  </si>
  <si>
    <t>2.25萬美金/0.05%</t>
    <phoneticPr fontId="26" type="noConversion"/>
  </si>
  <si>
    <t>00669R</t>
    <phoneticPr fontId="26" type="noConversion"/>
  </si>
  <si>
    <t>00687B</t>
    <phoneticPr fontId="26" type="noConversion"/>
  </si>
  <si>
    <t>國泰20年巴克萊美債</t>
    <phoneticPr fontId="26" type="noConversion"/>
  </si>
  <si>
    <t>00688L</t>
    <phoneticPr fontId="26" type="noConversion"/>
  </si>
  <si>
    <t>國泰20年巴克萊美債正2</t>
    <phoneticPr fontId="26" type="noConversion"/>
  </si>
  <si>
    <t>00689R</t>
    <phoneticPr fontId="26" type="noConversion"/>
  </si>
  <si>
    <t>國泰20年巴克萊美債反1</t>
    <phoneticPr fontId="26" type="noConversion"/>
  </si>
  <si>
    <t>00701</t>
    <phoneticPr fontId="26" type="noConversion"/>
  </si>
  <si>
    <t>國泰台灣低波30</t>
    <phoneticPr fontId="26" type="noConversion"/>
  </si>
  <si>
    <t>30萬台幣/0.0075%</t>
    <phoneticPr fontId="26" type="noConversion"/>
  </si>
  <si>
    <t>00702</t>
    <phoneticPr fontId="26" type="noConversion"/>
  </si>
  <si>
    <t>國泰標普低波高息</t>
    <phoneticPr fontId="26" type="noConversion"/>
  </si>
  <si>
    <t>2.0萬美金/0.05%</t>
    <phoneticPr fontId="26" type="noConversion"/>
  </si>
  <si>
    <t>復華投信</t>
    <phoneticPr fontId="26" type="noConversion"/>
  </si>
  <si>
    <t>20萬人幣/0.04%</t>
    <phoneticPr fontId="26" type="noConversion"/>
  </si>
  <si>
    <t>10萬港幣/0.04%</t>
    <phoneticPr fontId="26" type="noConversion"/>
  </si>
  <si>
    <t>註</t>
    <phoneticPr fontId="26" type="noConversion"/>
  </si>
  <si>
    <t>00710B</t>
    <phoneticPr fontId="26" type="noConversion"/>
  </si>
  <si>
    <t>FH彭博高收益債(1-5Y)</t>
    <phoneticPr fontId="26" type="noConversion"/>
  </si>
  <si>
    <t>5000張</t>
    <phoneticPr fontId="26" type="noConversion"/>
  </si>
  <si>
    <t>2萬美金/0.05%</t>
    <phoneticPr fontId="26" type="noConversion"/>
  </si>
  <si>
    <t>00711B</t>
    <phoneticPr fontId="26" type="noConversion"/>
  </si>
  <si>
    <t>FH彭博新興債(10Y)</t>
    <phoneticPr fontId="26" type="noConversion"/>
  </si>
  <si>
    <t>00712</t>
    <phoneticPr fontId="26" type="noConversion"/>
  </si>
  <si>
    <t>FH富時不動產(REITs)</t>
    <phoneticPr fontId="26" type="noConversion"/>
  </si>
  <si>
    <t>群益投信</t>
    <phoneticPr fontId="26" type="noConversion"/>
  </si>
  <si>
    <t>20萬人幣/0.05%</t>
    <phoneticPr fontId="26" type="noConversion"/>
  </si>
  <si>
    <t>2萬美金/0.06%</t>
    <phoneticPr fontId="26" type="noConversion"/>
  </si>
  <si>
    <t>華頓投信</t>
    <phoneticPr fontId="26" type="noConversion"/>
  </si>
  <si>
    <t>00693U</t>
    <phoneticPr fontId="26" type="noConversion"/>
  </si>
  <si>
    <t>兆豐投信</t>
    <phoneticPr fontId="26" type="noConversion"/>
  </si>
  <si>
    <t>30萬台幣+AUM*0.03%</t>
    <phoneticPr fontId="26" type="noConversion"/>
  </si>
  <si>
    <t>30萬台幣+AUM*0.04%</t>
    <phoneticPr fontId="26" type="noConversion"/>
  </si>
  <si>
    <t>台新投信</t>
    <phoneticPr fontId="26" type="noConversion"/>
  </si>
  <si>
    <t>1萬美金+AUM*0.0175%</t>
    <phoneticPr fontId="26" type="noConversion"/>
  </si>
  <si>
    <t>3600美金+AUM*0.015%</t>
    <phoneticPr fontId="26" type="noConversion"/>
  </si>
  <si>
    <t>V_INDEX</t>
    <phoneticPr fontId="28" type="noConversion"/>
  </si>
  <si>
    <t>8:45要收到資料，沒的話，請看Server上的EstimatedIndexSource排程</t>
    <phoneticPr fontId="28" type="noConversion"/>
  </si>
  <si>
    <t>Index</t>
    <phoneticPr fontId="28" type="noConversion"/>
  </si>
  <si>
    <t>MSCITW</t>
    <phoneticPr fontId="28" type="noConversion"/>
  </si>
  <si>
    <t>TSE26</t>
    <phoneticPr fontId="28" type="noConversion"/>
  </si>
  <si>
    <t>TSE13</t>
    <phoneticPr fontId="28" type="noConversion"/>
  </si>
  <si>
    <t>TSE33</t>
    <phoneticPr fontId="28" type="noConversion"/>
  </si>
  <si>
    <t>TSE00</t>
    <phoneticPr fontId="28" type="noConversion"/>
  </si>
  <si>
    <t>檢核</t>
    <phoneticPr fontId="28" type="noConversion"/>
  </si>
  <si>
    <t>DataSource</t>
    <phoneticPr fontId="28" type="noConversion"/>
  </si>
  <si>
    <t>ModifyTime</t>
    <phoneticPr fontId="28" type="noConversion"/>
  </si>
  <si>
    <t>Exchange</t>
    <phoneticPr fontId="28" type="noConversion"/>
  </si>
  <si>
    <t>EnvID</t>
    <phoneticPr fontId="28" type="noConversion"/>
  </si>
  <si>
    <t>Bid</t>
    <phoneticPr fontId="28" type="noConversion"/>
  </si>
  <si>
    <t>Ask</t>
    <phoneticPr fontId="28" type="noConversion"/>
  </si>
  <si>
    <t>Time</t>
    <phoneticPr fontId="28" type="noConversion"/>
  </si>
  <si>
    <t>TimeDiff</t>
    <phoneticPr fontId="28" type="noConversion"/>
  </si>
  <si>
    <t>商品資訊</t>
    <phoneticPr fontId="28" type="noConversion"/>
  </si>
  <si>
    <t>SGX</t>
    <phoneticPr fontId="28" type="noConversion"/>
  </si>
  <si>
    <t>QuoteAPI</t>
    <phoneticPr fontId="28" type="noConversion"/>
  </si>
  <si>
    <t>9:00要收到資料，沒的話要看Server上的排程QuoteAPISource是否有正常執行</t>
    <phoneticPr fontId="28" type="noConversion"/>
  </si>
  <si>
    <t>9:30要收到資料，沒的話要看Server上的排程QuoteAPISource是否有正常執行</t>
    <phoneticPr fontId="28" type="noConversion"/>
  </si>
  <si>
    <t>JPX</t>
    <phoneticPr fontId="28" type="noConversion"/>
  </si>
  <si>
    <t>NYMEX</t>
    <phoneticPr fontId="28" type="noConversion"/>
  </si>
  <si>
    <t>Estimated Index(自算淨值)</t>
    <phoneticPr fontId="28" type="noConversion"/>
  </si>
  <si>
    <t>月份</t>
    <phoneticPr fontId="8" type="noConversion"/>
  </si>
  <si>
    <t>代碼</t>
    <phoneticPr fontId="8" type="noConversion"/>
  </si>
  <si>
    <t>1</t>
    <phoneticPr fontId="8" type="noConversion"/>
  </si>
  <si>
    <t>2</t>
    <phoneticPr fontId="8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</si>
  <si>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</si>
  <si>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</si>
  <si>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</si>
  <si>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</si>
  <si>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</si>
  <si>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</si>
  <si>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</si>
  <si>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</si>
  <si>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</si>
  <si>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</si>
  <si>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F</t>
    <phoneticPr fontId="8" type="noConversion"/>
  </si>
  <si>
    <t>G</t>
    <phoneticPr fontId="8" type="noConversion"/>
  </si>
  <si>
    <t>H</t>
    <phoneticPr fontId="8" type="noConversion"/>
  </si>
  <si>
    <t>J</t>
    <phoneticPr fontId="8" type="noConversion"/>
  </si>
  <si>
    <t>K</t>
    <phoneticPr fontId="8" type="noConversion"/>
  </si>
  <si>
    <t>M</t>
    <phoneticPr fontId="8" type="noConversion"/>
  </si>
  <si>
    <t>N</t>
    <phoneticPr fontId="8" type="noConversion"/>
  </si>
  <si>
    <t>Q</t>
    <phoneticPr fontId="8" type="noConversion"/>
  </si>
  <si>
    <t>U</t>
    <phoneticPr fontId="8" type="noConversion"/>
  </si>
  <si>
    <t>V</t>
    <phoneticPr fontId="8" type="noConversion"/>
  </si>
  <si>
    <t>X</t>
    <phoneticPr fontId="8" type="noConversion"/>
  </si>
  <si>
    <t>Z</t>
    <phoneticPr fontId="8" type="noConversion"/>
  </si>
  <si>
    <t>HKEX</t>
    <phoneticPr fontId="28" type="noConversion"/>
  </si>
  <si>
    <t>Reference(昨收)</t>
    <phoneticPr fontId="28" type="noConversion"/>
  </si>
  <si>
    <t>CBOT</t>
    <phoneticPr fontId="28" type="noConversion"/>
  </si>
  <si>
    <t>超長債</t>
    <phoneticPr fontId="8" type="noConversion"/>
  </si>
  <si>
    <t>10年債</t>
    <phoneticPr fontId="8" type="noConversion"/>
  </si>
  <si>
    <t>10年債</t>
    <phoneticPr fontId="8" type="noConversion"/>
  </si>
  <si>
    <t>CME</t>
    <phoneticPr fontId="28" type="noConversion"/>
  </si>
  <si>
    <t>CME</t>
    <phoneticPr fontId="28" type="noConversion"/>
  </si>
  <si>
    <t>CME</t>
    <phoneticPr fontId="28" type="noConversion"/>
  </si>
  <si>
    <t>NYBOT</t>
    <phoneticPr fontId="28" type="noConversion"/>
  </si>
  <si>
    <t>遠月石油</t>
    <phoneticPr fontId="8" type="noConversion"/>
  </si>
  <si>
    <t>CFE</t>
    <phoneticPr fontId="8" type="noConversion"/>
  </si>
  <si>
    <t>日圓</t>
    <phoneticPr fontId="8" type="noConversion"/>
  </si>
  <si>
    <t>東證</t>
    <phoneticPr fontId="8" type="noConversion"/>
  </si>
  <si>
    <t>東證</t>
    <phoneticPr fontId="8" type="noConversion"/>
  </si>
  <si>
    <t>日經</t>
    <phoneticPr fontId="8" type="noConversion"/>
  </si>
  <si>
    <t>日經</t>
    <phoneticPr fontId="8" type="noConversion"/>
  </si>
  <si>
    <t>006204</t>
    <phoneticPr fontId="8" type="noConversion"/>
  </si>
  <si>
    <t>永豐台灣加權</t>
    <phoneticPr fontId="8" type="noConversion"/>
  </si>
  <si>
    <t>(http://sitc.sinopac.com/newweb/sitcFundUnitPurchase/getTradeinfo.do?stock_id=37)，</t>
    <phoneticPr fontId="8" type="noConversion"/>
  </si>
  <si>
    <t>FITF*2</t>
  </si>
  <si>
    <t>CN-V17</t>
    <phoneticPr fontId="28" type="noConversion"/>
  </si>
  <si>
    <t>SGX</t>
    <phoneticPr fontId="28" type="noConversion"/>
  </si>
  <si>
    <t>Master</t>
    <phoneticPr fontId="28" type="noConversion"/>
  </si>
  <si>
    <t>交易所</t>
    <phoneticPr fontId="0" type="noConversion"/>
  </si>
  <si>
    <t>Server</t>
    <phoneticPr fontId="0" type="noConversion"/>
  </si>
  <si>
    <t>月份</t>
    <phoneticPr fontId="8" type="noConversion"/>
  </si>
  <si>
    <t>1</t>
    <phoneticPr fontId="8" type="noConversion"/>
  </si>
  <si>
    <t>2</t>
    <phoneticPr fontId="8" type="noConversion"/>
  </si>
  <si>
    <t>代碼</t>
    <phoneticPr fontId="8" type="noConversion"/>
  </si>
  <si>
    <t>F</t>
    <phoneticPr fontId="8" type="noConversion"/>
  </si>
  <si>
    <t>G</t>
    <phoneticPr fontId="8" type="noConversion"/>
  </si>
  <si>
    <t>H</t>
    <phoneticPr fontId="8" type="noConversion"/>
  </si>
  <si>
    <t>J</t>
    <phoneticPr fontId="8" type="noConversion"/>
  </si>
  <si>
    <t>K</t>
    <phoneticPr fontId="8" type="noConversion"/>
  </si>
  <si>
    <t>M</t>
    <phoneticPr fontId="8" type="noConversion"/>
  </si>
  <si>
    <t>N</t>
    <phoneticPr fontId="8" type="noConversion"/>
  </si>
  <si>
    <t>Q</t>
    <phoneticPr fontId="8" type="noConversion"/>
  </si>
  <si>
    <t>U</t>
    <phoneticPr fontId="8" type="noConversion"/>
  </si>
  <si>
    <t>V</t>
    <phoneticPr fontId="8" type="noConversion"/>
  </si>
  <si>
    <t>X</t>
    <phoneticPr fontId="8" type="noConversion"/>
  </si>
  <si>
    <t>Z</t>
    <phoneticPr fontId="8" type="noConversion"/>
  </si>
  <si>
    <t>CN-X17</t>
    <phoneticPr fontId="28" type="noConversion"/>
  </si>
  <si>
    <t>A50期_10</t>
    <phoneticPr fontId="0" type="noConversion"/>
  </si>
  <si>
    <t>A50期_11</t>
    <phoneticPr fontId="0" type="noConversion"/>
  </si>
  <si>
    <t>標普高盛布蘭特原油日報酬正向兩倍ER指數</t>
  </si>
  <si>
    <t>標普高盛布蘭特原油日報酬反向一倍ER指數</t>
  </si>
  <si>
    <t>30億元(含)以下：0.12%30億元~50億元(含)：0.0850億元以上0.07%</t>
  </si>
  <si>
    <t>30億元(含)以下：0.10%30億元~50億元(含)：0.07%50億元以上0.06%</t>
  </si>
  <si>
    <t>30億元(含)以下：0.20%30億元~200億元(含)：0.12%200億元以上：0.10%</t>
  </si>
  <si>
    <t>30億元(含)以下：0.10%30億元~200億元(含)：0.07%200億元以上：0.06%</t>
  </si>
  <si>
    <t>20億元(含)以下0.50%；20億元-50億元(含)以下0.40%；50億元以上0.30%</t>
  </si>
  <si>
    <t>現金(USD)</t>
    <phoneticPr fontId="8" type="noConversion"/>
  </si>
  <si>
    <t>600000 CH</t>
  </si>
  <si>
    <t>600016 CH</t>
  </si>
  <si>
    <t>600028 CH</t>
  </si>
  <si>
    <t>600029 CH</t>
  </si>
  <si>
    <t>600030 CH</t>
  </si>
  <si>
    <t>600036 CH</t>
  </si>
  <si>
    <t>600048 CH</t>
  </si>
  <si>
    <t>600050 CH</t>
  </si>
  <si>
    <t>600019 CH</t>
  </si>
  <si>
    <t>600104 CH</t>
  </si>
  <si>
    <t>600340 CH</t>
  </si>
  <si>
    <t>600485 CH</t>
  </si>
  <si>
    <t>600519 CH</t>
  </si>
  <si>
    <t>600837 CH</t>
  </si>
  <si>
    <t>600887 CH</t>
  </si>
  <si>
    <t>601088 CH</t>
  </si>
  <si>
    <t>601166 CH</t>
  </si>
  <si>
    <t>601186 CH</t>
  </si>
  <si>
    <t>601211 CH</t>
  </si>
  <si>
    <t>601229 CH</t>
  </si>
  <si>
    <t>601288 CH</t>
  </si>
  <si>
    <t>601318 CH</t>
  </si>
  <si>
    <t>601328 CH</t>
  </si>
  <si>
    <t>601336 CH</t>
  </si>
  <si>
    <t>601390 CH</t>
  </si>
  <si>
    <t>601398 CH</t>
  </si>
  <si>
    <t>601601 CH</t>
  </si>
  <si>
    <t>601628 CH</t>
  </si>
  <si>
    <t>601668 CH</t>
  </si>
  <si>
    <t>601688 CH</t>
  </si>
  <si>
    <t>601766 CH</t>
  </si>
  <si>
    <t>601800 CH</t>
  </si>
  <si>
    <t>601818 CH</t>
  </si>
  <si>
    <t>601857 CH</t>
  </si>
  <si>
    <t>603993 CH</t>
  </si>
  <si>
    <t>601988 CH</t>
  </si>
  <si>
    <t>601989 CH</t>
  </si>
  <si>
    <t>2019追蹤指數中文名稱</t>
    <phoneticPr fontId="0" type="noConversion"/>
  </si>
  <si>
    <t>恒生國企槓桿指數</t>
  </si>
  <si>
    <t>恒生國企短倉指數</t>
  </si>
  <si>
    <t>30億(含)以下：0.50%30億(不含)以上，200億(含)以下：0.20%200億(不含)以上，300億(含)以下：0.14%300億(不含)以上：0.13%</t>
  </si>
  <si>
    <t>富時美國政府債券1-3年期指數</t>
  </si>
  <si>
    <t>富時美國政府債券7-10年期指數</t>
  </si>
  <si>
    <t>富時美國政府債券20年期以上指數</t>
  </si>
  <si>
    <t>低波動股利精選30指數</t>
  </si>
  <si>
    <t>國巨</t>
  </si>
  <si>
    <t>日月光投控</t>
  </si>
  <si>
    <t>上海商銀</t>
  </si>
  <si>
    <t>豐泰</t>
  </si>
  <si>
    <t>2019交易手續費費率</t>
    <phoneticPr fontId="0" type="noConversion"/>
  </si>
  <si>
    <t>2019管理費(%)</t>
    <phoneticPr fontId="0" type="noConversion"/>
  </si>
  <si>
    <t>2019保管費(%)</t>
    <phoneticPr fontId="0" type="noConversion"/>
  </si>
  <si>
    <t>IDC54</t>
  </si>
  <si>
    <t>TW-V19</t>
  </si>
  <si>
    <t>TW-X19</t>
  </si>
  <si>
    <t>TW-Z19</t>
  </si>
  <si>
    <t>CN-V19</t>
  </si>
  <si>
    <t>CN-X19</t>
  </si>
  <si>
    <t>CN-Z19</t>
  </si>
  <si>
    <t>NK-V19</t>
  </si>
  <si>
    <t>NK-X19</t>
  </si>
  <si>
    <t>NK-Z19</t>
  </si>
  <si>
    <t>IN-V19</t>
  </si>
  <si>
    <t>IN-X19</t>
  </si>
  <si>
    <t>IN-Z19</t>
  </si>
  <si>
    <t>HSI-V19</t>
  </si>
  <si>
    <t>HSI-X19</t>
  </si>
  <si>
    <t>HSI-Z19</t>
  </si>
  <si>
    <t>HHI-V19</t>
  </si>
  <si>
    <t>HHI-X19</t>
  </si>
  <si>
    <t>HHI-Z19</t>
  </si>
  <si>
    <t>UB-Z19</t>
  </si>
  <si>
    <t>YM-Z19</t>
  </si>
  <si>
    <t>ES-Z19</t>
  </si>
  <si>
    <t>NQ-Z19</t>
  </si>
  <si>
    <t>6J-V19</t>
  </si>
  <si>
    <t>6J-X19</t>
  </si>
  <si>
    <t>6J-Z19</t>
  </si>
  <si>
    <t>DX-Z19</t>
  </si>
  <si>
    <t>CL-X19</t>
  </si>
  <si>
    <t>CL-Z19</t>
  </si>
  <si>
    <t>GC-X19</t>
  </si>
  <si>
    <t>GC-Z19</t>
  </si>
  <si>
    <t>VX-V19</t>
  </si>
  <si>
    <t>VX-X19</t>
  </si>
  <si>
    <t>VX-Z19</t>
  </si>
  <si>
    <t>TOPIX-Z19</t>
  </si>
  <si>
    <t>NK225-Z19</t>
  </si>
  <si>
    <t>UB-H19</t>
  </si>
  <si>
    <t>YM-H19</t>
  </si>
  <si>
    <t>ES-H19</t>
  </si>
  <si>
    <t>NQ-H19</t>
  </si>
  <si>
    <t>DX-H19</t>
  </si>
  <si>
    <t>CL-F19</t>
  </si>
  <si>
    <t>GC-G19</t>
  </si>
  <si>
    <t>TOPIXM-H19</t>
  </si>
  <si>
    <t>NK225-H19</t>
  </si>
  <si>
    <t>表格欄位/代號種類^=^S^;^週期編號^=^D^;^AllCMenuIDs^=^M002^;^是否轉置^=^False^;^檢視方式^=^2^;^AllFields^=^收盤價^;^MainTable^=^^;^ListType^=^^;^SelectDate^=^TOP 1^;^SelectCMenuID^=^M002^;^SelectDate種類^=^1^;^AllFieldsNO^=^^;^自訂欄位公式^=^^;^自訂欄位Where條件^=^^;^多期數值處理方式^=^1^;^多欄指定個股方式^=^^;^多欄指定個股^=^^;^多欄指定群組名稱^=^^;^欄位顯示狀態^=^1^;^欄位轉換日期方式^=^^;^欄位排序方式^=^^;^欄位採用各期最新^=^^;^樣本表系統定義全部代號^=^^;^單項目比較欄位^=^^;^單項目比較欄位編號^=^^;^表格類型^=^</t>
  </si>
  <si>
    <t>日收盤表排行.收盤價/每一期/最近/1/遞增/日//</t>
  </si>
  <si>
    <t>1101</t>
  </si>
  <si>
    <t>1102</t>
  </si>
  <si>
    <t>1210</t>
  </si>
  <si>
    <t>1216</t>
  </si>
  <si>
    <t>1227</t>
  </si>
  <si>
    <t>1229</t>
  </si>
  <si>
    <t>1301</t>
  </si>
  <si>
    <t>1303</t>
  </si>
  <si>
    <t>1314</t>
  </si>
  <si>
    <t>1319</t>
  </si>
  <si>
    <t>1326</t>
  </si>
  <si>
    <t>1402</t>
  </si>
  <si>
    <t>1434</t>
  </si>
  <si>
    <t>1476</t>
  </si>
  <si>
    <t>1477</t>
  </si>
  <si>
    <t>1504</t>
  </si>
  <si>
    <t>1507</t>
  </si>
  <si>
    <t>1536</t>
  </si>
  <si>
    <t>1590</t>
  </si>
  <si>
    <t>1605</t>
  </si>
  <si>
    <t>1707</t>
  </si>
  <si>
    <t>1722</t>
  </si>
  <si>
    <t>1723</t>
  </si>
  <si>
    <t>1802</t>
  </si>
  <si>
    <t>2002</t>
  </si>
  <si>
    <t>2027</t>
  </si>
  <si>
    <t>2049</t>
  </si>
  <si>
    <t>2059</t>
  </si>
  <si>
    <t>2101</t>
  </si>
  <si>
    <t>2103</t>
  </si>
  <si>
    <t>2104</t>
  </si>
  <si>
    <t>2105</t>
  </si>
  <si>
    <t>2201</t>
  </si>
  <si>
    <t>2204</t>
  </si>
  <si>
    <t>2207</t>
  </si>
  <si>
    <t>2227</t>
  </si>
  <si>
    <t>2231</t>
  </si>
  <si>
    <t>2301</t>
  </si>
  <si>
    <t>2303</t>
  </si>
  <si>
    <t>2308</t>
  </si>
  <si>
    <t>2313</t>
  </si>
  <si>
    <t>2317</t>
  </si>
  <si>
    <t>2324</t>
  </si>
  <si>
    <t>2327</t>
  </si>
  <si>
    <t>2330</t>
  </si>
  <si>
    <t>2337</t>
  </si>
  <si>
    <t>2344</t>
  </si>
  <si>
    <t>2345</t>
  </si>
  <si>
    <t>2347</t>
  </si>
  <si>
    <t>2352</t>
  </si>
  <si>
    <t>2353</t>
  </si>
  <si>
    <t>2354</t>
  </si>
  <si>
    <t>2356</t>
  </si>
  <si>
    <t>2357</t>
  </si>
  <si>
    <t>2360</t>
  </si>
  <si>
    <t>2371</t>
  </si>
  <si>
    <t>2376</t>
  </si>
  <si>
    <t>2377</t>
  </si>
  <si>
    <t>2379</t>
  </si>
  <si>
    <t>2382</t>
  </si>
  <si>
    <t>2383</t>
  </si>
  <si>
    <t>2385</t>
  </si>
  <si>
    <t>2395</t>
  </si>
  <si>
    <t>2408</t>
  </si>
  <si>
    <t>2409</t>
  </si>
  <si>
    <t>2412</t>
  </si>
  <si>
    <t>2439</t>
  </si>
  <si>
    <t>2441</t>
  </si>
  <si>
    <t>2448</t>
  </si>
  <si>
    <t>2449</t>
  </si>
  <si>
    <t>2451</t>
  </si>
  <si>
    <t>2454</t>
  </si>
  <si>
    <t>2474</t>
  </si>
  <si>
    <t>2492</t>
  </si>
  <si>
    <t>2498</t>
  </si>
  <si>
    <t>2501</t>
  </si>
  <si>
    <t>2542</t>
  </si>
  <si>
    <t>2603</t>
  </si>
  <si>
    <t>2606</t>
  </si>
  <si>
    <t>2610</t>
  </si>
  <si>
    <t>2615</t>
  </si>
  <si>
    <t>2618</t>
  </si>
  <si>
    <t>2633</t>
  </si>
  <si>
    <t>2723</t>
  </si>
  <si>
    <t>2801</t>
  </si>
  <si>
    <t>2809</t>
  </si>
  <si>
    <t>2812</t>
  </si>
  <si>
    <t>2823</t>
  </si>
  <si>
    <t>2834</t>
  </si>
  <si>
    <t>2845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</si>
  <si>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</si>
  <si>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</si>
  <si>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</si>
  <si>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</si>
  <si>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</si>
  <si>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</si>
  <si>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</si>
  <si>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</si>
  <si>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</si>
  <si>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</si>
  <si>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</si>
  <si>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</si>
  <si>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</si>
  <si>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</si>
  <si>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2912</t>
  </si>
  <si>
    <t>2915</t>
  </si>
  <si>
    <t>3005</t>
  </si>
  <si>
    <t>3008</t>
  </si>
  <si>
    <t>3034</t>
  </si>
  <si>
    <t>3037</t>
  </si>
  <si>
    <t>3044</t>
  </si>
  <si>
    <t>3045</t>
  </si>
  <si>
    <t>3231</t>
  </si>
  <si>
    <t>3406</t>
  </si>
  <si>
    <t>3443</t>
  </si>
  <si>
    <t>3481</t>
  </si>
  <si>
    <t>3532</t>
  </si>
  <si>
    <t>3682</t>
  </si>
  <si>
    <t>3702</t>
  </si>
  <si>
    <t>3706</t>
  </si>
  <si>
    <t>3711</t>
  </si>
  <si>
    <t>4904</t>
  </si>
  <si>
    <t>4938</t>
  </si>
  <si>
    <t>4958</t>
  </si>
  <si>
    <t>5269</t>
  </si>
  <si>
    <t>5522</t>
  </si>
  <si>
    <t>5534</t>
  </si>
  <si>
    <t>5871</t>
  </si>
  <si>
    <t>5876</t>
  </si>
  <si>
    <t>5880</t>
  </si>
  <si>
    <t>6176</t>
  </si>
  <si>
    <t>6239</t>
  </si>
  <si>
    <t>6269</t>
  </si>
  <si>
    <t>6285</t>
  </si>
  <si>
    <t>6409</t>
  </si>
  <si>
    <t>6415</t>
  </si>
  <si>
    <t>6456</t>
  </si>
  <si>
    <t>6505</t>
  </si>
  <si>
    <t>6669</t>
  </si>
  <si>
    <t>8341</t>
  </si>
  <si>
    <t>8454</t>
  </si>
  <si>
    <t>8464</t>
  </si>
  <si>
    <t>9904</t>
  </si>
  <si>
    <t>9910</t>
  </si>
  <si>
    <t>9914</t>
  </si>
  <si>
    <t>9917</t>
  </si>
  <si>
    <t>9921</t>
  </si>
  <si>
    <t>9933</t>
  </si>
  <si>
    <t>9941</t>
  </si>
  <si>
    <t>9945</t>
  </si>
  <si>
    <t>00636K</t>
  </si>
  <si>
    <t>00643K</t>
  </si>
  <si>
    <t>00657K</t>
  </si>
  <si>
    <t>00668K</t>
  </si>
  <si>
    <t>00706L</t>
  </si>
  <si>
    <t>00707R</t>
  </si>
  <si>
    <t>00708L</t>
  </si>
  <si>
    <t>00713</t>
  </si>
  <si>
    <t>00714</t>
  </si>
  <si>
    <t>00715L</t>
  </si>
  <si>
    <t>00716R</t>
  </si>
  <si>
    <t>00717</t>
  </si>
  <si>
    <t>00718B</t>
  </si>
  <si>
    <t>00719B</t>
  </si>
  <si>
    <t>00720B</t>
  </si>
  <si>
    <t>00721B</t>
  </si>
  <si>
    <t>00722B</t>
  </si>
  <si>
    <t>00723B</t>
  </si>
  <si>
    <t>00724B</t>
  </si>
  <si>
    <t>00725B</t>
  </si>
  <si>
    <t>00726B</t>
  </si>
  <si>
    <t>00727B</t>
  </si>
  <si>
    <t>00728</t>
  </si>
  <si>
    <t>00730</t>
  </si>
  <si>
    <t>00731</t>
  </si>
  <si>
    <t>00732</t>
  </si>
  <si>
    <t>00733</t>
  </si>
  <si>
    <t>00734B</t>
  </si>
  <si>
    <t>00735</t>
  </si>
  <si>
    <t>00736</t>
  </si>
  <si>
    <t>00737</t>
  </si>
  <si>
    <t>00738U</t>
  </si>
  <si>
    <t>00739</t>
  </si>
  <si>
    <t>00740B</t>
  </si>
  <si>
    <t>00741B</t>
  </si>
  <si>
    <t>00742</t>
  </si>
  <si>
    <t>00743</t>
  </si>
  <si>
    <t>00744B</t>
  </si>
  <si>
    <t>00745B</t>
  </si>
  <si>
    <t>00746B</t>
  </si>
  <si>
    <t>00747B</t>
  </si>
  <si>
    <t>00748B</t>
  </si>
  <si>
    <t>00749B</t>
  </si>
  <si>
    <t>00750B</t>
  </si>
  <si>
    <t>00751B</t>
  </si>
  <si>
    <t>00752</t>
  </si>
  <si>
    <t>00753L</t>
  </si>
  <si>
    <t>00754B</t>
  </si>
  <si>
    <t>00755B</t>
  </si>
  <si>
    <t>00756B</t>
  </si>
  <si>
    <t>00757</t>
  </si>
  <si>
    <t>00758B</t>
  </si>
  <si>
    <t>00759B</t>
  </si>
  <si>
    <t>00760B</t>
  </si>
  <si>
    <t>00761B</t>
  </si>
  <si>
    <t>00762</t>
  </si>
  <si>
    <t>00763U</t>
  </si>
  <si>
    <t>00764B</t>
  </si>
  <si>
    <t>00765B</t>
  </si>
  <si>
    <t>00766L</t>
  </si>
  <si>
    <t>00767</t>
  </si>
  <si>
    <t>00768B</t>
  </si>
  <si>
    <t>00769B</t>
  </si>
  <si>
    <t>00770</t>
  </si>
  <si>
    <t>00771</t>
  </si>
  <si>
    <t>00772B</t>
  </si>
  <si>
    <t>00773B</t>
  </si>
  <si>
    <t>00774B</t>
  </si>
  <si>
    <t>00775B</t>
  </si>
  <si>
    <t>00776</t>
  </si>
  <si>
    <t>00777B</t>
  </si>
  <si>
    <t>00778B</t>
  </si>
  <si>
    <t>00779B</t>
  </si>
  <si>
    <t>00780B</t>
  </si>
  <si>
    <t>00781B</t>
  </si>
  <si>
    <t>00782B</t>
  </si>
  <si>
    <t>00783</t>
  </si>
  <si>
    <t>00784B</t>
  </si>
  <si>
    <t>00785B</t>
  </si>
  <si>
    <t>00786B</t>
  </si>
  <si>
    <t>00787B</t>
  </si>
  <si>
    <t>00788B</t>
  </si>
  <si>
    <t>00789B</t>
  </si>
  <si>
    <t>00790B</t>
  </si>
  <si>
    <t>00791B</t>
  </si>
  <si>
    <t>00792B</t>
  </si>
  <si>
    <t>00793B</t>
  </si>
  <si>
    <t>00794B</t>
  </si>
  <si>
    <t>00795B</t>
  </si>
  <si>
    <t>00796B</t>
  </si>
  <si>
    <t>00797B</t>
  </si>
  <si>
    <t>00798B</t>
  </si>
  <si>
    <t>00799B</t>
  </si>
  <si>
    <t>00830</t>
  </si>
  <si>
    <t>00831B</t>
  </si>
  <si>
    <t>00832B</t>
  </si>
  <si>
    <t>00833B</t>
  </si>
  <si>
    <t>00834B</t>
  </si>
  <si>
    <t>00835B</t>
  </si>
  <si>
    <t>00836B</t>
  </si>
  <si>
    <t>00837B</t>
  </si>
  <si>
    <t>00838B</t>
  </si>
  <si>
    <t>00839B</t>
  </si>
  <si>
    <t>00840B</t>
  </si>
  <si>
    <t>00841B</t>
  </si>
  <si>
    <t>00842B</t>
  </si>
  <si>
    <t>元大中型100</t>
    <phoneticPr fontId="8" type="noConversion"/>
  </si>
  <si>
    <t>富邦科技</t>
    <phoneticPr fontId="8" type="noConversion"/>
  </si>
  <si>
    <t>元大台商50</t>
    <phoneticPr fontId="8" type="noConversion"/>
  </si>
  <si>
    <t>富邦摩台</t>
    <phoneticPr fontId="8" type="noConversion"/>
  </si>
  <si>
    <t>富邦金融</t>
    <phoneticPr fontId="8" type="noConversion"/>
  </si>
  <si>
    <t>元大寶滬深</t>
    <phoneticPr fontId="8" type="noConversion"/>
  </si>
  <si>
    <t>元大富櫃50</t>
    <phoneticPr fontId="8" type="noConversion"/>
  </si>
  <si>
    <t>元大MSCI台灣</t>
    <phoneticPr fontId="8" type="noConversion"/>
  </si>
  <si>
    <t>永豐臺灣加權</t>
    <phoneticPr fontId="8" type="noConversion"/>
  </si>
  <si>
    <t>富邦上証</t>
    <phoneticPr fontId="8" type="noConversion"/>
  </si>
  <si>
    <t>富邦台50</t>
    <phoneticPr fontId="8" type="noConversion"/>
  </si>
  <si>
    <t>富邦上証正2</t>
    <phoneticPr fontId="8" type="noConversion"/>
  </si>
  <si>
    <t>元大S&amp;P黃金</t>
    <phoneticPr fontId="8" type="noConversion"/>
  </si>
  <si>
    <t>國泰中國A50</t>
    <phoneticPr fontId="8" type="noConversion"/>
  </si>
  <si>
    <t>元大滬深300反1</t>
    <phoneticPr fontId="8" type="noConversion"/>
  </si>
  <si>
    <t>富邦深100</t>
    <phoneticPr fontId="8" type="noConversion"/>
  </si>
  <si>
    <t>富邦日本正2</t>
    <phoneticPr fontId="8" type="noConversion"/>
  </si>
  <si>
    <t>元大S&amp;P石油</t>
    <phoneticPr fontId="8" type="noConversion"/>
  </si>
  <si>
    <t>群益深証中小</t>
    <phoneticPr fontId="8" type="noConversion"/>
  </si>
  <si>
    <t>富邦日本</t>
    <phoneticPr fontId="8" type="noConversion"/>
  </si>
  <si>
    <t>元大S&amp;P500</t>
    <phoneticPr fontId="8" type="noConversion"/>
  </si>
  <si>
    <t>元大S&amp;P500反1</t>
    <phoneticPr fontId="8" type="noConversion"/>
  </si>
  <si>
    <t>富邦印度</t>
    <phoneticPr fontId="8" type="noConversion"/>
  </si>
  <si>
    <t>國泰中國A50正2</t>
    <phoneticPr fontId="8" type="noConversion"/>
  </si>
  <si>
    <t>國泰中國A50反1</t>
    <phoneticPr fontId="8" type="noConversion"/>
  </si>
  <si>
    <t>國泰日經225+U</t>
    <phoneticPr fontId="8" type="noConversion"/>
  </si>
  <si>
    <t>國泰日本反1</t>
    <phoneticPr fontId="8" type="noConversion"/>
  </si>
  <si>
    <t>元大日經225</t>
    <phoneticPr fontId="8" type="noConversion"/>
  </si>
  <si>
    <t>富邦NASDAQ</t>
    <phoneticPr fontId="8" type="noConversion"/>
  </si>
  <si>
    <t>國泰臺灣加權正2</t>
    <phoneticPr fontId="8" type="noConversion"/>
  </si>
  <si>
    <t>富邦恒生國企反1</t>
    <phoneticPr fontId="8" type="noConversion"/>
  </si>
  <si>
    <t>國泰美國道瓊+U</t>
    <phoneticPr fontId="8" type="noConversion"/>
  </si>
  <si>
    <t>富邦NASDAQ反1</t>
    <phoneticPr fontId="8" type="noConversion"/>
  </si>
  <si>
    <t>元大S&amp;P原油正2</t>
    <phoneticPr fontId="8" type="noConversion"/>
  </si>
  <si>
    <t>元大S&amp;P黃金反1</t>
    <phoneticPr fontId="8" type="noConversion"/>
  </si>
  <si>
    <t>富邦臺灣加權正2</t>
    <phoneticPr fontId="8" type="noConversion"/>
  </si>
  <si>
    <t>富邦臺灣加權反1</t>
    <phoneticPr fontId="8" type="noConversion"/>
  </si>
  <si>
    <t>富邦VIX</t>
    <phoneticPr fontId="8" type="noConversion"/>
  </si>
  <si>
    <t>元大美元指數反1</t>
    <phoneticPr fontId="8" type="noConversion"/>
  </si>
  <si>
    <t>群益臺灣加權反1</t>
    <phoneticPr fontId="8" type="noConversion"/>
  </si>
  <si>
    <t>國泰20年美債正2</t>
    <phoneticPr fontId="8" type="noConversion"/>
  </si>
  <si>
    <t>兆豐藍籌30</t>
    <phoneticPr fontId="8" type="noConversion"/>
  </si>
  <si>
    <t>富邦公司治理</t>
    <phoneticPr fontId="8" type="noConversion"/>
  </si>
  <si>
    <t>華頓S&amp;P黃豆</t>
    <phoneticPr fontId="8" type="noConversion"/>
  </si>
  <si>
    <t>富邦美債1-3年</t>
    <phoneticPr fontId="8" type="noConversion"/>
  </si>
  <si>
    <t>國泰臺灣低波動30</t>
    <phoneticPr fontId="8" type="noConversion"/>
  </si>
  <si>
    <t>富邦歐洲</t>
    <phoneticPr fontId="8" type="noConversion"/>
  </si>
  <si>
    <t>FH彭博新興債</t>
    <phoneticPr fontId="8" type="noConversion"/>
  </si>
  <si>
    <t>FH富時不動產</t>
    <phoneticPr fontId="8" type="noConversion"/>
  </si>
  <si>
    <t>元大台灣高息低波</t>
    <phoneticPr fontId="8" type="noConversion"/>
  </si>
  <si>
    <t>富邦美國特別股</t>
    <phoneticPr fontId="8" type="noConversion"/>
  </si>
  <si>
    <t>富邦中國政策債</t>
    <phoneticPr fontId="8" type="noConversion"/>
  </si>
  <si>
    <t>元大投資級公司債</t>
    <phoneticPr fontId="8" type="noConversion"/>
  </si>
  <si>
    <t>群益15年IG科技債</t>
    <phoneticPr fontId="8" type="noConversion"/>
  </si>
  <si>
    <t>群益10年IG金融債</t>
    <phoneticPr fontId="8" type="noConversion"/>
  </si>
  <si>
    <t>國泰5Y+新興債</t>
    <phoneticPr fontId="8" type="noConversion"/>
  </si>
  <si>
    <t>國泰1-5Y高收債</t>
    <phoneticPr fontId="8" type="noConversion"/>
  </si>
  <si>
    <t>富邦臺灣優質高息</t>
    <phoneticPr fontId="8" type="noConversion"/>
  </si>
  <si>
    <t>FH富時高息低波</t>
    <phoneticPr fontId="8" type="noConversion"/>
  </si>
  <si>
    <t>台新JPM新興債</t>
    <phoneticPr fontId="8" type="noConversion"/>
  </si>
  <si>
    <t>元大MSCI A股</t>
    <phoneticPr fontId="8" type="noConversion"/>
  </si>
  <si>
    <t>富邦A級公司債</t>
    <phoneticPr fontId="8" type="noConversion"/>
  </si>
  <si>
    <t>中信中國50</t>
    <phoneticPr fontId="8" type="noConversion"/>
  </si>
  <si>
    <t>國泰A級公司債</t>
    <phoneticPr fontId="8" type="noConversion"/>
  </si>
  <si>
    <t>元大全球AI</t>
    <phoneticPr fontId="8" type="noConversion"/>
  </si>
  <si>
    <t>FH中國信用債</t>
    <phoneticPr fontId="8" type="noConversion"/>
  </si>
  <si>
    <t>國泰A級科技債</t>
    <phoneticPr fontId="8" type="noConversion"/>
  </si>
  <si>
    <t>第一金美債20+</t>
    <phoneticPr fontId="8" type="noConversion"/>
  </si>
  <si>
    <t>永豐15年金融債</t>
    <phoneticPr fontId="8" type="noConversion"/>
  </si>
  <si>
    <t>昨收</t>
    <phoneticPr fontId="8" type="noConversion"/>
  </si>
  <si>
    <t>Bid1</t>
  </si>
  <si>
    <t>Ask1</t>
  </si>
  <si>
    <t>表格欄位/代號種類^=^S^;^週期編號^=^D^;^AllCMenuIDs^=^M707,M707,M707,M707,M707,M707,M707,M707,M707,M707,M707,M707,M707,M707,M707,M707,M707,M707,M707^;^是否轉置^=^False^;^檢視方式^=^2^;^AllFields^=^日期,每受益權單位淨資產價值(元),基金淨資產價值(千),基金淨資產價值增減(千),已發行受益權單位總數(千),與前日已發行單位差異數(千),已發行受益權單位總數(含加掛ETF)(千),與前日已發行單位差異數(含加掛ETF)(千),每申購／買回基數之受益權單位數(千),每申購／買回基數約當淨值(元),每申購／買回基數約當市值(元),每申購／買回基數估計現金差額(元),每申購／買回基數實際現金差額(元),每申購基數之預收申購總價金(元),每申購基數之實際申購總價金(元),每申購基數總價金差異額(元),可供申購申請額度(基數額),預收申購總價金(元),預估發行受益權單位數^;^MainTable^=^^;^ListType^=^^;^SelectDate^=^TOP 1|TOP 1|TOP 1|TOP 1|TOP 1|TOP 1|TOP 1|TOP 1|TOP 1|TOP 1|TOP 1|TOP 1|TOP 1|TOP 1|TOP 1|TOP 1|TOP 1|TOP 1|TOP 1^;^SelectCMenuID^=^M707^;^SelectDate種類^=^1|1|1|1|1|1|1|1|1|1|1|1|1|1|1|1|1|1|1^;^AllFieldsNO^=^,,,,,,,,,,,,,,,,,,^;^自訂欄位公式^=^||||||||||||||||||^;^自訂欄位Where條件^=^||||||||||||||||||^;^多期數值處理方式^=^1|1|1|1|1|1|1|1|1|1|1|1|1|1|1|1|1|1|1^;^多欄指定個股方式^=^^;^多欄指定個股^=^^;^多欄指定群組名稱^=^^;^欄位顯示狀態^=^1|1|1|1|1|1|1|1|1|1|1|1|1|1|1|1|1|1|1^;^欄位轉換日期方式^=^||||||||||||||||||^;^欄位排序方式^=^||||||||||||||||||^;^欄位採用各期最新^=^1|1|1|1|1|1|1|1|1|1|1|1|1|1|1|1|1|1|1^;^樣本表系統定義全部代號^=^^;^單項目比較欄位^=^^;^單項目比較欄位編號^=^^;^表格類型^=^</t>
  </si>
  <si>
    <t>ETF申購買回清單.日期/每一期/最近/1/遞增/日//最新</t>
  </si>
  <si>
    <t>ETF申購買回清單.每受益權單位淨資產價值(元)/每一期/最近/1/遞增/日//最新</t>
  </si>
  <si>
    <t>ETF申購買回清單.基金淨資產價值(千)/每一期/最近/1/遞增/日//最新</t>
  </si>
  <si>
    <t>ETF申購買回清單.基金淨資產價值增減(千)/每一期/最近/1/遞增/日//最新</t>
  </si>
  <si>
    <t>ETF申購買回清單.已發行受益權單位總數(千)/每一期/最近/1/遞增/日//最新</t>
  </si>
  <si>
    <t>ETF申購買回清單.與前日已發行單位差異數(千)/每一期/最近/1/遞增/日//最新</t>
  </si>
  <si>
    <t>ETF申購買回清單.已發行受益權單位總數(含加掛ETF)(千)/每一期/最近/1/遞增/日//最新</t>
  </si>
  <si>
    <t>ETF申購買回清單.與前日已發行單位差異數(含加掛ETF)(千)/每一期/最近/1/遞增/日//最新</t>
  </si>
  <si>
    <t>ETF申購買回清單.每申購／買回基數約當淨值(元)/每一期/最近/1/遞增/日//最新</t>
  </si>
  <si>
    <t>ETF申購買回清單.每申購／買回基數實際現金差額(元)/每一期/最近/1/遞增/日//最新</t>
  </si>
  <si>
    <t>ETF申購買回清單.每申購基數之預收申購總價金(元)/每一期/最近/1/遞增/日//最新</t>
  </si>
  <si>
    <t>ETF申購買回清單.每申購基數總價金差異額(元)/每一期/最近/1/遞增/日//最新</t>
  </si>
  <si>
    <t>ETF申購買回清單.可供申購申請額度(基數額)/每一期/最近/1/遞增/日//最新</t>
  </si>
  <si>
    <t>ETF申購買回清單.預收申購總價金(元)/每一期/最近/1/遞增/日//最新</t>
  </si>
  <si>
    <t>ETF申購買回清單.預估發行受益權單位數/每一期/最近/1/遞增/日//最新</t>
  </si>
  <si>
    <t>20190711各代號最新一期日期</t>
  </si>
  <si>
    <t>20190711各代號最新一期每受益權單位淨資產價值(元)</t>
  </si>
  <si>
    <t>20190711各代號最新一期基金淨資產價值(千)</t>
  </si>
  <si>
    <t>20190711各代號最新一期基金淨資產價值增減(千)</t>
  </si>
  <si>
    <t>20190711各代號最新一期已發行受益權單位總數(千)</t>
  </si>
  <si>
    <t>20190711各代號最新一期與前日已發行單位差異數(千)</t>
  </si>
  <si>
    <t>20190711各代號最新一期已發行受益權單位總數(含加掛ETF)(千)</t>
  </si>
  <si>
    <t>20190711各代號最新一期與前日已發行單位差異數(含加掛ETF)(千)</t>
  </si>
  <si>
    <t>20190711各代號最新一期每申購／買回基數之受益權單位數(千)</t>
  </si>
  <si>
    <t>20190711各代號最新一期每申購／買回基數約當淨值(元)</t>
  </si>
  <si>
    <t>20190711各代號最新一期每申購／買回基數約當市值(元)</t>
  </si>
  <si>
    <t>20190711各代號最新一期每申購／買回基數估計現金差額(元)</t>
  </si>
  <si>
    <t>20190711各代號最新一期每申購／買回基數實際現金差額(元)</t>
  </si>
  <si>
    <t>20190711各代號最新一期每申購基數之預收申購總價金(元)</t>
  </si>
  <si>
    <t>20190711各代號最新一期每申購基數之實際申購總價金(元)</t>
  </si>
  <si>
    <t>20190711各代號最新一期每申購基數總價金差異額(元)</t>
  </si>
  <si>
    <t>20190711各代號最新一期可供申購申請額度(基數額)</t>
  </si>
  <si>
    <t>20190711各代號最新一期預收申購總價金(元)</t>
  </si>
  <si>
    <t>20190711各代號最新一期預估發行受益權單位數</t>
  </si>
  <si>
    <t>富邦科技</t>
  </si>
  <si>
    <t>富邦摩台</t>
  </si>
  <si>
    <t>富邦發達</t>
  </si>
  <si>
    <t>富邦金融</t>
  </si>
  <si>
    <t>永豐臺灣加權</t>
  </si>
  <si>
    <t>富邦上証+R</t>
  </si>
  <si>
    <t>國泰中國A50+U</t>
  </si>
  <si>
    <t>群益深証中小+R</t>
  </si>
  <si>
    <t>國泰日經225+U</t>
  </si>
  <si>
    <t>富邦恒生國企正2</t>
  </si>
  <si>
    <t>富邦恒生國企反1</t>
  </si>
  <si>
    <t>國泰美國道瓊+U</t>
  </si>
  <si>
    <t>國泰20年美債</t>
  </si>
  <si>
    <t>國泰20年美債正2</t>
  </si>
  <si>
    <t>國泰20年美債反1</t>
  </si>
  <si>
    <t>兆豐藍籌30反一</t>
  </si>
  <si>
    <t>華頓S&amp;P黃豆</t>
  </si>
  <si>
    <t>富邦美債1-3年</t>
  </si>
  <si>
    <t>富邦美債7-10年</t>
  </si>
  <si>
    <t>富邦恆生國企</t>
  </si>
  <si>
    <t>國泰臺灣低波動30</t>
  </si>
  <si>
    <t>國泰標普低波高息</t>
  </si>
  <si>
    <t>台新MSCI中國</t>
  </si>
  <si>
    <t>元大S&amp;P日圓正2</t>
  </si>
  <si>
    <t>元大S&amp;P日圓反1</t>
  </si>
  <si>
    <t>元大S&amp;P黃金正2</t>
  </si>
  <si>
    <t>FH彭博高收益債</t>
  </si>
  <si>
    <t>FH彭博新興債</t>
  </si>
  <si>
    <t>FH富時不動產</t>
  </si>
  <si>
    <t>元大台灣高息低波</t>
  </si>
  <si>
    <t>群益道瓊美國地產</t>
  </si>
  <si>
    <t>華頓S&amp;P布蘭特正2</t>
  </si>
  <si>
    <t>華頓S&amp;P布蘭特反1</t>
  </si>
  <si>
    <t>富邦美國特別股</t>
  </si>
  <si>
    <t>富邦中國政策債</t>
  </si>
  <si>
    <t>元大美債1-3</t>
  </si>
  <si>
    <t>元大投資級公司債</t>
  </si>
  <si>
    <t>元大中國債3-5</t>
  </si>
  <si>
    <t>群益15年IG電信債</t>
  </si>
  <si>
    <t>群益15年IG科技債</t>
  </si>
  <si>
    <t>群益10年IG金融債</t>
  </si>
  <si>
    <t>國泰投資級公司債</t>
  </si>
  <si>
    <t>國泰5Y+新興債</t>
  </si>
  <si>
    <t>國泰1-5Y高收債</t>
  </si>
  <si>
    <t>第一金工業30</t>
  </si>
  <si>
    <t>富邦臺灣優質高息</t>
  </si>
  <si>
    <t>FH富時高息低波</t>
  </si>
  <si>
    <t>國泰RMB短期報酬</t>
  </si>
  <si>
    <t>富邦臺灣中小</t>
  </si>
  <si>
    <t>台新JPM新興債</t>
  </si>
  <si>
    <t>國泰臺韓科技</t>
  </si>
  <si>
    <t>國泰新興市場</t>
  </si>
  <si>
    <t>國泰AI+ROBO</t>
  </si>
  <si>
    <t>元大道瓊白銀</t>
  </si>
  <si>
    <t>元大MSCI A股</t>
  </si>
  <si>
    <t>富邦全球投等債</t>
  </si>
  <si>
    <t>富邦全球高收債</t>
  </si>
  <si>
    <t>新光內需收益</t>
  </si>
  <si>
    <t>國泰中國A150</t>
  </si>
  <si>
    <t>國泰中國政金債5+</t>
  </si>
  <si>
    <t>富邦中政債0-1</t>
  </si>
  <si>
    <t>富邦A級公司債</t>
  </si>
  <si>
    <t>FH中國政策債</t>
  </si>
  <si>
    <t>凱基中國債3-10</t>
  </si>
  <si>
    <t>凱基新興債10+</t>
  </si>
  <si>
    <t>凱基科技債10+</t>
  </si>
  <si>
    <t>元大AAA至A公司債</t>
  </si>
  <si>
    <t>中信中國50</t>
  </si>
  <si>
    <t>中信中國50正2</t>
  </si>
  <si>
    <t>群益AAA-AA公司債</t>
  </si>
  <si>
    <t>群益15年IG公用債</t>
  </si>
  <si>
    <t>群益15年EM主權債</t>
  </si>
  <si>
    <t>統一FANG+</t>
  </si>
  <si>
    <t>FH能源債</t>
  </si>
  <si>
    <t>FH製藥債</t>
  </si>
  <si>
    <t>FH新興企業債</t>
  </si>
  <si>
    <t>國泰A級公司債</t>
  </si>
  <si>
    <t>元大全球AI</t>
  </si>
  <si>
    <t>國票道瓊銅</t>
  </si>
  <si>
    <t>群益25年美債</t>
  </si>
  <si>
    <t>群益中國政金債</t>
  </si>
  <si>
    <t>台新MSCI中國正2</t>
  </si>
  <si>
    <t>FH美國金融股</t>
  </si>
  <si>
    <t>FH20年美債</t>
  </si>
  <si>
    <t>FH中國信用債</t>
  </si>
  <si>
    <t>國泰北美科技</t>
  </si>
  <si>
    <t>元大US高息特別股</t>
  </si>
  <si>
    <t>中信高評級公司債</t>
  </si>
  <si>
    <t>中信優先金融債</t>
  </si>
  <si>
    <t>新光中國政金綠債</t>
  </si>
  <si>
    <t>新光投等債15+</t>
  </si>
  <si>
    <t>新光ICE美國權值</t>
  </si>
  <si>
    <t>凱基AAA至A公司債</t>
  </si>
  <si>
    <t>凱基金融債20+</t>
  </si>
  <si>
    <t>凱基美債25+</t>
  </si>
  <si>
    <t>國泰A級金融債</t>
  </si>
  <si>
    <t>國泰A級科技債</t>
  </si>
  <si>
    <t>國泰A級公用債</t>
  </si>
  <si>
    <t>富邦中証500</t>
  </si>
  <si>
    <t>富邦中國投等債</t>
  </si>
  <si>
    <t>富邦金融投等債</t>
  </si>
  <si>
    <t>元大10年IG銀行債</t>
  </si>
  <si>
    <t>元大10年IG醫療債</t>
  </si>
  <si>
    <t>元大10年IG電能債</t>
  </si>
  <si>
    <t>FH公司債A3</t>
  </si>
  <si>
    <t>FH次順位IG金融債</t>
  </si>
  <si>
    <t>FH美元信用債1-5Y</t>
  </si>
  <si>
    <t>群益A級公司債</t>
  </si>
  <si>
    <t>群益AAA-A醫療債</t>
  </si>
  <si>
    <t>群益7+中國政金債</t>
  </si>
  <si>
    <t>中信美國公債20年</t>
  </si>
  <si>
    <t>中信中國債7-10</t>
  </si>
  <si>
    <t>中信中國美元IG債</t>
  </si>
  <si>
    <t>國泰中企A級債7+</t>
  </si>
  <si>
    <t>國泰A級醫療債</t>
  </si>
  <si>
    <t>BP上證50</t>
  </si>
  <si>
    <t>國泰費城半導體</t>
  </si>
  <si>
    <t>新光美債1-3</t>
  </si>
  <si>
    <t>新光美債20+</t>
  </si>
  <si>
    <t>第一金美債20+</t>
  </si>
  <si>
    <t>第一金金融債10+</t>
  </si>
  <si>
    <t>第一金科技債10+</t>
  </si>
  <si>
    <t>永豐10年A公司債</t>
  </si>
  <si>
    <t>永豐15年金融債</t>
  </si>
  <si>
    <t>永豐7-10年中國債</t>
  </si>
  <si>
    <t>凱基醫療保健債</t>
  </si>
  <si>
    <t>凱基IG精選15+</t>
  </si>
  <si>
    <t>凱基AAA-AA公司債</t>
  </si>
  <si>
    <t>台新美元銀行債</t>
  </si>
  <si>
    <t>元大台灣50</t>
    <phoneticPr fontId="0" type="noConversion"/>
  </si>
  <si>
    <t>元大中型100</t>
    <phoneticPr fontId="0" type="noConversion"/>
  </si>
  <si>
    <t>富邦科技</t>
    <phoneticPr fontId="0" type="noConversion"/>
  </si>
  <si>
    <t>元大電子</t>
    <phoneticPr fontId="0" type="noConversion"/>
  </si>
  <si>
    <t>元大台商50</t>
    <phoneticPr fontId="0" type="noConversion"/>
  </si>
  <si>
    <t>元大MSCI金融</t>
    <phoneticPr fontId="0" type="noConversion"/>
  </si>
  <si>
    <t>元大高股息</t>
    <phoneticPr fontId="0" type="noConversion"/>
  </si>
  <si>
    <t>富邦摩台</t>
    <phoneticPr fontId="0" type="noConversion"/>
  </si>
  <si>
    <t>富邦發達</t>
    <phoneticPr fontId="0" type="noConversion"/>
  </si>
  <si>
    <t>富邦金融</t>
    <phoneticPr fontId="0" type="noConversion"/>
  </si>
  <si>
    <t>元大寶滬深</t>
    <phoneticPr fontId="0" type="noConversion"/>
  </si>
  <si>
    <t>元大富櫃50</t>
    <phoneticPr fontId="0" type="noConversion"/>
  </si>
  <si>
    <t>元大MSCI台灣</t>
    <phoneticPr fontId="0" type="noConversion"/>
  </si>
  <si>
    <t>永豐臺灣加權</t>
    <phoneticPr fontId="0" type="noConversion"/>
  </si>
  <si>
    <t>富邦台50</t>
    <phoneticPr fontId="0" type="noConversion"/>
  </si>
  <si>
    <t>元大台灣50正2</t>
    <phoneticPr fontId="0" type="noConversion"/>
  </si>
  <si>
    <t>元大台灣50反1</t>
    <phoneticPr fontId="0" type="noConversion"/>
  </si>
  <si>
    <t>富邦上証</t>
    <phoneticPr fontId="0" type="noConversion"/>
  </si>
  <si>
    <t>元大上證50</t>
    <phoneticPr fontId="0" type="noConversion"/>
  </si>
  <si>
    <t>FH滬深</t>
    <phoneticPr fontId="0" type="noConversion"/>
  </si>
  <si>
    <t>國泰中國A50</t>
    <phoneticPr fontId="0" type="noConversion"/>
  </si>
  <si>
    <t>BP上證50</t>
    <phoneticPr fontId="0" type="noConversion"/>
  </si>
  <si>
    <t>富邦深100</t>
    <phoneticPr fontId="0" type="noConversion"/>
  </si>
  <si>
    <t>群益深証中小</t>
    <phoneticPr fontId="0" type="noConversion"/>
  </si>
  <si>
    <t>富邦上証正2</t>
    <phoneticPr fontId="0" type="noConversion"/>
  </si>
  <si>
    <t>富邦上証反1</t>
    <phoneticPr fontId="0" type="noConversion"/>
  </si>
  <si>
    <t>元大滬深300正2</t>
    <phoneticPr fontId="0" type="noConversion"/>
  </si>
  <si>
    <t>元大滬深300反1</t>
    <phoneticPr fontId="0" type="noConversion"/>
  </si>
  <si>
    <t>國泰中國A50正2</t>
    <phoneticPr fontId="0" type="noConversion"/>
  </si>
  <si>
    <t>國泰中國A50反1</t>
    <phoneticPr fontId="0" type="noConversion"/>
  </si>
  <si>
    <t>元大S&amp;P黃金</t>
    <phoneticPr fontId="0" type="noConversion"/>
  </si>
  <si>
    <t>元大S&amp;P石油</t>
    <phoneticPr fontId="0" type="noConversion"/>
  </si>
  <si>
    <t>元大S&amp;P500</t>
    <phoneticPr fontId="0" type="noConversion"/>
  </si>
  <si>
    <t>元大S&amp;P500正2</t>
    <phoneticPr fontId="0" type="noConversion"/>
  </si>
  <si>
    <t>元大S&amp;P500反1</t>
    <phoneticPr fontId="0" type="noConversion"/>
  </si>
  <si>
    <t>富邦印度</t>
    <phoneticPr fontId="0" type="noConversion"/>
  </si>
  <si>
    <t>富邦印度正2</t>
    <phoneticPr fontId="0" type="noConversion"/>
  </si>
  <si>
    <t>富邦印度反1</t>
    <phoneticPr fontId="0" type="noConversion"/>
  </si>
  <si>
    <t>FH香港</t>
    <phoneticPr fontId="0" type="noConversion"/>
  </si>
  <si>
    <t>FH香港正2</t>
    <phoneticPr fontId="0" type="noConversion"/>
  </si>
  <si>
    <t>FH香港反1</t>
    <phoneticPr fontId="0" type="noConversion"/>
  </si>
  <si>
    <t>富邦日本正2</t>
    <phoneticPr fontId="0" type="noConversion"/>
  </si>
  <si>
    <t>富邦日本反1</t>
    <phoneticPr fontId="0" type="noConversion"/>
  </si>
  <si>
    <t>國泰日經225</t>
    <phoneticPr fontId="0" type="noConversion"/>
  </si>
  <si>
    <t>國泰日本正2</t>
    <phoneticPr fontId="0" type="noConversion"/>
  </si>
  <si>
    <t>國泰日本反1</t>
    <phoneticPr fontId="0" type="noConversion"/>
  </si>
  <si>
    <t>元大歐洲50</t>
    <phoneticPr fontId="0" type="noConversion"/>
  </si>
  <si>
    <t>元大日經225</t>
    <phoneticPr fontId="0" type="noConversion"/>
  </si>
  <si>
    <t>富邦NASDAQ</t>
    <phoneticPr fontId="0" type="noConversion"/>
  </si>
  <si>
    <t>富邦日本</t>
    <phoneticPr fontId="0" type="noConversion"/>
  </si>
  <si>
    <t>富邦上証+R</t>
    <phoneticPr fontId="0" type="noConversion"/>
  </si>
  <si>
    <t>國泰臺灣加權正2</t>
    <phoneticPr fontId="0" type="noConversion"/>
  </si>
  <si>
    <t>國泰臺灣加權反1</t>
    <phoneticPr fontId="0" type="noConversion"/>
  </si>
  <si>
    <t>富邦恒生國企正2</t>
    <phoneticPr fontId="0" type="noConversion"/>
  </si>
  <si>
    <t>富邦恒生國企反1</t>
    <phoneticPr fontId="0" type="noConversion"/>
  </si>
  <si>
    <t>元大S&amp;P原油正2</t>
    <phoneticPr fontId="0" type="noConversion"/>
  </si>
  <si>
    <t>元大S&amp;P原油反1</t>
    <phoneticPr fontId="0" type="noConversion"/>
  </si>
  <si>
    <t>元大S&amp;P黃金反1</t>
    <phoneticPr fontId="0" type="noConversion"/>
  </si>
  <si>
    <t>國泰美國道瓊</t>
    <phoneticPr fontId="0" type="noConversion"/>
  </si>
  <si>
    <t>國泰美國道瓊反1</t>
    <phoneticPr fontId="0" type="noConversion"/>
  </si>
  <si>
    <t>富邦臺灣加權正2</t>
    <phoneticPr fontId="0" type="noConversion"/>
  </si>
  <si>
    <t>富邦臺灣加權反1</t>
    <phoneticPr fontId="0" type="noConversion"/>
  </si>
  <si>
    <t>富邦VIX</t>
    <phoneticPr fontId="0" type="noConversion"/>
  </si>
  <si>
    <t>群益NBI生技</t>
    <phoneticPr fontId="0" type="noConversion"/>
  </si>
  <si>
    <t>元大美債20年</t>
    <phoneticPr fontId="0" type="noConversion"/>
  </si>
  <si>
    <t>元大美債20正2</t>
    <phoneticPr fontId="0" type="noConversion"/>
  </si>
  <si>
    <t>元大美債20反1</t>
    <phoneticPr fontId="0" type="noConversion"/>
  </si>
  <si>
    <t>富邦NASDAQ反1</t>
    <phoneticPr fontId="0" type="noConversion"/>
  </si>
  <si>
    <t>富邦NASDAQ正2</t>
    <phoneticPr fontId="0" type="noConversion"/>
  </si>
  <si>
    <t>群益臺灣加權正2</t>
    <phoneticPr fontId="0" type="noConversion"/>
  </si>
  <si>
    <t>群益臺灣加權反1</t>
    <phoneticPr fontId="0" type="noConversion"/>
  </si>
  <si>
    <t>兆豐藍籌30反一</t>
    <phoneticPr fontId="0" type="noConversion"/>
  </si>
  <si>
    <t>兆豐藍籌30</t>
    <phoneticPr fontId="0" type="noConversion"/>
  </si>
  <si>
    <t>國泰20年美債</t>
    <phoneticPr fontId="0" type="noConversion"/>
  </si>
  <si>
    <t>國泰20年美債正2</t>
    <phoneticPr fontId="0" type="noConversion"/>
  </si>
  <si>
    <t>國泰20年美債反1</t>
    <phoneticPr fontId="0" type="noConversion"/>
  </si>
  <si>
    <t>華頓S&amp;P黃豆</t>
    <phoneticPr fontId="0" type="noConversion"/>
  </si>
  <si>
    <t>富邦公司治理</t>
    <phoneticPr fontId="0" type="noConversion"/>
  </si>
  <si>
    <t>台新MSCI中國</t>
    <phoneticPr fontId="0" type="noConversion"/>
  </si>
  <si>
    <t>元大S&amp;P日圓正2</t>
    <phoneticPr fontId="0" type="noConversion"/>
  </si>
  <si>
    <t>元大S&amp;P日圓反1</t>
    <phoneticPr fontId="0" type="noConversion"/>
  </si>
  <si>
    <t>元大S&amp;P黃金正2</t>
    <phoneticPr fontId="0" type="noConversion"/>
  </si>
  <si>
    <t>元大美元指數</t>
    <phoneticPr fontId="0" type="noConversion"/>
  </si>
  <si>
    <t>元大美元指數正2</t>
    <phoneticPr fontId="0" type="noConversion"/>
  </si>
  <si>
    <t>元大美元指數反1</t>
    <phoneticPr fontId="0" type="noConversion"/>
  </si>
  <si>
    <t>富邦美債1-3年</t>
    <phoneticPr fontId="0" type="noConversion"/>
  </si>
  <si>
    <t>富邦美債7-10年</t>
    <phoneticPr fontId="0" type="noConversion"/>
  </si>
  <si>
    <t>富邦美債20年</t>
    <phoneticPr fontId="0" type="noConversion"/>
  </si>
  <si>
    <t>元大美債7-10</t>
    <phoneticPr fontId="0" type="noConversion"/>
  </si>
  <si>
    <t>富邦恆生國企</t>
    <phoneticPr fontId="0" type="noConversion"/>
  </si>
  <si>
    <t>國泰臺灣低波動30</t>
    <phoneticPr fontId="0" type="noConversion"/>
  </si>
  <si>
    <t>國泰標普低波高息</t>
    <phoneticPr fontId="0" type="noConversion"/>
  </si>
  <si>
    <t>富邦歐洲</t>
    <phoneticPr fontId="0" type="noConversion"/>
  </si>
  <si>
    <t>FH彭博高收益債</t>
    <phoneticPr fontId="0" type="noConversion"/>
  </si>
  <si>
    <t>FH彭博新興債</t>
    <phoneticPr fontId="0" type="noConversion"/>
  </si>
  <si>
    <t>FH富時不動產</t>
    <phoneticPr fontId="0" type="noConversion"/>
  </si>
  <si>
    <t>元大台灣高息低波</t>
    <phoneticPr fontId="0" type="noConversion"/>
  </si>
  <si>
    <t>華頓S&amp;P布蘭特正2</t>
    <phoneticPr fontId="0" type="noConversion"/>
  </si>
  <si>
    <t>華頓S&amp;P布蘭特反1</t>
    <phoneticPr fontId="0" type="noConversion"/>
  </si>
  <si>
    <t>20190711各代號最新一期淨值</t>
    <phoneticPr fontId="0" type="noConversion"/>
  </si>
  <si>
    <t>20190711各代號最新一期淨值</t>
    <phoneticPr fontId="0" type="noConversion"/>
  </si>
  <si>
    <t>20190711各代號最新一期基金淨資產價值(千)</t>
    <phoneticPr fontId="0" type="noConversion"/>
  </si>
  <si>
    <t>20190711各代號最新一期基金淨資產價值(千)</t>
    <phoneticPr fontId="0" type="noConversion"/>
  </si>
  <si>
    <t>20190711各代號最新一期已發行受益權單位總數(千)</t>
    <phoneticPr fontId="0" type="noConversion"/>
  </si>
  <si>
    <t>20190711各代號最新一期已發行受益權單位總數(千)</t>
    <phoneticPr fontId="0" type="noConversion"/>
  </si>
  <si>
    <t>20190712各代號最新一期每申購／買回基數之受益權單位數(千)</t>
    <phoneticPr fontId="0" type="noConversion"/>
  </si>
  <si>
    <t>20190712各代號最新一期每申購／買回基數約當市值(元)</t>
    <phoneticPr fontId="0" type="noConversion"/>
  </si>
  <si>
    <t>20190712各代號最新一期每申購／買回基數約當市值(元)</t>
    <phoneticPr fontId="0" type="noConversion"/>
  </si>
  <si>
    <t>20190712各代號最新一期每申購／買回基數估計現金差額(元)</t>
    <phoneticPr fontId="0" type="noConversion"/>
  </si>
  <si>
    <t>20190712各代號最新一期每申購／買回基數估計現金差額(元)</t>
    <phoneticPr fontId="0" type="noConversion"/>
  </si>
  <si>
    <t>20190712各代號最新一期每申購基數之實際申購總價金(元)</t>
    <phoneticPr fontId="0" type="noConversion"/>
  </si>
  <si>
    <t>20190712各代號最新一期每申購基數之實際申購總價金(元)</t>
    <phoneticPr fontId="0" type="noConversion"/>
  </si>
  <si>
    <t>2019交易手續費費率</t>
    <phoneticPr fontId="0" type="noConversion"/>
  </si>
  <si>
    <t>2019管理費(%)</t>
    <phoneticPr fontId="0" type="noConversion"/>
  </si>
  <si>
    <t>2019追蹤指數中文名稱</t>
    <phoneticPr fontId="28" type="noConversion"/>
  </si>
  <si>
    <t>元大台灣50</t>
    <phoneticPr fontId="8" type="noConversion"/>
  </si>
  <si>
    <t>元大電子</t>
    <phoneticPr fontId="8" type="noConversion"/>
  </si>
  <si>
    <t>元大MSCI金融</t>
    <phoneticPr fontId="8" type="noConversion"/>
  </si>
  <si>
    <t>元大高股息</t>
    <phoneticPr fontId="8" type="noConversion"/>
  </si>
  <si>
    <t>富邦發達</t>
    <phoneticPr fontId="8" type="noConversion"/>
  </si>
  <si>
    <t>元大上證50</t>
    <phoneticPr fontId="8" type="noConversion"/>
  </si>
  <si>
    <t>FH滬深</t>
    <phoneticPr fontId="8" type="noConversion"/>
  </si>
  <si>
    <t>富邦上証+R</t>
    <phoneticPr fontId="8" type="noConversion"/>
  </si>
  <si>
    <t>元大台灣50正2</t>
    <phoneticPr fontId="8" type="noConversion"/>
  </si>
  <si>
    <t>元大台灣50反1</t>
    <phoneticPr fontId="8" type="noConversion"/>
  </si>
  <si>
    <t>富邦上証反1</t>
    <phoneticPr fontId="8" type="noConversion"/>
  </si>
  <si>
    <t>國泰中國A50+U</t>
    <phoneticPr fontId="8" type="noConversion"/>
  </si>
  <si>
    <t>元大滬深300正2</t>
    <phoneticPr fontId="8" type="noConversion"/>
  </si>
  <si>
    <t>富邦日本反1</t>
    <phoneticPr fontId="8" type="noConversion"/>
  </si>
  <si>
    <t>群益深証中小+R</t>
    <phoneticPr fontId="8" type="noConversion"/>
  </si>
  <si>
    <t>元大S&amp;P500正2</t>
    <phoneticPr fontId="8" type="noConversion"/>
  </si>
  <si>
    <t>FH香港</t>
    <phoneticPr fontId="8" type="noConversion"/>
  </si>
  <si>
    <t>FH香港正2</t>
    <phoneticPr fontId="8" type="noConversion"/>
  </si>
  <si>
    <t>FH香港反1</t>
    <phoneticPr fontId="8" type="noConversion"/>
  </si>
  <si>
    <t>富邦印度正2</t>
    <phoneticPr fontId="8" type="noConversion"/>
  </si>
  <si>
    <t>富邦印度反1</t>
    <phoneticPr fontId="8" type="noConversion"/>
  </si>
  <si>
    <t>國泰日經225</t>
    <phoneticPr fontId="8" type="noConversion"/>
  </si>
  <si>
    <t>國泰日本正2</t>
    <phoneticPr fontId="8" type="noConversion"/>
  </si>
  <si>
    <t>元大歐洲50</t>
    <phoneticPr fontId="8" type="noConversion"/>
  </si>
  <si>
    <t>國泰臺灣加權反1</t>
    <phoneticPr fontId="8" type="noConversion"/>
  </si>
  <si>
    <t>富邦恒生國企正2</t>
    <phoneticPr fontId="8" type="noConversion"/>
  </si>
  <si>
    <t>國泰美國道瓊</t>
    <phoneticPr fontId="8" type="noConversion"/>
  </si>
  <si>
    <t>國泰美國道瓊反1</t>
    <phoneticPr fontId="8" type="noConversion"/>
  </si>
  <si>
    <t>富邦NASDAQ正2</t>
    <phoneticPr fontId="8" type="noConversion"/>
  </si>
  <si>
    <t>元大S&amp;P原油反1</t>
    <phoneticPr fontId="8" type="noConversion"/>
  </si>
  <si>
    <t>群益NBI生技</t>
    <phoneticPr fontId="8" type="noConversion"/>
  </si>
  <si>
    <t>元大美債20年</t>
    <phoneticPr fontId="8" type="noConversion"/>
  </si>
  <si>
    <t>元大美債20正2</t>
    <phoneticPr fontId="8" type="noConversion"/>
  </si>
  <si>
    <t>元大美債20反1</t>
    <phoneticPr fontId="8" type="noConversion"/>
  </si>
  <si>
    <t>元大美元指數</t>
    <phoneticPr fontId="8" type="noConversion"/>
  </si>
  <si>
    <t>元大美元指數正2</t>
    <phoneticPr fontId="8" type="noConversion"/>
  </si>
  <si>
    <t>群益臺灣加權正2</t>
    <phoneticPr fontId="8" type="noConversion"/>
  </si>
  <si>
    <t>國泰20年美債</t>
    <phoneticPr fontId="8" type="noConversion"/>
  </si>
  <si>
    <t>國泰20年美債反1</t>
    <phoneticPr fontId="8" type="noConversion"/>
  </si>
  <si>
    <t>兆豐藍籌30反一</t>
    <phoneticPr fontId="8" type="noConversion"/>
  </si>
  <si>
    <t>富邦美債7-10年</t>
    <phoneticPr fontId="8" type="noConversion"/>
  </si>
  <si>
    <t>富邦美債20年</t>
    <phoneticPr fontId="8" type="noConversion"/>
  </si>
  <si>
    <t>元大美債7-10</t>
    <phoneticPr fontId="8" type="noConversion"/>
  </si>
  <si>
    <t>富邦恆生國企</t>
    <phoneticPr fontId="8" type="noConversion"/>
  </si>
  <si>
    <t>國泰標普低波高息</t>
    <phoneticPr fontId="8" type="noConversion"/>
  </si>
  <si>
    <t>台新MSCI中國</t>
    <phoneticPr fontId="8" type="noConversion"/>
  </si>
  <si>
    <t>元大S&amp;P日圓正2</t>
    <phoneticPr fontId="8" type="noConversion"/>
  </si>
  <si>
    <t>元大S&amp;P日圓反1</t>
    <phoneticPr fontId="8" type="noConversion"/>
  </si>
  <si>
    <t>元大S&amp;P黃金正2</t>
    <phoneticPr fontId="8" type="noConversion"/>
  </si>
  <si>
    <t>FH彭博高收益債</t>
    <phoneticPr fontId="8" type="noConversion"/>
  </si>
  <si>
    <t>群益道瓊美國地產</t>
    <phoneticPr fontId="8" type="noConversion"/>
  </si>
  <si>
    <t>華頓S&amp;P布蘭特正2</t>
    <phoneticPr fontId="8" type="noConversion"/>
  </si>
  <si>
    <t>華頓S&amp;P布蘭特反1</t>
    <phoneticPr fontId="8" type="noConversion"/>
  </si>
  <si>
    <t>元大美債1-3</t>
    <phoneticPr fontId="8" type="noConversion"/>
  </si>
  <si>
    <t>元大中國債3-5</t>
    <phoneticPr fontId="8" type="noConversion"/>
  </si>
  <si>
    <t>群益15年IG電信債</t>
    <phoneticPr fontId="8" type="noConversion"/>
  </si>
  <si>
    <t>國泰投資級公司債</t>
    <phoneticPr fontId="8" type="noConversion"/>
  </si>
  <si>
    <t>第一金工業30</t>
    <phoneticPr fontId="8" type="noConversion"/>
  </si>
  <si>
    <t>國泰RMB短期報酬</t>
    <phoneticPr fontId="8" type="noConversion"/>
  </si>
  <si>
    <t>富邦臺灣中小</t>
    <phoneticPr fontId="8" type="noConversion"/>
  </si>
  <si>
    <t>國泰臺韓科技</t>
    <phoneticPr fontId="8" type="noConversion"/>
  </si>
  <si>
    <t>國泰新興市場</t>
    <phoneticPr fontId="8" type="noConversion"/>
  </si>
  <si>
    <t>國泰AI+ROBO</t>
    <phoneticPr fontId="8" type="noConversion"/>
  </si>
  <si>
    <t>元大道瓊白銀</t>
    <phoneticPr fontId="8" type="noConversion"/>
  </si>
  <si>
    <t>富邦全球投等債</t>
    <phoneticPr fontId="8" type="noConversion"/>
  </si>
  <si>
    <t>富邦全球高收債</t>
    <phoneticPr fontId="8" type="noConversion"/>
  </si>
  <si>
    <t>新光內需收益</t>
    <phoneticPr fontId="8" type="noConversion"/>
  </si>
  <si>
    <t>國泰中國A150</t>
    <phoneticPr fontId="8" type="noConversion"/>
  </si>
  <si>
    <t>國泰中國政金債5+</t>
    <phoneticPr fontId="8" type="noConversion"/>
  </si>
  <si>
    <t>富邦中政債0-1</t>
    <phoneticPr fontId="8" type="noConversion"/>
  </si>
  <si>
    <t>FH中國政策債</t>
    <phoneticPr fontId="8" type="noConversion"/>
  </si>
  <si>
    <t>凱基中國債3-10</t>
    <phoneticPr fontId="8" type="noConversion"/>
  </si>
  <si>
    <t>凱基新興債10+</t>
    <phoneticPr fontId="8" type="noConversion"/>
  </si>
  <si>
    <t>凱基科技債10+</t>
    <phoneticPr fontId="8" type="noConversion"/>
  </si>
  <si>
    <t>元大AAA至A公司債</t>
    <phoneticPr fontId="8" type="noConversion"/>
  </si>
  <si>
    <t>中信中國50正2</t>
    <phoneticPr fontId="8" type="noConversion"/>
  </si>
  <si>
    <t>群益AAA-AA公司債</t>
    <phoneticPr fontId="8" type="noConversion"/>
  </si>
  <si>
    <t>群益15年IG公用債</t>
    <phoneticPr fontId="8" type="noConversion"/>
  </si>
  <si>
    <t>群益15年EM主權債</t>
    <phoneticPr fontId="8" type="noConversion"/>
  </si>
  <si>
    <t>統一FANG+</t>
    <phoneticPr fontId="8" type="noConversion"/>
  </si>
  <si>
    <t>FH能源債</t>
    <phoneticPr fontId="8" type="noConversion"/>
  </si>
  <si>
    <t>FH製藥債</t>
    <phoneticPr fontId="8" type="noConversion"/>
  </si>
  <si>
    <t>FH新興企業債</t>
    <phoneticPr fontId="8" type="noConversion"/>
  </si>
  <si>
    <t>國票道瓊銅</t>
    <phoneticPr fontId="8" type="noConversion"/>
  </si>
  <si>
    <t>群益25年美債</t>
    <phoneticPr fontId="8" type="noConversion"/>
  </si>
  <si>
    <t>群益中國政金債</t>
    <phoneticPr fontId="8" type="noConversion"/>
  </si>
  <si>
    <t>台新MSCI中國正2</t>
    <phoneticPr fontId="8" type="noConversion"/>
  </si>
  <si>
    <t>FH美國金融股</t>
    <phoneticPr fontId="8" type="noConversion"/>
  </si>
  <si>
    <t>FH20年美債</t>
    <phoneticPr fontId="8" type="noConversion"/>
  </si>
  <si>
    <t>國泰北美科技</t>
    <phoneticPr fontId="8" type="noConversion"/>
  </si>
  <si>
    <t>元大US高息特別股</t>
    <phoneticPr fontId="8" type="noConversion"/>
  </si>
  <si>
    <t>中信高評級公司債</t>
    <phoneticPr fontId="8" type="noConversion"/>
  </si>
  <si>
    <t>中信優先金融債</t>
    <phoneticPr fontId="8" type="noConversion"/>
  </si>
  <si>
    <t>新光中國政金綠債</t>
    <phoneticPr fontId="8" type="noConversion"/>
  </si>
  <si>
    <t>新光投等債15+</t>
    <phoneticPr fontId="8" type="noConversion"/>
  </si>
  <si>
    <t>新光ICE美國權值</t>
    <phoneticPr fontId="8" type="noConversion"/>
  </si>
  <si>
    <t>凱基AAA至A公司債</t>
    <phoneticPr fontId="8" type="noConversion"/>
  </si>
  <si>
    <t>凱基金融債20+</t>
    <phoneticPr fontId="8" type="noConversion"/>
  </si>
  <si>
    <t>凱基美債25+</t>
    <phoneticPr fontId="8" type="noConversion"/>
  </si>
  <si>
    <t>國泰A級金融債</t>
    <phoneticPr fontId="8" type="noConversion"/>
  </si>
  <si>
    <t>國泰A級公用債</t>
    <phoneticPr fontId="8" type="noConversion"/>
  </si>
  <si>
    <t>富邦中証500</t>
    <phoneticPr fontId="8" type="noConversion"/>
  </si>
  <si>
    <t>富邦中國投等債</t>
    <phoneticPr fontId="8" type="noConversion"/>
  </si>
  <si>
    <t>富邦金融投等債</t>
    <phoneticPr fontId="8" type="noConversion"/>
  </si>
  <si>
    <t>元大10年IG銀行債</t>
    <phoneticPr fontId="8" type="noConversion"/>
  </si>
  <si>
    <t>元大10年IG醫療債</t>
    <phoneticPr fontId="8" type="noConversion"/>
  </si>
  <si>
    <t>元大10年IG電能債</t>
    <phoneticPr fontId="8" type="noConversion"/>
  </si>
  <si>
    <t>FH公司債A3</t>
    <phoneticPr fontId="8" type="noConversion"/>
  </si>
  <si>
    <t>FH次順位IG金融債</t>
    <phoneticPr fontId="8" type="noConversion"/>
  </si>
  <si>
    <t>FH美元信用債1-5Y</t>
    <phoneticPr fontId="8" type="noConversion"/>
  </si>
  <si>
    <t>群益A級公司債</t>
    <phoneticPr fontId="8" type="noConversion"/>
  </si>
  <si>
    <t>群益AAA-A醫療債</t>
    <phoneticPr fontId="8" type="noConversion"/>
  </si>
  <si>
    <t>群益7+中國政金債</t>
    <phoneticPr fontId="8" type="noConversion"/>
  </si>
  <si>
    <t>中信美國公債20年</t>
    <phoneticPr fontId="8" type="noConversion"/>
  </si>
  <si>
    <t>中信中國債7-10</t>
    <phoneticPr fontId="8" type="noConversion"/>
  </si>
  <si>
    <t>中信中國美元IG債</t>
    <phoneticPr fontId="8" type="noConversion"/>
  </si>
  <si>
    <t>國泰中企A級債7+</t>
    <phoneticPr fontId="8" type="noConversion"/>
  </si>
  <si>
    <t>國泰A級醫療債</t>
    <phoneticPr fontId="8" type="noConversion"/>
  </si>
  <si>
    <t>BP上證50</t>
    <phoneticPr fontId="8" type="noConversion"/>
  </si>
  <si>
    <t>國泰費城半導體</t>
    <phoneticPr fontId="8" type="noConversion"/>
  </si>
  <si>
    <t>新光美債1-3</t>
    <phoneticPr fontId="8" type="noConversion"/>
  </si>
  <si>
    <t>新光美債20+</t>
    <phoneticPr fontId="8" type="noConversion"/>
  </si>
  <si>
    <t>第一金金融債10+</t>
    <phoneticPr fontId="8" type="noConversion"/>
  </si>
  <si>
    <t>第一金科技債10+</t>
    <phoneticPr fontId="8" type="noConversion"/>
  </si>
  <si>
    <t>永豐10年A公司債</t>
    <phoneticPr fontId="8" type="noConversion"/>
  </si>
  <si>
    <t>永豐7-10年中國債</t>
    <phoneticPr fontId="8" type="noConversion"/>
  </si>
  <si>
    <t>凱基醫療保健債</t>
    <phoneticPr fontId="8" type="noConversion"/>
  </si>
  <si>
    <t>凱基IG精選15+</t>
    <phoneticPr fontId="8" type="noConversion"/>
  </si>
  <si>
    <t>凱基AAA-AA公司債</t>
    <phoneticPr fontId="8" type="noConversion"/>
  </si>
  <si>
    <t>台新美元銀行債</t>
    <phoneticPr fontId="8" type="noConversion"/>
  </si>
  <si>
    <t>台泥</t>
    <phoneticPr fontId="8" type="noConversion"/>
  </si>
  <si>
    <t>亞泥</t>
    <phoneticPr fontId="8" type="noConversion"/>
  </si>
  <si>
    <t>大成</t>
    <phoneticPr fontId="8" type="noConversion"/>
  </si>
  <si>
    <t>統一</t>
    <phoneticPr fontId="8" type="noConversion"/>
  </si>
  <si>
    <t>佳格</t>
    <phoneticPr fontId="8" type="noConversion"/>
  </si>
  <si>
    <t>聯華</t>
    <phoneticPr fontId="8" type="noConversion"/>
  </si>
  <si>
    <t>台塑</t>
    <phoneticPr fontId="8" type="noConversion"/>
  </si>
  <si>
    <t>南亞</t>
    <phoneticPr fontId="8" type="noConversion"/>
  </si>
  <si>
    <t>中石化</t>
    <phoneticPr fontId="8" type="noConversion"/>
  </si>
  <si>
    <t>東陽</t>
    <phoneticPr fontId="8" type="noConversion"/>
  </si>
  <si>
    <t>台化</t>
    <phoneticPr fontId="8" type="noConversion"/>
  </si>
  <si>
    <t>遠東新</t>
    <phoneticPr fontId="8" type="noConversion"/>
  </si>
  <si>
    <t>福懋</t>
    <phoneticPr fontId="8" type="noConversion"/>
  </si>
  <si>
    <t>儒鴻</t>
    <phoneticPr fontId="8" type="noConversion"/>
  </si>
  <si>
    <t>聚陽</t>
    <phoneticPr fontId="8" type="noConversion"/>
  </si>
  <si>
    <t>東元</t>
    <phoneticPr fontId="8" type="noConversion"/>
  </si>
  <si>
    <t>永大</t>
    <phoneticPr fontId="8" type="noConversion"/>
  </si>
  <si>
    <t>和大</t>
    <phoneticPr fontId="8" type="noConversion"/>
  </si>
  <si>
    <t>亞德客-KY</t>
    <phoneticPr fontId="8" type="noConversion"/>
  </si>
  <si>
    <t>華新</t>
    <phoneticPr fontId="8" type="noConversion"/>
  </si>
  <si>
    <t>葡萄王</t>
    <phoneticPr fontId="8" type="noConversion"/>
  </si>
  <si>
    <t>台肥</t>
    <phoneticPr fontId="8" type="noConversion"/>
  </si>
  <si>
    <t>中碳</t>
    <phoneticPr fontId="8" type="noConversion"/>
  </si>
  <si>
    <t>台玻</t>
    <phoneticPr fontId="8" type="noConversion"/>
  </si>
  <si>
    <t>中鋼</t>
    <phoneticPr fontId="8" type="noConversion"/>
  </si>
  <si>
    <t>大成鋼</t>
    <phoneticPr fontId="8" type="noConversion"/>
  </si>
  <si>
    <t>上銀</t>
    <phoneticPr fontId="8" type="noConversion"/>
  </si>
  <si>
    <t>川湖</t>
    <phoneticPr fontId="8" type="noConversion"/>
  </si>
  <si>
    <t>南港</t>
    <phoneticPr fontId="8" type="noConversion"/>
  </si>
  <si>
    <t>台橡</t>
    <phoneticPr fontId="8" type="noConversion"/>
  </si>
  <si>
    <t>國際中橡</t>
    <phoneticPr fontId="8" type="noConversion"/>
  </si>
  <si>
    <t>正新</t>
    <phoneticPr fontId="8" type="noConversion"/>
  </si>
  <si>
    <t>裕隆</t>
    <phoneticPr fontId="8" type="noConversion"/>
  </si>
  <si>
    <t>中華</t>
    <phoneticPr fontId="8" type="noConversion"/>
  </si>
  <si>
    <t>和泰車</t>
    <phoneticPr fontId="8" type="noConversion"/>
  </si>
  <si>
    <t>裕日車</t>
    <phoneticPr fontId="8" type="noConversion"/>
  </si>
  <si>
    <t>為升</t>
    <phoneticPr fontId="8" type="noConversion"/>
  </si>
  <si>
    <t>光寶科</t>
    <phoneticPr fontId="8" type="noConversion"/>
  </si>
  <si>
    <t>聯電</t>
    <phoneticPr fontId="8" type="noConversion"/>
  </si>
  <si>
    <t>台達電</t>
    <phoneticPr fontId="8" type="noConversion"/>
  </si>
  <si>
    <t>華通</t>
    <phoneticPr fontId="8" type="noConversion"/>
  </si>
  <si>
    <t>鴻海</t>
    <phoneticPr fontId="8" type="noConversion"/>
  </si>
  <si>
    <t>仁寶</t>
    <phoneticPr fontId="8" type="noConversion"/>
  </si>
  <si>
    <t>國巨</t>
    <phoneticPr fontId="8" type="noConversion"/>
  </si>
  <si>
    <t>台積電</t>
    <phoneticPr fontId="8" type="noConversion"/>
  </si>
  <si>
    <t>旺宏</t>
    <phoneticPr fontId="8" type="noConversion"/>
  </si>
  <si>
    <t>華邦電</t>
    <phoneticPr fontId="8" type="noConversion"/>
  </si>
  <si>
    <t>智邦</t>
    <phoneticPr fontId="8" type="noConversion"/>
  </si>
  <si>
    <t>聯強</t>
    <phoneticPr fontId="8" type="noConversion"/>
  </si>
  <si>
    <t>佳世達</t>
    <phoneticPr fontId="8" type="noConversion"/>
  </si>
  <si>
    <t>宏碁</t>
    <phoneticPr fontId="8" type="noConversion"/>
  </si>
  <si>
    <t>鴻準</t>
    <phoneticPr fontId="8" type="noConversion"/>
  </si>
  <si>
    <t>英業達</t>
    <phoneticPr fontId="8" type="noConversion"/>
  </si>
  <si>
    <t>華碩</t>
    <phoneticPr fontId="8" type="noConversion"/>
  </si>
  <si>
    <t>致茂</t>
    <phoneticPr fontId="8" type="noConversion"/>
  </si>
  <si>
    <t>大同</t>
    <phoneticPr fontId="8" type="noConversion"/>
  </si>
  <si>
    <t>技嘉</t>
    <phoneticPr fontId="8" type="noConversion"/>
  </si>
  <si>
    <t>微星</t>
    <phoneticPr fontId="8" type="noConversion"/>
  </si>
  <si>
    <t>瑞昱</t>
    <phoneticPr fontId="8" type="noConversion"/>
  </si>
  <si>
    <t>廣達</t>
    <phoneticPr fontId="8" type="noConversion"/>
  </si>
  <si>
    <t>台光電</t>
    <phoneticPr fontId="8" type="noConversion"/>
  </si>
  <si>
    <t>群光</t>
    <phoneticPr fontId="8" type="noConversion"/>
  </si>
  <si>
    <t>研華</t>
    <phoneticPr fontId="8" type="noConversion"/>
  </si>
  <si>
    <t>南亞科</t>
    <phoneticPr fontId="8" type="noConversion"/>
  </si>
  <si>
    <t>友達</t>
    <phoneticPr fontId="8" type="noConversion"/>
  </si>
  <si>
    <t>中華電</t>
    <phoneticPr fontId="8" type="noConversion"/>
  </si>
  <si>
    <t>美律</t>
    <phoneticPr fontId="8" type="noConversion"/>
  </si>
  <si>
    <t>超豐</t>
    <phoneticPr fontId="8" type="noConversion"/>
  </si>
  <si>
    <t>晶電</t>
    <phoneticPr fontId="8" type="noConversion"/>
  </si>
  <si>
    <t>京元電子</t>
    <phoneticPr fontId="8" type="noConversion"/>
  </si>
  <si>
    <t>創見</t>
    <phoneticPr fontId="8" type="noConversion"/>
  </si>
  <si>
    <t>聯發科</t>
    <phoneticPr fontId="8" type="noConversion"/>
  </si>
  <si>
    <t>可成</t>
    <phoneticPr fontId="8" type="noConversion"/>
  </si>
  <si>
    <t>華新科</t>
    <phoneticPr fontId="8" type="noConversion"/>
  </si>
  <si>
    <t>宏達電</t>
    <phoneticPr fontId="8" type="noConversion"/>
  </si>
  <si>
    <t>國建</t>
    <phoneticPr fontId="8" type="noConversion"/>
  </si>
  <si>
    <t>興富發</t>
    <phoneticPr fontId="8" type="noConversion"/>
  </si>
  <si>
    <t>長榮</t>
    <phoneticPr fontId="8" type="noConversion"/>
  </si>
  <si>
    <t>裕民</t>
    <phoneticPr fontId="8" type="noConversion"/>
  </si>
  <si>
    <t>華航</t>
    <phoneticPr fontId="8" type="noConversion"/>
  </si>
  <si>
    <t>萬海</t>
    <phoneticPr fontId="8" type="noConversion"/>
  </si>
  <si>
    <t>長榮航</t>
    <phoneticPr fontId="8" type="noConversion"/>
  </si>
  <si>
    <t>台灣高鐵</t>
    <phoneticPr fontId="8" type="noConversion"/>
  </si>
  <si>
    <t>美食-KY</t>
    <phoneticPr fontId="8" type="noConversion"/>
  </si>
  <si>
    <t>彰銀</t>
    <phoneticPr fontId="8" type="noConversion"/>
  </si>
  <si>
    <t>京城銀</t>
    <phoneticPr fontId="8" type="noConversion"/>
  </si>
  <si>
    <t>台中銀</t>
    <phoneticPr fontId="8" type="noConversion"/>
  </si>
  <si>
    <t>中壽</t>
    <phoneticPr fontId="8" type="noConversion"/>
  </si>
  <si>
    <t>臺企銀</t>
    <phoneticPr fontId="8" type="noConversion"/>
  </si>
  <si>
    <t>遠東銀</t>
    <phoneticPr fontId="8" type="noConversion"/>
  </si>
  <si>
    <t>三商壽</t>
    <phoneticPr fontId="8" type="noConversion"/>
  </si>
  <si>
    <t>華南金</t>
    <phoneticPr fontId="8" type="noConversion"/>
  </si>
  <si>
    <t>富邦金</t>
    <phoneticPr fontId="8" type="noConversion"/>
  </si>
  <si>
    <t>國泰金</t>
    <phoneticPr fontId="8" type="noConversion"/>
  </si>
  <si>
    <t>開發金</t>
    <phoneticPr fontId="8" type="noConversion"/>
  </si>
  <si>
    <t>玉山金</t>
    <phoneticPr fontId="8" type="noConversion"/>
  </si>
  <si>
    <t>元大金</t>
    <phoneticPr fontId="8" type="noConversion"/>
  </si>
  <si>
    <t>兆豐金</t>
    <phoneticPr fontId="8" type="noConversion"/>
  </si>
  <si>
    <t>台新金</t>
    <phoneticPr fontId="8" type="noConversion"/>
  </si>
  <si>
    <t>新光金</t>
    <phoneticPr fontId="8" type="noConversion"/>
  </si>
  <si>
    <t>國票金</t>
    <phoneticPr fontId="8" type="noConversion"/>
  </si>
  <si>
    <t>永豐金</t>
    <phoneticPr fontId="8" type="noConversion"/>
  </si>
  <si>
    <t>中信金</t>
    <phoneticPr fontId="8" type="noConversion"/>
  </si>
  <si>
    <t>第一金</t>
    <phoneticPr fontId="8" type="noConversion"/>
  </si>
  <si>
    <t>統一超</t>
    <phoneticPr fontId="8" type="noConversion"/>
  </si>
  <si>
    <t>潤泰全</t>
    <phoneticPr fontId="8" type="noConversion"/>
  </si>
  <si>
    <t>神基</t>
    <phoneticPr fontId="8" type="noConversion"/>
  </si>
  <si>
    <t>大立光</t>
    <phoneticPr fontId="8" type="noConversion"/>
  </si>
  <si>
    <t>聯詠</t>
    <phoneticPr fontId="8" type="noConversion"/>
  </si>
  <si>
    <t>欣興</t>
    <phoneticPr fontId="8" type="noConversion"/>
  </si>
  <si>
    <t>健鼎</t>
    <phoneticPr fontId="8" type="noConversion"/>
  </si>
  <si>
    <t>台灣大</t>
    <phoneticPr fontId="8" type="noConversion"/>
  </si>
  <si>
    <t>緯創</t>
    <phoneticPr fontId="8" type="noConversion"/>
  </si>
  <si>
    <t>玉晶光</t>
    <phoneticPr fontId="8" type="noConversion"/>
  </si>
  <si>
    <t>創意</t>
    <phoneticPr fontId="8" type="noConversion"/>
  </si>
  <si>
    <t>群創</t>
    <phoneticPr fontId="8" type="noConversion"/>
  </si>
  <si>
    <t>台勝科</t>
    <phoneticPr fontId="8" type="noConversion"/>
  </si>
  <si>
    <t>亞太電</t>
    <phoneticPr fontId="8" type="noConversion"/>
  </si>
  <si>
    <t>大聯大</t>
    <phoneticPr fontId="8" type="noConversion"/>
  </si>
  <si>
    <t>神達</t>
    <phoneticPr fontId="8" type="noConversion"/>
  </si>
  <si>
    <t>日月光投控</t>
    <phoneticPr fontId="8" type="noConversion"/>
  </si>
  <si>
    <t>遠傳</t>
    <phoneticPr fontId="8" type="noConversion"/>
  </si>
  <si>
    <t>和碩</t>
    <phoneticPr fontId="8" type="noConversion"/>
  </si>
  <si>
    <t>臻鼎-KY</t>
    <phoneticPr fontId="8" type="noConversion"/>
  </si>
  <si>
    <t>祥碩</t>
    <phoneticPr fontId="8" type="noConversion"/>
  </si>
  <si>
    <t>遠雄</t>
    <phoneticPr fontId="8" type="noConversion"/>
  </si>
  <si>
    <t>長虹</t>
    <phoneticPr fontId="8" type="noConversion"/>
  </si>
  <si>
    <t>中租-KY</t>
    <phoneticPr fontId="8" type="noConversion"/>
  </si>
  <si>
    <t>上海商銀</t>
    <phoneticPr fontId="8" type="noConversion"/>
  </si>
  <si>
    <t>合庫金</t>
    <phoneticPr fontId="8" type="noConversion"/>
  </si>
  <si>
    <t>瑞儀</t>
    <phoneticPr fontId="8" type="noConversion"/>
  </si>
  <si>
    <t>力成</t>
    <phoneticPr fontId="8" type="noConversion"/>
  </si>
  <si>
    <t>台郡</t>
    <phoneticPr fontId="8" type="noConversion"/>
  </si>
  <si>
    <t>啟碁</t>
    <phoneticPr fontId="8" type="noConversion"/>
  </si>
  <si>
    <t>旭隼</t>
    <phoneticPr fontId="8" type="noConversion"/>
  </si>
  <si>
    <t>矽力-KY</t>
    <phoneticPr fontId="8" type="noConversion"/>
  </si>
  <si>
    <t>GIS-KY</t>
    <phoneticPr fontId="8" type="noConversion"/>
  </si>
  <si>
    <t>台塑化</t>
    <phoneticPr fontId="8" type="noConversion"/>
  </si>
  <si>
    <t>緯穎</t>
    <phoneticPr fontId="8" type="noConversion"/>
  </si>
  <si>
    <t>日友</t>
    <phoneticPr fontId="8" type="noConversion"/>
  </si>
  <si>
    <t>富邦媒</t>
    <phoneticPr fontId="8" type="noConversion"/>
  </si>
  <si>
    <t>億豐</t>
    <phoneticPr fontId="8" type="noConversion"/>
  </si>
  <si>
    <t>寶成</t>
    <phoneticPr fontId="8" type="noConversion"/>
  </si>
  <si>
    <t>豐泰</t>
    <phoneticPr fontId="8" type="noConversion"/>
  </si>
  <si>
    <t>美利達</t>
    <phoneticPr fontId="8" type="noConversion"/>
  </si>
  <si>
    <t>中保</t>
    <phoneticPr fontId="8" type="noConversion"/>
  </si>
  <si>
    <t>巨大</t>
    <phoneticPr fontId="8" type="noConversion"/>
  </si>
  <si>
    <t>中鼎</t>
    <phoneticPr fontId="8" type="noConversion"/>
  </si>
  <si>
    <t>裕融</t>
    <phoneticPr fontId="8" type="noConversion"/>
  </si>
  <si>
    <t>潤泰新</t>
    <phoneticPr fontId="8" type="noConversion"/>
  </si>
  <si>
    <t>20190711收盤價</t>
    <phoneticPr fontId="8" type="noConversion"/>
  </si>
  <si>
    <t>證券代碼</t>
  </si>
  <si>
    <t>證券名稱</t>
  </si>
  <si>
    <t>持股權重(%)</t>
  </si>
  <si>
    <t>股數</t>
  </si>
  <si>
    <t>FINYF*1</t>
  </si>
  <si>
    <t>台50期貨</t>
    <phoneticPr fontId="8" type="noConversion"/>
  </si>
  <si>
    <t>FITX*1</t>
    <phoneticPr fontId="0" type="noConversion"/>
  </si>
  <si>
    <t>FITX*2</t>
    <phoneticPr fontId="0" type="noConversion"/>
  </si>
  <si>
    <t>FITX*1</t>
    <phoneticPr fontId="8" type="noConversion"/>
  </si>
  <si>
    <t>台期指近月</t>
    <phoneticPr fontId="8" type="noConversion"/>
  </si>
  <si>
    <t>FITX*2</t>
    <phoneticPr fontId="8" type="noConversion"/>
  </si>
  <si>
    <t>台期指次近月</t>
    <phoneticPr fontId="8" type="noConversion"/>
  </si>
  <si>
    <t>台指期_近</t>
    <phoneticPr fontId="0" type="noConversion"/>
  </si>
  <si>
    <t>台指期_次近</t>
    <phoneticPr fontId="0" type="noConversion"/>
  </si>
  <si>
    <t>FINYF*2</t>
    <phoneticPr fontId="8" type="noConversion"/>
  </si>
  <si>
    <t>FINYF*2</t>
    <phoneticPr fontId="0" type="noConversion"/>
  </si>
  <si>
    <t>台指期_近</t>
    <phoneticPr fontId="0" type="noConversion"/>
  </si>
  <si>
    <t>FITX*1</t>
    <phoneticPr fontId="0" type="noConversion"/>
  </si>
  <si>
    <t>台指期_次近</t>
    <phoneticPr fontId="0" type="noConversion"/>
  </si>
  <si>
    <t>FITX*2</t>
    <phoneticPr fontId="0" type="noConversion"/>
  </si>
  <si>
    <t>台灣50期_近</t>
    <phoneticPr fontId="0" type="noConversion"/>
  </si>
  <si>
    <t>台灣50期_次近</t>
    <phoneticPr fontId="0" type="noConversion"/>
  </si>
  <si>
    <t>FITF*1</t>
    <phoneticPr fontId="8" type="noConversion"/>
  </si>
  <si>
    <t>FITF*2</t>
    <phoneticPr fontId="8" type="noConversion"/>
  </si>
  <si>
    <t>大成鋼</t>
  </si>
  <si>
    <t>佳世達</t>
  </si>
  <si>
    <t>美律</t>
  </si>
  <si>
    <t>潤泰全</t>
  </si>
  <si>
    <t>神基</t>
  </si>
  <si>
    <t>台勝科</t>
  </si>
  <si>
    <t>潤泰新</t>
  </si>
  <si>
    <t>股票</t>
    <phoneticPr fontId="8" type="noConversion"/>
  </si>
  <si>
    <t>寶鋼股份</t>
  </si>
  <si>
    <t>600031 CH</t>
  </si>
  <si>
    <t>三一重工</t>
  </si>
  <si>
    <t>600196 CH</t>
  </si>
  <si>
    <t>復星醫藥</t>
  </si>
  <si>
    <t>600276 CH</t>
  </si>
  <si>
    <t>恒瑞醫藥</t>
  </si>
  <si>
    <t>600309 CH</t>
  </si>
  <si>
    <t>萬華化學</t>
  </si>
  <si>
    <t>*ST信威</t>
  </si>
  <si>
    <t>600585 CH</t>
  </si>
  <si>
    <t>海螺水泥</t>
  </si>
  <si>
    <t>600690 CH</t>
  </si>
  <si>
    <t>海爾智家</t>
  </si>
  <si>
    <t>600703 CH</t>
  </si>
  <si>
    <t>三安光電</t>
  </si>
  <si>
    <t>601066 CH</t>
  </si>
  <si>
    <t>中信建投</t>
  </si>
  <si>
    <t>601111 CH</t>
  </si>
  <si>
    <t>中國國航</t>
  </si>
  <si>
    <t>601138 CH</t>
  </si>
  <si>
    <t>工業富聯</t>
  </si>
  <si>
    <t>601319 CH</t>
  </si>
  <si>
    <t>中國人保</t>
  </si>
  <si>
    <t>601888 CH</t>
  </si>
  <si>
    <t>中國國旅</t>
  </si>
  <si>
    <t>601939 CH</t>
  </si>
  <si>
    <t>建設銀行</t>
  </si>
  <si>
    <t>603259 CH</t>
  </si>
  <si>
    <t>藥明康德</t>
  </si>
  <si>
    <t>洛陽鉬業</t>
  </si>
  <si>
    <t>流通單位數(千)</t>
  </si>
  <si>
    <t>商品代碼</t>
  </si>
  <si>
    <t>商品名稱</t>
  </si>
  <si>
    <t>日期</t>
  </si>
  <si>
    <t>時間</t>
  </si>
  <si>
    <t>漲跌幅</t>
  </si>
  <si>
    <t>開盤價</t>
  </si>
  <si>
    <t>最高價</t>
  </si>
  <si>
    <t>最低價</t>
  </si>
  <si>
    <t>成交量</t>
  </si>
  <si>
    <t>理論價</t>
  </si>
  <si>
    <t>參考價</t>
  </si>
  <si>
    <t>漲停價</t>
  </si>
  <si>
    <t>跌停價</t>
  </si>
  <si>
    <t>昨收價</t>
  </si>
  <si>
    <t>昨日成交量</t>
  </si>
  <si>
    <t>資料更新日期</t>
  </si>
  <si>
    <t>總委買筆</t>
  </si>
  <si>
    <t>總委賣筆</t>
  </si>
  <si>
    <t>總委買量</t>
  </si>
  <si>
    <t>總委賣量</t>
  </si>
  <si>
    <t>買價1</t>
  </si>
  <si>
    <t>買價2</t>
  </si>
  <si>
    <t>買價3</t>
  </si>
  <si>
    <t>買價4</t>
  </si>
  <si>
    <t>買價5</t>
  </si>
  <si>
    <t>賣價1</t>
  </si>
  <si>
    <t>賣價2</t>
  </si>
  <si>
    <t>賣價3</t>
  </si>
  <si>
    <t>賣價4</t>
  </si>
  <si>
    <t>賣價5</t>
  </si>
  <si>
    <t>委買量1</t>
  </si>
  <si>
    <t>委買量2</t>
  </si>
  <si>
    <t>委買量3</t>
  </si>
  <si>
    <t>委買量4</t>
  </si>
  <si>
    <t>委買量5</t>
  </si>
  <si>
    <t>委賣量1</t>
  </si>
  <si>
    <t>委賣量2</t>
  </si>
  <si>
    <t>委賣量3</t>
  </si>
  <si>
    <t>委賣量4</t>
  </si>
  <si>
    <t>委賣量5</t>
  </si>
  <si>
    <t>內盤量</t>
  </si>
  <si>
    <t>外盤量</t>
  </si>
  <si>
    <t>GC1908</t>
  </si>
  <si>
    <t>GC1912</t>
  </si>
  <si>
    <t>保證金</t>
  </si>
  <si>
    <t>現金</t>
  </si>
  <si>
    <t>附買回債券</t>
  </si>
  <si>
    <t>應收利息</t>
  </si>
  <si>
    <t>應付申購預收款</t>
  </si>
  <si>
    <t>金額</t>
  </si>
  <si>
    <t>應付受益權單位買回款</t>
  </si>
  <si>
    <t>3188.HK</t>
    <phoneticPr fontId="8" type="noConversion"/>
  </si>
  <si>
    <t>CHINAAMC CSI 300 IDX ETF-HKD</t>
    <phoneticPr fontId="0" type="noConversion"/>
  </si>
  <si>
    <t>現金(HKD)</t>
    <phoneticPr fontId="8" type="noConversion"/>
  </si>
  <si>
    <t>HKD</t>
    <phoneticPr fontId="8" type="noConversion"/>
  </si>
  <si>
    <t>A50_07</t>
    <phoneticPr fontId="0" type="noConversion"/>
  </si>
  <si>
    <t>A50_08</t>
    <phoneticPr fontId="0" type="noConversion"/>
  </si>
  <si>
    <t>ES1909</t>
  </si>
  <si>
    <t>ES1912</t>
  </si>
  <si>
    <t>A UN</t>
  </si>
  <si>
    <t>AAL UQ</t>
  </si>
  <si>
    <t>AAP UN</t>
  </si>
  <si>
    <t>AAPL UQ</t>
  </si>
  <si>
    <t>ABBV UN</t>
  </si>
  <si>
    <t>ABC UN</t>
  </si>
  <si>
    <t>ABMD UQ</t>
  </si>
  <si>
    <t>ABIOMED INC</t>
  </si>
  <si>
    <t>ABT UN</t>
  </si>
  <si>
    <t>ACN UN</t>
  </si>
  <si>
    <t>ADBE UQ</t>
  </si>
  <si>
    <t>ADOBE INC</t>
  </si>
  <si>
    <t>ADI UQ</t>
  </si>
  <si>
    <t>ADM UN</t>
  </si>
  <si>
    <t>ADP UQ</t>
  </si>
  <si>
    <t>ADS UN</t>
  </si>
  <si>
    <t>ADSK UQ</t>
  </si>
  <si>
    <t>AEE UN</t>
  </si>
  <si>
    <t>AEP UN</t>
  </si>
  <si>
    <t>AES UN</t>
  </si>
  <si>
    <t>AFL UN</t>
  </si>
  <si>
    <t>AGN UN</t>
  </si>
  <si>
    <t>AIG UN</t>
  </si>
  <si>
    <t>AIV UN</t>
  </si>
  <si>
    <t>AIZ UN</t>
  </si>
  <si>
    <t>AJG UN</t>
  </si>
  <si>
    <t>AKAM UQ</t>
  </si>
  <si>
    <t>ALB UN</t>
  </si>
  <si>
    <t>ALGN UQ</t>
  </si>
  <si>
    <t>ALK UN</t>
  </si>
  <si>
    <t>ALL UN</t>
  </si>
  <si>
    <t>ALLE UN</t>
  </si>
  <si>
    <t>ALXN UQ</t>
  </si>
  <si>
    <t>AMAT UQ</t>
  </si>
  <si>
    <t>AMCR UN</t>
  </si>
  <si>
    <t>AMCOR PLC</t>
  </si>
  <si>
    <t>AMD UQ</t>
  </si>
  <si>
    <t>AME UN</t>
  </si>
  <si>
    <t>AMG UN</t>
  </si>
  <si>
    <t>AMGN UQ</t>
  </si>
  <si>
    <t>AMP UN</t>
  </si>
  <si>
    <t>AMT UN</t>
  </si>
  <si>
    <t>AMZN UQ</t>
  </si>
  <si>
    <t>ANET UN</t>
  </si>
  <si>
    <t>ARISTA NETWORKS INC</t>
  </si>
  <si>
    <t>ANSS UQ</t>
  </si>
  <si>
    <t>ANTM UN</t>
  </si>
  <si>
    <t>AON UN</t>
  </si>
  <si>
    <t>AOS UN</t>
  </si>
  <si>
    <t>APA UN</t>
  </si>
  <si>
    <t>APC UN</t>
  </si>
  <si>
    <t>APD UN</t>
  </si>
  <si>
    <t>APH UN</t>
  </si>
  <si>
    <t>APTV UN</t>
  </si>
  <si>
    <t>APTIV PLC</t>
  </si>
  <si>
    <t>ARE UN</t>
  </si>
  <si>
    <t>ARNC UN</t>
  </si>
  <si>
    <t>ATO UN</t>
  </si>
  <si>
    <t>ATMOS ENERGY CORP</t>
  </si>
  <si>
    <t>ATVI UQ</t>
  </si>
  <si>
    <t>AVB UN</t>
  </si>
  <si>
    <t>AVGO UQ</t>
  </si>
  <si>
    <t>BROADCOM INC</t>
  </si>
  <si>
    <t>AVY UN</t>
  </si>
  <si>
    <t>AWK UN</t>
  </si>
  <si>
    <t>AXP UN</t>
  </si>
  <si>
    <t>AZO UN</t>
  </si>
  <si>
    <t>BA UN</t>
  </si>
  <si>
    <t>BAC UN</t>
  </si>
  <si>
    <t>BAX UN</t>
  </si>
  <si>
    <t>BBT UN</t>
  </si>
  <si>
    <t>BBY UN</t>
  </si>
  <si>
    <t>BDX UN</t>
  </si>
  <si>
    <t>BEN UN</t>
  </si>
  <si>
    <t>BF/B UN</t>
  </si>
  <si>
    <t>BHGE UN</t>
  </si>
  <si>
    <t>BIIB UQ</t>
  </si>
  <si>
    <t>BK UN</t>
  </si>
  <si>
    <t>BKNG UQ</t>
  </si>
  <si>
    <t>BOOKING HOLDINGS INC</t>
  </si>
  <si>
    <t>BLK UN</t>
  </si>
  <si>
    <t>BLL UN</t>
  </si>
  <si>
    <t>BMY UN</t>
  </si>
  <si>
    <t>BR UN</t>
  </si>
  <si>
    <t>BROADRIDGE FINANCIAL SOLUTIO</t>
  </si>
  <si>
    <t>BRK/B UN</t>
  </si>
  <si>
    <t>BSX UN</t>
  </si>
  <si>
    <t>BWA UN</t>
  </si>
  <si>
    <t>BXP UN</t>
  </si>
  <si>
    <t>C UN</t>
  </si>
  <si>
    <t>CAG UN</t>
  </si>
  <si>
    <t>CAH UN</t>
  </si>
  <si>
    <t>CAT UN</t>
  </si>
  <si>
    <t>CB UN</t>
  </si>
  <si>
    <t>CBOE UF</t>
  </si>
  <si>
    <t>CBOE GLOBAL MARKETS INC</t>
  </si>
  <si>
    <t>CBRE UN</t>
  </si>
  <si>
    <t>CBS UN</t>
  </si>
  <si>
    <t>CCI UN</t>
  </si>
  <si>
    <t>CCL UN</t>
  </si>
  <si>
    <t>CDNS UQ</t>
  </si>
  <si>
    <t>CE UN</t>
  </si>
  <si>
    <t>CELANESE CORP</t>
  </si>
  <si>
    <t>CELG UQ</t>
  </si>
  <si>
    <t>CERN UQ</t>
  </si>
  <si>
    <t>CF UN</t>
  </si>
  <si>
    <t>CFG UN</t>
  </si>
  <si>
    <t>CHD UN</t>
  </si>
  <si>
    <t>CHRW UQ</t>
  </si>
  <si>
    <t>CHTR UQ</t>
  </si>
  <si>
    <t>CI UN</t>
  </si>
  <si>
    <t>CINF UQ</t>
  </si>
  <si>
    <t>CL UN</t>
  </si>
  <si>
    <t>CLX UN</t>
  </si>
  <si>
    <t>CMA UN</t>
  </si>
  <si>
    <t>CMCSA UQ</t>
  </si>
  <si>
    <t>CME UQ</t>
  </si>
  <si>
    <t>CMG UN</t>
  </si>
  <si>
    <t>CMI UN</t>
  </si>
  <si>
    <t>CMS UN</t>
  </si>
  <si>
    <t>CNC UN</t>
  </si>
  <si>
    <t>CNP UN</t>
  </si>
  <si>
    <t>COF UN</t>
  </si>
  <si>
    <t>COG UN</t>
  </si>
  <si>
    <t>COO UN</t>
  </si>
  <si>
    <t>COP UN</t>
  </si>
  <si>
    <t>COST UQ</t>
  </si>
  <si>
    <t>COTY UN</t>
  </si>
  <si>
    <t>CPB UN</t>
  </si>
  <si>
    <t>CPRI UN</t>
  </si>
  <si>
    <t>CAPRI HOLDINGS LTD</t>
  </si>
  <si>
    <t>CPRT UQ</t>
  </si>
  <si>
    <t>COPART INC</t>
  </si>
  <si>
    <t>CRM UN</t>
  </si>
  <si>
    <t>CSCO UQ</t>
  </si>
  <si>
    <t>CSX UQ</t>
  </si>
  <si>
    <t>CTAS UQ</t>
  </si>
  <si>
    <t>CTL UN</t>
  </si>
  <si>
    <t>CTSH UQ</t>
  </si>
  <si>
    <t>CTVA UN</t>
  </si>
  <si>
    <t>CORTEVA INC</t>
  </si>
  <si>
    <t>CTXS UQ</t>
  </si>
  <si>
    <t>CVS UN</t>
  </si>
  <si>
    <t>CVX UN</t>
  </si>
  <si>
    <t>CXO UN</t>
  </si>
  <si>
    <t>D UN</t>
  </si>
  <si>
    <t>DAL UN</t>
  </si>
  <si>
    <t>DD UN</t>
  </si>
  <si>
    <t>DUPONT DE NEMOURS INC</t>
  </si>
  <si>
    <t>DE UN</t>
  </si>
  <si>
    <t>DFS UN</t>
  </si>
  <si>
    <t>DG UN</t>
  </si>
  <si>
    <t>DGX UN</t>
  </si>
  <si>
    <t>DHI UN</t>
  </si>
  <si>
    <t>DHR UN</t>
  </si>
  <si>
    <t>DIS UN</t>
  </si>
  <si>
    <t>DISCA UQ</t>
  </si>
  <si>
    <t>DISCOVERY INC - A</t>
  </si>
  <si>
    <t>DISCK UQ</t>
  </si>
  <si>
    <t>DISCOVERY INC-C</t>
  </si>
  <si>
    <t>DISH UQ</t>
  </si>
  <si>
    <t>DLR UN</t>
  </si>
  <si>
    <t>DLTR UQ</t>
  </si>
  <si>
    <t>DOV UN</t>
  </si>
  <si>
    <t>DOW UN</t>
  </si>
  <si>
    <t>DOW INC</t>
  </si>
  <si>
    <t>DRE UN</t>
  </si>
  <si>
    <t>DRI UN</t>
  </si>
  <si>
    <t>DTE UN</t>
  </si>
  <si>
    <t>DUK UN</t>
  </si>
  <si>
    <t>DVA UN</t>
  </si>
  <si>
    <t>DVN UN</t>
  </si>
  <si>
    <t>DXC UN</t>
  </si>
  <si>
    <t>EA UQ</t>
  </si>
  <si>
    <t>EBAY UQ</t>
  </si>
  <si>
    <t>ECL UN</t>
  </si>
  <si>
    <t>ED UN</t>
  </si>
  <si>
    <t>EFX UN</t>
  </si>
  <si>
    <t>EIX UN</t>
  </si>
  <si>
    <t>EL UN</t>
  </si>
  <si>
    <t>EMN UN</t>
  </si>
  <si>
    <t>EMR UN</t>
  </si>
  <si>
    <t>EOG UN</t>
  </si>
  <si>
    <t>EQIX UQ</t>
  </si>
  <si>
    <t>EQR UN</t>
  </si>
  <si>
    <t>ES UN</t>
  </si>
  <si>
    <t>ESS UN</t>
  </si>
  <si>
    <t>ETFC UQ</t>
  </si>
  <si>
    <t>ETN UN</t>
  </si>
  <si>
    <t>ETR UN</t>
  </si>
  <si>
    <t>EVRG UN</t>
  </si>
  <si>
    <t>EVERGY INC</t>
  </si>
  <si>
    <t>EW UN</t>
  </si>
  <si>
    <t>EXC UN</t>
  </si>
  <si>
    <t>EXPD UQ</t>
  </si>
  <si>
    <t>EXPE UQ</t>
  </si>
  <si>
    <t>EXPEDIA GROUP INC</t>
  </si>
  <si>
    <t>EXR UN</t>
  </si>
  <si>
    <t>F UN</t>
  </si>
  <si>
    <t>FANG UQ</t>
  </si>
  <si>
    <t>DIAMONDBACK ENERGY INC</t>
  </si>
  <si>
    <t>FAST UQ</t>
  </si>
  <si>
    <t>FB UQ</t>
  </si>
  <si>
    <t>FACEBOOK INC-CLASS A</t>
  </si>
  <si>
    <t>FBHS UN</t>
  </si>
  <si>
    <t>FCX UN</t>
  </si>
  <si>
    <t>FDX UN</t>
  </si>
  <si>
    <t>FE UN</t>
  </si>
  <si>
    <t>FFIV UQ</t>
  </si>
  <si>
    <t>FIS UN</t>
  </si>
  <si>
    <t>FISV UQ</t>
  </si>
  <si>
    <t>FITB UQ</t>
  </si>
  <si>
    <t>FL UN</t>
  </si>
  <si>
    <t>FLIR UQ</t>
  </si>
  <si>
    <t>FLS UN</t>
  </si>
  <si>
    <t>FLT UN</t>
  </si>
  <si>
    <t>FLEETCOR TECHNOLOGIES INC</t>
  </si>
  <si>
    <t>FMC UN</t>
  </si>
  <si>
    <t>FOX UQ</t>
  </si>
  <si>
    <t>FOX CORP - CLASS B</t>
  </si>
  <si>
    <t>FOXA UQ</t>
  </si>
  <si>
    <t>FOX CORP - CLASS A</t>
  </si>
  <si>
    <t>FRC UN</t>
  </si>
  <si>
    <t>FIRST REPUBLIC BANK/CA</t>
  </si>
  <si>
    <t>FRT UN</t>
  </si>
  <si>
    <t>FTI UN</t>
  </si>
  <si>
    <t>FTNT UQ</t>
  </si>
  <si>
    <t>FORTINET INC</t>
  </si>
  <si>
    <t>FTV UN</t>
  </si>
  <si>
    <t>GD UN</t>
  </si>
  <si>
    <t>GE UN</t>
  </si>
  <si>
    <t>GILD UQ</t>
  </si>
  <si>
    <t>GIS UN</t>
  </si>
  <si>
    <t>GLW UN</t>
  </si>
  <si>
    <t>GM UN</t>
  </si>
  <si>
    <t>GOOG UQ</t>
  </si>
  <si>
    <t>GOOGL UQ</t>
  </si>
  <si>
    <t>GPC UN</t>
  </si>
  <si>
    <t>GPN UN</t>
  </si>
  <si>
    <t>GPS UN</t>
  </si>
  <si>
    <t>GRMN UQ</t>
  </si>
  <si>
    <t>GS UN</t>
  </si>
  <si>
    <t>GWW UN</t>
  </si>
  <si>
    <t>HAL UN</t>
  </si>
  <si>
    <t>HAS UQ</t>
  </si>
  <si>
    <t>HBAN UQ</t>
  </si>
  <si>
    <t>HBI UN</t>
  </si>
  <si>
    <t>HCA UN</t>
  </si>
  <si>
    <t>HCP UN</t>
  </si>
  <si>
    <t>HD UN</t>
  </si>
  <si>
    <t>HES UN</t>
  </si>
  <si>
    <t>HFC UN</t>
  </si>
  <si>
    <t>HOLLYFRONTIER CORP</t>
  </si>
  <si>
    <t>HIG UN</t>
  </si>
  <si>
    <t>HII UN</t>
  </si>
  <si>
    <t>HUNTINGTON INGALLS INDUSTRIE</t>
  </si>
  <si>
    <t>HLT UN</t>
  </si>
  <si>
    <t>HOG UN</t>
  </si>
  <si>
    <t>HOLX UQ</t>
  </si>
  <si>
    <t>HON UN</t>
  </si>
  <si>
    <t>HP UN</t>
  </si>
  <si>
    <t>HPE UN</t>
  </si>
  <si>
    <t>HEWLETT PACKARD ENTERPRISE</t>
  </si>
  <si>
    <t>HPQ UN</t>
  </si>
  <si>
    <t>HRB UN</t>
  </si>
  <si>
    <t>HRL UN</t>
  </si>
  <si>
    <t>HSIC UQ</t>
  </si>
  <si>
    <t>HST UN</t>
  </si>
  <si>
    <t>HSY UN</t>
  </si>
  <si>
    <t>HUM UN</t>
  </si>
  <si>
    <t>IBM UN</t>
  </si>
  <si>
    <t>ICE UN</t>
  </si>
  <si>
    <t>IDXX UQ</t>
  </si>
  <si>
    <t>IFF UN</t>
  </si>
  <si>
    <t>ILMN UQ</t>
  </si>
  <si>
    <t>INCY UQ</t>
  </si>
  <si>
    <t>INFO UN</t>
  </si>
  <si>
    <t>INTC UQ</t>
  </si>
  <si>
    <t>INTU UQ</t>
  </si>
  <si>
    <t>IP UN</t>
  </si>
  <si>
    <t>IPG UN</t>
  </si>
  <si>
    <t>IPGP UQ</t>
  </si>
  <si>
    <t>IPG PHOTONICS CORP</t>
  </si>
  <si>
    <t>IQV UN</t>
  </si>
  <si>
    <t>IQVIA HOLDINGS INC</t>
  </si>
  <si>
    <t>IR UN</t>
  </si>
  <si>
    <t>IRM UN</t>
  </si>
  <si>
    <t>ISRG UQ</t>
  </si>
  <si>
    <t>IT UN</t>
  </si>
  <si>
    <t>ITW UN</t>
  </si>
  <si>
    <t>IVZ UN</t>
  </si>
  <si>
    <t>JBHT UQ</t>
  </si>
  <si>
    <t>JCI UN</t>
  </si>
  <si>
    <t>JEC UN</t>
  </si>
  <si>
    <t>JEF UN</t>
  </si>
  <si>
    <t>JEFFERIES FINANCIAL GROUP IN</t>
  </si>
  <si>
    <t>JKHY UQ</t>
  </si>
  <si>
    <t>JACK HENRY &amp; ASSOCIATES INC</t>
  </si>
  <si>
    <t>JNJ UN</t>
  </si>
  <si>
    <t>JNPR UN</t>
  </si>
  <si>
    <t>JPM UN</t>
  </si>
  <si>
    <t>JWN UN</t>
  </si>
  <si>
    <t>K UN</t>
  </si>
  <si>
    <t>KEY UN</t>
  </si>
  <si>
    <t>KEYS UN</t>
  </si>
  <si>
    <t>KEYSIGHT TECHNOLOGIES IN</t>
  </si>
  <si>
    <t>KHC UQ</t>
  </si>
  <si>
    <t>KIM UN</t>
  </si>
  <si>
    <t>KLAC UQ</t>
  </si>
  <si>
    <t>KMB UN</t>
  </si>
  <si>
    <t>KMI UN</t>
  </si>
  <si>
    <t>KMX UN</t>
  </si>
  <si>
    <t>KO UN</t>
  </si>
  <si>
    <t>KR UN</t>
  </si>
  <si>
    <t>KSS UN</t>
  </si>
  <si>
    <t>KSU UN</t>
  </si>
  <si>
    <t>L UN</t>
  </si>
  <si>
    <t>LB UN</t>
  </si>
  <si>
    <t>LEG UN</t>
  </si>
  <si>
    <t>LEN UN</t>
  </si>
  <si>
    <t>LH UN</t>
  </si>
  <si>
    <t>LHX UN</t>
  </si>
  <si>
    <t>L3HARRIS TECHNOLOGIES INC</t>
  </si>
  <si>
    <t>LIN UN</t>
  </si>
  <si>
    <t>LINDE PLC</t>
  </si>
  <si>
    <t>LKQ UQ</t>
  </si>
  <si>
    <t>LLY UN</t>
  </si>
  <si>
    <t>LMT UN</t>
  </si>
  <si>
    <t>LNC UN</t>
  </si>
  <si>
    <t>LNT UQ</t>
  </si>
  <si>
    <t>LOW UN</t>
  </si>
  <si>
    <t>LRCX UQ</t>
  </si>
  <si>
    <t>LUV UN</t>
  </si>
  <si>
    <t>LW UN</t>
  </si>
  <si>
    <t>LAMB WESTON HOLDINGS INC</t>
  </si>
  <si>
    <t>LYB UN</t>
  </si>
  <si>
    <t>M UN</t>
  </si>
  <si>
    <t>MA UN</t>
  </si>
  <si>
    <t>MAA UN</t>
  </si>
  <si>
    <t>MAC UN</t>
  </si>
  <si>
    <t>MAR UQ</t>
  </si>
  <si>
    <t>MAS UN</t>
  </si>
  <si>
    <t>MCD UN</t>
  </si>
  <si>
    <t>MCHP UQ</t>
  </si>
  <si>
    <t>MCK UN</t>
  </si>
  <si>
    <t>MCO UN</t>
  </si>
  <si>
    <t>MDLZ UQ</t>
  </si>
  <si>
    <t>MDT UN</t>
  </si>
  <si>
    <t>MET UN</t>
  </si>
  <si>
    <t>MGM UN</t>
  </si>
  <si>
    <t>MHK UN</t>
  </si>
  <si>
    <t>MKC UN</t>
  </si>
  <si>
    <t>MLM UN</t>
  </si>
  <si>
    <t>MMC UN</t>
  </si>
  <si>
    <t>MMM UN</t>
  </si>
  <si>
    <t>MNST UQ</t>
  </si>
  <si>
    <t>MO UN</t>
  </si>
  <si>
    <t>MOS UN</t>
  </si>
  <si>
    <t>MPC UN</t>
  </si>
  <si>
    <t>MRK UN</t>
  </si>
  <si>
    <t>MRO UN</t>
  </si>
  <si>
    <t>MS UN</t>
  </si>
  <si>
    <t>MSCI UN</t>
  </si>
  <si>
    <t>MSCI INC</t>
  </si>
  <si>
    <t>MSFT UQ</t>
  </si>
  <si>
    <t>MSI UN</t>
  </si>
  <si>
    <t>MTB UN</t>
  </si>
  <si>
    <t>MTD UN</t>
  </si>
  <si>
    <t>MU UQ</t>
  </si>
  <si>
    <t>MXIM UQ</t>
  </si>
  <si>
    <t>MAXIM INTEGRATED PRODUCTS</t>
  </si>
  <si>
    <t>MYL UQ</t>
  </si>
  <si>
    <t>NBL UN</t>
  </si>
  <si>
    <t>NCLH UN</t>
  </si>
  <si>
    <t>NORWEGIAN CRUISE LINE HOLDIN</t>
  </si>
  <si>
    <t>NDAQ UQ</t>
  </si>
  <si>
    <t>NEE UN</t>
  </si>
  <si>
    <t>NEM UN</t>
  </si>
  <si>
    <t>NEWMONT GOLDCORP CORP</t>
  </si>
  <si>
    <t>NFLX UQ</t>
  </si>
  <si>
    <t>NI UN</t>
  </si>
  <si>
    <t>NKE UN</t>
  </si>
  <si>
    <t>NKTR UQ</t>
  </si>
  <si>
    <t>NEKTAR THERAPEUTICS</t>
  </si>
  <si>
    <t>NLSN UN</t>
  </si>
  <si>
    <t>NOC UN</t>
  </si>
  <si>
    <t>NOV UN</t>
  </si>
  <si>
    <t>NRG UN</t>
  </si>
  <si>
    <t>NSC UN</t>
  </si>
  <si>
    <t>NTAP UQ</t>
  </si>
  <si>
    <t>NTRS UQ</t>
  </si>
  <si>
    <t>NUE UN</t>
  </si>
  <si>
    <t>NVDA UQ</t>
  </si>
  <si>
    <t>NWL UQ</t>
  </si>
  <si>
    <t>NWS UQ</t>
  </si>
  <si>
    <t>NWSA UQ</t>
  </si>
  <si>
    <t>O UN</t>
  </si>
  <si>
    <t>OKE UN</t>
  </si>
  <si>
    <t>OMC UN</t>
  </si>
  <si>
    <t>ORCL UN</t>
  </si>
  <si>
    <t>ORLY UQ</t>
  </si>
  <si>
    <t>OXY UN</t>
  </si>
  <si>
    <t>PAYX UQ</t>
  </si>
  <si>
    <t>PBCT UQ</t>
  </si>
  <si>
    <t>PCAR UQ</t>
  </si>
  <si>
    <t>PEG UN</t>
  </si>
  <si>
    <t>PEP UQ</t>
  </si>
  <si>
    <t>PFE UN</t>
  </si>
  <si>
    <t>PFG UQ</t>
  </si>
  <si>
    <t>PG UN</t>
  </si>
  <si>
    <t>PGR UN</t>
  </si>
  <si>
    <t>PH UN</t>
  </si>
  <si>
    <t>PHM UN</t>
  </si>
  <si>
    <t>PKG UN</t>
  </si>
  <si>
    <t>PKI UN</t>
  </si>
  <si>
    <t>PLD UN</t>
  </si>
  <si>
    <t>PM UN</t>
  </si>
  <si>
    <t>PNC UN</t>
  </si>
  <si>
    <t>PNR UN</t>
  </si>
  <si>
    <t>PNW UN</t>
  </si>
  <si>
    <t>PPG UN</t>
  </si>
  <si>
    <t>PPL UN</t>
  </si>
  <si>
    <t>PRGO UN</t>
  </si>
  <si>
    <t>PRU UN</t>
  </si>
  <si>
    <t>PSA UN</t>
  </si>
  <si>
    <t>PSX UN</t>
  </si>
  <si>
    <t>PVH UN</t>
  </si>
  <si>
    <t>PWR UN</t>
  </si>
  <si>
    <t>PXD UN</t>
  </si>
  <si>
    <t>PYPL UQ</t>
  </si>
  <si>
    <t>QCOM UQ</t>
  </si>
  <si>
    <t>QRVO UQ</t>
  </si>
  <si>
    <t>RCL UN</t>
  </si>
  <si>
    <t>RE UN</t>
  </si>
  <si>
    <t>REG UQ</t>
  </si>
  <si>
    <t>REGN UQ</t>
  </si>
  <si>
    <t>RF UN</t>
  </si>
  <si>
    <t>RHI UN</t>
  </si>
  <si>
    <t>RJF UN</t>
  </si>
  <si>
    <t>RL UN</t>
  </si>
  <si>
    <t>RMD UN</t>
  </si>
  <si>
    <t>ROK UN</t>
  </si>
  <si>
    <t>ROL UN</t>
  </si>
  <si>
    <t>ROLLINS INC</t>
  </si>
  <si>
    <t>ROP UN</t>
  </si>
  <si>
    <t>ROST UQ</t>
  </si>
  <si>
    <t>RSG UN</t>
  </si>
  <si>
    <t>RTN UN</t>
  </si>
  <si>
    <t>SBAC UQ</t>
  </si>
  <si>
    <t>SBUX UQ</t>
  </si>
  <si>
    <t>SCHW UN</t>
  </si>
  <si>
    <t>SEE UN</t>
  </si>
  <si>
    <t>SHW UN</t>
  </si>
  <si>
    <t>SIVB UQ</t>
  </si>
  <si>
    <t>SVB FINANCIAL GROUP</t>
  </si>
  <si>
    <t>SJM UN</t>
  </si>
  <si>
    <t>SLB UN</t>
  </si>
  <si>
    <t>SLG UN</t>
  </si>
  <si>
    <t>SNA UN</t>
  </si>
  <si>
    <t>SNPS UQ</t>
  </si>
  <si>
    <t>SO UN</t>
  </si>
  <si>
    <t>SPG UN</t>
  </si>
  <si>
    <t>SPGI UN</t>
  </si>
  <si>
    <t>SRE UN</t>
  </si>
  <si>
    <t>STI UN</t>
  </si>
  <si>
    <t>STT UN</t>
  </si>
  <si>
    <t>STX UQ</t>
  </si>
  <si>
    <t>STZ UN</t>
  </si>
  <si>
    <t>SWK UN</t>
  </si>
  <si>
    <t>SWKS UQ</t>
  </si>
  <si>
    <t>SYF UN</t>
  </si>
  <si>
    <t>SYK UN</t>
  </si>
  <si>
    <t>SYMC UQ</t>
  </si>
  <si>
    <t>SYY UN</t>
  </si>
  <si>
    <t>T UN</t>
  </si>
  <si>
    <t>TAP UN</t>
  </si>
  <si>
    <t>TDG UN</t>
  </si>
  <si>
    <t>TEL UN</t>
  </si>
  <si>
    <t>TFX UN</t>
  </si>
  <si>
    <t>TELEFLEX INC</t>
  </si>
  <si>
    <t>TGT UN</t>
  </si>
  <si>
    <t>TIF UN</t>
  </si>
  <si>
    <t>TJX UN</t>
  </si>
  <si>
    <t>TMK UN</t>
  </si>
  <si>
    <t>TMO UN</t>
  </si>
  <si>
    <t>TPR UN</t>
  </si>
  <si>
    <t>TAPESTRY INC</t>
  </si>
  <si>
    <t>TRIP UQ</t>
  </si>
  <si>
    <t>TROW UQ</t>
  </si>
  <si>
    <t>TRV UN</t>
  </si>
  <si>
    <t>TSCO UQ</t>
  </si>
  <si>
    <t>TSN UN</t>
  </si>
  <si>
    <t>TSS UN</t>
  </si>
  <si>
    <t>TTWO UQ</t>
  </si>
  <si>
    <t>TAKE-TWO INTERACTIVE SOFTWRE</t>
  </si>
  <si>
    <t>TWTR UN</t>
  </si>
  <si>
    <t>TWITTER INC</t>
  </si>
  <si>
    <t>TXN UQ</t>
  </si>
  <si>
    <t>TXT UN</t>
  </si>
  <si>
    <t>UA UN</t>
  </si>
  <si>
    <t>UAA UN</t>
  </si>
  <si>
    <t>UAL UQ</t>
  </si>
  <si>
    <t>UNITED AIRLINES HOLDINGS INC</t>
  </si>
  <si>
    <t>UDR UN</t>
  </si>
  <si>
    <t>UHS UN</t>
  </si>
  <si>
    <t>ULTA UQ</t>
  </si>
  <si>
    <t>UNH UN</t>
  </si>
  <si>
    <t>UNM UN</t>
  </si>
  <si>
    <t>UNP UN</t>
  </si>
  <si>
    <t>UPS UN</t>
  </si>
  <si>
    <t>URI UN</t>
  </si>
  <si>
    <t>USB UN</t>
  </si>
  <si>
    <t>UTX UN</t>
  </si>
  <si>
    <t>V UN</t>
  </si>
  <si>
    <t>VAR UN</t>
  </si>
  <si>
    <t>VFC UN</t>
  </si>
  <si>
    <t>VIAB UQ</t>
  </si>
  <si>
    <t>VLO UN</t>
  </si>
  <si>
    <t>VMC UN</t>
  </si>
  <si>
    <t>VNO UN</t>
  </si>
  <si>
    <t>VRSK UQ</t>
  </si>
  <si>
    <t>VRSN UQ</t>
  </si>
  <si>
    <t>VRTX UQ</t>
  </si>
  <si>
    <t>VTR UN</t>
  </si>
  <si>
    <t>VZ UN</t>
  </si>
  <si>
    <t>WAB UN</t>
  </si>
  <si>
    <t>WABTEC CORP</t>
  </si>
  <si>
    <t>WAT UN</t>
  </si>
  <si>
    <t>WBA UQ</t>
  </si>
  <si>
    <t>WCG UN</t>
  </si>
  <si>
    <t>WELLCARE HEALTH PLANS INC</t>
  </si>
  <si>
    <t>WDC UQ</t>
  </si>
  <si>
    <t>WEC UN</t>
  </si>
  <si>
    <t>WELL UN</t>
  </si>
  <si>
    <t>WFC UN</t>
  </si>
  <si>
    <t>WHR UN</t>
  </si>
  <si>
    <t>WLTW UQ</t>
  </si>
  <si>
    <t>WM UN</t>
  </si>
  <si>
    <t>WMB UN</t>
  </si>
  <si>
    <t>WMT UN</t>
  </si>
  <si>
    <t>WALMART INC</t>
  </si>
  <si>
    <t>WRK UN</t>
  </si>
  <si>
    <t>WU UN</t>
  </si>
  <si>
    <t>WY UN</t>
  </si>
  <si>
    <t>WYNN UQ</t>
  </si>
  <si>
    <t>XEC UN</t>
  </si>
  <si>
    <t>XEL UQ</t>
  </si>
  <si>
    <t>XLNX UQ</t>
  </si>
  <si>
    <t>XOM UN</t>
  </si>
  <si>
    <t>XRAY UQ</t>
  </si>
  <si>
    <t>XRX UN</t>
  </si>
  <si>
    <t>XYL UN</t>
  </si>
  <si>
    <t>YUM UN</t>
  </si>
  <si>
    <t>ZBH UN</t>
  </si>
  <si>
    <t>ZION UQ</t>
  </si>
  <si>
    <t>ZIONS BANCORP NA</t>
  </si>
  <si>
    <t>ZTS UN</t>
  </si>
  <si>
    <t>定期存款-一般式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</si>
</sst>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(* #,##0.00_);_(* \(#,##0.00\);_(* &quot;-&quot;??_);_(@_)"/>
    <numFmt numFmtId="177" formatCode="&quot;$&quot;#,##0_);[Red]\(&quot;$&quot;#,##0\)"/>
    <numFmt numFmtId="178" formatCode="_(&quot;$&quot;* #,##0.00_);_(&quot;$&quot;* \(#,##0.00\);_(&quot;$&quot;* &quot;-&quot;??_);_(@_)"/>
    <numFmt numFmtId="179" formatCode="0.00_ "/>
    <numFmt numFmtId="180" formatCode="0.000_ "/>
    <numFmt numFmtId="181" formatCode="_-* #,##0_-;\-* #,##0_-;_-* &quot;-&quot;??_-;_-@_-"/>
    <numFmt numFmtId="182" formatCode="0.000%"/>
    <numFmt numFmtId="183" formatCode="_-* #,##0.0_-;\-* #,##0.0_-;_-* &quot;-&quot;??_-;_-@_-"/>
    <numFmt numFmtId="184" formatCode="_-&quot;$&quot;* #,##0_-;\-&quot;$&quot;* #,##0_-;_-&quot;$&quot;* &quot;-&quot;??_-;_-@_-"/>
    <numFmt numFmtId="185" formatCode="#,##0_ ;[Red]\-#,##0\ "/>
    <numFmt numFmtId="186" formatCode="_-* #,##0.0000_-;\-* #,##0.0000_-;_-* &quot;-&quot;??_-;_-@_-"/>
    <numFmt numFmtId="187" formatCode="_(* #,##0_);_(* \(#,##0\);_(* &quot;-&quot;??_);_(@_)"/>
    <numFmt numFmtId="188" formatCode="#,##0.00_ ;[Red]\-#,##0.00\ "/>
    <numFmt numFmtId="189" formatCode="hhmmss"/>
    <numFmt numFmtId="190" formatCode="0.0"/>
    <numFmt numFmtId="191" formatCode="0.00_ ;[Red]\-0.00\ "/>
    <numFmt numFmtId="192" formatCode="0.00_);[Red]\(0.00\)"/>
  </numFmts>
  <fonts count="5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8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0"/>
      <color rgb="FF333333"/>
      <name val="微軟正黑體"/>
      <family val="2"/>
      <charset val="136"/>
    </font>
    <font>
      <sz val="12"/>
      <color theme="5" tint="-0.499984740745262"/>
      <name val="新細明體"/>
      <family val="1"/>
      <charset val="136"/>
      <scheme val="minor"/>
    </font>
    <font>
      <sz val="10"/>
      <name val="新細明體"/>
      <family val="1"/>
      <charset val="136"/>
    </font>
    <font>
      <b/>
      <sz val="12"/>
      <color theme="5" tint="-0.499984740745262"/>
      <name val="新細明體"/>
      <family val="1"/>
      <charset val="136"/>
      <scheme val="minor"/>
    </font>
    <font>
      <b/>
      <sz val="12"/>
      <color theme="8" tint="-0.499984740745262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0"/>
      <color theme="1"/>
      <name val="Arial Unicode MS"/>
      <family val="2"/>
      <charset val="136"/>
    </font>
    <font>
      <sz val="10"/>
      <color rgb="FFFFFFFF"/>
      <name val="Arial Unicode MS"/>
      <family val="2"/>
      <charset val="136"/>
    </font>
    <font>
      <b/>
      <sz val="10"/>
      <color rgb="FFFFFFFF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FF00"/>
      <name val="Arial Unicode MS"/>
      <family val="2"/>
      <charset val="136"/>
    </font>
    <font>
      <b/>
      <sz val="10"/>
      <color rgb="FFFFFF00"/>
      <name val="Arial Unicode MS"/>
      <family val="2"/>
      <charset val="136"/>
    </font>
    <font>
      <sz val="12"/>
      <color indexed="23"/>
      <name val="新細明體"/>
      <family val="1"/>
      <charset val="136"/>
    </font>
    <font>
      <b/>
      <sz val="12"/>
      <name val="新細明體"/>
      <family val="1"/>
      <charset val="136"/>
    </font>
    <font>
      <u/>
      <sz val="12"/>
      <color theme="10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2"/>
      <color indexed="23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6"/>
      <name val="新細明體"/>
      <family val="1"/>
      <charset val="136"/>
    </font>
    <font>
      <b/>
      <sz val="18"/>
      <color theme="0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10"/>
      <color rgb="FFFF0000"/>
      <name val="微軟正黑體"/>
      <family val="2"/>
      <charset val="136"/>
    </font>
    <font>
      <b/>
      <sz val="10"/>
      <color theme="1"/>
      <name val="Arial"/>
      <family val="2"/>
    </font>
    <font>
      <b/>
      <sz val="10"/>
      <color theme="1"/>
      <name val="微軟正黑體"/>
      <family val="2"/>
      <charset val="136"/>
    </font>
    <font>
      <b/>
      <sz val="12"/>
      <color theme="1"/>
      <name val="Arial"/>
      <family val="2"/>
    </font>
    <font>
      <b/>
      <sz val="9"/>
      <color indexed="8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name val="微軟正黑體"/>
      <family val="2"/>
      <charset val="136"/>
    </font>
    <font>
      <sz val="12"/>
      <color theme="1"/>
      <name val="新細明體"/>
      <family val="2"/>
      <scheme val="minor"/>
    </font>
    <font>
      <u/>
      <sz val="12"/>
      <color theme="1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name val="新細明體"/>
      <family val="2"/>
      <charset val="136"/>
      <scheme val="minor"/>
    </font>
    <font>
      <sz val="12"/>
      <color indexed="23"/>
      <name val="新細明體"/>
      <family val="2"/>
      <charset val="136"/>
      <scheme val="minor"/>
    </font>
    <font>
      <b/>
      <sz val="10"/>
      <color rgb="FFFFFFFF"/>
      <name val="微軟正黑體"/>
      <family val="2"/>
      <charset val="136"/>
    </font>
    <font>
      <b/>
      <sz val="8"/>
      <color rgb="FFFFFFFF"/>
      <name val="微軟正黑體"/>
      <family val="2"/>
      <charset val="136"/>
    </font>
    <font>
      <b/>
      <sz val="8"/>
      <color rgb="FF333333"/>
      <name val="微軟正黑體"/>
      <family val="2"/>
      <charset val="136"/>
    </font>
  </fonts>
  <fills count="4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A6B5F"/>
        <bgColor indexed="64"/>
      </patternFill>
    </fill>
    <fill>
      <patternFill patternType="solid">
        <fgColor rgb="FFEEECEA"/>
        <bgColor indexed="64"/>
      </patternFill>
    </fill>
    <fill>
      <patternFill patternType="solid">
        <fgColor rgb="FFF9F4E1"/>
        <bgColor indexed="64"/>
      </patternFill>
    </fill>
    <fill>
      <patternFill patternType="solid">
        <fgColor rgb="FFE7E3E0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rgb="FFFFFFF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82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6" fillId="21" borderId="2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7" borderId="1" applyNumberFormat="0" applyAlignment="0" applyProtection="0">
      <alignment vertical="center"/>
    </xf>
    <xf numFmtId="0" fontId="6" fillId="0" borderId="6" applyNumberFormat="0" applyFill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7" applyNumberFormat="0" applyFont="0" applyAlignment="0" applyProtection="0">
      <alignment vertical="center"/>
    </xf>
    <xf numFmtId="0" fontId="6" fillId="20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178" fontId="6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top"/>
      <protection locked="0"/>
    </xf>
    <xf numFmtId="0" fontId="42" fillId="0" borderId="0"/>
    <xf numFmtId="0" fontId="43" fillId="0" borderId="0" applyNumberFormat="0" applyFill="0" applyBorder="0" applyAlignment="0" applyProtection="0"/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608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24" borderId="0" xfId="0" applyFill="1">
      <alignment vertical="center"/>
    </xf>
    <xf numFmtId="0" fontId="0" fillId="25" borderId="10" xfId="0" applyFill="1" applyBorder="1">
      <alignment vertical="center"/>
    </xf>
    <xf numFmtId="10" fontId="0" fillId="0" borderId="0" xfId="0" applyNumberFormat="1">
      <alignment vertical="center"/>
    </xf>
    <xf numFmtId="3" fontId="11" fillId="0" borderId="0" xfId="0" applyNumberFormat="1" applyFont="1">
      <alignment vertical="center"/>
    </xf>
    <xf numFmtId="0" fontId="0" fillId="0" borderId="10" xfId="0" applyBorder="1">
      <alignment vertical="center"/>
    </xf>
    <xf numFmtId="49" fontId="0" fillId="0" borderId="0" xfId="0" applyNumberFormat="1">
      <alignment vertical="center"/>
    </xf>
    <xf numFmtId="0" fontId="0" fillId="0" borderId="11" xfId="0" applyBorder="1">
      <alignment vertical="center"/>
    </xf>
    <xf numFmtId="0" fontId="0" fillId="24" borderId="15" xfId="0" applyFont="1" applyFill="1" applyBorder="1" applyAlignment="1">
      <alignment horizontal="center" vertical="center"/>
    </xf>
    <xf numFmtId="0" fontId="0" fillId="24" borderId="16" xfId="0" applyFont="1" applyFill="1" applyBorder="1" applyAlignment="1">
      <alignment horizontal="center" vertical="center"/>
    </xf>
    <xf numFmtId="0" fontId="0" fillId="0" borderId="18" xfId="0" applyBorder="1">
      <alignment vertical="center"/>
    </xf>
    <xf numFmtId="0" fontId="0" fillId="27" borderId="26" xfId="0" applyFill="1" applyBorder="1" applyAlignment="1">
      <alignment horizontal="left" vertical="center"/>
    </xf>
    <xf numFmtId="0" fontId="0" fillId="25" borderId="17" xfId="0" applyFill="1" applyBorder="1">
      <alignment vertical="center"/>
    </xf>
    <xf numFmtId="3" fontId="0" fillId="25" borderId="17" xfId="0" applyNumberFormat="1" applyFill="1" applyBorder="1">
      <alignment vertical="center"/>
    </xf>
    <xf numFmtId="0" fontId="0" fillId="0" borderId="30" xfId="0" applyBorder="1">
      <alignment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10" fontId="0" fillId="0" borderId="10" xfId="69" applyNumberFormat="1" applyFont="1" applyBorder="1" applyAlignment="1">
      <alignment horizontal="right" vertical="center"/>
    </xf>
    <xf numFmtId="49" fontId="0" fillId="27" borderId="10" xfId="0" applyNumberForma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4" borderId="11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181" fontId="0" fillId="25" borderId="10" xfId="71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0" fontId="0" fillId="0" borderId="24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4" borderId="1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4" borderId="1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24" borderId="22" xfId="0" applyFill="1" applyBorder="1" applyAlignment="1">
      <alignment horizontal="center" vertical="center"/>
    </xf>
    <xf numFmtId="179" fontId="0" fillId="27" borderId="23" xfId="0" applyNumberFormat="1" applyFill="1" applyBorder="1" applyAlignment="1">
      <alignment horizontal="center" vertical="center"/>
    </xf>
    <xf numFmtId="179" fontId="0" fillId="27" borderId="17" xfId="0" applyNumberFormat="1" applyFill="1" applyBorder="1" applyAlignment="1">
      <alignment horizontal="center" vertical="center"/>
    </xf>
    <xf numFmtId="179" fontId="0" fillId="27" borderId="18" xfId="0" applyNumberFormat="1" applyFill="1" applyBorder="1" applyAlignment="1">
      <alignment horizontal="center" vertical="center"/>
    </xf>
    <xf numFmtId="49" fontId="0" fillId="27" borderId="10" xfId="0" applyNumberFormat="1" applyFill="1" applyBorder="1" applyAlignment="1">
      <alignment horizontal="center" vertical="center"/>
    </xf>
    <xf numFmtId="3" fontId="0" fillId="25" borderId="10" xfId="0" applyNumberFormat="1" applyFill="1" applyBorder="1" applyAlignment="1">
      <alignment horizontal="center" vertical="center"/>
    </xf>
    <xf numFmtId="181" fontId="0" fillId="26" borderId="10" xfId="71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81" fontId="0" fillId="0" borderId="10" xfId="71" applyNumberFormat="1" applyFont="1" applyBorder="1" applyAlignment="1">
      <alignment horizontal="center" vertical="center"/>
    </xf>
    <xf numFmtId="181" fontId="0" fillId="0" borderId="0" xfId="71" applyNumberFormat="1" applyFont="1">
      <alignment vertical="center"/>
    </xf>
    <xf numFmtId="181" fontId="0" fillId="0" borderId="0" xfId="0" applyNumberFormat="1">
      <alignment vertical="center"/>
    </xf>
    <xf numFmtId="181" fontId="0" fillId="0" borderId="10" xfId="71" applyNumberFormat="1" applyFont="1" applyBorder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184" fontId="0" fillId="0" borderId="0" xfId="73" applyNumberFormat="1" applyFont="1" applyAlignment="1">
      <alignment horizontal="right" vertical="center"/>
    </xf>
    <xf numFmtId="184" fontId="0" fillId="0" borderId="0" xfId="73" applyNumberFormat="1" applyFont="1" applyAlignment="1">
      <alignment horizontal="center" vertical="center"/>
    </xf>
    <xf numFmtId="184" fontId="0" fillId="0" borderId="0" xfId="0" applyNumberFormat="1">
      <alignment vertical="center"/>
    </xf>
    <xf numFmtId="0" fontId="0" fillId="0" borderId="0" xfId="0">
      <alignment vertical="center"/>
    </xf>
    <xf numFmtId="0" fontId="0" fillId="24" borderId="10" xfId="0" applyFill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0" fillId="25" borderId="17" xfId="71" applyNumberFormat="1" applyFont="1" applyFill="1" applyBorder="1">
      <alignment vertical="center"/>
    </xf>
    <xf numFmtId="0" fontId="0" fillId="24" borderId="29" xfId="0" applyFill="1" applyBorder="1" applyAlignment="1">
      <alignment horizontal="center" vertical="center"/>
    </xf>
    <xf numFmtId="176" fontId="0" fillId="26" borderId="13" xfId="71" applyFont="1" applyFill="1" applyBorder="1" applyAlignment="1">
      <alignment horizontal="center" vertical="center"/>
    </xf>
    <xf numFmtId="181" fontId="0" fillId="26" borderId="13" xfId="71" applyNumberFormat="1" applyFont="1" applyFill="1" applyBorder="1" applyAlignment="1">
      <alignment horizontal="center" vertical="center"/>
    </xf>
    <xf numFmtId="10" fontId="0" fillId="26" borderId="25" xfId="69" applyNumberFormat="1" applyFont="1" applyFill="1" applyBorder="1" applyAlignment="1">
      <alignment horizontal="center" vertical="center"/>
    </xf>
    <xf numFmtId="181" fontId="0" fillId="0" borderId="10" xfId="71" applyNumberFormat="1" applyFont="1" applyBorder="1" applyAlignment="1">
      <alignment horizontal="right" vertical="center"/>
    </xf>
    <xf numFmtId="0" fontId="0" fillId="27" borderId="20" xfId="0" applyFill="1" applyBorder="1" applyAlignment="1">
      <alignment horizontal="left" vertical="center"/>
    </xf>
    <xf numFmtId="49" fontId="0" fillId="27" borderId="20" xfId="0" applyNumberFormat="1" applyFill="1" applyBorder="1" applyAlignment="1">
      <alignment horizontal="left" vertical="center"/>
    </xf>
    <xf numFmtId="181" fontId="0" fillId="0" borderId="25" xfId="71" applyNumberFormat="1" applyFont="1" applyBorder="1" applyAlignment="1">
      <alignment horizontal="right" vertical="center"/>
    </xf>
    <xf numFmtId="10" fontId="0" fillId="26" borderId="10" xfId="69" applyNumberFormat="1" applyFont="1" applyFill="1" applyBorder="1" applyAlignment="1">
      <alignment horizontal="center" vertical="center"/>
    </xf>
    <xf numFmtId="179" fontId="0" fillId="0" borderId="10" xfId="0" applyNumberFormat="1" applyBorder="1">
      <alignment vertical="center"/>
    </xf>
    <xf numFmtId="0" fontId="0" fillId="31" borderId="10" xfId="0" applyFill="1" applyBorder="1" applyAlignment="1">
      <alignment horizontal="center" vertical="center"/>
    </xf>
    <xf numFmtId="49" fontId="0" fillId="31" borderId="10" xfId="0" applyNumberFormat="1" applyFill="1" applyBorder="1" applyAlignment="1">
      <alignment horizontal="center" vertical="center"/>
    </xf>
    <xf numFmtId="0" fontId="0" fillId="28" borderId="10" xfId="0" applyFill="1" applyBorder="1" applyAlignment="1">
      <alignment horizontal="center" vertical="center"/>
    </xf>
    <xf numFmtId="179" fontId="0" fillId="25" borderId="10" xfId="0" applyNumberFormat="1" applyFill="1" applyBorder="1" applyAlignment="1">
      <alignment horizontal="right" vertical="center"/>
    </xf>
    <xf numFmtId="185" fontId="0" fillId="0" borderId="23" xfId="71" applyNumberFormat="1" applyFont="1" applyBorder="1">
      <alignment vertical="center"/>
    </xf>
    <xf numFmtId="185" fontId="0" fillId="0" borderId="17" xfId="71" applyNumberFormat="1" applyFont="1" applyBorder="1">
      <alignment vertical="center"/>
    </xf>
    <xf numFmtId="185" fontId="0" fillId="0" borderId="18" xfId="71" applyNumberFormat="1" applyFont="1" applyBorder="1">
      <alignment vertical="center"/>
    </xf>
    <xf numFmtId="185" fontId="0" fillId="0" borderId="10" xfId="71" applyNumberFormat="1" applyFont="1" applyBorder="1">
      <alignment vertical="center"/>
    </xf>
    <xf numFmtId="176" fontId="0" fillId="25" borderId="17" xfId="0" applyNumberFormat="1" applyFill="1" applyBorder="1">
      <alignment vertical="center"/>
    </xf>
    <xf numFmtId="0" fontId="0" fillId="28" borderId="13" xfId="0" applyFill="1" applyBorder="1" applyAlignment="1">
      <alignment horizontal="center" vertical="center"/>
    </xf>
    <xf numFmtId="0" fontId="0" fillId="28" borderId="12" xfId="0" applyFill="1" applyBorder="1" applyAlignment="1">
      <alignment horizontal="center" vertical="center"/>
    </xf>
    <xf numFmtId="180" fontId="0" fillId="0" borderId="10" xfId="0" applyNumberFormat="1" applyBorder="1" applyAlignment="1">
      <alignment horizontal="right" vertical="center"/>
    </xf>
    <xf numFmtId="0" fontId="0" fillId="32" borderId="10" xfId="0" applyFill="1" applyBorder="1" applyAlignment="1">
      <alignment horizontal="center" vertical="center"/>
    </xf>
    <xf numFmtId="49" fontId="0" fillId="32" borderId="10" xfId="0" applyNumberFormat="1" applyFill="1" applyBorder="1" applyAlignment="1">
      <alignment horizontal="center" vertical="center"/>
    </xf>
    <xf numFmtId="186" fontId="0" fillId="0" borderId="0" xfId="71" applyNumberFormat="1" applyFont="1">
      <alignment vertical="center"/>
    </xf>
    <xf numFmtId="0" fontId="0" fillId="27" borderId="35" xfId="0" applyFill="1" applyBorder="1" applyAlignment="1">
      <alignment horizontal="left" vertical="center"/>
    </xf>
    <xf numFmtId="49" fontId="0" fillId="27" borderId="26" xfId="0" applyNumberFormat="1" applyFill="1" applyBorder="1" applyAlignment="1">
      <alignment horizontal="left" vertical="center"/>
    </xf>
    <xf numFmtId="185" fontId="0" fillId="0" borderId="10" xfId="71" applyNumberFormat="1" applyFont="1" applyBorder="1" applyAlignment="1">
      <alignment horizontal="center" vertical="center"/>
    </xf>
    <xf numFmtId="0" fontId="0" fillId="0" borderId="10" xfId="0" applyFill="1" applyBorder="1" applyAlignment="1">
      <alignment horizontal="left" vertical="center"/>
    </xf>
    <xf numFmtId="49" fontId="10" fillId="0" borderId="0" xfId="62" applyNumberFormat="1" applyFont="1">
      <alignment vertical="center"/>
    </xf>
    <xf numFmtId="49" fontId="12" fillId="33" borderId="0" xfId="62" applyNumberFormat="1" applyFont="1" applyFill="1" applyAlignment="1">
      <alignment horizontal="center" vertical="center"/>
    </xf>
    <xf numFmtId="49" fontId="13" fillId="0" borderId="0" xfId="62" applyNumberFormat="1" applyFont="1">
      <alignment vertical="center"/>
    </xf>
    <xf numFmtId="49" fontId="10" fillId="0" borderId="0" xfId="62" applyNumberFormat="1" applyFont="1" applyAlignment="1">
      <alignment horizontal="center" vertical="center"/>
    </xf>
    <xf numFmtId="49" fontId="14" fillId="33" borderId="0" xfId="62" applyNumberFormat="1" applyFont="1" applyFill="1" applyAlignment="1">
      <alignment horizontal="center" vertical="center"/>
    </xf>
    <xf numFmtId="49" fontId="15" fillId="31" borderId="0" xfId="62" applyNumberFormat="1" applyFont="1" applyFill="1" applyAlignment="1">
      <alignment horizontal="center" vertical="center"/>
    </xf>
    <xf numFmtId="49" fontId="16" fillId="0" borderId="0" xfId="62" applyNumberFormat="1" applyFont="1" applyAlignment="1">
      <alignment horizontal="center" vertical="center"/>
    </xf>
    <xf numFmtId="0" fontId="17" fillId="0" borderId="0" xfId="62" applyFont="1" applyAlignment="1">
      <alignment horizontal="left" vertical="center"/>
    </xf>
    <xf numFmtId="0" fontId="18" fillId="34" borderId="36" xfId="62" applyFont="1" applyFill="1" applyBorder="1">
      <alignment vertical="center"/>
    </xf>
    <xf numFmtId="49" fontId="17" fillId="0" borderId="0" xfId="62" applyNumberFormat="1" applyFont="1" applyAlignment="1">
      <alignment horizontal="left" vertical="center"/>
    </xf>
    <xf numFmtId="49" fontId="19" fillId="34" borderId="36" xfId="62" applyNumberFormat="1" applyFont="1" applyFill="1" applyBorder="1" applyAlignment="1">
      <alignment horizontal="right" vertical="center"/>
    </xf>
    <xf numFmtId="49" fontId="20" fillId="34" borderId="36" xfId="62" applyNumberFormat="1" applyFont="1" applyFill="1" applyBorder="1" applyAlignment="1">
      <alignment horizontal="right" vertical="center"/>
    </xf>
    <xf numFmtId="49" fontId="21" fillId="34" borderId="36" xfId="62" applyNumberFormat="1" applyFont="1" applyFill="1" applyBorder="1" applyAlignment="1">
      <alignment horizontal="right" vertical="center"/>
    </xf>
    <xf numFmtId="49" fontId="22" fillId="34" borderId="36" xfId="62" applyNumberFormat="1" applyFont="1" applyFill="1" applyBorder="1" applyAlignment="1">
      <alignment horizontal="right" vertical="center"/>
    </xf>
    <xf numFmtId="49" fontId="15" fillId="34" borderId="0" xfId="62" applyNumberFormat="1" applyFont="1" applyFill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181" fontId="0" fillId="25" borderId="10" xfId="71" applyNumberFormat="1" applyFont="1" applyFill="1" applyBorder="1">
      <alignment vertical="center"/>
    </xf>
    <xf numFmtId="3" fontId="0" fillId="25" borderId="10" xfId="0" applyNumberFormat="1" applyFill="1" applyBorder="1">
      <alignment vertical="center"/>
    </xf>
    <xf numFmtId="180" fontId="0" fillId="27" borderId="10" xfId="0" applyNumberFormat="1" applyFill="1" applyBorder="1" applyAlignment="1">
      <alignment horizontal="center" vertical="center"/>
    </xf>
    <xf numFmtId="180" fontId="0" fillId="27" borderId="13" xfId="0" applyNumberFormat="1" applyFill="1" applyBorder="1" applyAlignment="1">
      <alignment horizontal="center" vertical="center"/>
    </xf>
    <xf numFmtId="0" fontId="0" fillId="0" borderId="10" xfId="0" applyNumberFormat="1" applyBorder="1" applyAlignment="1">
      <alignment horizontal="right" vertical="center"/>
    </xf>
    <xf numFmtId="0" fontId="0" fillId="0" borderId="0" xfId="0">
      <alignment vertical="center"/>
    </xf>
    <xf numFmtId="179" fontId="0" fillId="0" borderId="18" xfId="0" applyNumberFormat="1" applyBorder="1">
      <alignment vertical="center"/>
    </xf>
    <xf numFmtId="0" fontId="18" fillId="34" borderId="38" xfId="62" applyFont="1" applyFill="1" applyBorder="1">
      <alignment vertical="center"/>
    </xf>
    <xf numFmtId="49" fontId="19" fillId="34" borderId="38" xfId="62" applyNumberFormat="1" applyFont="1" applyFill="1" applyBorder="1" applyAlignment="1">
      <alignment horizontal="right" vertical="center"/>
    </xf>
    <xf numFmtId="49" fontId="20" fillId="34" borderId="38" xfId="62" applyNumberFormat="1" applyFont="1" applyFill="1" applyBorder="1" applyAlignment="1">
      <alignment horizontal="right" vertical="center"/>
    </xf>
    <xf numFmtId="49" fontId="21" fillId="34" borderId="38" xfId="62" applyNumberFormat="1" applyFont="1" applyFill="1" applyBorder="1" applyAlignment="1">
      <alignment horizontal="right" vertical="center"/>
    </xf>
    <xf numFmtId="49" fontId="22" fillId="34" borderId="38" xfId="62" applyNumberFormat="1" applyFont="1" applyFill="1" applyBorder="1" applyAlignment="1">
      <alignment horizontal="right" vertical="center"/>
    </xf>
    <xf numFmtId="0" fontId="0" fillId="0" borderId="0" xfId="0">
      <alignment vertical="center"/>
    </xf>
    <xf numFmtId="0" fontId="23" fillId="0" borderId="10" xfId="60" applyNumberFormat="1" applyFont="1" applyBorder="1">
      <alignment vertical="center"/>
    </xf>
    <xf numFmtId="0" fontId="6" fillId="0" borderId="10" xfId="0" applyFont="1" applyBorder="1">
      <alignment vertical="center"/>
    </xf>
    <xf numFmtId="0" fontId="6" fillId="0" borderId="10" xfId="60" applyNumberFormat="1" applyFont="1" applyBorder="1">
      <alignment vertical="center"/>
    </xf>
    <xf numFmtId="49" fontId="6" fillId="0" borderId="10" xfId="51" applyNumberFormat="1" applyFont="1" applyBorder="1">
      <alignment vertical="center"/>
    </xf>
    <xf numFmtId="0" fontId="6" fillId="0" borderId="10" xfId="51" applyNumberFormat="1" applyFont="1" applyBorder="1">
      <alignment vertical="center"/>
    </xf>
    <xf numFmtId="0" fontId="10" fillId="0" borderId="10" xfId="60" applyFont="1" applyBorder="1">
      <alignment vertical="center"/>
    </xf>
    <xf numFmtId="4" fontId="6" fillId="0" borderId="10" xfId="60" applyNumberFormat="1" applyFont="1" applyBorder="1">
      <alignment vertical="center"/>
    </xf>
    <xf numFmtId="3" fontId="6" fillId="0" borderId="10" xfId="60" applyNumberFormat="1" applyFont="1" applyBorder="1">
      <alignment vertical="center"/>
    </xf>
    <xf numFmtId="49" fontId="6" fillId="24" borderId="10" xfId="60" applyNumberFormat="1" applyFont="1" applyFill="1" applyBorder="1">
      <alignment vertical="center"/>
    </xf>
    <xf numFmtId="0" fontId="6" fillId="24" borderId="10" xfId="60" applyNumberFormat="1" applyFont="1" applyFill="1" applyBorder="1">
      <alignment vertical="center"/>
    </xf>
    <xf numFmtId="49" fontId="6" fillId="0" borderId="10" xfId="60" applyNumberFormat="1" applyFont="1" applyBorder="1">
      <alignment vertical="center"/>
    </xf>
    <xf numFmtId="0" fontId="10" fillId="24" borderId="10" xfId="60" applyFont="1" applyFill="1" applyBorder="1" applyAlignment="1">
      <alignment vertical="center" wrapText="1"/>
    </xf>
    <xf numFmtId="0" fontId="6" fillId="0" borderId="11" xfId="60" applyNumberFormat="1" applyFont="1" applyBorder="1">
      <alignment vertical="center"/>
    </xf>
    <xf numFmtId="0" fontId="6" fillId="0" borderId="13" xfId="60" applyNumberFormat="1" applyFont="1" applyFill="1" applyBorder="1">
      <alignment vertical="center"/>
    </xf>
    <xf numFmtId="3" fontId="6" fillId="0" borderId="13" xfId="60" applyNumberFormat="1" applyFont="1" applyFill="1" applyBorder="1">
      <alignment vertical="center"/>
    </xf>
    <xf numFmtId="4" fontId="6" fillId="0" borderId="39" xfId="60" applyNumberFormat="1" applyFont="1" applyBorder="1">
      <alignment vertical="center"/>
    </xf>
    <xf numFmtId="0" fontId="6" fillId="0" borderId="39" xfId="60" applyNumberFormat="1" applyFont="1" applyBorder="1">
      <alignment vertical="center"/>
    </xf>
    <xf numFmtId="0" fontId="6" fillId="0" borderId="19" xfId="60" applyNumberFormat="1" applyFont="1" applyBorder="1">
      <alignment vertical="center"/>
    </xf>
    <xf numFmtId="0" fontId="6" fillId="27" borderId="16" xfId="60" applyNumberFormat="1" applyFont="1" applyFill="1" applyBorder="1">
      <alignment vertical="center"/>
    </xf>
    <xf numFmtId="4" fontId="6" fillId="27" borderId="24" xfId="60" applyNumberFormat="1" applyFont="1" applyFill="1" applyBorder="1">
      <alignment vertical="center"/>
    </xf>
    <xf numFmtId="3" fontId="6" fillId="27" borderId="25" xfId="60" applyNumberFormat="1" applyFont="1" applyFill="1" applyBorder="1">
      <alignment vertical="center"/>
    </xf>
    <xf numFmtId="0" fontId="6" fillId="27" borderId="24" xfId="60" applyNumberFormat="1" applyFont="1" applyFill="1" applyBorder="1">
      <alignment vertical="center"/>
    </xf>
    <xf numFmtId="0" fontId="6" fillId="27" borderId="25" xfId="60" applyNumberFormat="1" applyFont="1" applyFill="1" applyBorder="1">
      <alignment vertical="center"/>
    </xf>
    <xf numFmtId="0" fontId="6" fillId="27" borderId="26" xfId="60" applyNumberFormat="1" applyFont="1" applyFill="1" applyBorder="1">
      <alignment vertical="center"/>
    </xf>
    <xf numFmtId="0" fontId="6" fillId="27" borderId="18" xfId="60" applyNumberFormat="1" applyFont="1" applyFill="1" applyBorder="1">
      <alignment vertical="center"/>
    </xf>
    <xf numFmtId="0" fontId="6" fillId="0" borderId="40" xfId="60" applyNumberFormat="1" applyFont="1" applyBorder="1">
      <alignment vertical="center"/>
    </xf>
    <xf numFmtId="0" fontId="6" fillId="0" borderId="39" xfId="51" applyNumberFormat="1" applyFont="1" applyBorder="1">
      <alignment vertical="center"/>
    </xf>
    <xf numFmtId="49" fontId="6" fillId="0" borderId="19" xfId="60" applyNumberFormat="1" applyFont="1" applyBorder="1">
      <alignment vertical="center"/>
    </xf>
    <xf numFmtId="0" fontId="6" fillId="24" borderId="14" xfId="51" applyNumberFormat="1" applyFont="1" applyFill="1" applyBorder="1">
      <alignment vertical="center"/>
    </xf>
    <xf numFmtId="0" fontId="6" fillId="24" borderId="16" xfId="51" applyNumberFormat="1" applyFont="1" applyFill="1" applyBorder="1">
      <alignment vertical="center"/>
    </xf>
    <xf numFmtId="0" fontId="6" fillId="24" borderId="24" xfId="51" applyNumberFormat="1" applyFont="1" applyFill="1" applyBorder="1">
      <alignment vertical="center"/>
    </xf>
    <xf numFmtId="0" fontId="6" fillId="24" borderId="25" xfId="51" applyNumberFormat="1" applyFont="1" applyFill="1" applyBorder="1">
      <alignment vertical="center"/>
    </xf>
    <xf numFmtId="49" fontId="6" fillId="24" borderId="24" xfId="51" applyNumberFormat="1" applyFont="1" applyFill="1" applyBorder="1">
      <alignment vertical="center"/>
    </xf>
    <xf numFmtId="49" fontId="6" fillId="24" borderId="24" xfId="60" applyNumberFormat="1" applyFont="1" applyFill="1" applyBorder="1">
      <alignment vertical="center"/>
    </xf>
    <xf numFmtId="0" fontId="6" fillId="24" borderId="25" xfId="60" applyNumberFormat="1" applyFont="1" applyFill="1" applyBorder="1">
      <alignment vertical="center"/>
    </xf>
    <xf numFmtId="49" fontId="6" fillId="24" borderId="26" xfId="60" applyNumberFormat="1" applyFont="1" applyFill="1" applyBorder="1">
      <alignment vertical="center"/>
    </xf>
    <xf numFmtId="0" fontId="6" fillId="24" borderId="18" xfId="60" applyNumberFormat="1" applyFont="1" applyFill="1" applyBorder="1">
      <alignment vertical="center"/>
    </xf>
    <xf numFmtId="0" fontId="6" fillId="0" borderId="13" xfId="60" applyNumberFormat="1" applyFont="1" applyBorder="1">
      <alignment vertical="center"/>
    </xf>
    <xf numFmtId="0" fontId="6" fillId="27" borderId="41" xfId="60" applyNumberFormat="1" applyFont="1" applyFill="1" applyBorder="1">
      <alignment vertical="center"/>
    </xf>
    <xf numFmtId="0" fontId="6" fillId="27" borderId="42" xfId="60" applyNumberFormat="1" applyFont="1" applyFill="1" applyBorder="1">
      <alignment vertical="center"/>
    </xf>
    <xf numFmtId="0" fontId="6" fillId="27" borderId="14" xfId="60" applyNumberFormat="1" applyFont="1" applyFill="1" applyBorder="1">
      <alignment vertical="center"/>
    </xf>
    <xf numFmtId="0" fontId="6" fillId="0" borderId="11" xfId="0" applyFont="1" applyBorder="1">
      <alignment vertical="center"/>
    </xf>
    <xf numFmtId="0" fontId="6" fillId="0" borderId="13" xfId="0" applyFont="1" applyBorder="1">
      <alignment vertical="center"/>
    </xf>
    <xf numFmtId="0" fontId="6" fillId="0" borderId="19" xfId="0" applyFont="1" applyBorder="1">
      <alignment vertical="center"/>
    </xf>
    <xf numFmtId="0" fontId="6" fillId="27" borderId="24" xfId="0" applyFont="1" applyFill="1" applyBorder="1">
      <alignment vertical="center"/>
    </xf>
    <xf numFmtId="0" fontId="6" fillId="27" borderId="25" xfId="0" applyFont="1" applyFill="1" applyBorder="1">
      <alignment vertical="center"/>
    </xf>
    <xf numFmtId="0" fontId="6" fillId="27" borderId="26" xfId="0" applyFont="1" applyFill="1" applyBorder="1">
      <alignment vertical="center"/>
    </xf>
    <xf numFmtId="0" fontId="6" fillId="27" borderId="18" xfId="0" applyFont="1" applyFill="1" applyBorder="1">
      <alignment vertical="center"/>
    </xf>
    <xf numFmtId="0" fontId="6" fillId="24" borderId="10" xfId="0" applyFont="1" applyFill="1" applyBorder="1">
      <alignment vertical="center"/>
    </xf>
    <xf numFmtId="0" fontId="6" fillId="0" borderId="12" xfId="60" applyNumberFormat="1" applyFont="1" applyBorder="1">
      <alignment vertical="center"/>
    </xf>
    <xf numFmtId="0" fontId="6" fillId="0" borderId="39" xfId="0" applyFont="1" applyBorder="1">
      <alignment vertical="center"/>
    </xf>
    <xf numFmtId="0" fontId="6" fillId="27" borderId="41" xfId="0" applyFont="1" applyFill="1" applyBorder="1">
      <alignment vertical="center"/>
    </xf>
    <xf numFmtId="0" fontId="6" fillId="27" borderId="42" xfId="0" applyFont="1" applyFill="1" applyBorder="1">
      <alignment vertical="center"/>
    </xf>
    <xf numFmtId="0" fontId="0" fillId="0" borderId="10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4" borderId="43" xfId="0" applyFill="1" applyBorder="1">
      <alignment vertical="center"/>
    </xf>
    <xf numFmtId="0" fontId="0" fillId="24" borderId="44" xfId="0" applyFill="1" applyBorder="1">
      <alignment vertical="center"/>
    </xf>
    <xf numFmtId="0" fontId="0" fillId="24" borderId="45" xfId="0" applyFill="1" applyBorder="1">
      <alignment vertical="center"/>
    </xf>
    <xf numFmtId="0" fontId="0" fillId="24" borderId="46" xfId="0" applyFill="1" applyBorder="1">
      <alignment vertical="center"/>
    </xf>
    <xf numFmtId="49" fontId="0" fillId="27" borderId="11" xfId="0" applyNumberFormat="1" applyFill="1" applyBorder="1" applyAlignment="1">
      <alignment horizontal="left" vertical="center"/>
    </xf>
    <xf numFmtId="0" fontId="0" fillId="0" borderId="13" xfId="0" applyBorder="1" applyAlignment="1">
      <alignment horizontal="right" vertical="center"/>
    </xf>
    <xf numFmtId="179" fontId="0" fillId="25" borderId="39" xfId="0" applyNumberFormat="1" applyFill="1" applyBorder="1" applyAlignment="1">
      <alignment horizontal="right" vertical="center"/>
    </xf>
    <xf numFmtId="179" fontId="0" fillId="25" borderId="19" xfId="0" applyNumberFormat="1" applyFill="1" applyBorder="1" applyAlignment="1">
      <alignment horizontal="right" vertical="center"/>
    </xf>
    <xf numFmtId="179" fontId="0" fillId="25" borderId="12" xfId="0" applyNumberFormat="1" applyFill="1" applyBorder="1" applyAlignment="1">
      <alignment horizontal="right" vertical="center"/>
    </xf>
    <xf numFmtId="179" fontId="0" fillId="35" borderId="14" xfId="0" applyNumberFormat="1" applyFill="1" applyBorder="1" applyAlignment="1">
      <alignment horizontal="right" vertical="center"/>
    </xf>
    <xf numFmtId="179" fontId="0" fillId="35" borderId="15" xfId="0" applyNumberFormat="1" applyFill="1" applyBorder="1" applyAlignment="1">
      <alignment horizontal="right" vertical="center"/>
    </xf>
    <xf numFmtId="179" fontId="0" fillId="35" borderId="16" xfId="0" applyNumberFormat="1" applyFill="1" applyBorder="1" applyAlignment="1">
      <alignment horizontal="right" vertical="center"/>
    </xf>
    <xf numFmtId="179" fontId="0" fillId="35" borderId="24" xfId="0" applyNumberFormat="1" applyFill="1" applyBorder="1" applyAlignment="1">
      <alignment horizontal="right" vertical="center"/>
    </xf>
    <xf numFmtId="179" fontId="0" fillId="35" borderId="10" xfId="0" applyNumberFormat="1" applyFill="1" applyBorder="1" applyAlignment="1">
      <alignment horizontal="right" vertical="center"/>
    </xf>
    <xf numFmtId="179" fontId="0" fillId="35" borderId="25" xfId="0" applyNumberFormat="1" applyFill="1" applyBorder="1" applyAlignment="1">
      <alignment horizontal="right" vertical="center"/>
    </xf>
    <xf numFmtId="179" fontId="0" fillId="35" borderId="26" xfId="0" applyNumberFormat="1" applyFill="1" applyBorder="1" applyAlignment="1">
      <alignment horizontal="right" vertical="center"/>
    </xf>
    <xf numFmtId="179" fontId="0" fillId="35" borderId="17" xfId="0" applyNumberFormat="1" applyFill="1" applyBorder="1" applyAlignment="1">
      <alignment horizontal="right" vertical="center"/>
    </xf>
    <xf numFmtId="179" fontId="0" fillId="35" borderId="18" xfId="0" applyNumberFormat="1" applyFill="1" applyBorder="1" applyAlignment="1">
      <alignment horizontal="right" vertical="center"/>
    </xf>
    <xf numFmtId="179" fontId="0" fillId="35" borderId="41" xfId="0" applyNumberFormat="1" applyFill="1" applyBorder="1" applyAlignment="1">
      <alignment horizontal="right" vertical="center"/>
    </xf>
    <xf numFmtId="179" fontId="0" fillId="35" borderId="47" xfId="0" applyNumberFormat="1" applyFill="1" applyBorder="1" applyAlignment="1">
      <alignment horizontal="right" vertical="center"/>
    </xf>
    <xf numFmtId="179" fontId="0" fillId="35" borderId="42" xfId="0" applyNumberFormat="1" applyFill="1" applyBorder="1" applyAlignment="1">
      <alignment horizontal="right" vertical="center"/>
    </xf>
    <xf numFmtId="181" fontId="0" fillId="0" borderId="11" xfId="71" applyNumberFormat="1" applyFont="1" applyBorder="1" applyAlignment="1">
      <alignment horizontal="center" vertical="center"/>
    </xf>
    <xf numFmtId="0" fontId="0" fillId="28" borderId="15" xfId="0" applyFill="1" applyBorder="1" applyAlignment="1">
      <alignment horizontal="center" vertical="center"/>
    </xf>
    <xf numFmtId="0" fontId="0" fillId="28" borderId="48" xfId="0" applyFill="1" applyBorder="1" applyAlignment="1">
      <alignment horizontal="center" vertical="center"/>
    </xf>
    <xf numFmtId="180" fontId="0" fillId="0" borderId="25" xfId="0" applyNumberFormat="1" applyBorder="1" applyAlignment="1">
      <alignment horizontal="right" vertical="center"/>
    </xf>
    <xf numFmtId="180" fontId="0" fillId="0" borderId="17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0" fontId="6" fillId="0" borderId="0" xfId="0" applyFont="1" applyBorder="1">
      <alignment vertical="center"/>
    </xf>
    <xf numFmtId="0" fontId="0" fillId="0" borderId="0" xfId="0">
      <alignment vertical="center"/>
    </xf>
    <xf numFmtId="49" fontId="24" fillId="0" borderId="10" xfId="0" applyNumberFormat="1" applyFont="1" applyBorder="1" applyAlignment="1">
      <alignment horizontal="center" vertical="center"/>
    </xf>
    <xf numFmtId="185" fontId="0" fillId="0" borderId="10" xfId="71" applyNumberFormat="1" applyFont="1" applyBorder="1" applyAlignment="1">
      <alignment horizontal="right" vertical="center"/>
    </xf>
    <xf numFmtId="10" fontId="0" fillId="0" borderId="10" xfId="69" applyNumberFormat="1" applyFont="1" applyFill="1" applyBorder="1">
      <alignment vertical="center"/>
    </xf>
    <xf numFmtId="10" fontId="0" fillId="0" borderId="10" xfId="69" applyNumberFormat="1" applyFont="1" applyBorder="1">
      <alignment vertical="center"/>
    </xf>
    <xf numFmtId="181" fontId="0" fillId="0" borderId="10" xfId="71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9" xfId="0" applyBorder="1">
      <alignment vertical="center"/>
    </xf>
    <xf numFmtId="181" fontId="0" fillId="0" borderId="19" xfId="71" applyNumberFormat="1" applyFont="1" applyBorder="1">
      <alignment vertical="center"/>
    </xf>
    <xf numFmtId="0" fontId="13" fillId="24" borderId="10" xfId="0" applyFont="1" applyFill="1" applyBorder="1" applyAlignment="1">
      <alignment horizontal="center" vertical="center" shrinkToFit="1"/>
    </xf>
    <xf numFmtId="0" fontId="13" fillId="0" borderId="10" xfId="0" applyFont="1" applyBorder="1" applyAlignment="1">
      <alignment vertical="center" wrapText="1" shrinkToFit="1"/>
    </xf>
    <xf numFmtId="0" fontId="0" fillId="24" borderId="29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36" borderId="10" xfId="0" applyFill="1" applyBorder="1">
      <alignment vertical="center"/>
    </xf>
    <xf numFmtId="181" fontId="0" fillId="24" borderId="10" xfId="71" applyNumberFormat="1" applyFont="1" applyFill="1" applyBorder="1" applyAlignment="1">
      <alignment horizontal="center" vertical="center"/>
    </xf>
    <xf numFmtId="10" fontId="0" fillId="24" borderId="10" xfId="69" applyNumberFormat="1" applyFont="1" applyFill="1" applyBorder="1">
      <alignment vertical="center"/>
    </xf>
    <xf numFmtId="0" fontId="0" fillId="0" borderId="10" xfId="0" applyFill="1" applyBorder="1">
      <alignment vertical="center"/>
    </xf>
    <xf numFmtId="0" fontId="0" fillId="0" borderId="10" xfId="0" applyBorder="1" applyAlignment="1">
      <alignment horizontal="left" vertical="center" shrinkToFit="1"/>
    </xf>
    <xf numFmtId="181" fontId="0" fillId="0" borderId="10" xfId="0" applyNumberFormat="1" applyBorder="1">
      <alignment vertical="center"/>
    </xf>
    <xf numFmtId="180" fontId="0" fillId="0" borderId="0" xfId="0" applyNumberFormat="1" applyBorder="1" applyAlignment="1">
      <alignment horizontal="right" vertical="center"/>
    </xf>
    <xf numFmtId="181" fontId="0" fillId="0" borderId="11" xfId="71" applyNumberFormat="1" applyFont="1" applyBorder="1" applyAlignment="1">
      <alignment horizontal="right" vertical="center"/>
    </xf>
    <xf numFmtId="179" fontId="0" fillId="27" borderId="30" xfId="0" applyNumberFormat="1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0" fillId="28" borderId="23" xfId="0" applyFill="1" applyBorder="1" applyAlignment="1">
      <alignment horizontal="center" vertical="center"/>
    </xf>
    <xf numFmtId="10" fontId="0" fillId="25" borderId="10" xfId="69" applyNumberFormat="1" applyFont="1" applyFill="1" applyBorder="1">
      <alignment vertical="center"/>
    </xf>
    <xf numFmtId="185" fontId="0" fillId="0" borderId="10" xfId="0" applyNumberFormat="1" applyBorder="1" applyAlignment="1">
      <alignment horizontal="right" vertical="center"/>
    </xf>
    <xf numFmtId="187" fontId="0" fillId="0" borderId="10" xfId="71" applyNumberFormat="1" applyFont="1" applyBorder="1" applyAlignment="1">
      <alignment horizontal="right" vertical="center"/>
    </xf>
    <xf numFmtId="187" fontId="0" fillId="0" borderId="10" xfId="71" applyNumberFormat="1" applyFont="1" applyBorder="1">
      <alignment vertical="center"/>
    </xf>
    <xf numFmtId="187" fontId="0" fillId="0" borderId="10" xfId="71" applyNumberFormat="1" applyFont="1" applyBorder="1" applyAlignment="1">
      <alignment horizontal="center" vertical="center"/>
    </xf>
    <xf numFmtId="187" fontId="0" fillId="24" borderId="10" xfId="71" applyNumberFormat="1" applyFont="1" applyFill="1" applyBorder="1">
      <alignment vertical="center"/>
    </xf>
    <xf numFmtId="176" fontId="0" fillId="0" borderId="10" xfId="0" applyNumberFormat="1" applyBorder="1">
      <alignment vertical="center"/>
    </xf>
    <xf numFmtId="0" fontId="0" fillId="0" borderId="0" xfId="0">
      <alignment vertical="center"/>
    </xf>
    <xf numFmtId="0" fontId="0" fillId="24" borderId="10" xfId="0" applyFill="1" applyBorder="1">
      <alignment vertical="center"/>
    </xf>
    <xf numFmtId="181" fontId="6" fillId="0" borderId="10" xfId="71" applyNumberFormat="1" applyFont="1" applyFill="1" applyBorder="1" applyAlignment="1">
      <alignment horizontal="center" vertical="center"/>
    </xf>
    <xf numFmtId="181" fontId="6" fillId="0" borderId="10" xfId="0" applyNumberFormat="1" applyFont="1" applyBorder="1">
      <alignment vertical="center"/>
    </xf>
    <xf numFmtId="10" fontId="6" fillId="0" borderId="10" xfId="69" applyNumberFormat="1" applyFont="1" applyBorder="1">
      <alignment vertical="center"/>
    </xf>
    <xf numFmtId="0" fontId="0" fillId="24" borderId="10" xfId="69" applyNumberFormat="1" applyFont="1" applyFill="1" applyBorder="1">
      <alignment vertical="center"/>
    </xf>
    <xf numFmtId="0" fontId="0" fillId="0" borderId="0" xfId="0">
      <alignment vertical="center"/>
    </xf>
    <xf numFmtId="187" fontId="0" fillId="24" borderId="10" xfId="69" applyNumberFormat="1" applyFont="1" applyFill="1" applyBorder="1">
      <alignment vertical="center"/>
    </xf>
    <xf numFmtId="188" fontId="0" fillId="0" borderId="10" xfId="71" applyNumberFormat="1" applyFont="1" applyBorder="1" applyAlignment="1">
      <alignment horizontal="right" vertical="center"/>
    </xf>
    <xf numFmtId="0" fontId="0" fillId="0" borderId="10" xfId="0" applyBorder="1" applyAlignment="1">
      <alignment vertical="center" shrinkToFi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0" xfId="0" applyBorder="1" applyAlignment="1">
      <alignment horizontal="left" vertical="center"/>
    </xf>
    <xf numFmtId="0" fontId="25" fillId="0" borderId="10" xfId="74" applyBorder="1" applyAlignment="1" applyProtection="1">
      <alignment vertical="center"/>
    </xf>
    <xf numFmtId="49" fontId="0" fillId="0" borderId="10" xfId="60" applyNumberFormat="1" applyFont="1" applyBorder="1">
      <alignment vertical="center"/>
    </xf>
    <xf numFmtId="0" fontId="27" fillId="0" borderId="0" xfId="0" applyNumberFormat="1" applyFont="1" applyAlignment="1"/>
    <xf numFmtId="0" fontId="0" fillId="0" borderId="10" xfId="0" applyFont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5" fillId="0" borderId="0" xfId="74" applyAlignment="1" applyProtection="1">
      <alignment vertical="center"/>
    </xf>
    <xf numFmtId="0" fontId="32" fillId="0" borderId="24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32" fillId="0" borderId="10" xfId="0" applyFont="1" applyFill="1" applyBorder="1" applyAlignment="1">
      <alignment horizontal="center" vertical="center" wrapText="1"/>
    </xf>
    <xf numFmtId="0" fontId="33" fillId="25" borderId="10" xfId="0" applyFont="1" applyFill="1" applyBorder="1" applyAlignment="1">
      <alignment horizontal="center" vertical="center" wrapText="1"/>
    </xf>
    <xf numFmtId="0" fontId="34" fillId="0" borderId="25" xfId="0" applyFont="1" applyBorder="1" applyAlignment="1">
      <alignment horizontal="center" vertical="center" wrapText="1"/>
    </xf>
    <xf numFmtId="10" fontId="34" fillId="0" borderId="25" xfId="0" applyNumberFormat="1" applyFont="1" applyBorder="1" applyAlignment="1">
      <alignment horizontal="center" vertical="center" wrapText="1"/>
    </xf>
    <xf numFmtId="0" fontId="0" fillId="0" borderId="24" xfId="0" quotePrefix="1" applyBorder="1">
      <alignment vertical="center"/>
    </xf>
    <xf numFmtId="0" fontId="31" fillId="0" borderId="10" xfId="0" applyFont="1" applyBorder="1" applyAlignment="1">
      <alignment vertical="center" wrapText="1"/>
    </xf>
    <xf numFmtId="2" fontId="0" fillId="0" borderId="25" xfId="0" applyNumberFormat="1" applyFill="1" applyBorder="1">
      <alignment vertical="center"/>
    </xf>
    <xf numFmtId="0" fontId="0" fillId="25" borderId="24" xfId="0" applyFill="1" applyBorder="1" applyAlignment="1">
      <alignment vertical="center"/>
    </xf>
    <xf numFmtId="10" fontId="0" fillId="25" borderId="10" xfId="69" applyNumberFormat="1" applyFont="1" applyFill="1" applyBorder="1" applyAlignment="1">
      <alignment vertical="center"/>
    </xf>
    <xf numFmtId="10" fontId="0" fillId="25" borderId="10" xfId="0" applyNumberFormat="1" applyFill="1" applyBorder="1" applyAlignment="1">
      <alignment vertical="center"/>
    </xf>
    <xf numFmtId="10" fontId="36" fillId="24" borderId="25" xfId="0" applyNumberFormat="1" applyFont="1" applyFill="1" applyBorder="1">
      <alignment vertical="center"/>
    </xf>
    <xf numFmtId="0" fontId="0" fillId="0" borderId="10" xfId="0" applyBorder="1" applyAlignment="1">
      <alignment vertical="center"/>
    </xf>
    <xf numFmtId="0" fontId="0" fillId="25" borderId="24" xfId="0" applyFill="1" applyBorder="1">
      <alignment vertical="center"/>
    </xf>
    <xf numFmtId="0" fontId="0" fillId="0" borderId="24" xfId="0" applyBorder="1">
      <alignment vertical="center"/>
    </xf>
    <xf numFmtId="0" fontId="0" fillId="0" borderId="24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7" xfId="0" applyFill="1" applyBorder="1">
      <alignment vertical="center"/>
    </xf>
    <xf numFmtId="2" fontId="0" fillId="0" borderId="18" xfId="0" applyNumberFormat="1" applyFill="1" applyBorder="1">
      <alignment vertical="center"/>
    </xf>
    <xf numFmtId="0" fontId="0" fillId="25" borderId="26" xfId="0" applyFill="1" applyBorder="1">
      <alignment vertical="center"/>
    </xf>
    <xf numFmtId="10" fontId="0" fillId="25" borderId="17" xfId="69" applyNumberFormat="1" applyFont="1" applyFill="1" applyBorder="1" applyAlignment="1">
      <alignment vertical="center"/>
    </xf>
    <xf numFmtId="10" fontId="0" fillId="25" borderId="17" xfId="0" applyNumberFormat="1" applyFill="1" applyBorder="1" applyAlignment="1">
      <alignment vertical="center"/>
    </xf>
    <xf numFmtId="10" fontId="36" fillId="24" borderId="18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0" fontId="0" fillId="0" borderId="0" xfId="0" applyNumberFormat="1" applyFill="1" applyBorder="1" applyAlignment="1">
      <alignment vertical="center"/>
    </xf>
    <xf numFmtId="0" fontId="36" fillId="0" borderId="0" xfId="0" applyFont="1" applyFill="1" applyBorder="1">
      <alignment vertical="center"/>
    </xf>
    <xf numFmtId="0" fontId="34" fillId="0" borderId="10" xfId="0" applyFont="1" applyBorder="1" applyAlignment="1">
      <alignment horizontal="center" vertical="center" wrapText="1"/>
    </xf>
    <xf numFmtId="10" fontId="34" fillId="0" borderId="10" xfId="0" applyNumberFormat="1" applyFont="1" applyBorder="1" applyAlignment="1">
      <alignment horizontal="center" vertical="center" wrapText="1"/>
    </xf>
    <xf numFmtId="0" fontId="0" fillId="0" borderId="24" xfId="0" quotePrefix="1" applyFill="1" applyBorder="1">
      <alignment vertical="center"/>
    </xf>
    <xf numFmtId="10" fontId="0" fillId="0" borderId="10" xfId="69" applyNumberFormat="1" applyFont="1" applyFill="1" applyBorder="1" applyAlignment="1">
      <alignment vertical="center"/>
    </xf>
    <xf numFmtId="10" fontId="0" fillId="0" borderId="10" xfId="0" applyNumberFormat="1" applyFill="1" applyBorder="1" applyAlignment="1">
      <alignment vertical="center"/>
    </xf>
    <xf numFmtId="10" fontId="36" fillId="24" borderId="10" xfId="0" applyNumberFormat="1" applyFont="1" applyFill="1" applyBorder="1">
      <alignment vertical="center"/>
    </xf>
    <xf numFmtId="2" fontId="0" fillId="0" borderId="10" xfId="0" applyNumberFormat="1" applyFill="1" applyBorder="1">
      <alignment vertical="center"/>
    </xf>
    <xf numFmtId="0" fontId="0" fillId="0" borderId="17" xfId="0" applyBorder="1" applyAlignment="1">
      <alignment vertical="center"/>
    </xf>
    <xf numFmtId="2" fontId="0" fillId="0" borderId="17" xfId="0" applyNumberFormat="1" applyFill="1" applyBorder="1">
      <alignment vertical="center"/>
    </xf>
    <xf numFmtId="10" fontId="0" fillId="0" borderId="17" xfId="69" applyNumberFormat="1" applyFont="1" applyFill="1" applyBorder="1" applyAlignment="1">
      <alignment vertical="center"/>
    </xf>
    <xf numFmtId="10" fontId="0" fillId="0" borderId="17" xfId="0" applyNumberFormat="1" applyFill="1" applyBorder="1" applyAlignment="1">
      <alignment vertical="center"/>
    </xf>
    <xf numFmtId="10" fontId="36" fillId="24" borderId="17" xfId="0" applyNumberFormat="1" applyFont="1" applyFill="1" applyBorder="1">
      <alignment vertical="center"/>
    </xf>
    <xf numFmtId="0" fontId="0" fillId="0" borderId="10" xfId="0" applyFill="1" applyBorder="1" applyAlignment="1">
      <alignment vertical="center"/>
    </xf>
    <xf numFmtId="0" fontId="0" fillId="0" borderId="49" xfId="0" quotePrefix="1" applyFill="1" applyBorder="1">
      <alignment vertical="center"/>
    </xf>
    <xf numFmtId="0" fontId="0" fillId="0" borderId="17" xfId="0" applyFill="1" applyBorder="1" applyAlignment="1">
      <alignment vertical="center"/>
    </xf>
    <xf numFmtId="0" fontId="0" fillId="24" borderId="25" xfId="0" applyFill="1" applyBorder="1">
      <alignment vertical="center"/>
    </xf>
    <xf numFmtId="49" fontId="0" fillId="0" borderId="24" xfId="0" applyNumberFormat="1" applyBorder="1">
      <alignment vertical="center"/>
    </xf>
    <xf numFmtId="10" fontId="0" fillId="26" borderId="10" xfId="69" applyNumberFormat="1" applyFont="1" applyFill="1" applyBorder="1">
      <alignment vertical="center"/>
    </xf>
    <xf numFmtId="49" fontId="0" fillId="0" borderId="26" xfId="0" applyNumberFormat="1" applyBorder="1">
      <alignment vertical="center"/>
    </xf>
    <xf numFmtId="0" fontId="0" fillId="0" borderId="17" xfId="0" applyBorder="1">
      <alignment vertical="center"/>
    </xf>
    <xf numFmtId="0" fontId="0" fillId="24" borderId="18" xfId="0" applyFill="1" applyBorder="1">
      <alignment vertical="center"/>
    </xf>
    <xf numFmtId="0" fontId="0" fillId="0" borderId="26" xfId="0" applyBorder="1">
      <alignment vertical="center"/>
    </xf>
    <xf numFmtId="10" fontId="0" fillId="0" borderId="17" xfId="69" applyNumberFormat="1" applyFont="1" applyBorder="1">
      <alignment vertical="center"/>
    </xf>
    <xf numFmtId="0" fontId="32" fillId="0" borderId="26" xfId="0" applyFont="1" applyBorder="1" applyAlignment="1">
      <alignment horizontal="center" vertical="center" wrapText="1"/>
    </xf>
    <xf numFmtId="0" fontId="32" fillId="0" borderId="17" xfId="0" applyFont="1" applyBorder="1" applyAlignment="1">
      <alignment horizontal="center" vertical="center" wrapText="1"/>
    </xf>
    <xf numFmtId="0" fontId="32" fillId="0" borderId="17" xfId="0" applyFont="1" applyFill="1" applyBorder="1" applyAlignment="1">
      <alignment horizontal="center" vertical="center" wrapText="1"/>
    </xf>
    <xf numFmtId="0" fontId="33" fillId="25" borderId="17" xfId="0" applyFont="1" applyFill="1" applyBorder="1" applyAlignment="1">
      <alignment horizontal="center" vertical="center" wrapText="1"/>
    </xf>
    <xf numFmtId="0" fontId="34" fillId="0" borderId="18" xfId="0" applyFont="1" applyBorder="1" applyAlignment="1">
      <alignment horizontal="center" vertical="center" wrapText="1"/>
    </xf>
    <xf numFmtId="10" fontId="34" fillId="0" borderId="18" xfId="0" applyNumberFormat="1" applyFont="1" applyBorder="1" applyAlignment="1">
      <alignment horizontal="center" vertical="center" wrapText="1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24" borderId="29" xfId="0" applyFill="1" applyBorder="1">
      <alignment vertical="center"/>
    </xf>
    <xf numFmtId="10" fontId="0" fillId="0" borderId="15" xfId="69" applyNumberFormat="1" applyFont="1" applyBorder="1">
      <alignment vertical="center"/>
    </xf>
    <xf numFmtId="10" fontId="36" fillId="24" borderId="15" xfId="0" applyNumberFormat="1" applyFont="1" applyFill="1" applyBorder="1">
      <alignment vertical="center"/>
    </xf>
    <xf numFmtId="10" fontId="36" fillId="24" borderId="16" xfId="0" applyNumberFormat="1" applyFont="1" applyFill="1" applyBorder="1">
      <alignment vertical="center"/>
    </xf>
    <xf numFmtId="0" fontId="0" fillId="24" borderId="11" xfId="0" applyFill="1" applyBorder="1">
      <alignment vertical="center"/>
    </xf>
    <xf numFmtId="0" fontId="0" fillId="24" borderId="30" xfId="0" applyFill="1" applyBorder="1">
      <alignment vertical="center"/>
    </xf>
    <xf numFmtId="2" fontId="31" fillId="24" borderId="18" xfId="0" applyNumberFormat="1" applyFont="1" applyFill="1" applyBorder="1" applyAlignment="1">
      <alignment horizontal="center" vertical="center" wrapText="1"/>
    </xf>
    <xf numFmtId="2" fontId="31" fillId="24" borderId="25" xfId="0" applyNumberFormat="1" applyFont="1" applyFill="1" applyBorder="1" applyAlignment="1">
      <alignment horizontal="center" vertical="center" wrapText="1"/>
    </xf>
    <xf numFmtId="181" fontId="0" fillId="0" borderId="0" xfId="71" applyNumberFormat="1" applyFont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0" fontId="41" fillId="0" borderId="26" xfId="0" applyFont="1" applyFill="1" applyBorder="1" applyAlignment="1">
      <alignment horizontal="center" vertical="center"/>
    </xf>
    <xf numFmtId="0" fontId="41" fillId="0" borderId="18" xfId="0" applyFont="1" applyFill="1" applyBorder="1" applyAlignment="1">
      <alignment horizontal="center" vertical="center"/>
    </xf>
    <xf numFmtId="182" fontId="0" fillId="0" borderId="10" xfId="69" applyNumberFormat="1" applyFont="1" applyFill="1" applyBorder="1" applyAlignment="1">
      <alignment vertical="center"/>
    </xf>
    <xf numFmtId="182" fontId="0" fillId="0" borderId="10" xfId="69" applyNumberFormat="1" applyFont="1" applyFill="1" applyBorder="1" applyAlignment="1">
      <alignment horizontal="right" vertical="center"/>
    </xf>
    <xf numFmtId="0" fontId="41" fillId="0" borderId="14" xfId="0" applyFont="1" applyFill="1" applyBorder="1" applyAlignment="1">
      <alignment horizontal="center" vertical="center"/>
    </xf>
    <xf numFmtId="0" fontId="41" fillId="0" borderId="16" xfId="0" applyFont="1" applyFill="1" applyBorder="1" applyAlignment="1">
      <alignment horizontal="center" vertical="center"/>
    </xf>
    <xf numFmtId="181" fontId="0" fillId="0" borderId="0" xfId="71" applyNumberFormat="1" applyFont="1" applyBorder="1">
      <alignment vertical="center"/>
    </xf>
    <xf numFmtId="182" fontId="0" fillId="0" borderId="10" xfId="0" applyNumberFormat="1" applyBorder="1">
      <alignment vertical="center"/>
    </xf>
    <xf numFmtId="0" fontId="0" fillId="0" borderId="14" xfId="0" applyFill="1" applyBorder="1">
      <alignment vertical="center"/>
    </xf>
    <xf numFmtId="0" fontId="42" fillId="0" borderId="0" xfId="75"/>
    <xf numFmtId="2" fontId="42" fillId="0" borderId="0" xfId="75" applyNumberFormat="1"/>
    <xf numFmtId="49" fontId="42" fillId="0" borderId="0" xfId="75" applyNumberFormat="1"/>
    <xf numFmtId="189" fontId="42" fillId="0" borderId="0" xfId="75" applyNumberFormat="1"/>
    <xf numFmtId="0" fontId="42" fillId="0" borderId="0" xfId="75" applyNumberFormat="1"/>
    <xf numFmtId="0" fontId="42" fillId="26" borderId="0" xfId="75" applyFill="1"/>
    <xf numFmtId="0" fontId="0" fillId="0" borderId="0" xfId="0">
      <alignment vertical="center"/>
    </xf>
    <xf numFmtId="49" fontId="10" fillId="0" borderId="10" xfId="62" applyNumberFormat="1" applyFont="1" applyBorder="1" applyAlignment="1">
      <alignment horizontal="center" vertical="center"/>
    </xf>
    <xf numFmtId="49" fontId="10" fillId="0" borderId="0" xfId="75" applyNumberFormat="1" applyFont="1"/>
    <xf numFmtId="49" fontId="42" fillId="0" borderId="0" xfId="75" applyNumberFormat="1" applyFont="1"/>
    <xf numFmtId="49" fontId="10" fillId="39" borderId="0" xfId="75" applyNumberFormat="1" applyFont="1" applyFill="1"/>
    <xf numFmtId="0" fontId="42" fillId="39" borderId="0" xfId="75" applyFill="1"/>
    <xf numFmtId="190" fontId="42" fillId="0" borderId="0" xfId="75" applyNumberFormat="1"/>
    <xf numFmtId="49" fontId="10" fillId="0" borderId="0" xfId="75" applyNumberFormat="1" applyFont="1" applyFill="1"/>
    <xf numFmtId="0" fontId="42" fillId="0" borderId="0" xfId="75" applyFill="1"/>
    <xf numFmtId="49" fontId="0" fillId="0" borderId="10" xfId="0" applyNumberFormat="1" applyBorder="1" applyAlignment="1">
      <alignment horizontal="left" vertical="center"/>
    </xf>
    <xf numFmtId="10" fontId="0" fillId="0" borderId="26" xfId="0" applyNumberForma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181" fontId="0" fillId="0" borderId="17" xfId="71" applyNumberFormat="1" applyFont="1" applyFill="1" applyBorder="1">
      <alignment vertical="center"/>
    </xf>
    <xf numFmtId="181" fontId="0" fillId="0" borderId="18" xfId="71" applyNumberFormat="1" applyFont="1" applyFill="1" applyBorder="1">
      <alignment vertical="center"/>
    </xf>
    <xf numFmtId="0" fontId="13" fillId="24" borderId="13" xfId="0" applyFont="1" applyFill="1" applyBorder="1" applyAlignment="1">
      <alignment horizontal="center" vertical="center" shrinkToFit="1"/>
    </xf>
    <xf numFmtId="0" fontId="0" fillId="0" borderId="10" xfId="0" applyFill="1" applyBorder="1" applyAlignment="1">
      <alignment horizontal="center" vertical="center"/>
    </xf>
    <xf numFmtId="181" fontId="0" fillId="0" borderId="10" xfId="71" applyNumberFormat="1" applyFont="1" applyFill="1" applyBorder="1">
      <alignment vertical="center"/>
    </xf>
    <xf numFmtId="2" fontId="42" fillId="0" borderId="10" xfId="75" applyNumberFormat="1" applyFill="1" applyBorder="1"/>
    <xf numFmtId="0" fontId="7" fillId="24" borderId="15" xfId="0" applyFont="1" applyFill="1" applyBorder="1" applyAlignment="1">
      <alignment horizontal="center" vertical="center"/>
    </xf>
    <xf numFmtId="10" fontId="0" fillId="0" borderId="24" xfId="0" applyNumberFormat="1" applyFill="1" applyBorder="1" applyAlignment="1">
      <alignment horizontal="center" vertical="center"/>
    </xf>
    <xf numFmtId="181" fontId="0" fillId="0" borderId="25" xfId="71" applyNumberFormat="1" applyFont="1" applyFill="1" applyBorder="1">
      <alignment vertical="center"/>
    </xf>
    <xf numFmtId="2" fontId="42" fillId="0" borderId="17" xfId="75" applyNumberFormat="1" applyFill="1" applyBorder="1"/>
    <xf numFmtId="0" fontId="42" fillId="0" borderId="10" xfId="75" applyBorder="1" applyAlignment="1">
      <alignment horizontal="center"/>
    </xf>
    <xf numFmtId="49" fontId="42" fillId="0" borderId="10" xfId="75" applyNumberFormat="1" applyFill="1" applyBorder="1" applyAlignment="1">
      <alignment horizontal="center"/>
    </xf>
    <xf numFmtId="49" fontId="42" fillId="0" borderId="17" xfId="75" applyNumberFormat="1" applyFill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42" fillId="0" borderId="39" xfId="75" applyBorder="1" applyAlignment="1">
      <alignment horizontal="center"/>
    </xf>
    <xf numFmtId="10" fontId="0" fillId="0" borderId="54" xfId="0" applyNumberFormat="1" applyFill="1" applyBorder="1" applyAlignment="1">
      <alignment horizontal="center" vertical="center"/>
    </xf>
    <xf numFmtId="180" fontId="0" fillId="27" borderId="10" xfId="0" applyNumberFormat="1" applyFill="1" applyBorder="1" applyAlignment="1">
      <alignment horizontal="right" vertical="center"/>
    </xf>
    <xf numFmtId="3" fontId="44" fillId="40" borderId="0" xfId="0" applyNumberFormat="1" applyFont="1" applyFill="1" applyAlignment="1">
      <alignment horizontal="center" vertical="center" wrapText="1"/>
    </xf>
    <xf numFmtId="3" fontId="44" fillId="24" borderId="0" xfId="0" applyNumberFormat="1" applyFont="1" applyFill="1" applyAlignment="1">
      <alignment horizontal="center" vertical="center" wrapText="1"/>
    </xf>
    <xf numFmtId="191" fontId="42" fillId="0" borderId="0" xfId="75" applyNumberFormat="1"/>
    <xf numFmtId="0" fontId="42" fillId="0" borderId="0" xfId="75"/>
    <xf numFmtId="0" fontId="42" fillId="0" borderId="0" xfId="75"/>
    <xf numFmtId="0" fontId="0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23" fillId="0" borderId="0" xfId="0" applyNumberFormat="1" applyFont="1">
      <alignment vertical="center"/>
    </xf>
    <xf numFmtId="0" fontId="3" fillId="0" borderId="0" xfId="78" applyAlignment="1">
      <alignment horizontal="left" vertical="center"/>
    </xf>
    <xf numFmtId="0" fontId="3" fillId="0" borderId="0" xfId="78">
      <alignment vertical="center"/>
    </xf>
    <xf numFmtId="0" fontId="3" fillId="0" borderId="0" xfId="78">
      <alignment vertical="center"/>
    </xf>
    <xf numFmtId="0" fontId="46" fillId="0" borderId="0" xfId="78" applyNumberFormat="1" applyFont="1">
      <alignment vertical="center"/>
    </xf>
    <xf numFmtId="49" fontId="46" fillId="0" borderId="0" xfId="78" applyNumberFormat="1" applyFont="1">
      <alignment vertical="center"/>
    </xf>
    <xf numFmtId="0" fontId="47" fillId="0" borderId="0" xfId="78" applyNumberFormat="1" applyFont="1">
      <alignment vertical="center"/>
    </xf>
    <xf numFmtId="14" fontId="46" fillId="0" borderId="0" xfId="78" applyNumberFormat="1" applyFont="1">
      <alignment vertical="center"/>
    </xf>
    <xf numFmtId="0" fontId="6" fillId="0" borderId="10" xfId="60" applyNumberFormat="1" applyFont="1" applyBorder="1" applyAlignment="1">
      <alignment vertical="center" wrapText="1"/>
    </xf>
    <xf numFmtId="0" fontId="6" fillId="0" borderId="10" xfId="0" applyFont="1" applyBorder="1" applyAlignment="1">
      <alignment vertical="center" wrapText="1"/>
    </xf>
    <xf numFmtId="0" fontId="3" fillId="0" borderId="0" xfId="78" applyFill="1">
      <alignment vertical="center"/>
    </xf>
    <xf numFmtId="0" fontId="2" fillId="0" borderId="0" xfId="79">
      <alignment vertical="center"/>
    </xf>
    <xf numFmtId="0" fontId="2" fillId="0" borderId="0" xfId="78" applyFont="1" applyFill="1">
      <alignment vertical="center"/>
    </xf>
    <xf numFmtId="0" fontId="2" fillId="0" borderId="0" xfId="79">
      <alignment vertical="center"/>
    </xf>
    <xf numFmtId="0" fontId="0" fillId="0" borderId="0" xfId="0">
      <alignment vertical="center"/>
    </xf>
    <xf numFmtId="0" fontId="13" fillId="0" borderId="0" xfId="0" applyFont="1">
      <alignment vertical="center"/>
    </xf>
    <xf numFmtId="192" fontId="13" fillId="25" borderId="10" xfId="0" applyNumberFormat="1" applyFont="1" applyFill="1" applyBorder="1" applyAlignment="1">
      <alignment horizontal="center" vertical="center"/>
    </xf>
    <xf numFmtId="181" fontId="13" fillId="25" borderId="17" xfId="71" applyNumberFormat="1" applyFont="1" applyFill="1" applyBorder="1" applyAlignment="1">
      <alignment horizontal="center" vertical="center"/>
    </xf>
    <xf numFmtId="43" fontId="13" fillId="25" borderId="17" xfId="71" applyNumberFormat="1" applyFont="1" applyFill="1" applyBorder="1" applyAlignment="1">
      <alignment horizontal="left" vertical="center"/>
    </xf>
    <xf numFmtId="179" fontId="13" fillId="30" borderId="10" xfId="0" applyNumberFormat="1" applyFont="1" applyFill="1" applyBorder="1" applyAlignment="1">
      <alignment horizontal="center" vertical="center"/>
    </xf>
    <xf numFmtId="179" fontId="13" fillId="30" borderId="11" xfId="0" applyNumberFormat="1" applyFont="1" applyFill="1" applyBorder="1" applyAlignment="1">
      <alignment horizontal="center" vertical="center"/>
    </xf>
    <xf numFmtId="181" fontId="13" fillId="0" borderId="24" xfId="71" applyNumberFormat="1" applyFont="1" applyBorder="1" applyAlignment="1">
      <alignment horizontal="center" vertical="center"/>
    </xf>
    <xf numFmtId="181" fontId="13" fillId="0" borderId="10" xfId="71" applyNumberFormat="1" applyFont="1" applyBorder="1" applyAlignment="1">
      <alignment horizontal="center" vertical="center"/>
    </xf>
    <xf numFmtId="181" fontId="13" fillId="0" borderId="25" xfId="71" applyNumberFormat="1" applyFont="1" applyBorder="1" applyAlignment="1">
      <alignment horizontal="center" vertical="center"/>
    </xf>
    <xf numFmtId="192" fontId="13" fillId="25" borderId="17" xfId="0" applyNumberFormat="1" applyFont="1" applyFill="1" applyBorder="1" applyAlignment="1">
      <alignment horizontal="center" vertical="center"/>
    </xf>
    <xf numFmtId="179" fontId="13" fillId="30" borderId="17" xfId="0" applyNumberFormat="1" applyFont="1" applyFill="1" applyBorder="1" applyAlignment="1">
      <alignment horizontal="center" vertical="center"/>
    </xf>
    <xf numFmtId="179" fontId="13" fillId="30" borderId="30" xfId="0" applyNumberFormat="1" applyFont="1" applyFill="1" applyBorder="1" applyAlignment="1">
      <alignment horizontal="center" vertical="center"/>
    </xf>
    <xf numFmtId="181" fontId="13" fillId="0" borderId="26" xfId="71" applyNumberFormat="1" applyFont="1" applyBorder="1" applyAlignment="1">
      <alignment horizontal="center" vertical="center"/>
    </xf>
    <xf numFmtId="181" fontId="13" fillId="0" borderId="17" xfId="71" applyNumberFormat="1" applyFont="1" applyBorder="1" applyAlignment="1">
      <alignment horizontal="center" vertical="center"/>
    </xf>
    <xf numFmtId="181" fontId="13" fillId="0" borderId="18" xfId="71" applyNumberFormat="1" applyFont="1" applyBorder="1" applyAlignment="1">
      <alignment horizontal="center" vertical="center"/>
    </xf>
    <xf numFmtId="0" fontId="13" fillId="0" borderId="0" xfId="0" applyFont="1" applyBorder="1">
      <alignment vertical="center"/>
    </xf>
    <xf numFmtId="43" fontId="13" fillId="0" borderId="0" xfId="0" applyNumberFormat="1" applyFont="1" applyBorder="1">
      <alignment vertical="center"/>
    </xf>
    <xf numFmtId="10" fontId="13" fillId="0" borderId="0" xfId="0" applyNumberFormat="1" applyFont="1" applyAlignment="1">
      <alignment horizontal="center" vertical="center"/>
    </xf>
    <xf numFmtId="10" fontId="13" fillId="0" borderId="24" xfId="0" applyNumberFormat="1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179" fontId="13" fillId="0" borderId="19" xfId="0" applyNumberFormat="1" applyFont="1" applyBorder="1" applyAlignment="1">
      <alignment horizontal="center" vertical="center"/>
    </xf>
    <xf numFmtId="176" fontId="13" fillId="26" borderId="34" xfId="71" applyNumberFormat="1" applyFont="1" applyFill="1" applyBorder="1" applyAlignment="1">
      <alignment horizontal="center" vertical="center"/>
    </xf>
    <xf numFmtId="10" fontId="13" fillId="0" borderId="62" xfId="0" applyNumberFormat="1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 wrapText="1"/>
    </xf>
    <xf numFmtId="10" fontId="13" fillId="0" borderId="26" xfId="0" applyNumberFormat="1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 wrapText="1"/>
    </xf>
    <xf numFmtId="10" fontId="13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 wrapText="1"/>
    </xf>
    <xf numFmtId="10" fontId="13" fillId="0" borderId="10" xfId="0" applyNumberFormat="1" applyFont="1" applyBorder="1" applyAlignment="1">
      <alignment horizontal="center" vertical="center"/>
    </xf>
    <xf numFmtId="185" fontId="13" fillId="0" borderId="10" xfId="71" applyNumberFormat="1" applyFont="1" applyBorder="1">
      <alignment vertical="center"/>
    </xf>
    <xf numFmtId="183" fontId="13" fillId="26" borderId="34" xfId="71" applyNumberFormat="1" applyFont="1" applyFill="1" applyBorder="1" applyAlignment="1">
      <alignment horizontal="center" vertical="center"/>
    </xf>
    <xf numFmtId="185" fontId="13" fillId="0" borderId="0" xfId="71" applyNumberFormat="1" applyFont="1" applyBorder="1">
      <alignment vertical="center"/>
    </xf>
    <xf numFmtId="44" fontId="13" fillId="0" borderId="0" xfId="0" applyNumberFormat="1" applyFont="1">
      <alignment vertical="center"/>
    </xf>
    <xf numFmtId="182" fontId="13" fillId="0" borderId="14" xfId="69" applyNumberFormat="1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/>
    </xf>
    <xf numFmtId="181" fontId="13" fillId="0" borderId="15" xfId="71" applyNumberFormat="1" applyFont="1" applyBorder="1" applyAlignment="1">
      <alignment horizontal="center" vertical="center"/>
    </xf>
    <xf numFmtId="187" fontId="13" fillId="0" borderId="15" xfId="71" applyNumberFormat="1" applyFont="1" applyBorder="1" applyAlignment="1">
      <alignment horizontal="center" vertical="center"/>
    </xf>
    <xf numFmtId="187" fontId="13" fillId="0" borderId="16" xfId="71" applyNumberFormat="1" applyFont="1" applyBorder="1" applyAlignment="1">
      <alignment horizontal="center" vertical="center"/>
    </xf>
    <xf numFmtId="10" fontId="13" fillId="0" borderId="26" xfId="69" applyNumberFormat="1" applyFont="1" applyBorder="1" applyAlignment="1">
      <alignment horizontal="center" vertical="center" wrapText="1"/>
    </xf>
    <xf numFmtId="187" fontId="13" fillId="0" borderId="17" xfId="71" applyNumberFormat="1" applyFont="1" applyBorder="1" applyAlignment="1">
      <alignment horizontal="center" vertical="center"/>
    </xf>
    <xf numFmtId="187" fontId="13" fillId="0" borderId="18" xfId="71" applyNumberFormat="1" applyFont="1" applyBorder="1" applyAlignment="1">
      <alignment horizontal="center" vertical="center"/>
    </xf>
    <xf numFmtId="10" fontId="13" fillId="0" borderId="50" xfId="69" applyNumberFormat="1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/>
    </xf>
    <xf numFmtId="187" fontId="13" fillId="0" borderId="19" xfId="71" applyNumberFormat="1" applyFont="1" applyBorder="1" applyAlignment="1">
      <alignment horizontal="center" vertical="center"/>
    </xf>
    <xf numFmtId="10" fontId="13" fillId="0" borderId="0" xfId="0" applyNumberFormat="1" applyFont="1">
      <alignment vertical="center"/>
    </xf>
    <xf numFmtId="187" fontId="13" fillId="0" borderId="10" xfId="71" applyNumberFormat="1" applyFont="1" applyBorder="1" applyAlignment="1">
      <alignment horizontal="center" vertical="center"/>
    </xf>
    <xf numFmtId="0" fontId="49" fillId="41" borderId="61" xfId="0" applyFont="1" applyFill="1" applyBorder="1" applyAlignment="1">
      <alignment horizontal="center" vertical="center" wrapText="1"/>
    </xf>
    <xf numFmtId="0" fontId="50" fillId="42" borderId="61" xfId="0" applyFont="1" applyFill="1" applyBorder="1" applyAlignment="1">
      <alignment horizontal="center" vertical="center" wrapText="1"/>
    </xf>
    <xf numFmtId="0" fontId="50" fillId="43" borderId="61" xfId="0" applyFont="1" applyFill="1" applyBorder="1" applyAlignment="1">
      <alignment horizontal="center" vertical="center" wrapText="1"/>
    </xf>
    <xf numFmtId="0" fontId="50" fillId="43" borderId="61" xfId="0" applyFont="1" applyFill="1" applyBorder="1" applyAlignment="1">
      <alignment horizontal="right" vertical="center" wrapText="1"/>
    </xf>
    <xf numFmtId="3" fontId="50" fillId="43" borderId="61" xfId="0" applyNumberFormat="1" applyFont="1" applyFill="1" applyBorder="1" applyAlignment="1">
      <alignment horizontal="right" vertical="center" wrapText="1"/>
    </xf>
    <xf numFmtId="0" fontId="50" fillId="44" borderId="61" xfId="0" applyFont="1" applyFill="1" applyBorder="1" applyAlignment="1">
      <alignment horizontal="center" vertical="center" wrapText="1"/>
    </xf>
    <xf numFmtId="0" fontId="50" fillId="40" borderId="61" xfId="0" applyFont="1" applyFill="1" applyBorder="1" applyAlignment="1">
      <alignment horizontal="center" vertical="center" wrapText="1"/>
    </xf>
    <xf numFmtId="0" fontId="50" fillId="40" borderId="61" xfId="0" applyFont="1" applyFill="1" applyBorder="1" applyAlignment="1">
      <alignment horizontal="right" vertical="center" wrapText="1"/>
    </xf>
    <xf numFmtId="3" fontId="50" fillId="40" borderId="61" xfId="0" applyNumberFormat="1" applyFont="1" applyFill="1" applyBorder="1" applyAlignment="1">
      <alignment horizontal="right" vertical="center" wrapText="1"/>
    </xf>
    <xf numFmtId="187" fontId="13" fillId="0" borderId="0" xfId="0" applyNumberFormat="1" applyFont="1" applyBorder="1">
      <alignment vertical="center"/>
    </xf>
    <xf numFmtId="179" fontId="13" fillId="0" borderId="0" xfId="0" applyNumberFormat="1" applyFont="1" applyBorder="1" applyAlignment="1">
      <alignment horizontal="center" vertical="center"/>
    </xf>
    <xf numFmtId="179" fontId="13" fillId="0" borderId="15" xfId="0" applyNumberFormat="1" applyFont="1" applyBorder="1" applyAlignment="1">
      <alignment horizontal="center" vertical="center"/>
    </xf>
    <xf numFmtId="179" fontId="13" fillId="0" borderId="59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13" fillId="29" borderId="10" xfId="0" applyNumberFormat="1" applyFont="1" applyFill="1" applyBorder="1" applyAlignment="1">
      <alignment horizontal="center" vertical="center"/>
    </xf>
    <xf numFmtId="0" fontId="13" fillId="25" borderId="10" xfId="0" applyFont="1" applyFill="1" applyBorder="1" applyAlignment="1">
      <alignment horizontal="center" vertical="center"/>
    </xf>
    <xf numFmtId="181" fontId="13" fillId="25" borderId="10" xfId="71" applyNumberFormat="1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79" fontId="13" fillId="27" borderId="23" xfId="0" applyNumberFormat="1" applyFont="1" applyFill="1" applyBorder="1" applyAlignment="1">
      <alignment horizontal="center" vertical="center"/>
    </xf>
    <xf numFmtId="179" fontId="13" fillId="27" borderId="17" xfId="0" applyNumberFormat="1" applyFont="1" applyFill="1" applyBorder="1" applyAlignment="1">
      <alignment horizontal="center" vertical="center"/>
    </xf>
    <xf numFmtId="179" fontId="13" fillId="27" borderId="18" xfId="0" applyNumberFormat="1" applyFont="1" applyFill="1" applyBorder="1" applyAlignment="1">
      <alignment horizontal="center" vertical="center"/>
    </xf>
    <xf numFmtId="176" fontId="13" fillId="0" borderId="13" xfId="71" applyNumberFormat="1" applyFont="1" applyBorder="1">
      <alignment vertical="center"/>
    </xf>
    <xf numFmtId="176" fontId="13" fillId="0" borderId="10" xfId="71" applyNumberFormat="1" applyFont="1" applyBorder="1">
      <alignment vertical="center"/>
    </xf>
    <xf numFmtId="2" fontId="13" fillId="0" borderId="10" xfId="0" applyNumberFormat="1" applyFont="1" applyBorder="1">
      <alignment vertical="center"/>
    </xf>
    <xf numFmtId="0" fontId="13" fillId="0" borderId="10" xfId="0" applyFont="1" applyBorder="1">
      <alignment vertical="center"/>
    </xf>
    <xf numFmtId="187" fontId="13" fillId="0" borderId="10" xfId="71" applyNumberFormat="1" applyFont="1" applyBorder="1">
      <alignment vertical="center"/>
    </xf>
    <xf numFmtId="187" fontId="13" fillId="0" borderId="25" xfId="71" applyNumberFormat="1" applyFont="1" applyBorder="1">
      <alignment vertical="center"/>
    </xf>
    <xf numFmtId="176" fontId="13" fillId="0" borderId="34" xfId="71" applyNumberFormat="1" applyFont="1" applyBorder="1">
      <alignment vertical="center"/>
    </xf>
    <xf numFmtId="2" fontId="13" fillId="0" borderId="17" xfId="0" applyNumberFormat="1" applyFont="1" applyBorder="1">
      <alignment vertical="center"/>
    </xf>
    <xf numFmtId="0" fontId="13" fillId="0" borderId="17" xfId="0" applyFont="1" applyBorder="1">
      <alignment vertical="center"/>
    </xf>
    <xf numFmtId="187" fontId="13" fillId="0" borderId="17" xfId="71" applyNumberFormat="1" applyFont="1" applyBorder="1">
      <alignment vertical="center"/>
    </xf>
    <xf numFmtId="187" fontId="13" fillId="0" borderId="18" xfId="71" applyNumberFormat="1" applyFont="1" applyBorder="1">
      <alignment vertical="center"/>
    </xf>
    <xf numFmtId="0" fontId="48" fillId="41" borderId="61" xfId="0" applyFont="1" applyFill="1" applyBorder="1" applyAlignment="1">
      <alignment horizontal="center" vertical="center" wrapText="1"/>
    </xf>
    <xf numFmtId="2" fontId="13" fillId="0" borderId="19" xfId="0" applyNumberFormat="1" applyFont="1" applyBorder="1">
      <alignment vertical="center"/>
    </xf>
    <xf numFmtId="187" fontId="13" fillId="0" borderId="19" xfId="71" applyNumberFormat="1" applyFont="1" applyBorder="1">
      <alignment vertical="center"/>
    </xf>
    <xf numFmtId="187" fontId="13" fillId="0" borderId="27" xfId="71" applyNumberFormat="1" applyFont="1" applyBorder="1">
      <alignment vertical="center"/>
    </xf>
    <xf numFmtId="0" fontId="11" fillId="42" borderId="61" xfId="0" applyFont="1" applyFill="1" applyBorder="1" applyAlignment="1">
      <alignment horizontal="center" vertical="center" wrapText="1"/>
    </xf>
    <xf numFmtId="0" fontId="11" fillId="43" borderId="61" xfId="0" applyFont="1" applyFill="1" applyBorder="1" applyAlignment="1">
      <alignment horizontal="center" vertical="center" wrapText="1"/>
    </xf>
    <xf numFmtId="0" fontId="11" fillId="43" borderId="61" xfId="0" applyFont="1" applyFill="1" applyBorder="1" applyAlignment="1">
      <alignment horizontal="right" vertical="center" wrapText="1"/>
    </xf>
    <xf numFmtId="3" fontId="11" fillId="43" borderId="61" xfId="0" applyNumberFormat="1" applyFont="1" applyFill="1" applyBorder="1" applyAlignment="1">
      <alignment horizontal="right" vertical="center" wrapText="1"/>
    </xf>
    <xf numFmtId="0" fontId="11" fillId="44" borderId="61" xfId="0" applyFont="1" applyFill="1" applyBorder="1" applyAlignment="1">
      <alignment horizontal="center" vertical="center" wrapText="1"/>
    </xf>
    <xf numFmtId="0" fontId="11" fillId="40" borderId="61" xfId="0" applyFont="1" applyFill="1" applyBorder="1" applyAlignment="1">
      <alignment horizontal="center" vertical="center" wrapText="1"/>
    </xf>
    <xf numFmtId="0" fontId="11" fillId="40" borderId="61" xfId="0" applyFont="1" applyFill="1" applyBorder="1" applyAlignment="1">
      <alignment horizontal="right" vertical="center" wrapText="1"/>
    </xf>
    <xf numFmtId="3" fontId="11" fillId="40" borderId="61" xfId="0" applyNumberFormat="1" applyFont="1" applyFill="1" applyBorder="1" applyAlignment="1">
      <alignment horizontal="right" vertical="center" wrapText="1"/>
    </xf>
    <xf numFmtId="0" fontId="13" fillId="32" borderId="10" xfId="0" applyFont="1" applyFill="1" applyBorder="1" applyAlignment="1">
      <alignment horizontal="center" vertical="center"/>
    </xf>
    <xf numFmtId="0" fontId="13" fillId="32" borderId="11" xfId="0" applyFont="1" applyFill="1" applyBorder="1" applyAlignment="1">
      <alignment horizontal="center" vertical="center"/>
    </xf>
    <xf numFmtId="0" fontId="13" fillId="32" borderId="22" xfId="0" applyFont="1" applyFill="1" applyBorder="1" applyAlignment="1">
      <alignment horizontal="center" vertical="center"/>
    </xf>
    <xf numFmtId="0" fontId="13" fillId="32" borderId="15" xfId="0" applyFont="1" applyFill="1" applyBorder="1" applyAlignment="1">
      <alignment horizontal="center" vertical="center"/>
    </xf>
    <xf numFmtId="0" fontId="13" fillId="32" borderId="16" xfId="0" applyFont="1" applyFill="1" applyBorder="1" applyAlignment="1">
      <alignment horizontal="center" vertical="center"/>
    </xf>
    <xf numFmtId="0" fontId="13" fillId="32" borderId="13" xfId="0" applyFont="1" applyFill="1" applyBorder="1" applyAlignment="1">
      <alignment horizontal="center" vertical="center"/>
    </xf>
    <xf numFmtId="0" fontId="13" fillId="32" borderId="14" xfId="0" applyFont="1" applyFill="1" applyBorder="1" applyAlignment="1">
      <alignment horizontal="center" vertical="center"/>
    </xf>
    <xf numFmtId="0" fontId="13" fillId="32" borderId="33" xfId="0" applyFont="1" applyFill="1" applyBorder="1" applyAlignment="1">
      <alignment horizontal="center" vertical="center"/>
    </xf>
    <xf numFmtId="49" fontId="13" fillId="39" borderId="10" xfId="0" applyNumberFormat="1" applyFont="1" applyFill="1" applyBorder="1" applyAlignment="1">
      <alignment horizontal="center" vertical="center"/>
    </xf>
    <xf numFmtId="49" fontId="13" fillId="39" borderId="20" xfId="0" applyNumberFormat="1" applyFont="1" applyFill="1" applyBorder="1" applyAlignment="1">
      <alignment horizontal="center" vertical="center"/>
    </xf>
    <xf numFmtId="0" fontId="13" fillId="39" borderId="20" xfId="0" applyFont="1" applyFill="1" applyBorder="1" applyAlignment="1">
      <alignment horizontal="center" vertical="center"/>
    </xf>
    <xf numFmtId="0" fontId="13" fillId="39" borderId="24" xfId="0" applyFont="1" applyFill="1" applyBorder="1" applyAlignment="1">
      <alignment horizontal="center" vertical="center"/>
    </xf>
    <xf numFmtId="49" fontId="13" fillId="39" borderId="26" xfId="0" applyNumberFormat="1" applyFont="1" applyFill="1" applyBorder="1" applyAlignment="1">
      <alignment horizontal="center" vertical="center"/>
    </xf>
    <xf numFmtId="0" fontId="13" fillId="32" borderId="29" xfId="0" applyFont="1" applyFill="1" applyBorder="1" applyAlignment="1">
      <alignment horizontal="center" vertical="center"/>
    </xf>
    <xf numFmtId="0" fontId="13" fillId="32" borderId="24" xfId="0" applyFont="1" applyFill="1" applyBorder="1" applyAlignment="1">
      <alignment horizontal="center" vertical="center"/>
    </xf>
    <xf numFmtId="0" fontId="13" fillId="32" borderId="25" xfId="0" applyFont="1" applyFill="1" applyBorder="1" applyAlignment="1">
      <alignment horizontal="center" vertical="center"/>
    </xf>
    <xf numFmtId="176" fontId="13" fillId="32" borderId="33" xfId="71" applyNumberFormat="1" applyFont="1" applyFill="1" applyBorder="1" applyAlignment="1">
      <alignment horizontal="center" vertical="center"/>
    </xf>
    <xf numFmtId="0" fontId="13" fillId="32" borderId="41" xfId="0" applyFont="1" applyFill="1" applyBorder="1" applyAlignment="1">
      <alignment horizontal="center" vertical="center"/>
    </xf>
    <xf numFmtId="0" fontId="13" fillId="32" borderId="47" xfId="0" applyFont="1" applyFill="1" applyBorder="1" applyAlignment="1">
      <alignment horizontal="center" vertical="center"/>
    </xf>
    <xf numFmtId="0" fontId="13" fillId="32" borderId="42" xfId="0" applyFont="1" applyFill="1" applyBorder="1" applyAlignment="1">
      <alignment horizontal="center" vertical="center"/>
    </xf>
    <xf numFmtId="0" fontId="13" fillId="25" borderId="0" xfId="0" applyFont="1" applyFill="1">
      <alignment vertical="center"/>
    </xf>
    <xf numFmtId="182" fontId="13" fillId="0" borderId="24" xfId="69" applyNumberFormat="1" applyFont="1" applyBorder="1">
      <alignment vertical="center"/>
    </xf>
    <xf numFmtId="0" fontId="13" fillId="0" borderId="25" xfId="0" applyFont="1" applyBorder="1">
      <alignment vertical="center"/>
    </xf>
    <xf numFmtId="182" fontId="13" fillId="0" borderId="26" xfId="69" applyNumberFormat="1" applyFont="1" applyBorder="1">
      <alignment vertical="center"/>
    </xf>
    <xf numFmtId="0" fontId="13" fillId="0" borderId="18" xfId="0" applyFont="1" applyBorder="1">
      <alignment vertical="center"/>
    </xf>
    <xf numFmtId="182" fontId="13" fillId="0" borderId="19" xfId="69" applyNumberFormat="1" applyFont="1" applyBorder="1">
      <alignment vertical="center"/>
    </xf>
    <xf numFmtId="0" fontId="13" fillId="0" borderId="19" xfId="0" applyFont="1" applyBorder="1">
      <alignment vertical="center"/>
    </xf>
    <xf numFmtId="182" fontId="13" fillId="0" borderId="10" xfId="69" applyNumberFormat="1" applyFont="1" applyBorder="1">
      <alignment vertical="center"/>
    </xf>
    <xf numFmtId="182" fontId="13" fillId="0" borderId="0" xfId="0" applyNumberFormat="1" applyFont="1">
      <alignment vertical="center"/>
    </xf>
    <xf numFmtId="0" fontId="44" fillId="40" borderId="10" xfId="0" applyFont="1" applyFill="1" applyBorder="1" applyAlignment="1">
      <alignment horizontal="center" vertical="center" wrapText="1"/>
    </xf>
    <xf numFmtId="0" fontId="44" fillId="24" borderId="10" xfId="0" applyFont="1" applyFill="1" applyBorder="1" applyAlignment="1">
      <alignment horizontal="center" vertical="center" wrapText="1"/>
    </xf>
    <xf numFmtId="0" fontId="0" fillId="31" borderId="10" xfId="0" applyFill="1" applyBorder="1" applyAlignment="1">
      <alignment horizontal="center" vertical="center"/>
    </xf>
    <xf numFmtId="0" fontId="30" fillId="37" borderId="11" xfId="0" applyFont="1" applyFill="1" applyBorder="1" applyAlignment="1">
      <alignment horizontal="center" vertical="center"/>
    </xf>
    <xf numFmtId="0" fontId="30" fillId="37" borderId="40" xfId="0" applyFont="1" applyFill="1" applyBorder="1" applyAlignment="1">
      <alignment horizontal="center" vertical="center"/>
    </xf>
    <xf numFmtId="0" fontId="30" fillId="37" borderId="13" xfId="0" applyFont="1" applyFill="1" applyBorder="1" applyAlignment="1">
      <alignment horizontal="center" vertical="center"/>
    </xf>
    <xf numFmtId="0" fontId="31" fillId="0" borderId="52" xfId="0" applyFont="1" applyFill="1" applyBorder="1" applyAlignment="1">
      <alignment horizontal="center" vertical="center" wrapText="1"/>
    </xf>
    <xf numFmtId="0" fontId="31" fillId="0" borderId="54" xfId="0" applyFont="1" applyFill="1" applyBorder="1" applyAlignment="1">
      <alignment horizontal="center" vertical="center" wrapText="1"/>
    </xf>
    <xf numFmtId="0" fontId="31" fillId="0" borderId="53" xfId="0" applyFont="1" applyFill="1" applyBorder="1" applyAlignment="1">
      <alignment horizontal="center" vertical="center" wrapText="1"/>
    </xf>
    <xf numFmtId="0" fontId="31" fillId="0" borderId="19" xfId="0" applyFont="1" applyFill="1" applyBorder="1" applyAlignment="1">
      <alignment horizontal="center" vertical="center" wrapText="1"/>
    </xf>
    <xf numFmtId="2" fontId="31" fillId="0" borderId="48" xfId="0" applyNumberFormat="1" applyFont="1" applyFill="1" applyBorder="1" applyAlignment="1">
      <alignment horizontal="center" vertical="center" wrapText="1"/>
    </xf>
    <xf numFmtId="2" fontId="31" fillId="0" borderId="55" xfId="0" applyNumberFormat="1" applyFont="1" applyFill="1" applyBorder="1" applyAlignment="1">
      <alignment horizontal="center" vertical="center" wrapText="1"/>
    </xf>
    <xf numFmtId="0" fontId="0" fillId="26" borderId="14" xfId="0" applyFill="1" applyBorder="1" applyAlignment="1">
      <alignment horizontal="center" vertical="center" wrapText="1"/>
    </xf>
    <xf numFmtId="0" fontId="0" fillId="26" borderId="15" xfId="0" applyFill="1" applyBorder="1" applyAlignment="1">
      <alignment horizontal="center" vertical="center" wrapText="1"/>
    </xf>
    <xf numFmtId="0" fontId="0" fillId="26" borderId="15" xfId="0" applyFill="1" applyBorder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0" fillId="38" borderId="14" xfId="0" applyFill="1" applyBorder="1" applyAlignment="1">
      <alignment horizontal="center" vertical="center" wrapText="1"/>
    </xf>
    <xf numFmtId="0" fontId="0" fillId="38" borderId="15" xfId="0" applyFill="1" applyBorder="1" applyAlignment="1">
      <alignment horizontal="center" vertical="center" wrapText="1"/>
    </xf>
    <xf numFmtId="0" fontId="0" fillId="38" borderId="15" xfId="0" applyFill="1" applyBorder="1" applyAlignment="1">
      <alignment horizontal="center" vertical="center"/>
    </xf>
    <xf numFmtId="0" fontId="0" fillId="38" borderId="16" xfId="0" applyFill="1" applyBorder="1" applyAlignment="1">
      <alignment horizontal="center" vertical="center"/>
    </xf>
    <xf numFmtId="0" fontId="30" fillId="37" borderId="10" xfId="0" applyFont="1" applyFill="1" applyBorder="1" applyAlignment="1">
      <alignment horizontal="center" vertical="center"/>
    </xf>
    <xf numFmtId="0" fontId="30" fillId="37" borderId="56" xfId="0" applyFont="1" applyFill="1" applyBorder="1" applyAlignment="1">
      <alignment horizontal="center" vertical="center"/>
    </xf>
    <xf numFmtId="0" fontId="30" fillId="37" borderId="57" xfId="0" applyFont="1" applyFill="1" applyBorder="1" applyAlignment="1">
      <alignment horizontal="center" vertical="center"/>
    </xf>
    <xf numFmtId="0" fontId="31" fillId="0" borderId="58" xfId="0" applyFont="1" applyFill="1" applyBorder="1" applyAlignment="1">
      <alignment horizontal="center" vertical="center" wrapText="1"/>
    </xf>
    <xf numFmtId="0" fontId="31" fillId="0" borderId="59" xfId="0" applyFont="1" applyFill="1" applyBorder="1" applyAlignment="1">
      <alignment horizontal="center" vertical="center" wrapText="1"/>
    </xf>
    <xf numFmtId="2" fontId="31" fillId="0" borderId="60" xfId="0" applyNumberFormat="1" applyFont="1" applyFill="1" applyBorder="1" applyAlignment="1">
      <alignment horizontal="center" vertical="center" wrapText="1"/>
    </xf>
    <xf numFmtId="0" fontId="30" fillId="37" borderId="39" xfId="0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center" vertical="center" wrapText="1"/>
    </xf>
    <xf numFmtId="0" fontId="31" fillId="0" borderId="24" xfId="0" applyFont="1" applyFill="1" applyBorder="1" applyAlignment="1">
      <alignment horizontal="center" vertical="center" wrapText="1"/>
    </xf>
    <xf numFmtId="0" fontId="31" fillId="0" borderId="15" xfId="0" applyFont="1" applyFill="1" applyBorder="1" applyAlignment="1">
      <alignment horizontal="center" vertical="center" wrapText="1"/>
    </xf>
    <xf numFmtId="0" fontId="31" fillId="0" borderId="10" xfId="0" applyFont="1" applyFill="1" applyBorder="1" applyAlignment="1">
      <alignment horizontal="center" vertical="center" wrapText="1"/>
    </xf>
    <xf numFmtId="2" fontId="31" fillId="0" borderId="16" xfId="0" applyNumberFormat="1" applyFont="1" applyFill="1" applyBorder="1" applyAlignment="1">
      <alignment horizontal="center" vertical="center" wrapText="1"/>
    </xf>
    <xf numFmtId="2" fontId="31" fillId="0" borderId="25" xfId="0" applyNumberFormat="1" applyFont="1" applyFill="1" applyBorder="1" applyAlignment="1">
      <alignment horizontal="center" vertical="center" wrapText="1"/>
    </xf>
    <xf numFmtId="0" fontId="30" fillId="37" borderId="41" xfId="0" applyFont="1" applyFill="1" applyBorder="1" applyAlignment="1">
      <alignment horizontal="center" vertical="center"/>
    </xf>
    <xf numFmtId="0" fontId="30" fillId="37" borderId="47" xfId="0" applyFont="1" applyFill="1" applyBorder="1" applyAlignment="1">
      <alignment horizontal="center" vertical="center"/>
    </xf>
    <xf numFmtId="0" fontId="30" fillId="37" borderId="42" xfId="0" applyFont="1" applyFill="1" applyBorder="1" applyAlignment="1">
      <alignment horizontal="center" vertical="center"/>
    </xf>
    <xf numFmtId="0" fontId="30" fillId="37" borderId="14" xfId="0" applyFont="1" applyFill="1" applyBorder="1" applyAlignment="1">
      <alignment horizontal="center" vertical="center"/>
    </xf>
    <xf numFmtId="0" fontId="30" fillId="37" borderId="15" xfId="0" applyFont="1" applyFill="1" applyBorder="1" applyAlignment="1">
      <alignment horizontal="center" vertical="center"/>
    </xf>
    <xf numFmtId="0" fontId="30" fillId="37" borderId="16" xfId="0" applyFont="1" applyFill="1" applyBorder="1" applyAlignment="1">
      <alignment horizontal="center" vertical="center"/>
    </xf>
    <xf numFmtId="0" fontId="31" fillId="0" borderId="39" xfId="0" applyFont="1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 wrapText="1"/>
    </xf>
    <xf numFmtId="2" fontId="31" fillId="25" borderId="39" xfId="0" applyNumberFormat="1" applyFont="1" applyFill="1" applyBorder="1" applyAlignment="1">
      <alignment horizontal="center" vertical="center" wrapText="1"/>
    </xf>
    <xf numFmtId="2" fontId="31" fillId="25" borderId="19" xfId="0" applyNumberFormat="1" applyFont="1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/>
    </xf>
    <xf numFmtId="0" fontId="0" fillId="38" borderId="10" xfId="0" applyFill="1" applyBorder="1" applyAlignment="1">
      <alignment horizontal="center" vertical="center" wrapText="1"/>
    </xf>
    <xf numFmtId="0" fontId="0" fillId="38" borderId="1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41" fillId="0" borderId="14" xfId="0" applyFont="1" applyFill="1" applyBorder="1" applyAlignment="1">
      <alignment horizontal="center" vertical="center"/>
    </xf>
    <xf numFmtId="0" fontId="41" fillId="0" borderId="16" xfId="0" applyFont="1" applyFill="1" applyBorder="1" applyAlignment="1">
      <alignment horizontal="center" vertical="center"/>
    </xf>
    <xf numFmtId="0" fontId="30" fillId="37" borderId="52" xfId="0" applyFont="1" applyFill="1" applyBorder="1" applyAlignment="1">
      <alignment horizontal="center" vertical="center"/>
    </xf>
    <xf numFmtId="0" fontId="30" fillId="37" borderId="53" xfId="0" applyFont="1" applyFill="1" applyBorder="1" applyAlignment="1">
      <alignment horizontal="center" vertical="center"/>
    </xf>
    <xf numFmtId="0" fontId="30" fillId="37" borderId="48" xfId="0" applyFont="1" applyFill="1" applyBorder="1" applyAlignment="1">
      <alignment horizontal="center" vertical="center"/>
    </xf>
    <xf numFmtId="0" fontId="31" fillId="0" borderId="52" xfId="0" applyFont="1" applyBorder="1" applyAlignment="1">
      <alignment horizontal="center" vertical="center" wrapText="1"/>
    </xf>
    <xf numFmtId="0" fontId="31" fillId="0" borderId="54" xfId="0" applyFont="1" applyBorder="1" applyAlignment="1">
      <alignment horizontal="center" vertical="center" wrapText="1"/>
    </xf>
    <xf numFmtId="0" fontId="31" fillId="0" borderId="53" xfId="0" applyFont="1" applyBorder="1" applyAlignment="1">
      <alignment horizontal="center" vertical="center" wrapText="1"/>
    </xf>
    <xf numFmtId="2" fontId="31" fillId="25" borderId="48" xfId="0" applyNumberFormat="1" applyFont="1" applyFill="1" applyBorder="1" applyAlignment="1">
      <alignment horizontal="center" vertical="center" wrapText="1"/>
    </xf>
    <xf numFmtId="2" fontId="31" fillId="25" borderId="55" xfId="0" applyNumberFormat="1" applyFont="1" applyFill="1" applyBorder="1" applyAlignment="1">
      <alignment horizontal="center" vertical="center" wrapText="1"/>
    </xf>
    <xf numFmtId="0" fontId="0" fillId="33" borderId="14" xfId="0" applyFill="1" applyBorder="1" applyAlignment="1">
      <alignment horizontal="center" vertical="center" wrapText="1"/>
    </xf>
    <xf numFmtId="0" fontId="0" fillId="33" borderId="15" xfId="0" applyFill="1" applyBorder="1" applyAlignment="1">
      <alignment horizontal="center" vertical="center" wrapText="1"/>
    </xf>
    <xf numFmtId="0" fontId="0" fillId="33" borderId="15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0" fontId="29" fillId="24" borderId="51" xfId="0" applyFont="1" applyFill="1" applyBorder="1" applyAlignment="1">
      <alignment horizontal="center" vertical="center"/>
    </xf>
    <xf numFmtId="0" fontId="13" fillId="28" borderId="20" xfId="0" applyFont="1" applyFill="1" applyBorder="1" applyAlignment="1">
      <alignment horizontal="center" vertical="center"/>
    </xf>
    <xf numFmtId="0" fontId="13" fillId="28" borderId="21" xfId="0" applyFon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1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28" borderId="37" xfId="0" applyFill="1" applyBorder="1" applyAlignment="1">
      <alignment horizontal="center" vertical="center"/>
    </xf>
    <xf numFmtId="0" fontId="0" fillId="0" borderId="0" xfId="0">
      <alignment vertical="center"/>
    </xf>
    <xf numFmtId="187" fontId="13" fillId="0" borderId="13" xfId="71" applyNumberFormat="1" applyFont="1" applyBorder="1">
      <alignment vertical="center"/>
    </xf>
    <xf numFmtId="10" fontId="13" fillId="0" borderId="24" xfId="69" applyNumberFormat="1" applyFont="1" applyBorder="1" applyAlignment="1">
      <alignment horizontal="center" vertical="center"/>
    </xf>
    <xf numFmtId="10" fontId="13" fillId="0" borderId="26" xfId="69" applyNumberFormat="1" applyFont="1" applyBorder="1" applyAlignment="1">
      <alignment horizontal="center" vertical="center"/>
    </xf>
    <xf numFmtId="10" fontId="13" fillId="0" borderId="19" xfId="69" applyNumberFormat="1" applyFont="1" applyBorder="1" applyAlignment="1">
      <alignment horizontal="center" vertical="center"/>
    </xf>
    <xf numFmtId="10" fontId="13" fillId="0" borderId="10" xfId="69" applyNumberFormat="1" applyFont="1" applyBorder="1" applyAlignment="1">
      <alignment horizontal="center" vertical="center"/>
    </xf>
    <xf numFmtId="0" fontId="13" fillId="0" borderId="63" xfId="0" applyFont="1" applyBorder="1">
      <alignment vertical="center"/>
    </xf>
    <xf numFmtId="0" fontId="13" fillId="0" borderId="34" xfId="0" applyFont="1" applyBorder="1">
      <alignment vertical="center"/>
    </xf>
    <xf numFmtId="0" fontId="1" fillId="0" borderId="0" xfId="81">
      <alignment vertical="center"/>
    </xf>
    <xf numFmtId="10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185" fontId="0" fillId="0" borderId="0" xfId="71" applyNumberFormat="1" applyFont="1" applyBorder="1">
      <alignment vertical="center"/>
    </xf>
    <xf numFmtId="4" fontId="50" fillId="40" borderId="61" xfId="0" applyNumberFormat="1" applyFont="1" applyFill="1" applyBorder="1" applyAlignment="1">
      <alignment horizontal="right" vertical="center" wrapText="1"/>
    </xf>
    <xf numFmtId="187" fontId="0" fillId="26" borderId="13" xfId="71" applyNumberFormat="1" applyFont="1" applyFill="1" applyBorder="1" applyAlignment="1">
      <alignment horizontal="center" vertical="center"/>
    </xf>
    <xf numFmtId="185" fontId="0" fillId="0" borderId="13" xfId="71" applyNumberFormat="1" applyFont="1" applyBorder="1">
      <alignment vertical="center"/>
    </xf>
    <xf numFmtId="4" fontId="11" fillId="40" borderId="61" xfId="0" applyNumberFormat="1" applyFont="1" applyFill="1" applyBorder="1" applyAlignment="1">
      <alignment horizontal="right" vertical="center" wrapText="1"/>
    </xf>
    <xf numFmtId="2" fontId="0" fillId="27" borderId="23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right" vertical="center"/>
    </xf>
    <xf numFmtId="181" fontId="0" fillId="0" borderId="0" xfId="71" applyNumberFormat="1" applyFont="1" applyBorder="1" applyAlignment="1">
      <alignment horizontal="right" vertical="center"/>
    </xf>
    <xf numFmtId="187" fontId="0" fillId="0" borderId="0" xfId="71" applyNumberFormat="1" applyFont="1" applyBorder="1" applyAlignment="1">
      <alignment horizontal="right" vertical="center"/>
    </xf>
    <xf numFmtId="10" fontId="0" fillId="0" borderId="0" xfId="0" applyNumberFormat="1" applyFill="1" applyBorder="1" applyAlignment="1">
      <alignment horizontal="center" vertical="center"/>
    </xf>
    <xf numFmtId="0" fontId="0" fillId="0" borderId="10" xfId="71" applyNumberFormat="1" applyFont="1" applyBorder="1" applyAlignment="1">
      <alignment horizontal="right" vertical="center"/>
    </xf>
    <xf numFmtId="0" fontId="1" fillId="0" borderId="10" xfId="81" applyBorder="1" applyAlignment="1">
      <alignment horizontal="center" vertical="center"/>
    </xf>
    <xf numFmtId="4" fontId="11" fillId="0" borderId="61" xfId="0" applyNumberFormat="1" applyFont="1" applyBorder="1" applyAlignment="1">
      <alignment horizontal="right" vertical="center" wrapText="1"/>
    </xf>
    <xf numFmtId="181" fontId="0" fillId="25" borderId="0" xfId="71" applyNumberFormat="1" applyFont="1" applyFill="1" applyBorder="1">
      <alignment vertical="center"/>
    </xf>
    <xf numFmtId="3" fontId="0" fillId="25" borderId="0" xfId="0" applyNumberFormat="1" applyFill="1" applyBorder="1">
      <alignment vertical="center"/>
    </xf>
  </cellXfs>
  <cellStyles count="8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te" xfId="37"/>
    <cellStyle name="Output" xfId="38"/>
    <cellStyle name="Title" xfId="39"/>
    <cellStyle name="Total" xfId="40"/>
    <cellStyle name="Warning Text" xfId="41"/>
    <cellStyle name="一般" xfId="0" builtinId="0"/>
    <cellStyle name="一般 10" xfId="42"/>
    <cellStyle name="一般 11" xfId="43"/>
    <cellStyle name="一般 12" xfId="44"/>
    <cellStyle name="一般 13" xfId="45"/>
    <cellStyle name="一般 14" xfId="46"/>
    <cellStyle name="一般 15" xfId="47"/>
    <cellStyle name="一般 16" xfId="48"/>
    <cellStyle name="一般 17" xfId="49"/>
    <cellStyle name="一般 18" xfId="50"/>
    <cellStyle name="一般 19" xfId="51"/>
    <cellStyle name="一般 2" xfId="52"/>
    <cellStyle name="一般 20" xfId="53"/>
    <cellStyle name="一般 21" xfId="54"/>
    <cellStyle name="一般 22" xfId="55"/>
    <cellStyle name="一般 23" xfId="56"/>
    <cellStyle name="一般 24" xfId="57"/>
    <cellStyle name="一般 25" xfId="58"/>
    <cellStyle name="一般 26" xfId="59"/>
    <cellStyle name="一般 27" xfId="60"/>
    <cellStyle name="一般 28" xfId="61"/>
    <cellStyle name="一般 29" xfId="72"/>
    <cellStyle name="一般 3" xfId="62"/>
    <cellStyle name="一般 30" xfId="75"/>
    <cellStyle name="一般 31" xfId="77"/>
    <cellStyle name="一般 32" xfId="78"/>
    <cellStyle name="一般 33" xfId="79"/>
    <cellStyle name="一般 34" xfId="81"/>
    <cellStyle name="一般 4" xfId="63"/>
    <cellStyle name="一般 5" xfId="64"/>
    <cellStyle name="一般 6" xfId="65"/>
    <cellStyle name="一般 7" xfId="66"/>
    <cellStyle name="一般 8" xfId="67"/>
    <cellStyle name="一般 9" xfId="68"/>
    <cellStyle name="千分位" xfId="71" builtinId="3"/>
    <cellStyle name="百分比" xfId="69" builtinId="5"/>
    <cellStyle name="百分比 2" xfId="70"/>
    <cellStyle name="百分比 3" xfId="80"/>
    <cellStyle name="貨幣" xfId="73" builtinId="4"/>
    <cellStyle name="超連結" xfId="74" builtinId="8"/>
    <cellStyle name="超連結 2" xfId="76"/>
  </cellStyles>
  <dxfs count="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kgi.tw.der.pricertdserver.2014.1">
      <tp t="e">
        <v>#N/A</v>
        <stp/>
        <stp>TOPIXM-H19_Time:JPX@IDC54</stp>
        <tr r="H50" s="121"/>
      </tp>
      <tp t="e">
        <v>#N/A</v>
        <stp/>
        <stp>NK-X19:SGX@IDC54</stp>
        <tr r="E14" s="121"/>
      </tp>
      <tp t="e">
        <v>#N/A</v>
        <stp/>
        <stp>NK-Z19:SGX@IDC54</stp>
        <tr r="E15" s="121"/>
      </tp>
      <tp t="e">
        <v>#N/A</v>
        <stp/>
        <stp>NK-V19:SGX@IDC54</stp>
        <tr r="E13" s="121"/>
      </tp>
      <tp t="e">
        <v>#N/A</v>
        <stp/>
        <stp>ES-Z19:CME@IDC54</stp>
        <tr r="E30" s="121"/>
      </tp>
      <tp t="e">
        <v>#N/A</v>
        <stp/>
        <stp>CN-X19:SGX@IDC54</stp>
        <tr r="E11" s="121"/>
      </tp>
      <tp t="e">
        <v>#N/A</v>
        <stp/>
        <stp>ES-H19:CME@IDC54</stp>
        <tr r="E31" s="121"/>
      </tp>
      <tp t="e">
        <v>#N/A</v>
        <stp/>
        <stp>IN-X19:SGX@IDC54</stp>
        <tr r="E17" s="121"/>
      </tp>
      <tp t="e">
        <v>#N/A</v>
        <stp/>
        <stp>CN-Z19:SGX@IDC54</stp>
        <tr r="E12" s="121"/>
      </tp>
      <tp t="e">
        <v>#N/A</v>
        <stp/>
        <stp>IN-Z19:SGX@IDC54</stp>
        <tr r="E18" s="121"/>
      </tp>
      <tp t="e">
        <v>#N/A</v>
        <stp/>
        <stp>CN-V19:SGX@IDC54</stp>
        <tr r="E10" s="121"/>
      </tp>
      <tp t="e">
        <v>#N/A</v>
        <stp/>
        <stp>IN-V19:SGX@IDC54</stp>
        <tr r="E16" s="121"/>
      </tp>
      <tp t="e">
        <v>#N/A</v>
        <stp/>
        <stp>TW-V19_Reference:SGX@IDC54</stp>
        <tr r="D7" s="121"/>
      </tp>
      <tp t="e">
        <v>#N/A</v>
        <stp/>
        <stp>IN-V19_Reference:SGX@IDC54</stp>
        <tr r="D16" s="121"/>
      </tp>
      <tp t="e">
        <v>#N/A</v>
        <stp/>
        <stp>NK-V19_Reference:SGX@IDC54</stp>
        <tr r="D13" s="121"/>
      </tp>
      <tp t="e">
        <v>#N/A</v>
        <stp/>
        <stp>CN-V19_Reference:SGX@IDC54</stp>
        <tr r="D10" s="121"/>
      </tp>
      <tp t="e">
        <v>#N/A</v>
        <stp/>
        <stp>NQ-H19_Reference:CME@IDC54</stp>
        <tr r="D33" s="121"/>
      </tp>
      <tp t="e">
        <v>#N/A</v>
        <stp/>
        <stp>NQ-Z19:CME@IDC54</stp>
        <tr r="E32" s="121"/>
      </tp>
      <tp t="e">
        <v>#N/A</v>
        <stp/>
        <stp>NQ-H19:CME@IDC54</stp>
        <tr r="E33" s="121"/>
      </tp>
      <tp t="e">
        <v>#N/A</v>
        <stp/>
        <stp>ES-H19_Reference:CME@IDC54</stp>
        <tr r="D31" s="121"/>
      </tp>
      <tp t="e">
        <v>#N/A</v>
        <stp/>
        <stp>DX-Z19:NYBOT@IDC54</stp>
        <tr r="E37" s="121"/>
      </tp>
      <tp t="e">
        <v>#N/A</v>
        <stp/>
        <stp>TOPIX-Z19_Reference:JPX@IDC54</stp>
        <tr r="D49" s="121"/>
      </tp>
      <tp t="e">
        <v>#N/A</v>
        <stp/>
        <stp>CL-X19:NYMEX@IDC54</stp>
        <tr r="E39" s="121"/>
      </tp>
      <tp t="e">
        <v>#N/A</v>
        <stp/>
        <stp>GC-X19:NYMEX@IDC54</stp>
        <tr r="E43" s="121"/>
      </tp>
      <tp t="e">
        <v>#N/A</v>
        <stp/>
        <stp>HHI-V19:HKEX@IDC54</stp>
        <tr r="E22" s="121"/>
      </tp>
      <tp t="e">
        <v>#N/A</v>
        <stp/>
        <stp>HSI-V19:HKEX@IDC54</stp>
        <tr r="E19" s="121"/>
      </tp>
      <tp t="e">
        <v>#N/A</v>
        <stp/>
        <stp>HHI-X19:HKEX@IDC54</stp>
        <tr r="E23" s="121"/>
      </tp>
      <tp t="e">
        <v>#N/A</v>
        <stp/>
        <stp>HSI-X19:HKEX@IDC54</stp>
        <tr r="E20" s="121"/>
      </tp>
      <tp t="e">
        <v>#N/A</v>
        <stp/>
        <stp>HHI-Z19:HKEX@IDC54</stp>
        <tr r="E24" s="121"/>
      </tp>
      <tp t="e">
        <v>#N/A</v>
        <stp/>
        <stp>HSI-Z19:HKEX@IDC54</stp>
        <tr r="E21" s="121"/>
      </tp>
      <tp t="e">
        <v>#N/A</v>
        <stp/>
        <stp>TW-Z19_Reference:SGX@IDC54</stp>
        <tr r="D9" s="121"/>
      </tp>
      <tp t="e">
        <v>#N/A</v>
        <stp/>
        <stp>IN-Z19_Reference:SGX@IDC54</stp>
        <tr r="D18" s="121"/>
      </tp>
      <tp t="e">
        <v>#N/A</v>
        <stp/>
        <stp>NK-Z19_Reference:SGX@IDC54</stp>
        <tr r="D15" s="121"/>
      </tp>
      <tp t="e">
        <v>#N/A</v>
        <stp/>
        <stp>CN-Z19_Reference:SGX@IDC54</stp>
        <tr r="D12" s="121"/>
      </tp>
      <tp t="e">
        <v>#N/A</v>
        <stp/>
        <stp>CL-Z19:NYMEX@IDC54</stp>
        <tr r="E40" s="121"/>
        <tr r="E42" s="121"/>
      </tp>
      <tp t="e">
        <v>#N/A</v>
        <stp/>
        <stp>GC-Z19:NYMEX@IDC54</stp>
        <tr r="E44" s="121"/>
      </tp>
      <tp t="e">
        <v>#N/A</v>
        <stp/>
        <stp>TW-X19_Reference:SGX@IDC54</stp>
        <tr r="D8" s="121"/>
      </tp>
      <tp t="e">
        <v>#N/A</v>
        <stp/>
        <stp>IN-X19_Reference:SGX@IDC54</stp>
        <tr r="D17" s="121"/>
      </tp>
      <tp t="e">
        <v>#N/A</v>
        <stp/>
        <stp>NK-X19_Reference:SGX@IDC54</stp>
        <tr r="D14" s="121"/>
      </tp>
      <tp t="e">
        <v>#N/A</v>
        <stp/>
        <stp>CN-X19_Reference:SGX@IDC54</stp>
        <tr r="D11" s="121"/>
      </tp>
      <tp t="e">
        <v>#N/A</v>
        <stp/>
        <stp>TSE33_Reference:V_INDEX@IDC54</stp>
        <tr r="D3" s="121"/>
      </tp>
      <tp t="e">
        <v>#N/A</v>
        <stp/>
        <stp>TSE26_Reference:V_INDEX@IDC54</stp>
        <tr r="D5" s="121"/>
      </tp>
      <tp t="e">
        <v>#N/A</v>
        <stp/>
        <stp>TSE13_Reference:V_INDEX@IDC54</stp>
        <tr r="D4" s="121"/>
      </tp>
      <tp t="e">
        <v>#N/A</v>
        <stp/>
        <stp>TSE00_Reference:V_INDEX@IDC54</stp>
        <tr r="D2" s="121"/>
      </tp>
      <tp t="e">
        <v>#N/A</v>
        <stp/>
        <stp>VX-X19:CFE@IDC54</stp>
        <tr r="E47" s="121"/>
      </tp>
      <tp t="e">
        <v>#N/A</v>
        <stp/>
        <stp>VX-Z19:CFE@IDC54</stp>
        <tr r="E48" s="121"/>
      </tp>
      <tp t="e">
        <v>#N/A</v>
        <stp/>
        <stp>VX-V19:CFE@IDC54</stp>
        <tr r="E46" s="121"/>
      </tp>
      <tp t="e">
        <v>#N/A</v>
        <stp/>
        <stp>MSCITW_AskPrice1:V_INDEX@IDC54</stp>
        <tr r="G6" s="121"/>
      </tp>
      <tp t="e">
        <v>#N/A</v>
        <stp/>
        <stp>TOPIXM-H19_AskPrice1:JPX@IDC54</stp>
        <tr r="G50" s="121"/>
      </tp>
      <tp t="e">
        <v>#N/A</v>
        <stp/>
        <stp>TOPIXM-H19_BidPrice1:JPX@IDC54</stp>
        <tr r="F50" s="121"/>
      </tp>
      <tp t="e">
        <v>#N/A</v>
        <stp/>
        <stp>MSCITW_BidPrice1:V_INDEX@IDC54</stp>
        <tr r="F6" s="121"/>
      </tp>
      <tp t="e">
        <v>#N/A</v>
        <stp/>
        <stp>VX-Z19_Reference:CFE@IDC54</stp>
        <tr r="D48" s="121"/>
      </tp>
      <tp t="e">
        <v>#N/A</v>
        <stp/>
        <stp>NQ-Z19_Reference:CME@IDC54</stp>
        <tr r="D32" s="121"/>
      </tp>
      <tp t="e">
        <v>#N/A</v>
        <stp/>
        <stp>ES-Z19_Reference:CME@IDC54</stp>
        <tr r="D30" s="121"/>
      </tp>
      <tp t="e">
        <v>#N/A</v>
        <stp/>
        <stp>6J-Z19_Reference:CME@IDC54</stp>
        <tr r="D36" s="121"/>
      </tp>
      <tp t="e">
        <v>#N/A</v>
        <stp/>
        <stp>DX-H19:NYBOT@IDC54</stp>
        <tr r="E38" s="121"/>
      </tp>
      <tp t="e">
        <v>#N/A</v>
        <stp/>
        <stp>VX-X19_Reference:CFE@IDC54</stp>
        <tr r="D47" s="121"/>
      </tp>
      <tp t="e">
        <v>#N/A</v>
        <stp/>
        <stp>6J-X19_Reference:CME@IDC54</stp>
        <tr r="D35" s="121"/>
      </tp>
      <tp t="e">
        <v>#N/A</v>
        <stp/>
        <stp>CL-F19:NYMEX@IDC54</stp>
        <tr r="E41" s="121"/>
      </tp>
      <tp t="e">
        <v>#N/A</v>
        <stp/>
        <stp>GC-G19:NYMEX@IDC54</stp>
        <tr r="E45" s="121"/>
      </tp>
      <tp t="e">
        <v>#N/A</v>
        <stp/>
        <stp>VX-V19_Reference:CFE@IDC54</stp>
        <tr r="D46" s="121"/>
      </tp>
      <tp t="e">
        <v>#N/A</v>
        <stp/>
        <stp>6J-V19_Reference:CME@IDC54</stp>
        <tr r="D34" s="121"/>
      </tp>
      <tp t="e">
        <v>#N/A</v>
        <stp/>
        <stp>6J-X19:CME@IDC54</stp>
        <tr r="E35" s="121"/>
      </tp>
      <tp t="e">
        <v>#N/A</v>
        <stp/>
        <stp>6J-Z19:CME@IDC54</stp>
        <tr r="E36" s="121"/>
      </tp>
      <tp t="e">
        <v>#N/A</v>
        <stp/>
        <stp>6J-V19:CME@IDC54</stp>
        <tr r="E34" s="121"/>
      </tp>
      <tp t="e">
        <v>#N/A</v>
        <stp/>
        <stp>TW-X19:SGX@IDC54</stp>
        <tr r="E8" s="121"/>
      </tp>
      <tp t="e">
        <v>#N/A</v>
        <stp/>
        <stp>TW-Z19:SGX@IDC54</stp>
        <tr r="E9" s="121"/>
      </tp>
      <tp t="e">
        <v>#N/A</v>
        <stp/>
        <stp>TW-V19:SGX@IDC54</stp>
        <tr r="E7" s="121"/>
      </tp>
      <tp t="e">
        <v>#N/A</v>
        <stp/>
        <stp>YM-Z19_Time:CBOT@IDC54</stp>
        <tr r="H28" s="121"/>
      </tp>
      <tp t="e">
        <v>#N/A</v>
        <stp/>
        <stp>UB-Z19_Time:CBOT@IDC54</stp>
        <tr r="H25" s="121"/>
        <tr r="H27" s="121"/>
      </tp>
      <tp t="e">
        <v>#N/A</v>
        <stp/>
        <stp>HHI-Z19_AskPrice1:HKEX@IDC54</stp>
        <tr r="G24" s="121"/>
      </tp>
      <tp t="e">
        <v>#N/A</v>
        <stp/>
        <stp>HHI-X19_AskPrice1:HKEX@IDC54</stp>
        <tr r="G23" s="121"/>
      </tp>
      <tp t="e">
        <v>#N/A</v>
        <stp/>
        <stp>HHI-V19_AskPrice1:HKEX@IDC54</stp>
        <tr r="G22" s="121"/>
      </tp>
      <tp t="e">
        <v>#N/A</v>
        <stp/>
        <stp>TOPIX-Z19:JPX@IDC54</stp>
        <tr r="E49" s="121"/>
      </tp>
      <tp t="e">
        <v>#N/A</v>
        <stp/>
        <stp>HSI-X19_BidPrice1:HKEX@IDC54</stp>
        <tr r="F20" s="121"/>
      </tp>
      <tp t="e">
        <v>#N/A</v>
        <stp/>
        <stp>HSI-Z19_BidPrice1:HKEX@IDC54</stp>
        <tr r="F21" s="121"/>
      </tp>
      <tp t="e">
        <v>#N/A</v>
        <stp/>
        <stp>HSI-V19_BidPrice1:HKEX@IDC54</stp>
        <tr r="F19" s="121"/>
      </tp>
      <tp t="e">
        <v>#N/A</v>
        <stp/>
        <stp>HSI-X19_Reference:HKEX@IDC54</stp>
        <tr r="D20" s="121"/>
      </tp>
      <tp t="e">
        <v>#N/A</v>
        <stp/>
        <stp>HSI-Z19_Reference:HKEX@IDC54</stp>
        <tr r="D21" s="121"/>
      </tp>
      <tp t="e">
        <v>#N/A</v>
        <stp/>
        <stp>HSI-V19_Reference:HKEX@IDC54</stp>
        <tr r="D19" s="121"/>
      </tp>
      <tp t="e">
        <v>#N/A</v>
        <stp/>
        <stp>TOPIX-Z19_Time:JPX@IDC54</stp>
        <tr r="H49" s="121"/>
      </tp>
      <tp t="e">
        <v>#N/A</v>
        <stp/>
        <stp>NK225-Z19_AskPrice1:JPX@IDC54</stp>
        <tr r="G51" s="121"/>
      </tp>
      <tp t="e">
        <v>#N/A</v>
        <stp/>
        <stp>NK225-Z19_BidPrice1:JPX@IDC54</stp>
        <tr r="F51" s="121"/>
      </tp>
      <tp t="e">
        <v>#N/A</v>
        <stp/>
        <stp>NK225-Z19_Time:JPX@IDC54</stp>
        <tr r="H51" s="121"/>
      </tp>
      <tp t="e">
        <v>#N/A</v>
        <stp/>
        <stp>NK225-H19_Time:JPX@IDC54</stp>
        <tr r="H52" s="121"/>
      </tp>
      <tp t="e">
        <v>#N/A</v>
        <stp/>
        <stp>HHI-X19_BidPrice1:HKEX@IDC54</stp>
        <tr r="F23" s="121"/>
      </tp>
      <tp t="e">
        <v>#N/A</v>
        <stp/>
        <stp>HHI-Z19_BidPrice1:HKEX@IDC54</stp>
        <tr r="F24" s="121"/>
      </tp>
      <tp t="e">
        <v>#N/A</v>
        <stp/>
        <stp>HHI-V19_BidPrice1:HKEX@IDC54</stp>
        <tr r="F22" s="121"/>
      </tp>
      <tp t="e">
        <v>#N/A</v>
        <stp/>
        <stp>HHI-X19_Reference:HKEX@IDC54</stp>
        <tr r="D23" s="121"/>
      </tp>
      <tp t="e">
        <v>#N/A</v>
        <stp/>
        <stp>HHI-Z19_Reference:HKEX@IDC54</stp>
        <tr r="D24" s="121"/>
      </tp>
      <tp t="e">
        <v>#N/A</v>
        <stp/>
        <stp>HHI-V19_Reference:HKEX@IDC54</stp>
        <tr r="D22" s="121"/>
      </tp>
      <tp t="e">
        <v>#N/A</v>
        <stp/>
        <stp>YM-H19_Time:CBOT@IDC54</stp>
        <tr r="H29" s="121"/>
      </tp>
      <tp t="e">
        <v>#N/A</v>
        <stp/>
        <stp>UB-H19_Time:CBOT@IDC54</stp>
        <tr r="H26" s="121"/>
      </tp>
      <tp t="e">
        <v>#N/A</v>
        <stp/>
        <stp>HSI-Z19_AskPrice1:HKEX@IDC54</stp>
        <tr r="G21" s="121"/>
      </tp>
      <tp t="e">
        <v>#N/A</v>
        <stp/>
        <stp>HSI-X19_AskPrice1:HKEX@IDC54</stp>
        <tr r="G20" s="121"/>
      </tp>
      <tp t="e">
        <v>#N/A</v>
        <stp/>
        <stp>HSI-V19_AskPrice1:HKEX@IDC54</stp>
        <tr r="G19" s="121"/>
      </tp>
      <tp t="e">
        <v>#N/A</v>
        <stp/>
        <stp>TSE33:V_INDEX@IDC54</stp>
        <tr r="E3" s="121"/>
      </tp>
      <tp t="e">
        <v>#N/A</v>
        <stp/>
        <stp>TSE13:V_INDEX@IDC54</stp>
        <tr r="E4" s="121"/>
      </tp>
      <tp t="e">
        <v>#N/A</v>
        <stp/>
        <stp>TSE00:V_INDEX@IDC54</stp>
        <tr r="E2" s="121"/>
      </tp>
      <tp t="e">
        <v>#N/A</v>
        <stp/>
        <stp>TSE26:V_INDEX@IDC54</stp>
        <tr r="E5" s="121"/>
      </tp>
      <tp t="e">
        <v>#N/A</v>
        <stp/>
        <stp>NK225-H19_BidPrice1:JPX@IDC54</stp>
        <tr r="F52" s="121"/>
      </tp>
      <tp t="e">
        <v>#N/A</v>
        <stp/>
        <stp>MSCITW:V_INDEX@IDC54</stp>
        <tr r="E6" s="121"/>
      </tp>
      <tp t="e">
        <v>#N/A</v>
        <stp/>
        <stp>NK225-H19_AskPrice1:JPX@IDC54</stp>
        <tr r="G52" s="121"/>
      </tp>
      <tp t="e">
        <v>#N/A</v>
        <stp/>
        <stp>CL-Z19_Reference:NYMEX@IDC54</stp>
        <tr r="D42" s="121"/>
        <tr r="D40" s="121"/>
      </tp>
      <tp t="e">
        <v>#N/A</v>
        <stp/>
        <stp>CL-X19_Reference:NYMEX@IDC54</stp>
        <tr r="D39" s="121"/>
      </tp>
      <tp t="e">
        <v>#N/A</v>
        <stp/>
        <stp>CL-F19_Reference:NYMEX@IDC54</stp>
        <tr r="D41" s="121"/>
      </tp>
      <tp t="e">
        <v>#N/A</v>
        <stp/>
        <stp>GC-Z19_BidPrice1:NYMEX@IDC54</stp>
        <tr r="F44" s="121"/>
      </tp>
      <tp t="e">
        <v>#N/A</v>
        <stp/>
        <stp>CL-X19_AskPrice1:NYMEX@IDC54</stp>
        <tr r="G39" s="121"/>
      </tp>
      <tp t="e">
        <v>#N/A</v>
        <stp/>
        <stp>GC-X19_BidPrice1:NYMEX@IDC54</stp>
        <tr r="F43" s="121"/>
      </tp>
      <tp t="e">
        <v>#N/A</v>
        <stp/>
        <stp>CL-Z19_AskPrice1:NYMEX@IDC54</stp>
        <tr r="G42" s="121"/>
        <tr r="G40" s="121"/>
      </tp>
      <tp t="e">
        <v>#N/A</v>
        <stp/>
        <stp>GC-G19_BidPrice1:NYMEX@IDC54</stp>
        <tr r="F45" s="121"/>
      </tp>
      <tp t="e">
        <v>#N/A</v>
        <stp/>
        <stp>CL-F19_AskPrice1:NYMEX@IDC54</stp>
        <tr r="G41" s="121"/>
      </tp>
      <tp t="e">
        <v>#N/A</v>
        <stp/>
        <stp>YM-H19_Reference:CBOT@IDC54</stp>
        <tr r="D29" s="121"/>
      </tp>
      <tp t="e">
        <v>#N/A</v>
        <stp/>
        <stp>YM-Z19_Reference:CBOT@IDC54</stp>
        <tr r="D28" s="121"/>
      </tp>
      <tp t="e">
        <v>#N/A</v>
        <stp/>
        <stp>ES-H19_AskPrice1:CME@IDC54</stp>
        <tr r="G31" s="121"/>
      </tp>
      <tp t="e">
        <v>#N/A</v>
        <stp/>
        <stp>YM-H19_BidPrice1:CBOT@IDC54</stp>
        <tr r="F29" s="121"/>
      </tp>
      <tp t="e">
        <v>#N/A</v>
        <stp/>
        <stp>YM-Z19_BidPrice1:CBOT@IDC54</stp>
        <tr r="F28" s="121"/>
      </tp>
      <tp t="e">
        <v>#N/A</v>
        <stp/>
        <stp>TW-V19_BidPrice1:SGX@IDC54</stp>
        <tr r="F7" s="121"/>
      </tp>
      <tp t="e">
        <v>#N/A</v>
        <stp/>
        <stp>NQ-H19_AskPrice1:CME@IDC54</stp>
        <tr r="G33" s="121"/>
      </tp>
      <tp t="e">
        <v>#N/A</v>
        <stp/>
        <stp>IN-V19_BidPrice1:SGX@IDC54</stp>
        <tr r="F16" s="121"/>
      </tp>
      <tp t="e">
        <v>#N/A</v>
        <stp/>
        <stp>NK-V19_BidPrice1:SGX@IDC54</stp>
        <tr r="F13" s="121"/>
      </tp>
      <tp t="e">
        <v>#N/A</v>
        <stp/>
        <stp>CN-V19_BidPrice1:SGX@IDC54</stp>
        <tr r="F10" s="121"/>
      </tp>
      <tp t="e">
        <v>#N/A</v>
        <stp/>
        <stp>DX-H19_Time:NYBOT@IDC54</stp>
        <tr r="H38" s="121"/>
      </tp>
      <tp t="e">
        <v>#N/A</v>
        <stp/>
        <stp>DX-Z19_Time:NYBOT@IDC54</stp>
        <tr r="H37" s="121"/>
      </tp>
      <tp t="e">
        <v>#N/A</v>
        <stp/>
        <stp>CN-V19_AskPrice1:SGX@IDC54</stp>
        <tr r="G10" s="121"/>
      </tp>
      <tp t="e">
        <v>#N/A</v>
        <stp/>
        <stp>IN-V19_AskPrice1:SGX@IDC54</stp>
        <tr r="G16" s="121"/>
      </tp>
      <tp t="e">
        <v>#N/A</v>
        <stp/>
        <stp>NK-V19_AskPrice1:SGX@IDC54</stp>
        <tr r="G13" s="121"/>
      </tp>
      <tp t="e">
        <v>#N/A</v>
        <stp/>
        <stp>TW-V19_AskPrice1:SGX@IDC54</stp>
        <tr r="G7" s="121"/>
      </tp>
      <tp t="e">
        <v>#N/A</v>
        <stp/>
        <stp>NQ-H19_BidPrice1:CME@IDC54</stp>
        <tr r="F33" s="121"/>
      </tp>
      <tp t="e">
        <v>#N/A</v>
        <stp/>
        <stp>ES-H19_BidPrice1:CME@IDC54</stp>
        <tr r="F31" s="121"/>
      </tp>
      <tp t="e">
        <v>#N/A</v>
        <stp/>
        <stp>TOPIXM-H19:JPX@IDC54</stp>
        <tr r="E50" s="121"/>
      </tp>
      <tp t="e">
        <v>#N/A</v>
        <stp/>
        <stp>TSE13_AskPrice1:V_INDEX@IDC54</stp>
        <tr r="G4" s="121"/>
      </tp>
      <tp t="e">
        <v>#N/A</v>
        <stp/>
        <stp>TSE00_AskPrice1:V_INDEX@IDC54</stp>
        <tr r="G2" s="121"/>
      </tp>
      <tp t="e">
        <v>#N/A</v>
        <stp/>
        <stp>TSE33_AskPrice1:V_INDEX@IDC54</stp>
        <tr r="G3" s="121"/>
      </tp>
      <tp t="e">
        <v>#N/A</v>
        <stp/>
        <stp>TSE26_AskPrice1:V_INDEX@IDC54</stp>
        <tr r="G5" s="121"/>
      </tp>
      <tp t="e">
        <v>#N/A</v>
        <stp/>
        <stp>TSE33_BidPrice1:V_INDEX@IDC54</stp>
        <tr r="F3" s="121"/>
      </tp>
      <tp t="e">
        <v>#N/A</v>
        <stp/>
        <stp>TSE26_BidPrice1:V_INDEX@IDC54</stp>
        <tr r="F5" s="121"/>
      </tp>
      <tp t="e">
        <v>#N/A</v>
        <stp/>
        <stp>TSE13_BidPrice1:V_INDEX@IDC54</stp>
        <tr r="F4" s="121"/>
      </tp>
      <tp t="e">
        <v>#N/A</v>
        <stp/>
        <stp>TSE00_BidPrice1:V_INDEX@IDC54</stp>
        <tr r="F2" s="121"/>
      </tp>
      <tp t="e">
        <v>#N/A</v>
        <stp/>
        <stp>CL-F19_Time:NYMEX@IDC54</stp>
        <tr r="H41" s="121"/>
      </tp>
      <tp t="e">
        <v>#N/A</v>
        <stp/>
        <stp>CL-Z19_Time:NYMEX@IDC54</stp>
        <tr r="H40" s="121"/>
        <tr r="H42" s="121"/>
      </tp>
      <tp t="e">
        <v>#N/A</v>
        <stp/>
        <stp>CL-X19_Time:NYMEX@IDC54</stp>
        <tr r="H39" s="121"/>
      </tp>
      <tp t="e">
        <v>#N/A</v>
        <stp/>
        <stp>CN-X19_AskPrice1:SGX@IDC54</stp>
        <tr r="G11" s="121"/>
      </tp>
      <tp t="e">
        <v>#N/A</v>
        <stp/>
        <stp>IN-X19_AskPrice1:SGX@IDC54</stp>
        <tr r="G17" s="121"/>
      </tp>
      <tp t="e">
        <v>#N/A</v>
        <stp/>
        <stp>NK-X19_AskPrice1:SGX@IDC54</stp>
        <tr r="G14" s="121"/>
      </tp>
      <tp t="e">
        <v>#N/A</v>
        <stp/>
        <stp>TW-X19_AskPrice1:SGX@IDC54</stp>
        <tr r="G8" s="121"/>
      </tp>
      <tp t="e">
        <v>#N/A</v>
        <stp/>
        <stp>TOPIX-Z19_BidPrice1:JPX@IDC54</stp>
        <tr r="F49" s="121"/>
      </tp>
      <tp t="e">
        <v>#N/A</v>
        <stp/>
        <stp>UB-H19_BidPrice1:CBOT@IDC54</stp>
        <tr r="F26" s="121"/>
      </tp>
      <tp t="e">
        <v>#N/A</v>
        <stp/>
        <stp>UB-Z19_BidPrice1:CBOT@IDC54</stp>
        <tr r="F25" s="121"/>
        <tr r="F27" s="121"/>
      </tp>
      <tp t="e">
        <v>#N/A</v>
        <stp/>
        <stp>UB-H19_Reference:CBOT@IDC54</stp>
        <tr r="D26" s="121"/>
      </tp>
      <tp t="e">
        <v>#N/A</v>
        <stp/>
        <stp>UB-Z19_Reference:CBOT@IDC54</stp>
        <tr r="D27" s="121"/>
        <tr r="D25" s="121"/>
      </tp>
      <tp t="e">
        <v>#N/A</v>
        <stp/>
        <stp>TW-Z19_BidPrice1:SGX@IDC54</stp>
        <tr r="F9" s="121"/>
      </tp>
      <tp t="e">
        <v>#N/A</v>
        <stp/>
        <stp>IN-Z19_BidPrice1:SGX@IDC54</stp>
        <tr r="F18" s="121"/>
      </tp>
      <tp t="e">
        <v>#N/A</v>
        <stp/>
        <stp>NK-Z19_BidPrice1:SGX@IDC54</stp>
        <tr r="F15" s="121"/>
      </tp>
      <tp t="e">
        <v>#N/A</v>
        <stp/>
        <stp>CN-Z19_BidPrice1:SGX@IDC54</stp>
        <tr r="F12" s="121"/>
      </tp>
      <tp t="e">
        <v>#N/A</v>
        <stp/>
        <stp>VX-X19_Time:CFE@IDC54</stp>
        <tr r="H47" s="121"/>
      </tp>
      <tp t="e">
        <v>#N/A</v>
        <stp/>
        <stp>6J-X19_Time:CME@IDC54</stp>
        <tr r="H35" s="121"/>
      </tp>
      <tp t="e">
        <v>#N/A</v>
        <stp/>
        <stp>ES-Z19_Time:CME@IDC54</stp>
        <tr r="H30" s="121"/>
      </tp>
      <tp t="e">
        <v>#N/A</v>
        <stp/>
        <stp>NQ-Z19_Time:CME@IDC54</stp>
        <tr r="H32" s="121"/>
      </tp>
      <tp t="e">
        <v>#N/A</v>
        <stp/>
        <stp>VX-Z19_Time:CFE@IDC54</stp>
        <tr r="H48" s="121"/>
      </tp>
      <tp t="e">
        <v>#N/A</v>
        <stp/>
        <stp>6J-Z19_Time:CME@IDC54</stp>
        <tr r="H36" s="121"/>
      </tp>
      <tp t="e">
        <v>#N/A</v>
        <stp/>
        <stp>VX-V19_Time:CFE@IDC54</stp>
        <tr r="H46" s="121"/>
      </tp>
      <tp t="e">
        <v>#N/A</v>
        <stp/>
        <stp>6J-V19_Time:CME@IDC54</stp>
        <tr r="H34" s="121"/>
      </tp>
      <tp t="e">
        <v>#N/A</v>
        <stp/>
        <stp>ES-H19_Time:CME@IDC54</stp>
        <tr r="H31" s="121"/>
      </tp>
      <tp t="e">
        <v>#N/A</v>
        <stp/>
        <stp>NQ-H19_Time:CME@IDC54</stp>
        <tr r="H33" s="121"/>
      </tp>
      <tp t="e">
        <v>#N/A</v>
        <stp/>
        <stp>CN-Z19_AskPrice1:SGX@IDC54</stp>
        <tr r="G12" s="121"/>
      </tp>
      <tp t="e">
        <v>#N/A</v>
        <stp/>
        <stp>IN-Z19_AskPrice1:SGX@IDC54</stp>
        <tr r="G18" s="121"/>
      </tp>
      <tp t="e">
        <v>#N/A</v>
        <stp/>
        <stp>NK-Z19_AskPrice1:SGX@IDC54</stp>
        <tr r="G15" s="121"/>
      </tp>
      <tp t="e">
        <v>#N/A</v>
        <stp/>
        <stp>TW-Z19_AskPrice1:SGX@IDC54</stp>
        <tr r="G9" s="121"/>
      </tp>
      <tp t="e">
        <v>#N/A</v>
        <stp/>
        <stp>GC-G19_Time:NYMEX@IDC54</stp>
        <tr r="H45" s="121"/>
      </tp>
      <tp t="e">
        <v>#N/A</v>
        <stp/>
        <stp>GC-Z19_Time:NYMEX@IDC54</stp>
        <tr r="H44" s="121"/>
      </tp>
      <tp t="e">
        <v>#N/A</v>
        <stp/>
        <stp>GC-X19_Time:NYMEX@IDC54</stp>
        <tr r="H43" s="121"/>
      </tp>
      <tp t="e">
        <v>#N/A</v>
        <stp/>
        <stp>GC-Z19_Reference:NYMEX@IDC54</stp>
        <tr r="D44" s="121"/>
      </tp>
      <tp t="e">
        <v>#N/A</v>
        <stp/>
        <stp>GC-X19_Reference:NYMEX@IDC54</stp>
        <tr r="D43" s="121"/>
      </tp>
      <tp t="e">
        <v>#N/A</v>
        <stp/>
        <stp>GC-G19_Reference:NYMEX@IDC54</stp>
        <tr r="D45" s="121"/>
      </tp>
      <tp t="e">
        <v>#N/A</v>
        <stp/>
        <stp>TOPIX-Z19_AskPrice1:JPX@IDC54</stp>
        <tr r="G49" s="121"/>
      </tp>
      <tp t="e">
        <v>#N/A</v>
        <stp/>
        <stp>TW-X19_BidPrice1:SGX@IDC54</stp>
        <tr r="F8" s="121"/>
      </tp>
      <tp t="e">
        <v>#N/A</v>
        <stp/>
        <stp>IN-X19_BidPrice1:SGX@IDC54</stp>
        <tr r="F17" s="121"/>
      </tp>
      <tp t="e">
        <v>#N/A</v>
        <stp/>
        <stp>NK-X19_BidPrice1:SGX@IDC54</stp>
        <tr r="F14" s="121"/>
      </tp>
      <tp t="e">
        <v>#N/A</v>
        <stp/>
        <stp>CL-Z19_BidPrice1:NYMEX@IDC54</stp>
        <tr r="F40" s="121"/>
        <tr r="F42" s="121"/>
      </tp>
      <tp t="e">
        <v>#N/A</v>
        <stp/>
        <stp>GC-X19_AskPrice1:NYMEX@IDC54</stp>
        <tr r="G43" s="121"/>
      </tp>
      <tp t="e">
        <v>#N/A</v>
        <stp/>
        <stp>CL-X19_BidPrice1:NYMEX@IDC54</stp>
        <tr r="F39" s="121"/>
      </tp>
      <tp t="e">
        <v>#N/A</v>
        <stp/>
        <stp>GC-Z19_AskPrice1:NYMEX@IDC54</stp>
        <tr r="G44" s="121"/>
      </tp>
      <tp t="e">
        <v>#N/A</v>
        <stp/>
        <stp>CL-F19_BidPrice1:NYMEX@IDC54</stp>
        <tr r="F41" s="121"/>
      </tp>
      <tp t="e">
        <v>#N/A</v>
        <stp/>
        <stp>GC-G19_AskPrice1:NYMEX@IDC54</stp>
        <tr r="G45" s="121"/>
      </tp>
      <tp t="e">
        <v>#N/A</v>
        <stp/>
        <stp>CN-X19_BidPrice1:SGX@IDC54</stp>
        <tr r="F11" s="121"/>
      </tp>
      <tp t="e">
        <v>#N/A</v>
        <stp/>
        <stp>VX-Z19_BidPrice1:CFE@IDC54</stp>
        <tr r="F48" s="121"/>
      </tp>
      <tp t="e">
        <v>#N/A</v>
        <stp/>
        <stp>NQ-Z19_BidPrice1:CME@IDC54</stp>
        <tr r="F32" s="121"/>
      </tp>
      <tp t="e">
        <v>#N/A</v>
        <stp/>
        <stp>ES-Z19_BidPrice1:CME@IDC54</stp>
        <tr r="F30" s="121"/>
      </tp>
      <tp t="e">
        <v>#N/A</v>
        <stp/>
        <stp>TW-X19_Time:SGX@IDC54</stp>
        <tr r="H8" s="121"/>
      </tp>
      <tp t="e">
        <v>#N/A</v>
        <stp/>
        <stp>CN-X19_Time:SGX@IDC54</stp>
        <tr r="H11" s="121"/>
      </tp>
      <tp t="e">
        <v>#N/A</v>
        <stp/>
        <stp>IN-X19_Time:SGX@IDC54</stp>
        <tr r="H17" s="121"/>
      </tp>
      <tp t="e">
        <v>#N/A</v>
        <stp/>
        <stp>NK-X19_Time:SGX@IDC54</stp>
        <tr r="H14" s="121"/>
      </tp>
      <tp t="e">
        <v>#N/A</v>
        <stp/>
        <stp>TW-Z19_Time:SGX@IDC54</stp>
        <tr r="H9" s="121"/>
      </tp>
      <tp t="e">
        <v>#N/A</v>
        <stp/>
        <stp>CN-Z19_Time:SGX@IDC54</stp>
        <tr r="H12" s="121"/>
      </tp>
      <tp t="e">
        <v>#N/A</v>
        <stp/>
        <stp>IN-Z19_Time:SGX@IDC54</stp>
        <tr r="H18" s="121"/>
      </tp>
      <tp t="e">
        <v>#N/A</v>
        <stp/>
        <stp>NK-Z19_Time:SGX@IDC54</stp>
        <tr r="H15" s="121"/>
      </tp>
      <tp t="e">
        <v>#N/A</v>
        <stp/>
        <stp>6J-Z19_BidPrice1:CME@IDC54</stp>
        <tr r="F36" s="121"/>
      </tp>
      <tp t="e">
        <v>#N/A</v>
        <stp/>
        <stp>TW-V19_Time:SGX@IDC54</stp>
        <tr r="H7" s="121"/>
      </tp>
      <tp t="e">
        <v>#N/A</v>
        <stp/>
        <stp>CN-V19_Time:SGX@IDC54</stp>
        <tr r="H10" s="121"/>
      </tp>
      <tp t="e">
        <v>#N/A</v>
        <stp/>
        <stp>IN-V19_Time:SGX@IDC54</stp>
        <tr r="H16" s="121"/>
      </tp>
      <tp t="e">
        <v>#N/A</v>
        <stp/>
        <stp>NK-V19_Time:SGX@IDC54</stp>
        <tr r="H13" s="121"/>
      </tp>
      <tp t="e">
        <v>#N/A</v>
        <stp/>
        <stp>VX-X19_AskPrice1:CFE@IDC54</stp>
        <tr r="G47" s="121"/>
      </tp>
      <tp t="e">
        <v>#N/A</v>
        <stp/>
        <stp>6J-X19_AskPrice1:CME@IDC54</stp>
        <tr r="G35" s="121"/>
      </tp>
      <tp t="e">
        <v>#N/A</v>
        <stp/>
        <stp>VX-X19_BidPrice1:CFE@IDC54</stp>
        <tr r="F47" s="121"/>
      </tp>
      <tp t="e">
        <v>#N/A</v>
        <stp/>
        <stp>6J-X19_BidPrice1:CME@IDC54</stp>
        <tr r="F35" s="121"/>
      </tp>
      <tp t="e">
        <v>#N/A</v>
        <stp/>
        <stp>ES-Z19_AskPrice1:CME@IDC54</stp>
        <tr r="G30" s="121"/>
      </tp>
      <tp t="e">
        <v>#N/A</v>
        <stp/>
        <stp>NQ-Z19_AskPrice1:CME@IDC54</stp>
        <tr r="G32" s="121"/>
      </tp>
      <tp t="e">
        <v>#N/A</v>
        <stp/>
        <stp>VX-Z19_AskPrice1:CFE@IDC54</stp>
        <tr r="G48" s="121"/>
      </tp>
      <tp t="e">
        <v>#N/A</v>
        <stp/>
        <stp>TSE13_Time:V_INDEX@IDC54</stp>
        <tr r="H4" s="121"/>
      </tp>
      <tp t="e">
        <v>#N/A</v>
        <stp/>
        <stp>TSE00_Time:V_INDEX@IDC54</stp>
        <tr r="H2" s="121"/>
      </tp>
      <tp t="e">
        <v>#N/A</v>
        <stp/>
        <stp>TSE33_Time:V_INDEX@IDC54</stp>
        <tr r="H3" s="121"/>
      </tp>
      <tp t="e">
        <v>#N/A</v>
        <stp/>
        <stp>TSE26_Time:V_INDEX@IDC54</stp>
        <tr r="H5" s="121"/>
      </tp>
      <tp t="e">
        <v>#N/A</v>
        <stp/>
        <stp>6J-Z19_AskPrice1:CME@IDC54</stp>
        <tr r="G36" s="121"/>
      </tp>
      <tp t="e">
        <v>#N/A</v>
        <stp/>
        <stp>TOPIXM-H19_Reference:JPX@IDC54</stp>
        <tr r="D50" s="121"/>
      </tp>
      <tp t="e">
        <v>#N/A</v>
        <stp/>
        <stp>MSCITW_Reference:V_INDEX@IDC54</stp>
        <tr r="D6" s="121"/>
      </tp>
      <tp t="e">
        <v>#N/A</v>
        <stp/>
        <stp>UB-H19_AskPrice1:CBOT@IDC54</stp>
        <tr r="G26" s="121"/>
      </tp>
      <tp t="e">
        <v>#N/A</v>
        <stp/>
        <stp>UB-Z19_AskPrice1:CBOT@IDC54</stp>
        <tr r="G27" s="121"/>
        <tr r="G25" s="121"/>
      </tp>
      <tp t="e">
        <v>#N/A</v>
        <stp/>
        <stp>DX-Z19_BidPrice1:NYBOT@IDC54</stp>
        <tr r="F37" s="121"/>
      </tp>
      <tp t="e">
        <v>#N/A</v>
        <stp/>
        <stp>DX-H19_BidPrice1:NYBOT@IDC54</stp>
        <tr r="F38" s="121"/>
      </tp>
      <tp t="e">
        <v>#N/A</v>
        <stp/>
        <stp>DX-Z19_Reference:NYBOT@IDC54</stp>
        <tr r="D37" s="121"/>
      </tp>
      <tp t="e">
        <v>#N/A</v>
        <stp/>
        <stp>DX-H19_Reference:NYBOT@IDC54</stp>
        <tr r="D38" s="121"/>
      </tp>
      <tp t="e">
        <v>#N/A</v>
        <stp/>
        <stp>DX-Z19_AskPrice1:NYBOT@IDC54</stp>
        <tr r="G37" s="121"/>
      </tp>
      <tp t="e">
        <v>#N/A</v>
        <stp/>
        <stp>DX-H19_AskPrice1:NYBOT@IDC54</stp>
        <tr r="G38" s="121"/>
      </tp>
      <tp t="e">
        <v>#N/A</v>
        <stp/>
        <stp>YM-H19_AskPrice1:CBOT@IDC54</stp>
        <tr r="G29" s="121"/>
      </tp>
      <tp t="e">
        <v>#N/A</v>
        <stp/>
        <stp>YM-Z19_AskPrice1:CBOT@IDC54</stp>
        <tr r="G28" s="121"/>
      </tp>
      <tp t="e">
        <v>#N/A</v>
        <stp/>
        <stp>VX-V19_BidPrice1:CFE@IDC54</stp>
        <tr r="F46" s="121"/>
      </tp>
      <tp t="e">
        <v>#N/A</v>
        <stp/>
        <stp>6J-V19_BidPrice1:CME@IDC54</stp>
        <tr r="F34" s="121"/>
      </tp>
      <tp t="e">
        <v>#N/A</v>
        <stp/>
        <stp>YM-Z19:CBOT@IDC54</stp>
        <tr r="E28" s="121"/>
      </tp>
      <tp t="e">
        <v>#N/A</v>
        <stp/>
        <stp>UB-Z19:CBOT@IDC54</stp>
        <tr r="E25" s="121"/>
        <tr r="E27" s="121"/>
      </tp>
      <tp t="e">
        <v>#N/A</v>
        <stp/>
        <stp>YM-H19:CBOT@IDC54</stp>
        <tr r="E29" s="121"/>
      </tp>
      <tp t="e">
        <v>#N/A</v>
        <stp/>
        <stp>UB-H19:CBOT@IDC54</stp>
        <tr r="E26" s="121"/>
      </tp>
      <tp t="e">
        <v>#N/A</v>
        <stp/>
        <stp>NK225-Z19:JPX@IDC54</stp>
        <tr r="E51" s="121"/>
      </tp>
      <tp t="e">
        <v>#N/A</v>
        <stp/>
        <stp>NK225-H19:JPX@IDC54</stp>
        <tr r="E52" s="121"/>
      </tp>
      <tp t="e">
        <v>#N/A</v>
        <stp/>
        <stp>VX-V19_AskPrice1:CFE@IDC54</stp>
        <tr r="G46" s="121"/>
      </tp>
      <tp t="e">
        <v>#N/A</v>
        <stp/>
        <stp>6J-V19_AskPrice1:CME@IDC54</stp>
        <tr r="G34" s="121"/>
      </tp>
      <tp t="e">
        <v>#N/A</v>
        <stp/>
        <stp>HHI-X19_Time:HKEX@IDC54</stp>
        <tr r="H23" s="121"/>
      </tp>
      <tp t="e">
        <v>#N/A</v>
        <stp/>
        <stp>HSI-X19_Time:HKEX@IDC54</stp>
        <tr r="H20" s="121"/>
      </tp>
      <tp t="e">
        <v>#N/A</v>
        <stp/>
        <stp>HHI-Z19_Time:HKEX@IDC54</stp>
        <tr r="H24" s="121"/>
      </tp>
      <tp t="e">
        <v>#N/A</v>
        <stp/>
        <stp>HSI-Z19_Time:HKEX@IDC54</stp>
        <tr r="H21" s="121"/>
      </tp>
      <tp t="e">
        <v>#N/A</v>
        <stp/>
        <stp>NK225-Z19_Reference:JPX@IDC54</stp>
        <tr r="D51" s="121"/>
      </tp>
      <tp t="e">
        <v>#N/A</v>
        <stp/>
        <stp>HHI-V19_Time:HKEX@IDC54</stp>
        <tr r="H22" s="121"/>
      </tp>
      <tp t="e">
        <v>#N/A</v>
        <stp/>
        <stp>HSI-V19_Time:HKEX@IDC54</stp>
        <tr r="H19" s="121"/>
      </tp>
      <tp t="e">
        <v>#N/A</v>
        <stp/>
        <stp>MSCITW_Time:V_INDEX@IDC54</stp>
        <tr r="H6" s="121"/>
      </tp>
      <tp t="e">
        <v>#N/A</v>
        <stp/>
        <stp>NK225-H19_Reference:JPX@IDC54</stp>
        <tr r="D52" s="12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每天漲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1%</a:t>
            </a: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跌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1%</a:t>
            </a: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交錯</a:t>
            </a:r>
          </a:p>
        </c:rich>
      </c:tx>
      <c:layout>
        <c:manualLayout>
          <c:xMode val="edge"/>
          <c:yMode val="edge"/>
          <c:x val="0.38503649635037113"/>
          <c:y val="3.96476640419947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66423357664538"/>
          <c:y val="0.27312775330396488"/>
          <c:w val="0.86678832116788362"/>
          <c:h val="0.52422907488986781"/>
        </c:manualLayout>
      </c:layout>
      <c:lineChart>
        <c:grouping val="standard"/>
        <c:varyColors val="0"/>
        <c:ser>
          <c:idx val="0"/>
          <c:order val="0"/>
          <c:tx>
            <c:strRef>
              <c:f>情境分析2!$J$3</c:f>
              <c:strCache>
                <c:ptCount val="1"/>
                <c:pt idx="0">
                  <c:v>累計報酬率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情境分析2!$J$5:$J$15</c:f>
              <c:numCache>
                <c:formatCode>General</c:formatCode>
                <c:ptCount val="11"/>
                <c:pt idx="0">
                  <c:v>0</c:v>
                </c:pt>
                <c:pt idx="1">
                  <c:v>-1.9999999999997797E-4</c:v>
                </c:pt>
                <c:pt idx="2">
                  <c:v>-2.0200000000003548E-4</c:v>
                </c:pt>
                <c:pt idx="3">
                  <c:v>-3.9993999999998753E-4</c:v>
                </c:pt>
                <c:pt idx="4">
                  <c:v>-4.0393900000001981E-4</c:v>
                </c:pt>
                <c:pt idx="5">
                  <c:v>-5.9982002199998607E-4</c:v>
                </c:pt>
                <c:pt idx="6">
                  <c:v>-6.0581702242001878E-4</c:v>
                </c:pt>
                <c:pt idx="7">
                  <c:v>-7.9964008799149333E-4</c:v>
                </c:pt>
                <c:pt idx="8">
                  <c:v>-8.0763408967132744E-4</c:v>
                </c:pt>
                <c:pt idx="9">
                  <c:v>-9.9940021995692518E-4</c:v>
                </c:pt>
                <c:pt idx="10">
                  <c:v>-1.009390224156137E-3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875-40AC-A69A-23356A612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36352"/>
        <c:axId val="56286528"/>
      </c:lineChart>
      <c:catAx>
        <c:axId val="1440363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6286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286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44036352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977" r="0.75000000000000977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每天漲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1%</a:t>
            </a: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跌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1%</a:t>
            </a: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交錯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(</a:t>
            </a: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避險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)</a:t>
            </a:r>
          </a:p>
        </c:rich>
      </c:tx>
      <c:layout>
        <c:manualLayout>
          <c:xMode val="edge"/>
          <c:yMode val="edge"/>
          <c:x val="0.39043880471116432"/>
          <c:y val="5.30972182694030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321493092075846E-2"/>
          <c:y val="0.27876166422165438"/>
          <c:w val="0.89508748221629397"/>
          <c:h val="0.51770023355452155"/>
        </c:manualLayout>
      </c:layout>
      <c:lineChart>
        <c:grouping val="standard"/>
        <c:varyColors val="0"/>
        <c:ser>
          <c:idx val="0"/>
          <c:order val="0"/>
          <c:tx>
            <c:strRef>
              <c:f>情境分析2!$U$3</c:f>
              <c:strCache>
                <c:ptCount val="1"/>
                <c:pt idx="0">
                  <c:v>累計報酬率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情境分析2!$U$5:$U$15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838-4E5A-BA4B-4FEB8882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37376"/>
        <c:axId val="57551680"/>
      </c:lineChart>
      <c:catAx>
        <c:axId val="1440373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7551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551680"/>
        <c:scaling>
          <c:orientation val="minMax"/>
          <c:min val="-1.000000000000004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44037376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977" r="0.75000000000000977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99060</xdr:colOff>
          <xdr:row>0</xdr:row>
          <xdr:rowOff>121920</xdr:rowOff>
        </xdr:from>
        <xdr:to>
          <xdr:col>14</xdr:col>
          <xdr:colOff>167640</xdr:colOff>
          <xdr:row>2</xdr:row>
          <xdr:rowOff>175260</xdr:rowOff>
        </xdr:to>
        <xdr:sp macro="" textlink="">
          <xdr:nvSpPr>
            <xdr:cNvPr id="34671616" name="CommandButton1" hidden="1">
              <a:extLst>
                <a:ext uri="{63B3BB69-23CF-44E3-9099-C40C66FF867C}">
                  <a14:compatExt spid="_x0000_s34671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3</xdr:row>
          <xdr:rowOff>129540</xdr:rowOff>
        </xdr:from>
        <xdr:to>
          <xdr:col>13</xdr:col>
          <xdr:colOff>68580</xdr:colOff>
          <xdr:row>5</xdr:row>
          <xdr:rowOff>15240</xdr:rowOff>
        </xdr:to>
        <xdr:sp macro="" textlink="">
          <xdr:nvSpPr>
            <xdr:cNvPr id="34671617" name="Button 1025" hidden="1">
              <a:extLst>
                <a:ext uri="{63B3BB69-23CF-44E3-9099-C40C66FF867C}">
                  <a14:compatExt spid="_x0000_s34671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1025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426720</xdr:colOff>
          <xdr:row>0</xdr:row>
          <xdr:rowOff>198120</xdr:rowOff>
        </xdr:from>
        <xdr:to>
          <xdr:col>1</xdr:col>
          <xdr:colOff>670560</xdr:colOff>
          <xdr:row>2</xdr:row>
          <xdr:rowOff>68580</xdr:rowOff>
        </xdr:to>
        <xdr:sp macro="" textlink="">
          <xdr:nvSpPr>
            <xdr:cNvPr id="34678785" name="CommandButton1" hidden="1">
              <a:extLst>
                <a:ext uri="{63B3BB69-23CF-44E3-9099-C40C66FF867C}">
                  <a14:compatExt spid="_x0000_s3467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0</xdr:row>
          <xdr:rowOff>68580</xdr:rowOff>
        </xdr:from>
        <xdr:to>
          <xdr:col>3</xdr:col>
          <xdr:colOff>121920</xdr:colOff>
          <xdr:row>2</xdr:row>
          <xdr:rowOff>22860</xdr:rowOff>
        </xdr:to>
        <xdr:sp macro="" textlink="">
          <xdr:nvSpPr>
            <xdr:cNvPr id="34678786" name="CommandButton2" hidden="1">
              <a:extLst>
                <a:ext uri="{63B3BB69-23CF-44E3-9099-C40C66FF867C}">
                  <a14:compatExt spid="_x0000_s3467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1</xdr:row>
          <xdr:rowOff>76200</xdr:rowOff>
        </xdr:from>
        <xdr:to>
          <xdr:col>5</xdr:col>
          <xdr:colOff>259080</xdr:colOff>
          <xdr:row>2</xdr:row>
          <xdr:rowOff>160020</xdr:rowOff>
        </xdr:to>
        <xdr:sp macro="" textlink="">
          <xdr:nvSpPr>
            <xdr:cNvPr id="34723841" name="Button 1" hidden="1">
              <a:extLst>
                <a:ext uri="{63B3BB69-23CF-44E3-9099-C40C66FF867C}">
                  <a14:compatExt spid="_x0000_s34723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274320</xdr:colOff>
          <xdr:row>28</xdr:row>
          <xdr:rowOff>22860</xdr:rowOff>
        </xdr:from>
        <xdr:to>
          <xdr:col>14</xdr:col>
          <xdr:colOff>548640</xdr:colOff>
          <xdr:row>29</xdr:row>
          <xdr:rowOff>152400</xdr:rowOff>
        </xdr:to>
        <xdr:sp macro="" textlink="">
          <xdr:nvSpPr>
            <xdr:cNvPr id="74755" name="CommandButton1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401619</xdr:colOff>
          <xdr:row>5</xdr:row>
          <xdr:rowOff>35859</xdr:rowOff>
        </xdr:from>
        <xdr:to>
          <xdr:col>15</xdr:col>
          <xdr:colOff>564776</xdr:colOff>
          <xdr:row>5</xdr:row>
          <xdr:rowOff>313764</xdr:rowOff>
        </xdr:to>
        <xdr:sp macro="" textlink="">
          <xdr:nvSpPr>
            <xdr:cNvPr id="34668545" name="CommandButton1" hidden="1">
              <a:extLst>
                <a:ext uri="{63B3BB69-23CF-44E3-9099-C40C66FF867C}">
                  <a14:compatExt spid="_x0000_s3466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182880</xdr:colOff>
          <xdr:row>7</xdr:row>
          <xdr:rowOff>7620</xdr:rowOff>
        </xdr:from>
        <xdr:to>
          <xdr:col>14</xdr:col>
          <xdr:colOff>220980</xdr:colOff>
          <xdr:row>8</xdr:row>
          <xdr:rowOff>129540</xdr:rowOff>
        </xdr:to>
        <xdr:sp macro="" textlink="">
          <xdr:nvSpPr>
            <xdr:cNvPr id="34674689" name="CommandButton1" hidden="1">
              <a:extLst>
                <a:ext uri="{63B3BB69-23CF-44E3-9099-C40C66FF867C}">
                  <a14:compatExt spid="_x0000_s3467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9</xdr:row>
          <xdr:rowOff>175260</xdr:rowOff>
        </xdr:from>
        <xdr:to>
          <xdr:col>14</xdr:col>
          <xdr:colOff>114300</xdr:colOff>
          <xdr:row>11</xdr:row>
          <xdr:rowOff>129540</xdr:rowOff>
        </xdr:to>
        <xdr:sp macro="" textlink="">
          <xdr:nvSpPr>
            <xdr:cNvPr id="102426" name="CommandButton1" hidden="1">
              <a:extLst>
                <a:ext uri="{63B3BB69-23CF-44E3-9099-C40C66FF867C}">
                  <a14:compatExt spid="_x0000_s102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251460</xdr:colOff>
          <xdr:row>27</xdr:row>
          <xdr:rowOff>213360</xdr:rowOff>
        </xdr:from>
        <xdr:to>
          <xdr:col>14</xdr:col>
          <xdr:colOff>617220</xdr:colOff>
          <xdr:row>28</xdr:row>
          <xdr:rowOff>588917</xdr:rowOff>
        </xdr:to>
        <xdr:sp macro="" textlink="">
          <xdr:nvSpPr>
            <xdr:cNvPr id="34643969" name="CommandButton1" hidden="1">
              <a:extLst>
                <a:ext uri="{63B3BB69-23CF-44E3-9099-C40C66FF867C}">
                  <a14:compatExt spid="_x0000_s34643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388620</xdr:colOff>
          <xdr:row>22</xdr:row>
          <xdr:rowOff>190500</xdr:rowOff>
        </xdr:from>
        <xdr:to>
          <xdr:col>14</xdr:col>
          <xdr:colOff>754380</xdr:colOff>
          <xdr:row>24</xdr:row>
          <xdr:rowOff>365760</xdr:rowOff>
        </xdr:to>
        <xdr:sp macro="" textlink="">
          <xdr:nvSpPr>
            <xdr:cNvPr id="34688001" name="CommandButton1" hidden="1">
              <a:extLst>
                <a:ext uri="{63B3BB69-23CF-44E3-9099-C40C66FF867C}">
                  <a14:compatExt spid="_x0000_s34688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123825</xdr:rowOff>
    </xdr:from>
    <xdr:to>
      <xdr:col>9</xdr:col>
      <xdr:colOff>257175</xdr:colOff>
      <xdr:row>26</xdr:row>
      <xdr:rowOff>200025</xdr:rowOff>
    </xdr:to>
    <xdr:graphicFrame macro="">
      <xdr:nvGraphicFramePr>
        <xdr:cNvPr id="34574492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66675</xdr:colOff>
      <xdr:row>15</xdr:row>
      <xdr:rowOff>142875</xdr:rowOff>
    </xdr:from>
    <xdr:to>
      <xdr:col>20</xdr:col>
      <xdr:colOff>542925</xdr:colOff>
      <xdr:row>27</xdr:row>
      <xdr:rowOff>0</xdr:rowOff>
    </xdr:to>
    <xdr:graphicFrame macro="">
      <xdr:nvGraphicFramePr>
        <xdr:cNvPr id="34574493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XQKGIAP" ddeTopic="Quote">
    <ddeItems>
      <ddeItem name="0050.TW-BestAsk1" advise="1">
        <values>
          <value>
            <val>82.8</val>
          </value>
        </values>
      </ddeItem>
      <ddeItem name="0050.TW-BestBid1" advise="1">
        <values>
          <value>
            <val>82.75</val>
          </value>
        </values>
      </ddeItem>
      <ddeItem name="0050.TW-PreClose" advise="1">
        <values>
          <value>
            <val>82.85</val>
          </value>
        </values>
      </ddeItem>
      <ddeItem name="0050.TW-Price" advise="1">
        <values>
          <value>
            <val>82.75</val>
          </value>
        </values>
      </ddeItem>
      <ddeItem name="0051.TW-BestAsk1" advise="1">
        <values>
          <value>
            <val>32.96</val>
          </value>
        </values>
      </ddeItem>
      <ddeItem name="0051.TW-BestBid1" advise="1">
        <values>
          <value>
            <val>32.92</val>
          </value>
        </values>
      </ddeItem>
      <ddeItem name="0051.TW-PreClose" advise="1">
        <values>
          <value>
            <val>32.93</val>
          </value>
        </values>
      </ddeItem>
      <ddeItem name="0051.TW-Price" advise="1">
        <values>
          <value>
            <val>32.950000000000003</val>
          </value>
        </values>
      </ddeItem>
      <ddeItem name="0052.TW-BestAsk1" advise="1">
        <values>
          <value>
            <val>55.75</val>
          </value>
        </values>
      </ddeItem>
      <ddeItem name="0052.TW-BestBid1" advise="1">
        <values>
          <value>
            <val>55.55</val>
          </value>
        </values>
      </ddeItem>
      <ddeItem name="0052.TW-PreClose" advise="1">
        <values>
          <value>
            <val>55.5</val>
          </value>
        </values>
      </ddeItem>
      <ddeItem name="0052.TW-Price" advise="1">
        <values>
          <value>
            <val>55.7</val>
          </value>
        </values>
      </ddeItem>
      <ddeItem name="0053.TW-BestAsk1" advise="1">
        <values>
          <value>
            <val>35.520000000000003</val>
          </value>
        </values>
      </ddeItem>
      <ddeItem name="0053.TW-BestBid1" advise="1">
        <values>
          <value>
            <val>35.31</val>
          </value>
        </values>
      </ddeItem>
      <ddeItem name="0053.TW-PreClose" advise="1">
        <values>
          <value>
            <val>35.4</val>
          </value>
        </values>
      </ddeItem>
      <ddeItem name="0053.TW-Price" advise="1">
        <values>
          <value>
            <val>35.380000000000003</val>
          </value>
        </values>
      </ddeItem>
      <ddeItem name="0054.TW-BestAsk1" advise="1">
        <values>
          <value>
            <val>22.63</val>
          </value>
        </values>
      </ddeItem>
      <ddeItem name="0054.TW-BestBid1" advise="1">
        <values>
          <value>
            <val>22.51</val>
          </value>
        </values>
      </ddeItem>
      <ddeItem name="0054.TW-PreClose" advise="1">
        <values>
          <value>
            <val>22.66</val>
          </value>
        </values>
      </ddeItem>
      <ddeItem name="0054.TW-Price" advise="1">
        <values>
          <value>
            <val>22.72</val>
          </value>
        </values>
      </ddeItem>
      <ddeItem name="0055.TW-BestAsk1" advise="1">
        <values>
          <value>
            <val>18.59</val>
          </value>
        </values>
      </ddeItem>
      <ddeItem name="0055.TW-BestBid1" advise="1">
        <values>
          <value>
            <val>18.53</val>
          </value>
        </values>
      </ddeItem>
      <ddeItem name="0055.TW-PreClose" advise="1">
        <values>
          <value>
            <val>18.55</val>
          </value>
        </values>
      </ddeItem>
      <ddeItem name="0055.TW-Price" advise="1">
        <values>
          <value>
            <val>18.579999999999998</val>
          </value>
        </values>
      </ddeItem>
      <ddeItem name="0056.TW-BestAsk1" advise="1">
        <values>
          <value>
            <val>27.17</val>
          </value>
        </values>
      </ddeItem>
      <ddeItem name="0056.TW-BestBid1" advise="1">
        <values>
          <value>
            <val>27.16</val>
          </value>
        </values>
      </ddeItem>
      <ddeItem name="0056.TW-PreClose" advise="1">
        <values>
          <value>
            <val>27.11</val>
          </value>
        </values>
      </ddeItem>
      <ddeItem name="0056.TW-Price" advise="1">
        <values>
          <value>
            <val>27.16</val>
          </value>
        </values>
      </ddeItem>
      <ddeItem name="0057.TW-BestAsk1" advise="1">
        <values>
          <value>
            <val>52.55</val>
          </value>
        </values>
      </ddeItem>
      <ddeItem name="0057.TW-BestBid1" advise="1">
        <values>
          <value>
            <val>52.2</val>
          </value>
        </values>
      </ddeItem>
      <ddeItem name="0057.TW-PreClose" advise="1">
        <values>
          <value>
            <val>52.55</val>
          </value>
        </values>
      </ddeItem>
      <ddeItem name="0057.TW-Price" advise="1">
        <values>
          <value>
            <val>52.45</val>
          </value>
        </values>
      </ddeItem>
      <ddeItem name="0058.TW-BestAsk1" advise="1">
        <values>
          <value>
            <val>46.86</val>
          </value>
        </values>
      </ddeItem>
      <ddeItem name="0058.TW-BestBid1" advise="1">
        <values>
          <value>
            <val>46.69</val>
          </value>
        </values>
      </ddeItem>
      <ddeItem name="0058.TW-PreClose" advise="1">
        <values>
          <value>
            <val>47</val>
          </value>
        </values>
      </ddeItem>
      <ddeItem name="0058.TW-Price" advise="1">
        <values>
          <value>
            <val>46.87</val>
          </value>
        </values>
      </ddeItem>
      <ddeItem name="0059.TW-BestAsk1" advise="1">
        <values>
          <value>
            <val>47.29</val>
          </value>
        </values>
      </ddeItem>
      <ddeItem name="0059.TW-BestBid1" advise="1">
        <values>
          <value>
            <val>47.25</val>
          </value>
        </values>
      </ddeItem>
      <ddeItem name="0059.TW-PreClose" advise="1">
        <values>
          <value>
            <val>47.3</val>
          </value>
        </values>
      </ddeItem>
      <ddeItem name="0059.TW-Price" advise="1">
        <values>
          <value>
            <val>47.36</val>
          </value>
        </values>
      </ddeItem>
      <ddeItem name="0061.TW-BestAsk1" advise="1">
        <values>
          <value>
            <val>18.18</val>
          </value>
        </values>
      </ddeItem>
      <ddeItem name="0061.TW-BestBid1" advise="1">
        <values>
          <value>
            <val>18.16</val>
          </value>
        </values>
      </ddeItem>
      <ddeItem name="0061.TW-PreClose" advise="1">
        <values>
          <value>
            <val>18.12</val>
          </value>
        </values>
      </ddeItem>
      <ddeItem name="0061.TW-Price" advise="1">
        <values>
          <value>
            <val>18.16</val>
          </value>
        </values>
      </ddeItem>
      <ddeItem name="006201.TW-BestAsk1" advise="1">
        <values>
          <value>
            <val>12.9</val>
          </value>
        </values>
      </ddeItem>
      <ddeItem name="006201.TW-BestBid1" advise="1">
        <values>
          <value>
            <val>12.82</val>
          </value>
        </values>
      </ddeItem>
      <ddeItem name="006201.TW-PreClose" advise="1">
        <values>
          <value>
            <val>12.88</val>
          </value>
        </values>
      </ddeItem>
      <ddeItem name="006201.TW-Price" advise="1">
        <values>
          <value>
            <val>12.82</val>
          </value>
        </values>
      </ddeItem>
      <ddeItem name="006203.TW-BestAsk1" advise="1">
        <values>
          <value>
            <val>38.92</val>
          </value>
        </values>
      </ddeItem>
      <ddeItem name="006203.TW-BestBid1" advise="1">
        <values>
          <value>
            <val>38.75</val>
          </value>
        </values>
      </ddeItem>
      <ddeItem name="006203.TW-PreClose" advise="1">
        <values>
          <value>
            <val>39</val>
          </value>
        </values>
      </ddeItem>
      <ddeItem name="006203.TW-Price" advise="1">
        <values>
          <value t="str">
            <val>--</val>
          </value>
        </values>
      </ddeItem>
      <ddeItem name="006204.TW-BestAsk1" advise="1">
        <values>
          <value>
            <val>54.75</val>
          </value>
        </values>
      </ddeItem>
      <ddeItem name="006204.TW-BestBid1" advise="1">
        <values>
          <value>
            <val>54.6</val>
          </value>
        </values>
      </ddeItem>
      <ddeItem name="006204.TW-PreClose" advise="1">
        <values>
          <value>
            <val>54.55</val>
          </value>
        </values>
      </ddeItem>
      <ddeItem name="006204.TW-Price" advise="1">
        <values>
          <value>
            <val>54.7</val>
          </value>
        </values>
      </ddeItem>
      <ddeItem name="006205.TW-BestAsk1" advise="1">
        <values>
          <value>
            <val>31.76</val>
          </value>
        </values>
      </ddeItem>
      <ddeItem name="006205.TW-BestBid1" advise="1">
        <values>
          <value>
            <val>31.75</val>
          </value>
        </values>
      </ddeItem>
      <ddeItem name="006205.TW-PreClose" advise="1">
        <values>
          <value>
            <val>31.61</val>
          </value>
        </values>
      </ddeItem>
      <ddeItem name="006205.TW-Price" advise="1">
        <values>
          <value>
            <val>31.75</val>
          </value>
        </values>
      </ddeItem>
      <ddeItem name="006206.TW-BestAsk1" advise="1">
        <values>
          <value>
            <val>33.42</val>
          </value>
        </values>
      </ddeItem>
      <ddeItem name="006206.TW-BestBid1" advise="1">
        <values>
          <value>
            <val>33.409999999999997</val>
          </value>
        </values>
      </ddeItem>
      <ddeItem name="006206.TW-PreClose" advise="1">
        <values>
          <value>
            <val>33.33</val>
          </value>
        </values>
      </ddeItem>
      <ddeItem name="006206.TW-Price" advise="1">
        <values>
          <value>
            <val>33.409999999999997</val>
          </value>
        </values>
      </ddeItem>
      <ddeItem name="006207.TW-BestAsk1" advise="1">
        <values>
          <value>
            <val>23.7</val>
          </value>
        </values>
      </ddeItem>
      <ddeItem name="006207.TW-BestBid1" advise="1">
        <values>
          <value>
            <val>23.67</val>
          </value>
        </values>
      </ddeItem>
      <ddeItem name="006207.TW-PreClose" advise="1">
        <values>
          <value>
            <val>23.58</val>
          </value>
        </values>
      </ddeItem>
      <ddeItem name="006207.TW-Price" advise="1">
        <values>
          <value>
            <val>23.7</val>
          </value>
        </values>
      </ddeItem>
      <ddeItem name="006208.TW-BestAsk1" advise="1">
        <values>
          <value>
            <val>47.34</val>
          </value>
        </values>
      </ddeItem>
      <ddeItem name="006208.TW-BestBid1" advise="1">
        <values>
          <value>
            <val>47.32</val>
          </value>
        </values>
      </ddeItem>
      <ddeItem name="006208.TW-PreClose" advise="1">
        <values>
          <value>
            <val>47.4</val>
          </value>
        </values>
      </ddeItem>
      <ddeItem name="006208.TW-Price" advise="1">
        <values>
          <value>
            <val>47.34</val>
          </value>
        </values>
      </ddeItem>
      <ddeItem name="00625K.TW-BestAsk1" advise="1">
        <values>
          <value>
            <val>7.09</val>
          </value>
        </values>
      </ddeItem>
      <ddeItem name="00625K.TW-BestBid1" advise="1">
        <values>
          <value>
            <val>6.94</val>
          </value>
        </values>
      </ddeItem>
      <ddeItem name="00625K.TW-PreClose" advise="1">
        <values>
          <value>
            <val>7.02</val>
          </value>
        </values>
      </ddeItem>
      <ddeItem name="00625K.TW-Price" advise="1">
        <values>
          <value>
            <val>7.04</val>
          </value>
        </values>
      </ddeItem>
      <ddeItem name="00631L.TW-BestAsk1" advise="1">
        <values>
          <value>
            <val>40.47</val>
          </value>
        </values>
      </ddeItem>
      <ddeItem name="00631L.TW-BestBid1" advise="1">
        <values>
          <value>
            <val>40.43</val>
          </value>
        </values>
      </ddeItem>
      <ddeItem name="00631L.TW-PreClose" advise="1">
        <values>
          <value>
            <val>40.49</val>
          </value>
        </values>
      </ddeItem>
      <ddeItem name="00631L.TW-Price" advise="1">
        <values>
          <value>
            <val>40.43</val>
          </value>
        </values>
      </ddeItem>
      <ddeItem name="00632R.TW-BestAsk1" advise="1">
        <values>
          <value>
            <val>11.5</val>
          </value>
        </values>
      </ddeItem>
      <ddeItem name="00632R.TW-BestBid1" advise="1">
        <values>
          <value>
            <val>11.49</val>
          </value>
        </values>
      </ddeItem>
      <ddeItem name="00632R.TW-PreClose" advise="1">
        <values>
          <value>
            <val>11.49</val>
          </value>
        </values>
      </ddeItem>
      <ddeItem name="00632R.TW-Price" advise="1">
        <values>
          <value>
            <val>11.49</val>
          </value>
        </values>
      </ddeItem>
      <ddeItem name="00633L.TW-BestAsk1" advise="1">
        <values>
          <value>
            <val>47.23</val>
          </value>
        </values>
      </ddeItem>
      <ddeItem name="00633L.TW-BestBid1" advise="1">
        <values>
          <value>
            <val>47.22</val>
          </value>
        </values>
      </ddeItem>
      <ddeItem name="00633L.TW-PreClose" advise="1">
        <values>
          <value>
            <val>46.49</val>
          </value>
        </values>
      </ddeItem>
      <ddeItem name="00633L.TW-Price" advise="1">
        <values>
          <value>
            <val>47.22</val>
          </value>
        </values>
      </ddeItem>
      <ddeItem name="00634R.TW-BestAsk1" advise="1">
        <values>
          <value>
            <val>6.11</val>
          </value>
        </values>
      </ddeItem>
      <ddeItem name="00634R.TW-BestBid1" advise="1">
        <values>
          <value>
            <val>6.1</val>
          </value>
        </values>
      </ddeItem>
      <ddeItem name="00634R.TW-PreClose" advise="1">
        <values>
          <value>
            <val>6.14</val>
          </value>
        </values>
      </ddeItem>
      <ddeItem name="00634R.TW-Price" advise="1">
        <values>
          <value>
            <val>6.1</val>
          </value>
        </values>
      </ddeItem>
      <ddeItem name="00635U.TW-BestAsk1" advise="1">
        <values>
          <value>
            <val>20.65</val>
          </value>
        </values>
      </ddeItem>
      <ddeItem name="00635U.TW-BestBid1" advise="1">
        <values>
          <value>
            <val>20.64</val>
          </value>
        </values>
      </ddeItem>
      <ddeItem name="00635U.TW-PreClose" advise="1">
        <values>
          <value>
            <val>20.85</val>
          </value>
        </values>
      </ddeItem>
      <ddeItem name="00635U.TW-Price" advise="1">
        <values>
          <value>
            <val>20.65</val>
          </value>
        </values>
      </ddeItem>
      <ddeItem name="00636.TW-BestAsk1" advise="1">
        <values>
          <value>
            <val>22.1</val>
          </value>
        </values>
      </ddeItem>
      <ddeItem name="00636.TW-BestBid1" advise="1">
        <values>
          <value>
            <val>22.09</val>
          </value>
        </values>
      </ddeItem>
      <ddeItem name="00636.TW-PreClose" advise="1">
        <values>
          <value>
            <val>21.96</val>
          </value>
        </values>
      </ddeItem>
      <ddeItem name="00636.TW-Price" advise="1">
        <values>
          <value>
            <val>22.09</val>
          </value>
        </values>
      </ddeItem>
      <ddeItem name="00636K.TW-BestAsk1" advise="1">
        <values>
          <value>
            <val>7.12</val>
          </value>
        </values>
      </ddeItem>
      <ddeItem name="00636K.TW-BestBid1" advise="1">
        <values>
          <value>
            <val>7.08</val>
          </value>
        </values>
      </ddeItem>
      <ddeItem name="00636K.TW-PreClose" advise="1">
        <values>
          <value>
            <val>7.09</val>
          </value>
        </values>
      </ddeItem>
      <ddeItem name="00636K.TW-Price" advise="1">
        <values>
          <value>
            <val>7.13</val>
          </value>
        </values>
      </ddeItem>
      <ddeItem name="00637L.TW-BestAsk1" advise="1">
        <values>
          <value>
            <val>18.059999999999999</val>
          </value>
        </values>
      </ddeItem>
      <ddeItem name="00637L.TW-BestBid1" advise="1">
        <values>
          <value>
            <val>18.05</val>
          </value>
        </values>
      </ddeItem>
      <ddeItem name="00637L.TW-PreClose" advise="1">
        <values>
          <value>
            <val>17.8</val>
          </value>
        </values>
      </ddeItem>
      <ddeItem name="00637L.TW-Price" advise="1">
        <values>
          <value>
            <val>18.059999999999999</val>
          </value>
        </values>
      </ddeItem>
      <ddeItem name="00638R.TW-BestAsk1" advise="1">
        <values>
          <value>
            <val>12.3</val>
          </value>
        </values>
      </ddeItem>
      <ddeItem name="00638R.TW-BestBid1" advise="1">
        <values>
          <value>
            <val>12.29</val>
          </value>
        </values>
      </ddeItem>
      <ddeItem name="00638R.TW-PreClose" advise="1">
        <values>
          <value>
            <val>12.37</val>
          </value>
        </values>
      </ddeItem>
      <ddeItem name="00638R.TW-Price" advise="1">
        <values>
          <value>
            <val>12.29</val>
          </value>
        </values>
      </ddeItem>
      <ddeItem name="00639.TW-BestAsk1" advise="1">
        <values>
          <value>
            <val>10.4</val>
          </value>
        </values>
      </ddeItem>
      <ddeItem name="00639.TW-BestBid1" advise="1">
        <values>
          <value>
            <val>10.39</val>
          </value>
        </values>
      </ddeItem>
      <ddeItem name="00639.TW-PreClose" advise="1">
        <values>
          <value>
            <val>10.35</val>
          </value>
        </values>
      </ddeItem>
      <ddeItem name="00639.TW-Price" advise="1">
        <values>
          <value>
            <val>10.4</val>
          </value>
        </values>
      </ddeItem>
      <ddeItem name="00640L.TW-BestAsk1" advise="1">
        <values>
          <value>
            <val>18.940000000000001</val>
          </value>
        </values>
      </ddeItem>
      <ddeItem name="00640L.TW-BestBid1" advise="1">
        <values>
          <value>
            <val>18.93</val>
          </value>
        </values>
      </ddeItem>
      <ddeItem name="00640L.TW-PreClose" advise="1">
        <values>
          <value>
            <val>19.02</val>
          </value>
        </values>
      </ddeItem>
      <ddeItem name="00640L.TW-Price" advise="1">
        <values>
          <value>
            <val>18.940000000000001</val>
          </value>
        </values>
      </ddeItem>
      <ddeItem name="00641R.TW-BestAsk1" advise="1">
        <values>
          <value>
            <val>15.14</val>
          </value>
        </values>
      </ddeItem>
      <ddeItem name="00641R.TW-BestBid1" advise="1">
        <values>
          <value>
            <val>15.12</val>
          </value>
        </values>
      </ddeItem>
      <ddeItem name="00641R.TW-PreClose" advise="1">
        <values>
          <value>
            <val>15.11</val>
          </value>
        </values>
      </ddeItem>
      <ddeItem name="00641R.TW-Price" advise="1">
        <values>
          <value>
            <val>15.12</val>
          </value>
        </values>
      </ddeItem>
      <ddeItem name="00642U.TW-BestAsk1" advise="1">
        <values>
          <value>
            <val>17.84</val>
          </value>
        </values>
      </ddeItem>
      <ddeItem name="00642U.TW-BestBid1" advise="1">
        <values>
          <value>
            <val>17.829999999999998</val>
          </value>
        </values>
      </ddeItem>
      <ddeItem name="00642U.TW-PreClose" advise="1">
        <values>
          <value>
            <val>17.850000000000001</val>
          </value>
        </values>
      </ddeItem>
      <ddeItem name="00642U.TW-Price" advise="1">
        <values>
          <value>
            <val>17.829999999999998</val>
          </value>
        </values>
      </ddeItem>
      <ddeItem name="00643.TW-BestAsk1" advise="1">
        <values>
          <value>
            <val>11.62</val>
          </value>
        </values>
      </ddeItem>
      <ddeItem name="00643.TW-BestBid1" advise="1">
        <values>
          <value>
            <val>11.58</val>
          </value>
        </values>
      </ddeItem>
      <ddeItem name="00643.TW-PreClose" advise="1">
        <values>
          <value>
            <val>11.59</val>
          </value>
        </values>
      </ddeItem>
      <ddeItem name="00643.TW-Price" advise="1">
        <values>
          <value>
            <val>11.58</val>
          </value>
        </values>
      </ddeItem>
      <ddeItem name="00643K.TW-BestAsk1" advise="1">
        <values>
          <value>
            <val>2.62</val>
          </value>
        </values>
      </ddeItem>
      <ddeItem name="00643K.TW-BestBid1" advise="1">
        <values>
          <value>
            <val>2.56</val>
          </value>
        </values>
      </ddeItem>
      <ddeItem name="00643K.TW-PreClose" advise="1">
        <values>
          <value>
            <val>2.62</val>
          </value>
        </values>
      </ddeItem>
      <ddeItem name="00643K.TW-Price" advise="1">
        <values>
          <value t="str">
            <val>--</val>
          </value>
        </values>
      </ddeItem>
      <ddeItem name="00645.TW-BestAsk1" advise="1">
        <values>
          <value>
            <val>20.32</val>
          </value>
        </values>
      </ddeItem>
      <ddeItem name="00645.TW-BestBid1" advise="1">
        <values>
          <value>
            <val>20.27</val>
          </value>
        </values>
      </ddeItem>
      <ddeItem name="00645.TW-PreClose" advise="1">
        <values>
          <value>
            <val>20.39</val>
          </value>
        </values>
      </ddeItem>
      <ddeItem name="00645.TW-Price" advise="1">
        <values>
          <value>
            <val>20.309999999999999</val>
          </value>
        </values>
      </ddeItem>
      <ddeItem name="00646.TW-BestAsk1" advise="1">
        <values>
          <value>
            <val>28.35</val>
          </value>
        </values>
      </ddeItem>
      <ddeItem name="00646.TW-BestBid1" advise="1">
        <values>
          <value>
            <val>28.3</val>
          </value>
        </values>
      </ddeItem>
      <ddeItem name="00646.TW-PreClose" advise="1">
        <values>
          <value>
            <val>28.33</val>
          </value>
        </values>
      </ddeItem>
      <ddeItem name="00646.TW-Price" advise="1">
        <values>
          <value>
            <val>28.3</val>
          </value>
        </values>
      </ddeItem>
      <ddeItem name="00647L.TW-BestAsk1" advise="1">
        <values>
          <value>
            <val>37.85</val>
          </value>
        </values>
      </ddeItem>
      <ddeItem name="00647L.TW-BestBid1" advise="1">
        <values>
          <value>
            <val>37.799999999999997</val>
          </value>
        </values>
      </ddeItem>
      <ddeItem name="00647L.TW-PreClose" advise="1">
        <values>
          <value>
            <val>37.630000000000003</val>
          </value>
        </values>
      </ddeItem>
      <ddeItem name="00647L.TW-Price" advise="1">
        <values>
          <value>
            <val>37.76</val>
          </value>
        </values>
      </ddeItem>
      <ddeItem name="00648R.TW-BestAsk1" advise="1">
        <values>
          <value>
            <val>12.02</val>
          </value>
        </values>
      </ddeItem>
      <ddeItem name="00648R.TW-BestBid1" advise="1">
        <values>
          <value>
            <val>12.01</val>
          </value>
        </values>
      </ddeItem>
      <ddeItem name="00648R.TW-PreClose" advise="1">
        <values>
          <value>
            <val>12.03</val>
          </value>
        </values>
      </ddeItem>
      <ddeItem name="00648R.TW-Price" advise="1">
        <values>
          <value>
            <val>12.01</val>
          </value>
        </values>
      </ddeItem>
      <ddeItem name="00649.TW-BestAsk1" advise="1">
        <values>
          <value>
            <val>21.85</val>
          </value>
        </values>
      </ddeItem>
      <ddeItem name="00649.TW-BestBid1" advise="1">
        <values>
          <value>
            <val>21.8</val>
          </value>
        </values>
      </ddeItem>
      <ddeItem name="00649.TW-PreClose" advise="1">
        <values>
          <value>
            <val>21.84</val>
          </value>
        </values>
      </ddeItem>
      <ddeItem name="00649.TW-Price" advise="1">
        <values>
          <value>
            <val>21.81</val>
          </value>
        </values>
      </ddeItem>
      <ddeItem name="00650L.TW-BestAsk1" advise="1">
        <values>
          <value>
            <val>32.22</val>
          </value>
        </values>
      </ddeItem>
      <ddeItem name="00650L.TW-BestBid1" advise="1">
        <values>
          <value>
            <val>32.19</val>
          </value>
        </values>
      </ddeItem>
      <ddeItem name="00650L.TW-PreClose" advise="1">
        <values>
          <value>
            <val>32.22</val>
          </value>
        </values>
      </ddeItem>
      <ddeItem name="00650L.TW-Price" advise="1">
        <values>
          <value>
            <val>32.18</val>
          </value>
        </values>
      </ddeItem>
      <ddeItem name="00651R.TW-BestAsk1" advise="1">
        <values>
          <value>
            <val>8</val>
          </value>
        </values>
      </ddeItem>
      <ddeItem name="00651R.TW-BestBid1" advise="1">
        <values>
          <value>
            <val>7.99</val>
          </value>
        </values>
      </ddeItem>
      <ddeItem name="00651R.TW-PreClose" advise="1">
        <values>
          <value>
            <val>8.02</val>
          </value>
        </values>
      </ddeItem>
      <ddeItem name="00651R.TW-Price" advise="1">
        <values>
          <value>
            <val>7.99</val>
          </value>
        </values>
      </ddeItem>
      <ddeItem name="00652.TW-BestAsk1" advise="1">
        <values>
          <value>
            <val>24.64</val>
          </value>
        </values>
      </ddeItem>
      <ddeItem name="00652.TW-BestBid1" advise="1">
        <values>
          <value>
            <val>24.55</val>
          </value>
        </values>
      </ddeItem>
      <ddeItem name="00652.TW-PreClose" advise="1">
        <values>
          <value>
            <val>24.66</val>
          </value>
        </values>
      </ddeItem>
      <ddeItem name="00652.TW-Price" advise="1">
        <values>
          <value>
            <val>24.55</val>
          </value>
        </values>
      </ddeItem>
      <ddeItem name="00653L.TW-BestAsk1" advise="1">
        <values>
          <value>
            <val>29.81</val>
          </value>
        </values>
      </ddeItem>
      <ddeItem name="00653L.TW-BestBid1" advise="1">
        <values>
          <value>
            <val>29.75</val>
          </value>
        </values>
      </ddeItem>
      <ddeItem name="00653L.TW-PreClose" advise="1">
        <values>
          <value>
            <val>29.83</val>
          </value>
        </values>
      </ddeItem>
      <ddeItem name="00653L.TW-Price" advise="1">
        <values>
          <value>
            <val>29.73</val>
          </value>
        </values>
      </ddeItem>
      <ddeItem name="00654R.TW-BestAsk1" advise="1">
        <values>
          <value>
            <val>13.93</val>
          </value>
        </values>
      </ddeItem>
      <ddeItem name="00654R.TW-BestBid1" advise="1">
        <values>
          <value>
            <val>13.85</val>
          </value>
        </values>
      </ddeItem>
      <ddeItem name="00654R.TW-PreClose" advise="1">
        <values>
          <value>
            <val>13.87</val>
          </value>
        </values>
      </ddeItem>
      <ddeItem name="00654R.TW-Price" advise="1">
        <values>
          <value>
            <val>13.92</val>
          </value>
        </values>
      </ddeItem>
      <ddeItem name="00655L.TW-BestAsk1" advise="1">
        <values>
          <value>
            <val>33.9</val>
          </value>
        </values>
      </ddeItem>
      <ddeItem name="00655L.TW-BestBid1" advise="1">
        <values>
          <value>
            <val>33.89</val>
          </value>
        </values>
      </ddeItem>
      <ddeItem name="00655L.TW-PreClose" advise="1">
        <values>
          <value>
            <val>33.43</val>
          </value>
        </values>
      </ddeItem>
      <ddeItem name="00655L.TW-Price" advise="1">
        <values>
          <value>
            <val>33.89</val>
          </value>
        </values>
      </ddeItem>
      <ddeItem name="00656R.TW-BestAsk1" advise="1">
        <values>
          <value>
            <val>11.19</val>
          </value>
        </values>
      </ddeItem>
      <ddeItem name="00656R.TW-BestBid1" advise="1">
        <values>
          <value>
            <val>11.18</val>
          </value>
        </values>
      </ddeItem>
      <ddeItem name="00656R.TW-PreClose" advise="1">
        <values>
          <value>
            <val>11.27</val>
          </value>
        </values>
      </ddeItem>
      <ddeItem name="00656R.TW-Price" advise="1">
        <values>
          <value>
            <val>11.19</val>
          </value>
        </values>
      </ddeItem>
      <ddeItem name="00657.TW-BestAsk1" advise="1">
        <values>
          <value>
            <val>26.87</val>
          </value>
        </values>
      </ddeItem>
      <ddeItem name="00657.TW-BestBid1" advise="1">
        <values>
          <value>
            <val>26.83</val>
          </value>
        </values>
      </ddeItem>
      <ddeItem name="00657.TW-PreClose" advise="1">
        <values>
          <value>
            <val>26.77</val>
          </value>
        </values>
      </ddeItem>
      <ddeItem name="00657.TW-Price" advise="1">
        <values>
          <value>
            <val>26.83</val>
          </value>
        </values>
      </ddeItem>
      <ddeItem name="00657K.TW-BestAsk1" advise="1">
        <values>
          <value>
            <val>8.68</val>
          </value>
        </values>
      </ddeItem>
      <ddeItem name="00657K.TW-BestBid1" advise="1">
        <values>
          <value>
            <val>8.64</val>
          </value>
        </values>
      </ddeItem>
      <ddeItem name="00657K.TW-PreClose" advise="1">
        <values>
          <value>
            <val>8.65</val>
          </value>
        </values>
      </ddeItem>
      <ddeItem name="00657K.TW-Price" advise="1">
        <values>
          <value>
            <val>8.66</val>
          </value>
        </values>
      </ddeItem>
      <ddeItem name="00658L.TW-BestAsk1" advise="1">
        <values>
          <value>
            <val>33</val>
          </value>
        </values>
      </ddeItem>
      <ddeItem name="00658L.TW-BestBid1" advise="1">
        <values>
          <value>
            <val>32.99</val>
          </value>
        </values>
      </ddeItem>
      <ddeItem name="00658L.TW-PreClose" advise="1">
        <values>
          <value>
            <val>32.93</val>
          </value>
        </values>
      </ddeItem>
      <ddeItem name="00658L.TW-Price" advise="1">
        <values>
          <value>
            <val>32.99</val>
          </value>
        </values>
      </ddeItem>
      <ddeItem name="00659R.TW-BestAsk1" advise="1">
        <values>
          <value>
            <val>12.27</val>
          </value>
        </values>
      </ddeItem>
      <ddeItem name="00659R.TW-BestBid1" advise="1">
        <values>
          <value>
            <val>12.25</val>
          </value>
        </values>
      </ddeItem>
      <ddeItem name="00659R.TW-PreClose" advise="1">
        <values>
          <value>
            <val>12.27</val>
          </value>
        </values>
      </ddeItem>
      <ddeItem name="00659R.TW-Price" advise="1">
        <values>
          <value>
            <val>12.27</val>
          </value>
        </values>
      </ddeItem>
      <ddeItem name="00660.TW-BestAsk1" advise="1">
        <values>
          <value>
            <val>25.67</val>
          </value>
        </values>
      </ddeItem>
      <ddeItem name="00660.TW-BestBid1" advise="1">
        <values>
          <value>
            <val>25.59</val>
          </value>
        </values>
      </ddeItem>
      <ddeItem name="00660.TW-PreClose" advise="1">
        <values>
          <value>
            <val>25.65</val>
          </value>
        </values>
      </ddeItem>
      <ddeItem name="00660.TW-Price" advise="1">
        <values>
          <value>
            <val>25.61</val>
          </value>
        </values>
      </ddeItem>
      <ddeItem name="00661.TW-BestAsk1" advise="1">
        <values>
          <value>
            <val>27.46</val>
          </value>
        </values>
      </ddeItem>
      <ddeItem name="00661.TW-BestBid1" advise="1">
        <values>
          <value>
            <val>27.39</val>
          </value>
        </values>
      </ddeItem>
      <ddeItem name="00661.TW-PreClose" advise="1">
        <values>
          <value>
            <val>27.36</val>
          </value>
        </values>
      </ddeItem>
      <ddeItem name="00661.TW-Price" advise="1">
        <values>
          <value>
            <val>27.4</val>
          </value>
        </values>
      </ddeItem>
      <ddeItem name="00662.TW-BestAsk1" advise="1">
        <values>
          <value>
            <val>33.24</val>
          </value>
        </values>
      </ddeItem>
      <ddeItem name="00662.TW-BestBid1" advise="1">
        <values>
          <value>
            <val>33.200000000000003</val>
          </value>
        </values>
      </ddeItem>
      <ddeItem name="00662.TW-PreClose" advise="1">
        <values>
          <value>
            <val>33.4</val>
          </value>
        </values>
      </ddeItem>
      <ddeItem name="00662.TW-Price" advise="1">
        <values>
          <value>
            <val>33.22</val>
          </value>
        </values>
      </ddeItem>
      <ddeItem name="00663L.TW-BestAsk1" advise="1">
        <values>
          <value>
            <val>37.369999999999997</val>
          </value>
        </values>
      </ddeItem>
      <ddeItem name="00663L.TW-BestBid1" advise="1">
        <values>
          <value>
            <val>37.36</val>
          </value>
        </values>
      </ddeItem>
      <ddeItem name="00663L.TW-PreClose" advise="1">
        <values>
          <value>
            <val>37.44</val>
          </value>
        </values>
      </ddeItem>
      <ddeItem name="00663L.TW-Price" advise="1">
        <values>
          <value>
            <val>37.369999999999997</val>
          </value>
        </values>
      </ddeItem>
      <ddeItem name="00664R.TW-BestAsk1" advise="1">
        <values>
          <value>
            <val>13.04</val>
          </value>
        </values>
      </ddeItem>
      <ddeItem name="00664R.TW-BestBid1" advise="1">
        <values>
          <value>
            <val>13.03</val>
          </value>
        </values>
      </ddeItem>
      <ddeItem name="00664R.TW-PreClose" advise="1">
        <values>
          <value>
            <val>13.03</val>
          </value>
        </values>
      </ddeItem>
      <ddeItem name="00664R.TW-Price" advise="1">
        <values>
          <value>
            <val>13.03</val>
          </value>
        </values>
      </ddeItem>
      <ddeItem name="00665L.TW-BestAsk1" advise="1">
        <values>
          <value>
            <val>27.95</val>
          </value>
        </values>
      </ddeItem>
      <ddeItem name="00665L.TW-BestBid1" advise="1">
        <values>
          <value>
            <val>27.91</val>
          </value>
        </values>
      </ddeItem>
      <ddeItem name="00665L.TW-PreClose" advise="1">
        <values>
          <value>
            <val>27.88</val>
          </value>
        </values>
      </ddeItem>
      <ddeItem name="00665L.TW-Price" advise="1">
        <values>
          <value>
            <val>27.91</val>
          </value>
        </values>
      </ddeItem>
      <ddeItem name="00666R.TW-BestAsk1" advise="1">
        <values>
          <value>
            <val>13.24</val>
          </value>
        </values>
      </ddeItem>
      <ddeItem name="00666R.TW-BestBid1" advise="1">
        <values>
          <value>
            <val>13.2</val>
          </value>
        </values>
      </ddeItem>
      <ddeItem name="00666R.TW-PreClose" advise="1">
        <values>
          <value>
            <val>13.26</val>
          </value>
        </values>
      </ddeItem>
      <ddeItem name="00666R.TW-Price" advise="1">
        <values>
          <value>
            <val>13.2</val>
          </value>
        </values>
      </ddeItem>
      <ddeItem name="00667.TW-BestAsk1" advise="1"/>
      <ddeItem name="00667.TW-BestBid1" advise="1"/>
      <ddeItem name="00667.TW-Price" advise="1"/>
      <ddeItem name="00668.TW-BestAsk1" advise="1">
        <values>
          <value>
            <val>29.8</val>
          </value>
        </values>
      </ddeItem>
      <ddeItem name="00668.TW-BestBid1" advise="1">
        <values>
          <value>
            <val>29.79</val>
          </value>
        </values>
      </ddeItem>
      <ddeItem name="00668.TW-PreClose" advise="1">
        <values>
          <value>
            <val>29.6</val>
          </value>
        </values>
      </ddeItem>
      <ddeItem name="00668.TW-Price" advise="1">
        <values>
          <value>
            <val>29.8</val>
          </value>
        </values>
      </ddeItem>
      <ddeItem name="00668K.TW-BestAsk1" advise="1">
        <values>
          <value>
            <val>9.61</val>
          </value>
        </values>
      </ddeItem>
      <ddeItem name="00668K.TW-BestBid1" advise="1">
        <values>
          <value>
            <val>9.56</val>
          </value>
        </values>
      </ddeItem>
      <ddeItem name="00668K.TW-PreClose" advise="1">
        <values>
          <value>
            <val>9.5399999999999991</val>
          </value>
        </values>
      </ddeItem>
      <ddeItem name="00668K.TW-Price" advise="1">
        <values>
          <value>
            <val>9.61</val>
          </value>
        </values>
      </ddeItem>
      <ddeItem name="00669R.TW-BestAsk1" advise="1">
        <values>
          <value>
            <val>12.21</val>
          </value>
        </values>
      </ddeItem>
      <ddeItem name="00669R.TW-BestBid1" advise="1">
        <values>
          <value>
            <val>12.2</val>
          </value>
        </values>
      </ddeItem>
      <ddeItem name="00669R.TW-PreClose" advise="1">
        <values>
          <value>
            <val>12.31</val>
          </value>
        </values>
      </ddeItem>
      <ddeItem name="00669R.TW-Price" advise="1">
        <values>
          <value>
            <val>12.21</val>
          </value>
        </values>
      </ddeItem>
      <ddeItem name="00670L.TW-BestAsk1" advise="1">
        <values>
          <value>
            <val>37.299999999999997</val>
          </value>
        </values>
      </ddeItem>
      <ddeItem name="00670L.TW-BestBid1" advise="1">
        <values>
          <value>
            <val>37.25</val>
          </value>
        </values>
      </ddeItem>
      <ddeItem name="00670L.TW-PreClose" advise="1">
        <values>
          <value>
            <val>37.5</val>
          </value>
        </values>
      </ddeItem>
      <ddeItem name="00670L.TW-Price" advise="1">
        <values>
          <value>
            <val>37.28</val>
          </value>
        </values>
      </ddeItem>
      <ddeItem name="00671R.TW-BestAsk1" advise="1">
        <values>
          <value>
            <val>12.18</val>
          </value>
        </values>
      </ddeItem>
      <ddeItem name="00671R.TW-BestBid1" advise="1">
        <values>
          <value>
            <val>12.17</val>
          </value>
        </values>
      </ddeItem>
      <ddeItem name="00671R.TW-PreClose" advise="1">
        <values>
          <value>
            <val>12.17</val>
          </value>
        </values>
      </ddeItem>
      <ddeItem name="00671R.TW-Price" advise="1">
        <values>
          <value>
            <val>12.17</val>
          </value>
        </values>
      </ddeItem>
      <ddeItem name="00672L.TW-BestAsk1" advise="1">
        <values>
          <value>
            <val>17.79</val>
          </value>
        </values>
      </ddeItem>
      <ddeItem name="00672L.TW-BestBid1" advise="1">
        <values>
          <value>
            <val>17.78</val>
          </value>
        </values>
      </ddeItem>
      <ddeItem name="00672L.TW-PreClose" advise="1">
        <values>
          <value>
            <val>17.79</val>
          </value>
        </values>
      </ddeItem>
      <ddeItem name="00672L.TW-Price" advise="1">
        <values>
          <value>
            <val>17.79</val>
          </value>
        </values>
      </ddeItem>
      <ddeItem name="00673R.TW-BestAsk1" advise="1">
        <values>
          <value>
            <val>14.36</val>
          </value>
        </values>
      </ddeItem>
      <ddeItem name="00673R.TW-BestBid1" advise="1">
        <values>
          <value>
            <val>14.35</val>
          </value>
        </values>
      </ddeItem>
      <ddeItem name="00673R.TW-PreClose" advise="1">
        <values>
          <value>
            <val>14.46</val>
          </value>
        </values>
      </ddeItem>
      <ddeItem name="00673R.TW-Price" advise="1">
        <values>
          <value>
            <val>14.36</val>
          </value>
        </values>
      </ddeItem>
      <ddeItem name="00674R.TW-BestAsk1" advise="1">
        <values>
          <value>
            <val>17.91</val>
          </value>
        </values>
      </ddeItem>
      <ddeItem name="00674R.TW-BestBid1" advise="1">
        <values>
          <value>
            <val>17.88</val>
          </value>
        </values>
      </ddeItem>
      <ddeItem name="00674R.TW-PreClose" advise="1">
        <values>
          <value>
            <val>17.75</val>
          </value>
        </values>
      </ddeItem>
      <ddeItem name="00674R.TW-Price" advise="1">
        <values>
          <value>
            <val>17.899999999999999</val>
          </value>
        </values>
      </ddeItem>
      <ddeItem name="00675L.TW-BestAsk1" advise="1">
        <values>
          <value>
            <val>16.16</val>
          </value>
        </values>
      </ddeItem>
      <ddeItem name="00675L.TW-BestBid1" advise="1">
        <values>
          <value>
            <val>16.149999999999999</val>
          </value>
        </values>
      </ddeItem>
      <ddeItem name="00675L.TW-PreClose" advise="1">
        <values>
          <value>
            <val>16.170000000000002</val>
          </value>
        </values>
      </ddeItem>
      <ddeItem name="00675L.TW-Price" advise="1">
        <values>
          <value>
            <val>16.14</val>
          </value>
        </values>
      </ddeItem>
      <ddeItem name="00676R.TW-BestAsk1" advise="1">
        <values>
          <value>
            <val>7.06</val>
          </value>
        </values>
      </ddeItem>
      <ddeItem name="00676R.TW-BestBid1" advise="1">
        <values>
          <value>
            <val>7.05</val>
          </value>
        </values>
      </ddeItem>
      <ddeItem name="00676R.TW-PreClose" advise="1">
        <values>
          <value>
            <val>7.05</val>
          </value>
        </values>
      </ddeItem>
      <ddeItem name="00676R.TW-Price" advise="1">
        <values>
          <value>
            <val>7.04</val>
          </value>
        </values>
      </ddeItem>
      <ddeItem name="00677U.TW-BestAsk1" advise="1">
        <values>
          <value>
            <val>4.9000000000000004</val>
          </value>
        </values>
      </ddeItem>
      <ddeItem name="00677U.TW-BestBid1" advise="1">
        <values>
          <value>
            <val>4.8899999999999997</val>
          </value>
        </values>
      </ddeItem>
      <ddeItem name="00677U.TW-PreClose" advise="1">
        <values>
          <value>
            <val>4.87</val>
          </value>
        </values>
      </ddeItem>
      <ddeItem name="00677U.TW-Price" advise="1">
        <values>
          <value>
            <val>4.9000000000000004</val>
          </value>
        </values>
      </ddeItem>
      <ddeItem name="00678.TW-BestAsk1" advise="1">
        <values>
          <value>
            <val>21.73</val>
          </value>
        </values>
      </ddeItem>
      <ddeItem name="00678.TW-BestBid1" advise="1">
        <values>
          <value>
            <val>21.72</val>
          </value>
        </values>
      </ddeItem>
      <ddeItem name="00678.TW-PreClose" advise="1">
        <values>
          <value>
            <val>22.14</val>
          </value>
        </values>
      </ddeItem>
      <ddeItem name="00678.TW-Price" advise="1">
        <values>
          <value>
            <val>21.73</val>
          </value>
        </values>
      </ddeItem>
      <ddeItem name="00679B.TW-BestAsk1" advise="1">
        <values>
          <value>
            <val>41.63</val>
          </value>
        </values>
      </ddeItem>
      <ddeItem name="00679B.TW-BestBid1" advise="1">
        <values>
          <value>
            <val>41.62</val>
          </value>
        </values>
      </ddeItem>
      <ddeItem name="00679B.TW-PreClose" advise="1">
        <values>
          <value>
            <val>42.28</val>
          </value>
        </values>
      </ddeItem>
      <ddeItem name="00679B.TW-Price" advise="1">
        <values>
          <value>
            <val>41.63</val>
          </value>
        </values>
      </ddeItem>
      <ddeItem name="00680L.TW-BestAsk1" advise="1">
        <values>
          <value>
            <val>21.86</val>
          </value>
        </values>
      </ddeItem>
      <ddeItem name="00680L.TW-BestBid1" advise="1">
        <values>
          <value>
            <val>21.82</val>
          </value>
        </values>
      </ddeItem>
      <ddeItem name="00680L.TW-PreClose" advise="1">
        <values>
          <value>
            <val>22.57</val>
          </value>
        </values>
      </ddeItem>
      <ddeItem name="00680L.TW-Price" advise="1">
        <values>
          <value>
            <val>21.86</val>
          </value>
        </values>
      </ddeItem>
      <ddeItem name="00681R.TW-BestAsk1" advise="1">
        <values>
          <value>
            <val>17.2</val>
          </value>
        </values>
      </ddeItem>
      <ddeItem name="00681R.TW-BestBid1" advise="1">
        <values>
          <value>
            <val>17.170000000000002</val>
          </value>
        </values>
      </ddeItem>
      <ddeItem name="00681R.TW-PreClose" advise="1">
        <values>
          <value>
            <val>16.940000000000001</val>
          </value>
        </values>
      </ddeItem>
      <ddeItem name="00681R.TW-Price" advise="1">
        <values>
          <value>
            <val>17.18</val>
          </value>
        </values>
      </ddeItem>
      <ddeItem name="00682U.TW-BestAsk1" advise="1">
        <values>
          <value>
            <val>19.25</val>
          </value>
        </values>
      </ddeItem>
      <ddeItem name="00682U.TW-BestBid1" advise="1">
        <values>
          <value>
            <val>19.18</val>
          </value>
        </values>
      </ddeItem>
      <ddeItem name="00682U.TW-PreClose" advise="1">
        <values>
          <value>
            <val>19.29</val>
          </value>
        </values>
      </ddeItem>
      <ddeItem name="00682U.TW-Price" advise="1">
        <values>
          <value>
            <val>19.21</val>
          </value>
        </values>
      </ddeItem>
      <ddeItem name="00683L.TW-BestAsk1" advise="1">
        <values>
          <value>
            <val>19.04</val>
          </value>
        </values>
      </ddeItem>
      <ddeItem name="00683L.TW-BestBid1" advise="1">
        <values>
          <value>
            <val>19.010000000000002</val>
          </value>
        </values>
      </ddeItem>
      <ddeItem name="00683L.TW-PreClose" advise="1">
        <values>
          <value>
            <val>19.010000000000002</val>
          </value>
        </values>
      </ddeItem>
      <ddeItem name="00683L.TW-Price" advise="1">
        <values>
          <value>
            <val>19.02</val>
          </value>
        </values>
      </ddeItem>
      <ddeItem name="00684R.TW-BestAsk1" advise="1">
        <values>
          <value>
            <val>19.21</val>
          </value>
        </values>
      </ddeItem>
      <ddeItem name="00684R.TW-BestBid1" advise="1">
        <values>
          <value>
            <val>19.149999999999999</val>
          </value>
        </values>
      </ddeItem>
      <ddeItem name="00684R.TW-PreClose" advise="1">
        <values>
          <value>
            <val>19.2</val>
          </value>
        </values>
      </ddeItem>
      <ddeItem name="00684R.TW-Price" advise="1">
        <values>
          <value>
            <val>19.21</val>
          </value>
        </values>
      </ddeItem>
      <ddeItem name="00685L.TW-BestAsk1" advise="1">
        <values>
          <value>
            <val>14.22</val>
          </value>
        </values>
      </ddeItem>
      <ddeItem name="00685L.TW-BestBid1" advise="1">
        <values>
          <value>
            <val>14.2</val>
          </value>
        </values>
      </ddeItem>
      <ddeItem name="00685L.TW-PreClose" advise="1">
        <values>
          <value>
            <val>14.24</val>
          </value>
        </values>
      </ddeItem>
      <ddeItem name="00685L.TW-Price" advise="1">
        <values>
          <value>
            <val>14.23</val>
          </value>
        </values>
      </ddeItem>
      <ddeItem name="00686R.TW-BestAsk1" advise="1">
        <values>
          <value>
            <val>7.72</val>
          </value>
        </values>
      </ddeItem>
      <ddeItem name="00686R.TW-BestBid1" advise="1">
        <values>
          <value>
            <val>7.71</val>
          </value>
        </values>
      </ddeItem>
      <ddeItem name="00686R.TW-PreClose" advise="1">
        <values>
          <value>
            <val>7.72</val>
          </value>
        </values>
      </ddeItem>
      <ddeItem name="00686R.TW-Price" advise="1">
        <values>
          <value>
            <val>7.72</val>
          </value>
        </values>
      </ddeItem>
      <ddeItem name="00687B.TW-BestAsk1" advise="1">
        <values>
          <value>
            <val>43.39</val>
          </value>
        </values>
      </ddeItem>
      <ddeItem name="00687B.TW-BestBid1" advise="1">
        <values>
          <value>
            <val>43.35</val>
          </value>
        </values>
      </ddeItem>
      <ddeItem name="00687B.TW-PreClose" advise="1">
        <values>
          <value>
            <val>44.05</val>
          </value>
        </values>
      </ddeItem>
      <ddeItem name="00687B.TW-Price" advise="1">
        <values>
          <value>
            <val>43.38</val>
          </value>
        </values>
      </ddeItem>
      <ddeItem name="00688L.TW-BestAsk1" advise="1">
        <values>
          <value>
            <val>22.38</val>
          </value>
        </values>
      </ddeItem>
      <ddeItem name="00688L.TW-BestBid1" advise="1">
        <values>
          <value>
            <val>22.35</val>
          </value>
        </values>
      </ddeItem>
      <ddeItem name="00688L.TW-PreClose" advise="1">
        <values>
          <value>
            <val>23.11</val>
          </value>
        </values>
      </ddeItem>
      <ddeItem name="00688L.TW-Price" advise="1">
        <values>
          <value>
            <val>22.35</val>
          </value>
        </values>
      </ddeItem>
      <ddeItem name="00689R.TW-BestAsk1" advise="1">
        <values>
          <value>
            <val>17.59</val>
          </value>
        </values>
      </ddeItem>
      <ddeItem name="00689R.TW-BestBid1" advise="1">
        <values>
          <value>
            <val>17.579999999999998</val>
          </value>
        </values>
      </ddeItem>
      <ddeItem name="00689R.TW-PreClose" advise="1">
        <values>
          <value>
            <val>17.32</val>
          </value>
        </values>
      </ddeItem>
      <ddeItem name="00689R.TW-Price" advise="1">
        <values>
          <value>
            <val>17.59</val>
          </value>
        </values>
      </ddeItem>
      <ddeItem name="00690.TW-BestAsk1" advise="1">
        <values>
          <value>
            <val>22.17</val>
          </value>
        </values>
      </ddeItem>
      <ddeItem name="00690.TW-BestBid1" advise="1">
        <values>
          <value>
            <val>22.13</val>
          </value>
        </values>
      </ddeItem>
      <ddeItem name="00690.TW-PreClose" advise="1">
        <values>
          <value>
            <val>22.2</val>
          </value>
        </values>
      </ddeItem>
      <ddeItem name="00690.TW-Price" advise="1">
        <values>
          <value>
            <val>22.14</val>
          </value>
        </values>
      </ddeItem>
      <ddeItem name="00691R.TW-BestAsk1" advise="1">
        <values>
          <value>
            <val>15.52</val>
          </value>
        </values>
      </ddeItem>
      <ddeItem name="00691R.TW-BestBid1" advise="1">
        <values>
          <value>
            <val>15.47</val>
          </value>
        </values>
      </ddeItem>
      <ddeItem name="00691R.TW-PreClose" advise="1">
        <values>
          <value>
            <val>15.5</val>
          </value>
        </values>
      </ddeItem>
      <ddeItem name="00691R.TW-Price" advise="1">
        <values>
          <value t="str">
            <val>--</val>
          </value>
        </values>
      </ddeItem>
      <ddeItem name="00692.TW-BestAsk1" advise="1">
        <values>
          <value>
            <val>21.63</val>
          </value>
        </values>
      </ddeItem>
      <ddeItem name="00692.TW-BestBid1" advise="1">
        <values>
          <value>
            <val>21.62</val>
          </value>
        </values>
      </ddeItem>
      <ddeItem name="00692.TW-PreClose" advise="1">
        <values>
          <value>
            <val>21.6</val>
          </value>
        </values>
      </ddeItem>
      <ddeItem name="00692.TW-Price" advise="1">
        <values>
          <value>
            <val>21.63</val>
          </value>
        </values>
      </ddeItem>
      <ddeItem name="00693U.TW-BestAsk1" advise="1">
        <values>
          <value>
            <val>15.67</val>
          </value>
        </values>
      </ddeItem>
      <ddeItem name="00693U.TW-BestBid1" advise="1">
        <values>
          <value>
            <val>15.66</val>
          </value>
        </values>
      </ddeItem>
      <ddeItem name="00693U.TW-PreClose" advise="1">
        <values>
          <value>
            <val>15.62</val>
          </value>
        </values>
      </ddeItem>
      <ddeItem name="00693U.TW-Price" advise="1">
        <values>
          <value>
            <val>15.66</val>
          </value>
        </values>
      </ddeItem>
      <ddeItem name="00694B.TW-BestAsk1" advise="1">
        <values>
          <value>
            <val>41.37</val>
          </value>
        </values>
      </ddeItem>
      <ddeItem name="00694B.TW-BestBid1" advise="1">
        <values>
          <value>
            <val>41.35</val>
          </value>
        </values>
      </ddeItem>
      <ddeItem name="00694B.TW-PreClose" advise="1">
        <values>
          <value>
            <val>41.39</val>
          </value>
        </values>
      </ddeItem>
      <ddeItem name="00694B.TW-Price" advise="1">
        <values>
          <value>
            <val>41.37</val>
          </value>
        </values>
      </ddeItem>
      <ddeItem name="00695B.TW-BestAsk1" advise="1">
        <values>
          <value>
            <val>39.69</val>
          </value>
        </values>
      </ddeItem>
      <ddeItem name="00695B.TW-BestBid1" advise="1">
        <values>
          <value>
            <val>39.67</val>
          </value>
        </values>
      </ddeItem>
      <ddeItem name="00695B.TW-PreClose" advise="1">
        <values>
          <value>
            <val>39.950000000000003</val>
          </value>
        </values>
      </ddeItem>
      <ddeItem name="00695B.TW-Price" advise="1">
        <values>
          <value>
            <val>39.68</val>
          </value>
        </values>
      </ddeItem>
      <ddeItem name="00696B.TW-BestAsk1" advise="1">
        <values>
          <value>
            <val>43.74</val>
          </value>
        </values>
      </ddeItem>
      <ddeItem name="00696B.TW-BestBid1" advise="1">
        <values>
          <value>
            <val>43.7</val>
          </value>
        </values>
      </ddeItem>
      <ddeItem name="00696B.TW-PreClose" advise="1">
        <values>
          <value>
            <val>44.45</val>
          </value>
        </values>
      </ddeItem>
      <ddeItem name="00696B.TW-Price" advise="1">
        <values>
          <value>
            <val>43.72</val>
          </value>
        </values>
      </ddeItem>
      <ddeItem name="00697B.TW-BestAsk1" advise="1">
        <values>
          <value>
            <val>41.86</val>
          </value>
        </values>
      </ddeItem>
      <ddeItem name="00697B.TW-BestBid1" advise="1">
        <values>
          <value>
            <val>41.84</val>
          </value>
        </values>
      </ddeItem>
      <ddeItem name="00697B.TW-PreClose" advise="1">
        <values>
          <value>
            <val>42.05</val>
          </value>
        </values>
      </ddeItem>
      <ddeItem name="00697B.TW-Price" advise="1">
        <values>
          <value>
            <val>41.85</val>
          </value>
        </values>
      </ddeItem>
      <ddeItem name="00698L.TW-BestAsk1" advise="1"/>
      <ddeItem name="00698L.TW-BestBid1" advise="1"/>
      <ddeItem name="00698L.TW-Price" advise="1"/>
      <ddeItem name="00699R.TW-BestAsk1" advise="1"/>
      <ddeItem name="00699R.TW-BestBid1" advise="1"/>
      <ddeItem name="00699R.TW-Price" advise="1"/>
      <ddeItem name="00700.TW-BestAsk1" advise="1">
        <values>
          <value>
            <val>20.97</val>
          </value>
        </values>
      </ddeItem>
      <ddeItem name="00700.TW-BestBid1" advise="1">
        <values>
          <value>
            <val>20.93</val>
          </value>
        </values>
      </ddeItem>
      <ddeItem name="00700.TW-PreClose" advise="1">
        <values>
          <value>
            <val>20.98</val>
          </value>
        </values>
      </ddeItem>
      <ddeItem name="00700.TW-Price" advise="1">
        <values>
          <value>
            <val>20.95</val>
          </value>
        </values>
      </ddeItem>
      <ddeItem name="00701.TW-BestAsk1" advise="1">
        <values>
          <value>
            <val>22.6</val>
          </value>
        </values>
      </ddeItem>
      <ddeItem name="00701.TW-BestBid1" advise="1">
        <values>
          <value>
            <val>22.58</val>
          </value>
        </values>
      </ddeItem>
      <ddeItem name="00701.TW-PreClose" advise="1">
        <values>
          <value>
            <val>22.62</val>
          </value>
        </values>
      </ddeItem>
      <ddeItem name="00701.TW-Price" advise="1">
        <values>
          <value>
            <val>22.6</val>
          </value>
        </values>
      </ddeItem>
      <ddeItem name="00702.TW-BestAsk1" advise="1">
        <values>
          <value>
            <val>21.66</val>
          </value>
        </values>
      </ddeItem>
      <ddeItem name="00702.TW-BestBid1" advise="1">
        <values>
          <value>
            <val>21.64</val>
          </value>
        </values>
      </ddeItem>
      <ddeItem name="00702.TW-PreClose" advise="1">
        <values>
          <value>
            <val>21.71</val>
          </value>
        </values>
      </ddeItem>
      <ddeItem name="00702.TW-Price" advise="1">
        <values>
          <value>
            <val>21.64</val>
          </value>
        </values>
      </ddeItem>
      <ddeItem name="00703.TW-BestAsk1" advise="1">
        <values>
          <value>
            <val>20.46</val>
          </value>
        </values>
      </ddeItem>
      <ddeItem name="00703.TW-BestBid1" advise="1">
        <values>
          <value>
            <val>20.45</val>
          </value>
        </values>
      </ddeItem>
      <ddeItem name="00703.TW-PreClose" advise="1">
        <values>
          <value>
            <val>20.46</val>
          </value>
        </values>
      </ddeItem>
      <ddeItem name="00703.TW-Price" advise="1">
        <values>
          <value>
            <val>20.45</val>
          </value>
        </values>
      </ddeItem>
      <ddeItem name="00706L.TW-BestAsk1" advise="1">
        <values>
          <value>
            <val>18.100000000000001</val>
          </value>
        </values>
      </ddeItem>
      <ddeItem name="00706L.TW-BestBid1" advise="1">
        <values>
          <value>
            <val>18.03</val>
          </value>
        </values>
      </ddeItem>
      <ddeItem name="00706L.TW-PreClose" advise="1">
        <values>
          <value>
            <val>18.21</val>
          </value>
        </values>
      </ddeItem>
      <ddeItem name="00706L.TW-Price" advise="1">
        <values>
          <value>
            <val>18.100000000000001</val>
          </value>
        </values>
      </ddeItem>
      <ddeItem name="00707R.TW-BestAsk1" advise="1">
        <values>
          <value>
            <val>19.77</val>
          </value>
        </values>
      </ddeItem>
      <ddeItem name="00707R.TW-BestBid1" advise="1">
        <values>
          <value>
            <val>19.71</val>
          </value>
        </values>
      </ddeItem>
      <ddeItem name="00707R.TW-PreClose" advise="1">
        <values>
          <value>
            <val>19.71</val>
          </value>
        </values>
      </ddeItem>
      <ddeItem name="00707R.TW-Price" advise="1">
        <values>
          <value t="str">
            <val>--</val>
          </value>
        </values>
      </ddeItem>
      <ddeItem name="00708L.TW-BestAsk1" advise="1">
        <values>
          <value>
            <val>20.239999999999998</val>
          </value>
        </values>
      </ddeItem>
      <ddeItem name="00708L.TW-BestBid1" advise="1">
        <values>
          <value>
            <val>20.23</val>
          </value>
        </values>
      </ddeItem>
      <ddeItem name="00708L.TW-PreClose" advise="1">
        <values>
          <value>
            <val>20.65</val>
          </value>
        </values>
      </ddeItem>
      <ddeItem name="00708L.TW-Price" advise="1">
        <values>
          <value>
            <val>20.239999999999998</val>
          </value>
        </values>
      </ddeItem>
      <ddeItem name="00709.TW-BestAsk1" advise="1">
        <values>
          <value>
            <val>20.98</val>
          </value>
        </values>
      </ddeItem>
      <ddeItem name="00709.TW-BestBid1" advise="1">
        <values>
          <value>
            <val>20.89</val>
          </value>
        </values>
      </ddeItem>
      <ddeItem name="00709.TW-PreClose" advise="1">
        <values>
          <value>
            <val>20.97</val>
          </value>
        </values>
      </ddeItem>
      <ddeItem name="00709.TW-Price" advise="1">
        <values>
          <value>
            <val>20.9</val>
          </value>
        </values>
      </ddeItem>
      <ddeItem name="00710B.TW-BestAsk1" advise="1">
        <values>
          <value>
            <val>20.83</val>
          </value>
        </values>
      </ddeItem>
      <ddeItem name="00710B.TW-BestBid1" advise="1">
        <values>
          <value>
            <val>20.79</val>
          </value>
        </values>
      </ddeItem>
      <ddeItem name="00710B.TW-PreClose" advise="1">
        <values>
          <value>
            <val>20.83</val>
          </value>
        </values>
      </ddeItem>
      <ddeItem name="00710B.TW-Price" advise="1">
        <values>
          <value>
            <val>20.8</val>
          </value>
        </values>
      </ddeItem>
      <ddeItem name="00711B.TW-BestAsk1" advise="1">
        <values>
          <value>
            <val>21.61</val>
          </value>
        </values>
      </ddeItem>
      <ddeItem name="00711B.TW-BestBid1" advise="1">
        <values>
          <value>
            <val>21.59</val>
          </value>
        </values>
      </ddeItem>
      <ddeItem name="00711B.TW-PreClose" advise="1">
        <values>
          <value>
            <val>21.67</val>
          </value>
        </values>
      </ddeItem>
      <ddeItem name="00711B.TW-Price" advise="1">
        <values>
          <value>
            <val>21.59</val>
          </value>
        </values>
      </ddeItem>
      <ddeItem name="00712.TW-BestAsk1" advise="1">
        <values>
          <value>
            <val>18.3</val>
          </value>
        </values>
      </ddeItem>
      <ddeItem name="00712.TW-BestBid1" advise="1">
        <values>
          <value>
            <val>18.29</val>
          </value>
        </values>
      </ddeItem>
      <ddeItem name="00712.TW-PreClose" advise="1">
        <values>
          <value>
            <val>18.309999999999999</val>
          </value>
        </values>
      </ddeItem>
      <ddeItem name="00712.TW-Price" advise="1">
        <values>
          <value>
            <val>18.3</val>
          </value>
        </values>
      </ddeItem>
      <ddeItem name="00713.TW-BestAsk1" advise="1">
        <values>
          <value>
            <val>32.14</val>
          </value>
        </values>
      </ddeItem>
      <ddeItem name="00713.TW-BestBid1" advise="1">
        <values>
          <value>
            <val>32.07</val>
          </value>
        </values>
      </ddeItem>
      <ddeItem name="00713.TW-PreClose" advise="1">
        <values>
          <value>
            <val>32.07</val>
          </value>
        </values>
      </ddeItem>
      <ddeItem name="00713.TW-Price" advise="1">
        <values>
          <value>
            <val>32.130000000000003</val>
          </value>
        </values>
      </ddeItem>
      <ddeItem name="00714.TW-BestAsk1" advise="1">
        <values>
          <value>
            <val>22.3</val>
          </value>
        </values>
      </ddeItem>
      <ddeItem name="00714.TW-BestBid1" advise="1">
        <values>
          <value>
            <val>22.29</val>
          </value>
        </values>
      </ddeItem>
      <ddeItem name="00714.TW-PreClose" advise="1">
        <values>
          <value>
            <val>22.51</val>
          </value>
        </values>
      </ddeItem>
      <ddeItem name="00714.TW-Price" advise="1">
        <values>
          <value>
            <val>22.3</val>
          </value>
        </values>
      </ddeItem>
      <ddeItem name="00715L.TW-BestAsk1" advise="1">
        <values>
          <value>
            <val>23.25</val>
          </value>
        </values>
      </ddeItem>
      <ddeItem name="00715L.TW-BestBid1" advise="1">
        <values>
          <value>
            <val>23.23</val>
          </value>
        </values>
      </ddeItem>
      <ddeItem name="00715L.TW-PreClose" advise="1">
        <values>
          <value>
            <val>23.31</val>
          </value>
        </values>
      </ddeItem>
      <ddeItem name="00715L.TW-Price" advise="1">
        <values>
          <value>
            <val>23.24</val>
          </value>
        </values>
      </ddeItem>
      <ddeItem name="00716R.TW-BestAsk1" advise="1">
        <values>
          <value>
            <val>14.96</val>
          </value>
        </values>
      </ddeItem>
      <ddeItem name="00716R.TW-BestBid1" advise="1">
        <values>
          <value>
            <val>14.91</val>
          </value>
        </values>
      </ddeItem>
      <ddeItem name="00716R.TW-PreClose" advise="1">
        <values>
          <value>
            <val>14.89</val>
          </value>
        </values>
      </ddeItem>
      <ddeItem name="00716R.TW-Price" advise="1">
        <values>
          <value>
            <val>14.92</val>
          </value>
        </values>
      </ddeItem>
      <ddeItem name="00717.TW-BestAsk1" advise="1">
        <values>
          <value>
            <val>20.010000000000002</val>
          </value>
        </values>
      </ddeItem>
      <ddeItem name="00717.TW-BestBid1" advise="1">
        <values>
          <value>
            <val>20</val>
          </value>
        </values>
      </ddeItem>
      <ddeItem name="00717.TW-PreClose" advise="1">
        <values>
          <value>
            <val>20.010000000000002</val>
          </value>
        </values>
      </ddeItem>
      <ddeItem name="00717.TW-Price" advise="1">
        <values>
          <value>
            <val>20.010000000000002</val>
          </value>
        </values>
      </ddeItem>
      <ddeItem name="00718B.TW-BestAsk1" advise="1">
        <values>
          <value>
            <val>20.87</val>
          </value>
        </values>
      </ddeItem>
      <ddeItem name="00718B.TW-BestBid1" advise="1">
        <values>
          <value>
            <val>20.86</val>
          </value>
        </values>
      </ddeItem>
      <ddeItem name="00718B.TW-PreClose" advise="1">
        <values>
          <value>
            <val>20.86</val>
          </value>
        </values>
      </ddeItem>
      <ddeItem name="00718B.TW-Price" advise="1">
        <values>
          <value>
            <val>20.87</val>
          </value>
        </values>
      </ddeItem>
      <ddeItem name="00719B.TW-BestAsk1" advise="1">
        <values>
          <value>
            <val>32.75</val>
          </value>
        </values>
      </ddeItem>
      <ddeItem name="00719B.TW-BestBid1" advise="1">
        <values>
          <value>
            <val>32.72</val>
          </value>
        </values>
      </ddeItem>
      <ddeItem name="00719B.TW-PreClose" advise="1">
        <values>
          <value>
            <val>32.74</val>
          </value>
        </values>
      </ddeItem>
      <ddeItem name="00719B.TW-Price" advise="1">
        <values>
          <value>
            <val>32.74</val>
          </value>
        </values>
      </ddeItem>
      <ddeItem name="00720B.TW-BestAsk1" advise="1">
        <values>
          <value>
            <val>43.37</val>
          </value>
        </values>
      </ddeItem>
      <ddeItem name="00720B.TW-BestBid1" advise="1">
        <values>
          <value>
            <val>43.36</val>
          </value>
        </values>
      </ddeItem>
      <ddeItem name="00720B.TW-PreClose" advise="1">
        <values>
          <value>
            <val>43.82</val>
          </value>
        </values>
      </ddeItem>
      <ddeItem name="00720B.TW-Price" advise="1">
        <values>
          <value>
            <val>43.36</val>
          </value>
        </values>
      </ddeItem>
      <ddeItem name="00721B.TW-BestAsk1" advise="1">
        <values>
          <value>
            <val>47.24</val>
          </value>
        </values>
      </ddeItem>
      <ddeItem name="00721B.TW-BestBid1" advise="1">
        <values>
          <value>
            <val>47.21</val>
          </value>
        </values>
      </ddeItem>
      <ddeItem name="00721B.TW-PreClose" advise="1">
        <values>
          <value>
            <val>47.21</val>
          </value>
        </values>
      </ddeItem>
      <ddeItem name="00721B.TW-Price" advise="1">
        <values>
          <value>
            <val>47.24</val>
          </value>
        </values>
      </ddeItem>
      <ddeItem name="00722B.TW-BestAsk1" advise="1">
        <values>
          <value>
            <val>45.76</val>
          </value>
        </values>
      </ddeItem>
      <ddeItem name="00722B.TW-BestBid1" advise="1">
        <values>
          <value>
            <val>45.75</val>
          </value>
        </values>
      </ddeItem>
      <ddeItem name="00722B.TW-PreClose" advise="1">
        <values>
          <value>
            <val>46.06</val>
          </value>
        </values>
      </ddeItem>
      <ddeItem name="00722B.TW-Price" advise="1">
        <values>
          <value>
            <val>45.75</val>
          </value>
        </values>
      </ddeItem>
      <ddeItem name="00723B.TW-BestAsk1" advise="1">
        <values>
          <value>
            <val>42.74</val>
          </value>
        </values>
      </ddeItem>
      <ddeItem name="00723B.TW-BestBid1" advise="1">
        <values>
          <value>
            <val>42.56</val>
          </value>
        </values>
      </ddeItem>
      <ddeItem name="00723B.TW-PreClose" advise="1">
        <values>
          <value>
            <val>43.1</val>
          </value>
        </values>
      </ddeItem>
      <ddeItem name="00723B.TW-Price" advise="1">
        <values>
          <value>
            <val>42.74</val>
          </value>
        </values>
      </ddeItem>
      <ddeItem name="00724B.TW-BestAsk1" advise="1">
        <values>
          <value>
            <val>42.35</val>
          </value>
        </values>
      </ddeItem>
      <ddeItem name="00724B.TW-BestBid1" advise="1">
        <values>
          <value>
            <val>42.29</val>
          </value>
        </values>
      </ddeItem>
      <ddeItem name="00724B.TW-PreClose" advise="1">
        <values>
          <value>
            <val>42.62</val>
          </value>
        </values>
      </ddeItem>
      <ddeItem name="00724B.TW-Price" advise="1">
        <values>
          <value>
            <val>42.3</val>
          </value>
        </values>
      </ddeItem>
      <ddeItem name="00725B.TW-BestAsk1" advise="1">
        <values>
          <value>
            <val>43.9</val>
          </value>
        </values>
      </ddeItem>
      <ddeItem name="00725B.TW-BestBid1" advise="1">
        <values>
          <value>
            <val>43.89</val>
          </value>
        </values>
      </ddeItem>
      <ddeItem name="00725B.TW-PreClose" advise="1">
        <values>
          <value>
            <val>44.65</val>
          </value>
        </values>
      </ddeItem>
      <ddeItem name="00725B.TW-Price" advise="1">
        <values>
          <value>
            <val>43.9</val>
          </value>
        </values>
      </ddeItem>
      <ddeItem name="00726B.TW-BestAsk1" advise="1">
        <values>
          <value>
            <val>45.28</val>
          </value>
        </values>
      </ddeItem>
      <ddeItem name="00726B.TW-BestBid1" advise="1">
        <values>
          <value>
            <val>45.2</val>
          </value>
        </values>
      </ddeItem>
      <ddeItem name="00726B.TW-PreClose" advise="1">
        <values>
          <value>
            <val>45.44</val>
          </value>
        </values>
      </ddeItem>
      <ddeItem name="00726B.TW-Price" advise="1">
        <values>
          <value>
            <val>45.21</val>
          </value>
        </values>
      </ddeItem>
      <ddeItem name="00727B.TW-BestAsk1" advise="1">
        <values>
          <value>
            <val>43.58</val>
          </value>
        </values>
      </ddeItem>
      <ddeItem name="00727B.TW-BestBid1" advise="1">
        <values>
          <value>
            <val>43.56</val>
          </value>
        </values>
      </ddeItem>
      <ddeItem name="00727B.TW-PreClose" advise="1">
        <values>
          <value>
            <val>43.65</val>
          </value>
        </values>
      </ddeItem>
      <ddeItem name="00727B.TW-Price" advise="1">
        <values>
          <value>
            <val>43.56</val>
          </value>
        </values>
      </ddeItem>
      <ddeItem name="00728.TW-BestAsk1" advise="1">
        <values>
          <value>
            <val>18.989999999999998</val>
          </value>
        </values>
      </ddeItem>
      <ddeItem name="00728.TW-BestBid1" advise="1">
        <values>
          <value>
            <val>18.98</val>
          </value>
        </values>
      </ddeItem>
      <ddeItem name="00728.TW-PreClose" advise="1">
        <values>
          <value>
            <val>19</val>
          </value>
        </values>
      </ddeItem>
      <ddeItem name="00728.TW-Price" advise="1">
        <values>
          <value>
            <val>18.989999999999998</val>
          </value>
        </values>
      </ddeItem>
      <ddeItem name="00730.TW-BestAsk1" advise="1">
        <values>
          <value>
            <val>18.79</val>
          </value>
        </values>
      </ddeItem>
      <ddeItem name="00730.TW-BestBid1" advise="1">
        <values>
          <value>
            <val>18.78</val>
          </value>
        </values>
      </ddeItem>
      <ddeItem name="00730.TW-PreClose" advise="1">
        <values>
          <value>
            <val>18.760000000000002</val>
          </value>
        </values>
      </ddeItem>
      <ddeItem name="00730.TW-Price" advise="1">
        <values>
          <value>
            <val>18.78</val>
          </value>
        </values>
      </ddeItem>
      <ddeItem name="00731.TW-BestAsk1" advise="1">
        <values>
          <value>
            <val>49.98</val>
          </value>
        </values>
      </ddeItem>
      <ddeItem name="00731.TW-BestBid1" advise="1">
        <values>
          <value>
            <val>49.91</val>
          </value>
        </values>
      </ddeItem>
      <ddeItem name="00731.TW-PreClose" advise="1">
        <values>
          <value>
            <val>50.05</val>
          </value>
        </values>
      </ddeItem>
      <ddeItem name="00731.TW-Price" advise="1">
        <values>
          <value>
            <val>50.05</val>
          </value>
        </values>
      </ddeItem>
      <ddeItem name="00732.TW-BestAsk1" advise="1">
        <values>
          <value>
            <val>39.94</val>
          </value>
        </values>
      </ddeItem>
      <ddeItem name="00732.TW-BestBid1" advise="1">
        <values>
          <value>
            <val>39.83</val>
          </value>
        </values>
      </ddeItem>
      <ddeItem name="00732.TW-PreClose" advise="1">
        <values>
          <value>
            <val>39.93</val>
          </value>
        </values>
      </ddeItem>
      <ddeItem name="00732.TW-Price" advise="1">
        <values>
          <value>
            <val>39.93</val>
          </value>
        </values>
      </ddeItem>
      <ddeItem name="00733.TW-BestAsk1" advise="1">
        <values>
          <value>
            <val>17.850000000000001</val>
          </value>
        </values>
      </ddeItem>
      <ddeItem name="00733.TW-BestBid1" advise="1">
        <values>
          <value>
            <val>17.82</val>
          </value>
        </values>
      </ddeItem>
      <ddeItem name="00733.TW-PreClose" advise="1">
        <values>
          <value>
            <val>17.829999999999998</val>
          </value>
        </values>
      </ddeItem>
      <ddeItem name="00733.TW-Price" advise="1">
        <values>
          <value>
            <val>17.850000000000001</val>
          </value>
        </values>
      </ddeItem>
      <ddeItem name="00734B.TW-BestAsk1" advise="1">
        <values>
          <value>
            <val>22.51</val>
          </value>
        </values>
      </ddeItem>
      <ddeItem name="00734B.TW-BestBid1" advise="1">
        <values>
          <value>
            <val>22.48</val>
          </value>
        </values>
      </ddeItem>
      <ddeItem name="00734B.TW-PreClose" advise="1">
        <values>
          <value>
            <val>22.54</val>
          </value>
        </values>
      </ddeItem>
      <ddeItem name="00734B.TW-Price" advise="1">
        <values>
          <value>
            <val>22.5</val>
          </value>
        </values>
      </ddeItem>
      <ddeItem name="00735.TW-BestAsk1" advise="1">
        <values>
          <value>
            <val>18.07</val>
          </value>
        </values>
      </ddeItem>
      <ddeItem name="00735.TW-BestBid1" advise="1">
        <values>
          <value>
            <val>18.05</val>
          </value>
        </values>
      </ddeItem>
      <ddeItem name="00735.TW-PreClose" advise="1">
        <values>
          <value>
            <val>18.14</val>
          </value>
        </values>
      </ddeItem>
      <ddeItem name="00735.TW-Price" advise="1">
        <values>
          <value>
            <val>18.07</val>
          </value>
        </values>
      </ddeItem>
      <ddeItem name="00736.TW-BestAsk1" advise="1">
        <values>
          <value>
            <val>20.34</val>
          </value>
        </values>
      </ddeItem>
      <ddeItem name="00736.TW-BestBid1" advise="1">
        <values>
          <value>
            <val>20.309999999999999</val>
          </value>
        </values>
      </ddeItem>
      <ddeItem name="00736.TW-PreClose" advise="1">
        <values>
          <value>
            <val>20.329999999999998</val>
          </value>
        </values>
      </ddeItem>
      <ddeItem name="00736.TW-Price" advise="1">
        <values>
          <value>
            <val>20.309999999999999</val>
          </value>
        </values>
      </ddeItem>
      <ddeItem name="00737.TW-BestAsk1" advise="1">
        <values>
          <value>
            <val>22.51</val>
          </value>
        </values>
      </ddeItem>
      <ddeItem name="00737.TW-BestBid1" advise="1">
        <values>
          <value>
            <val>22.5</val>
          </value>
        </values>
      </ddeItem>
      <ddeItem name="00737.TW-PreClose" advise="1">
        <values>
          <value>
            <val>22.63</val>
          </value>
        </values>
      </ddeItem>
      <ddeItem name="00737.TW-Price" advise="1">
        <values>
          <value>
            <val>22.51</val>
          </value>
        </values>
      </ddeItem>
      <ddeItem name="00738U.TW-BestAsk1" advise="1">
        <values>
          <value>
            <val>17.510000000000002</val>
          </value>
        </values>
      </ddeItem>
      <ddeItem name="00738U.TW-BestBid1" advise="1">
        <values>
          <value>
            <val>17.5</val>
          </value>
        </values>
      </ddeItem>
      <ddeItem name="00738U.TW-PreClose" advise="1">
        <values>
          <value>
            <val>17.63</val>
          </value>
        </values>
      </ddeItem>
      <ddeItem name="00738U.TW-Price" advise="1">
        <values>
          <value>
            <val>17.510000000000002</val>
          </value>
        </values>
      </ddeItem>
      <ddeItem name="00739.TW-BestAsk1" advise="1">
        <values>
          <value>
            <val>21.06</val>
          </value>
        </values>
      </ddeItem>
      <ddeItem name="00739.TW-BestBid1" advise="1">
        <values>
          <value>
            <val>21.05</val>
          </value>
        </values>
      </ddeItem>
      <ddeItem name="00739.TW-PreClose" advise="1">
        <values>
          <value>
            <val>20.96</val>
          </value>
        </values>
      </ddeItem>
      <ddeItem name="00739.TW-Price" advise="1">
        <values>
          <value>
            <val>21.05</val>
          </value>
        </values>
      </ddeItem>
      <ddeItem name="00740B.TW-BestAsk1" advise="1">
        <values>
          <value>
            <val>46.97</val>
          </value>
        </values>
      </ddeItem>
      <ddeItem name="00740B.TW-BestBid1" advise="1">
        <values>
          <value>
            <val>46.88</val>
          </value>
        </values>
      </ddeItem>
      <ddeItem name="00740B.TW-PreClose" advise="1">
        <values>
          <value>
            <val>47.51</val>
          </value>
        </values>
      </ddeItem>
      <ddeItem name="00740B.TW-Price" advise="1">
        <values>
          <value>
            <val>46.94</val>
          </value>
        </values>
      </ddeItem>
      <ddeItem name="00741B.TW-BestAsk1" advise="1">
        <values>
          <value>
            <val>42.16</val>
          </value>
        </values>
      </ddeItem>
      <ddeItem name="00741B.TW-BestBid1" advise="1">
        <values>
          <value>
            <val>42.15</val>
          </value>
        </values>
      </ddeItem>
      <ddeItem name="00741B.TW-PreClose" advise="1">
        <values>
          <value>
            <val>42.19</val>
          </value>
        </values>
      </ddeItem>
      <ddeItem name="00741B.TW-Price" advise="1">
        <values>
          <value>
            <val>42.15</val>
          </value>
        </values>
      </ddeItem>
      <ddeItem name="00742.TW-BestAsk1" advise="1">
        <values>
          <value>
            <val>21.19</val>
          </value>
        </values>
      </ddeItem>
      <ddeItem name="00742.TW-BestBid1" advise="1">
        <values>
          <value>
            <val>21.12</val>
          </value>
        </values>
      </ddeItem>
      <ddeItem name="00742.TW-PreClose" advise="1">
        <values>
          <value>
            <val>21.17</val>
          </value>
        </values>
      </ddeItem>
      <ddeItem name="00742.TW-Price" advise="1">
        <values>
          <value>
            <val>21.14</val>
          </value>
        </values>
      </ddeItem>
      <ddeItem name="00743.TW-BestAsk1" advise="1">
        <values>
          <value>
            <val>20.98</val>
          </value>
        </values>
      </ddeItem>
      <ddeItem name="00743.TW-BestBid1" advise="1">
        <values>
          <value>
            <val>20.97</val>
          </value>
        </values>
      </ddeItem>
      <ddeItem name="00743.TW-PreClose" advise="1">
        <values>
          <value>
            <val>20.89</val>
          </value>
        </values>
      </ddeItem>
      <ddeItem name="00743.TW-Price" advise="1">
        <values>
          <value>
            <val>20.97</val>
          </value>
        </values>
      </ddeItem>
      <ddeItem name="00744B.TW-BestAsk1" advise="1">
        <values>
          <value>
            <val>42.82</val>
          </value>
        </values>
      </ddeItem>
      <ddeItem name="00744B.TW-BestBid1" advise="1">
        <values>
          <value>
            <val>42.73</val>
          </value>
        </values>
      </ddeItem>
      <ddeItem name="00744B.TW-PreClose" advise="1">
        <values>
          <value>
            <val>42.77</val>
          </value>
        </values>
      </ddeItem>
      <ddeItem name="00744B.TW-Price" advise="1">
        <values>
          <value>
            <val>42.78</val>
          </value>
        </values>
      </ddeItem>
      <ddeItem name="00745B.TW-BestAsk1" advise="1">
        <values>
          <value>
            <val>41.04</val>
          </value>
        </values>
      </ddeItem>
      <ddeItem name="00745B.TW-BestBid1" advise="1">
        <values>
          <value>
            <val>40.92</val>
          </value>
        </values>
      </ddeItem>
      <ddeItem name="00745B.TW-PreClose" advise="1">
        <values>
          <value>
            <val>41.06</val>
          </value>
        </values>
      </ddeItem>
      <ddeItem name="00745B.TW-Price" advise="1">
        <values>
          <value>
            <val>41.03</val>
          </value>
        </values>
      </ddeItem>
      <ddeItem name="00746B.TW-BestAsk1" advise="1">
        <values>
          <value>
            <val>44.85</val>
          </value>
        </values>
      </ddeItem>
      <ddeItem name="00746B.TW-BestBid1" advise="1">
        <values>
          <value>
            <val>44.84</val>
          </value>
        </values>
      </ddeItem>
      <ddeItem name="00746B.TW-PreClose" advise="1">
        <values>
          <value>
            <val>45.3</val>
          </value>
        </values>
      </ddeItem>
      <ddeItem name="00746B.TW-Price" advise="1">
        <values>
          <value>
            <val>44.85</val>
          </value>
        </values>
      </ddeItem>
      <ddeItem name="00747B.TW-BestAsk1" advise="1">
        <values>
          <value>
            <val>52.7</val>
          </value>
        </values>
      </ddeItem>
      <ddeItem name="00747B.TW-BestBid1" advise="1">
        <values>
          <value>
            <val>52.45</val>
          </value>
        </values>
      </ddeItem>
      <ddeItem name="00747B.TW-PreClose" advise="1">
        <values>
          <value>
            <val>52.6</val>
          </value>
        </values>
      </ddeItem>
      <ddeItem name="00747B.TW-Price" advise="1">
        <values>
          <value>
            <val>52.6</val>
          </value>
        </values>
      </ddeItem>
      <ddeItem name="00748B.TW-BestAsk1" advise="1">
        <values>
          <value>
            <val>42.92</val>
          </value>
        </values>
      </ddeItem>
      <ddeItem name="00748B.TW-BestBid1" advise="1">
        <values>
          <value>
            <val>42.74</val>
          </value>
        </values>
      </ddeItem>
      <ddeItem name="00748B.TW-PreClose" advise="1">
        <values>
          <value>
            <val>42.81</val>
          </value>
        </values>
      </ddeItem>
      <ddeItem name="00748B.TW-Price" advise="1">
        <values>
          <value>
            <val>42.92</val>
          </value>
        </values>
      </ddeItem>
      <ddeItem name="00749B.TW-BestAsk1" advise="1">
        <values>
          <value>
            <val>45.94</val>
          </value>
        </values>
      </ddeItem>
      <ddeItem name="00749B.TW-BestBid1" advise="1">
        <values>
          <value>
            <val>45.74</val>
          </value>
        </values>
      </ddeItem>
      <ddeItem name="00749B.TW-PreClose" advise="1">
        <values>
          <value>
            <val>46.08</val>
          </value>
        </values>
      </ddeItem>
      <ddeItem name="00749B.TW-Price" advise="1">
        <values>
          <value>
            <val>45.89</val>
          </value>
        </values>
      </ddeItem>
      <ddeItem name="00750B.TW-BestAsk1" advise="1">
        <values>
          <value>
            <val>43.92</val>
          </value>
        </values>
      </ddeItem>
      <ddeItem name="00750B.TW-BestBid1" advise="1">
        <values>
          <value>
            <val>43.7</val>
          </value>
        </values>
      </ddeItem>
      <ddeItem name="00750B.TW-PreClose" advise="1">
        <values>
          <value>
            <val>44.44</val>
          </value>
        </values>
      </ddeItem>
      <ddeItem name="00750B.TW-Price" advise="1">
        <values>
          <value>
            <val>43.89</val>
          </value>
        </values>
      </ddeItem>
      <ddeItem name="00751B.TW-BestAsk1" advise="1">
        <values>
          <value>
            <val>45.11</val>
          </value>
        </values>
      </ddeItem>
      <ddeItem name="00751B.TW-BestBid1" advise="1">
        <values>
          <value>
            <val>45.1</val>
          </value>
        </values>
      </ddeItem>
      <ddeItem name="00751B.TW-PreClose" advise="1">
        <values>
          <value>
            <val>45.59</val>
          </value>
        </values>
      </ddeItem>
      <ddeItem name="00751B.TW-Price" advise="1">
        <values>
          <value>
            <val>45.11</val>
          </value>
        </values>
      </ddeItem>
      <ddeItem name="00752.TW-BestAsk1" advise="1">
        <values>
          <value>
            <val>23.01</val>
          </value>
        </values>
      </ddeItem>
      <ddeItem name="00752.TW-BestBid1" advise="1">
        <values>
          <value>
            <val>23</val>
          </value>
        </values>
      </ddeItem>
      <ddeItem name="00752.TW-PreClose" advise="1">
        <values>
          <value>
            <val>22.97</val>
          </value>
        </values>
      </ddeItem>
      <ddeItem name="00752.TW-Price" advise="1">
        <values>
          <value>
            <val>23.01</val>
          </value>
        </values>
      </ddeItem>
      <ddeItem name="00753L.TW-BestAsk1" advise="1">
        <values>
          <value>
            <val>24.71</val>
          </value>
        </values>
      </ddeItem>
      <ddeItem name="00753L.TW-BestBid1" advise="1">
        <values>
          <value>
            <val>24.69</val>
          </value>
        </values>
      </ddeItem>
      <ddeItem name="00753L.TW-PreClose" advise="1">
        <values>
          <value>
            <val>24.77</val>
          </value>
        </values>
      </ddeItem>
      <ddeItem name="00753L.TW-Price" advise="1">
        <values>
          <value>
            <val>24.69</val>
          </value>
        </values>
      </ddeItem>
      <ddeItem name="00754B.TW-BestAsk1" advise="1">
        <values>
          <value>
            <val>46</val>
          </value>
        </values>
      </ddeItem>
      <ddeItem name="00754B.TW-BestBid1" advise="1">
        <values>
          <value>
            <val>45.85</val>
          </value>
        </values>
      </ddeItem>
      <ddeItem name="00754B.TW-PreClose" advise="1">
        <values>
          <value>
            <val>46.48</val>
          </value>
        </values>
      </ddeItem>
      <ddeItem name="00754B.TW-Price" advise="1">
        <values>
          <value>
            <val>45.98</val>
          </value>
        </values>
      </ddeItem>
      <ddeItem name="00755B.TW-BestAsk1" advise="1">
        <values>
          <value>
            <val>44.45</val>
          </value>
        </values>
      </ddeItem>
      <ddeItem name="00755B.TW-BestBid1" advise="1">
        <values>
          <value>
            <val>44.31</val>
          </value>
        </values>
      </ddeItem>
      <ddeItem name="00755B.TW-PreClose" advise="1">
        <values>
          <value>
            <val>44.88</val>
          </value>
        </values>
      </ddeItem>
      <ddeItem name="00755B.TW-Price" advise="1">
        <values>
          <value>
            <val>44.45</val>
          </value>
        </values>
      </ddeItem>
      <ddeItem name="00756B.TW-BestAsk1" advise="1">
        <values>
          <value>
            <val>47.93</val>
          </value>
        </values>
      </ddeItem>
      <ddeItem name="00756B.TW-BestBid1" advise="1">
        <values>
          <value>
            <val>47.76</val>
          </value>
        </values>
      </ddeItem>
      <ddeItem name="00756B.TW-PreClose" advise="1">
        <values>
          <value>
            <val>47.9</val>
          </value>
        </values>
      </ddeItem>
      <ddeItem name="00756B.TW-Price" advise="1">
        <values>
          <value>
            <val>47.93</val>
          </value>
        </values>
      </ddeItem>
      <ddeItem name="00757.TW-BestAsk1" advise="1">
        <values>
          <value>
            <val>20.36</val>
          </value>
        </values>
      </ddeItem>
      <ddeItem name="00757.TW-BestBid1" advise="1">
        <values>
          <value>
            <val>20.34</val>
          </value>
        </values>
      </ddeItem>
      <ddeItem name="00757.TW-PreClose" advise="1">
        <values>
          <value>
            <val>20.36</val>
          </value>
        </values>
      </ddeItem>
      <ddeItem name="00757.TW-Price" advise="1">
        <values>
          <value>
            <val>20.34</val>
          </value>
        </values>
      </ddeItem>
      <ddeItem name="00758B.TW-BestAsk1" advise="1">
        <values>
          <value>
            <val>68.099999999999994</val>
          </value>
        </values>
      </ddeItem>
      <ddeItem name="00758B.TW-BestBid1" advise="1">
        <values>
          <value>
            <val>67.7</val>
          </value>
        </values>
      </ddeItem>
      <ddeItem name="00758B.TW-PreClose" advise="1">
        <values>
          <value>
            <val>68.45</val>
          </value>
        </values>
      </ddeItem>
      <ddeItem name="00758B.TW-Price" advise="1">
        <values>
          <value>
            <val>68</val>
          </value>
        </values>
      </ddeItem>
      <ddeItem name="00759B.TW-BestAsk1" advise="1">
        <values>
          <value>
            <val>68.400000000000006</val>
          </value>
        </values>
      </ddeItem>
      <ddeItem name="00759B.TW-BestBid1" advise="1">
        <values>
          <value>
            <val>68</val>
          </value>
        </values>
      </ddeItem>
      <ddeItem name="00759B.TW-PreClose" advise="1">
        <values>
          <value>
            <val>68.849999999999994</val>
          </value>
        </values>
      </ddeItem>
      <ddeItem name="00759B.TW-Price" advise="1">
        <values>
          <value>
            <val>68</val>
          </value>
        </values>
      </ddeItem>
      <ddeItem name="00760B.TW-BestAsk1" advise="1">
        <values>
          <value>
            <val>68.5</val>
          </value>
        </values>
      </ddeItem>
      <ddeItem name="00760B.TW-BestBid1" advise="1">
        <values>
          <value>
            <val>68.2</val>
          </value>
        </values>
      </ddeItem>
      <ddeItem name="00760B.TW-PreClose" advise="1">
        <values>
          <value>
            <val>68.349999999999994</val>
          </value>
        </values>
      </ddeItem>
      <ddeItem name="00760B.TW-Price" advise="1">
        <values>
          <value>
            <val>68.400000000000006</val>
          </value>
        </values>
      </ddeItem>
      <ddeItem name="00761B.TW-BestAsk1" advise="1">
        <values>
          <value>
            <val>46.38</val>
          </value>
        </values>
      </ddeItem>
      <ddeItem name="00761B.TW-BestBid1" advise="1">
        <values>
          <value>
            <val>46.31</val>
          </value>
        </values>
      </ddeItem>
      <ddeItem name="00761B.TW-PreClose" advise="1">
        <values>
          <value>
            <val>46.98</val>
          </value>
        </values>
      </ddeItem>
      <ddeItem name="00761B.TW-Price" advise="1">
        <values>
          <value>
            <val>46.38</val>
          </value>
        </values>
      </ddeItem>
      <ddeItem name="00762.TW-BestAsk1" advise="1">
        <values>
          <value>
            <val>23.51</val>
          </value>
        </values>
      </ddeItem>
      <ddeItem name="00762.TW-BestBid1" advise="1">
        <values>
          <value>
            <val>23.5</val>
          </value>
        </values>
      </ddeItem>
      <ddeItem name="00762.TW-PreClose" advise="1">
        <values>
          <value>
            <val>23.43</val>
          </value>
        </values>
      </ddeItem>
      <ddeItem name="00762.TW-Price" advise="1">
        <values>
          <value>
            <val>23.51</val>
          </value>
        </values>
      </ddeItem>
      <ddeItem name="00763U.TW-BestAsk1" advise="1">
        <values>
          <value>
            <val>19.239999999999998</val>
          </value>
        </values>
      </ddeItem>
      <ddeItem name="00763U.TW-BestBid1" advise="1">
        <values>
          <value>
            <val>19.18</val>
          </value>
        </values>
      </ddeItem>
      <ddeItem name="00763U.TW-PreClose" advise="1">
        <values>
          <value>
            <val>19.149999999999999</val>
          </value>
        </values>
      </ddeItem>
      <ddeItem name="00763U.TW-Price" advise="1">
        <values>
          <value>
            <val>19.239999999999998</val>
          </value>
        </values>
      </ddeItem>
      <ddeItem name="00764B.TW-BestAsk1" advise="1">
        <values>
          <value>
            <val>43.06</val>
          </value>
        </values>
      </ddeItem>
      <ddeItem name="00764B.TW-BestBid1" advise="1">
        <values>
          <value>
            <val>43.01</val>
          </value>
        </values>
      </ddeItem>
      <ddeItem name="00764B.TW-PreClose" advise="1">
        <values>
          <value>
            <val>43.74</val>
          </value>
        </values>
      </ddeItem>
      <ddeItem name="00764B.TW-Price" advise="1">
        <values>
          <value>
            <val>43.05</val>
          </value>
        </values>
      </ddeItem>
      <ddeItem name="00765B.TW-BestAsk1" advise="1">
        <values>
          <value>
            <val>41.21</val>
          </value>
        </values>
      </ddeItem>
      <ddeItem name="00765B.TW-BestBid1" advise="1">
        <values>
          <value>
            <val>41.15</val>
          </value>
        </values>
      </ddeItem>
      <ddeItem name="00765B.TW-PreClose" advise="1">
        <values>
          <value>
            <val>41.22</val>
          </value>
        </values>
      </ddeItem>
      <ddeItem name="00765B.TW-Price" advise="1">
        <values>
          <value>
            <val>41.19</val>
          </value>
        </values>
      </ddeItem>
      <ddeItem name="00766L.TW-BestAsk1" advise="1">
        <values>
          <value>
            <val>10.37</val>
          </value>
        </values>
      </ddeItem>
      <ddeItem name="00766L.TW-BestBid1" advise="1">
        <values>
          <value>
            <val>10.36</val>
          </value>
        </values>
      </ddeItem>
      <ddeItem name="00766L.TW-PreClose" advise="1">
        <values>
          <value>
            <val>10.37</val>
          </value>
        </values>
      </ddeItem>
      <ddeItem name="00766L.TW-Price" advise="1">
        <values>
          <value>
            <val>10.36</val>
          </value>
        </values>
      </ddeItem>
      <ddeItem name="00767.TW-BestAsk1" advise="1">
        <values>
          <value>
            <val>22.57</val>
          </value>
        </values>
      </ddeItem>
      <ddeItem name="00767.TW-BestBid1" advise="1">
        <values>
          <value>
            <val>22.53</val>
          </value>
        </values>
      </ddeItem>
      <ddeItem name="00767.TW-PreClose" advise="1">
        <values>
          <value>
            <val>22.35</val>
          </value>
        </values>
      </ddeItem>
      <ddeItem name="00767.TW-Price" advise="1">
        <values>
          <value>
            <val>22.55</val>
          </value>
        </values>
      </ddeItem>
      <ddeItem name="00768B.TW-BestAsk1" advise="1">
        <values>
          <value>
            <val>67.05</val>
          </value>
        </values>
      </ddeItem>
      <ddeItem name="00768B.TW-BestBid1" advise="1">
        <values>
          <value>
            <val>66.650000000000006</val>
          </value>
        </values>
      </ddeItem>
      <ddeItem name="00768B.TW-PreClose" advise="1">
        <values>
          <value>
            <val>67.650000000000006</val>
          </value>
        </values>
      </ddeItem>
      <ddeItem name="00768B.TW-Price" advise="1">
        <values>
          <value>
            <val>66.95</val>
          </value>
        </values>
      </ddeItem>
      <ddeItem name="00769B.TW-BestAsk1" advise="1">
        <values>
          <value>
            <val>62.35</val>
          </value>
        </values>
      </ddeItem>
      <ddeItem name="00769B.TW-BestBid1" advise="1">
        <values>
          <value>
            <val>62.15</val>
          </value>
        </values>
      </ddeItem>
      <ddeItem name="00769B.TW-PreClose" advise="1">
        <values>
          <value>
            <val>62.35</val>
          </value>
        </values>
      </ddeItem>
      <ddeItem name="00769B.TW-Price" advise="1">
        <values>
          <value>
            <val>62.25</val>
          </value>
        </values>
      </ddeItem>
      <ddeItem name="00770.TW-BestAsk1" advise="1">
        <values>
          <value>
            <val>23.8</val>
          </value>
        </values>
      </ddeItem>
      <ddeItem name="00770.TW-BestBid1" advise="1">
        <values>
          <value>
            <val>23.77</val>
          </value>
        </values>
      </ddeItem>
      <ddeItem name="00770.TW-PreClose" advise="1">
        <values>
          <value>
            <val>23.78</val>
          </value>
        </values>
      </ddeItem>
      <ddeItem name="00770.TW-Price" advise="1">
        <values>
          <value>
            <val>23.8</val>
          </value>
        </values>
      </ddeItem>
      <ddeItem name="00771.TW-BestAsk1" advise="1">
        <values>
          <value>
            <val>20.55</val>
          </value>
        </values>
      </ddeItem>
      <ddeItem name="00771.TW-BestBid1" advise="1">
        <values>
          <value>
            <val>20.54</val>
          </value>
        </values>
      </ddeItem>
      <ddeItem name="00771.TW-PreClose" advise="1">
        <values>
          <value>
            <val>20.53</val>
          </value>
        </values>
      </ddeItem>
      <ddeItem name="00771.TW-Price" advise="1">
        <values>
          <value>
            <val>20.55</val>
          </value>
        </values>
      </ddeItem>
      <ddeItem name="00772B.TW-BestAsk1" advise="1">
        <values>
          <value>
            <val>44.67</val>
          </value>
        </values>
      </ddeItem>
      <ddeItem name="00772B.TW-BestBid1" advise="1">
        <values>
          <value>
            <val>44.65</val>
          </value>
        </values>
      </ddeItem>
      <ddeItem name="00772B.TW-PreClose" advise="1">
        <values>
          <value>
            <val>45.15</val>
          </value>
        </values>
      </ddeItem>
      <ddeItem name="00772B.TW-Price" advise="1">
        <values>
          <value>
            <val>44.68</val>
          </value>
        </values>
      </ddeItem>
      <ddeItem name="00773B.TW-BestAsk1" advise="1">
        <values>
          <value>
            <val>45.27</val>
          </value>
        </values>
      </ddeItem>
      <ddeItem name="00773B.TW-BestBid1" advise="1">
        <values>
          <value>
            <val>45.24</val>
          </value>
        </values>
      </ddeItem>
      <ddeItem name="00773B.TW-PreClose" advise="1">
        <values>
          <value>
            <val>45.71</val>
          </value>
        </values>
      </ddeItem>
      <ddeItem name="00773B.TW-Price" advise="1">
        <values>
          <value>
            <val>45.23</val>
          </value>
        </values>
      </ddeItem>
      <ddeItem name="00774B.TW-BestAsk1" advise="1">
        <values>
          <value>
            <val>40.72</val>
          </value>
        </values>
      </ddeItem>
      <ddeItem name="00774B.TW-BestBid1" advise="1">
        <values>
          <value>
            <val>40.619999999999997</val>
          </value>
        </values>
      </ddeItem>
      <ddeItem name="00774B.TW-PreClose" advise="1">
        <values>
          <value>
            <val>40.69</val>
          </value>
        </values>
      </ddeItem>
      <ddeItem name="00774B.TW-Price" advise="1">
        <values>
          <value>
            <val>40.67</val>
          </value>
        </values>
      </ddeItem>
      <ddeItem name="00775B.TW-BestAsk1" advise="1">
        <values>
          <value>
            <val>43.79</val>
          </value>
        </values>
      </ddeItem>
      <ddeItem name="00775B.TW-BestBid1" advise="1">
        <values>
          <value>
            <val>43.67</val>
          </value>
        </values>
      </ddeItem>
      <ddeItem name="00775B.TW-PreClose" advise="1">
        <values>
          <value>
            <val>44.23</val>
          </value>
        </values>
      </ddeItem>
      <ddeItem name="00775B.TW-Price" advise="1">
        <values>
          <value>
            <val>43.78</val>
          </value>
        </values>
      </ddeItem>
      <ddeItem name="00776.TW-BestAsk1" advise="1">
        <values>
          <value>
            <val>22.19</val>
          </value>
        </values>
      </ddeItem>
      <ddeItem name="00776.TW-BestBid1" advise="1">
        <values>
          <value>
            <val>22.12</val>
          </value>
        </values>
      </ddeItem>
      <ddeItem name="00776.TW-PreClose" advise="1">
        <values>
          <value>
            <val>22.06</val>
          </value>
        </values>
      </ddeItem>
      <ddeItem name="00776.TW-Price" advise="1">
        <values>
          <value t="str">
            <val>--</val>
          </value>
        </values>
      </ddeItem>
      <ddeItem name="00777B.TW-BestAsk1" advise="1">
        <values>
          <value>
            <val>44.34</val>
          </value>
        </values>
      </ddeItem>
      <ddeItem name="00777B.TW-BestBid1" advise="1">
        <values>
          <value>
            <val>44.28</val>
          </value>
        </values>
      </ddeItem>
      <ddeItem name="00777B.TW-PreClose" advise="1">
        <values>
          <value>
            <val>44.73</val>
          </value>
        </values>
      </ddeItem>
      <ddeItem name="00777B.TW-Price" advise="1">
        <values>
          <value>
            <val>44.34</val>
          </value>
        </values>
      </ddeItem>
      <ddeItem name="00778B.TW-BestAsk1" advise="1">
        <values>
          <value>
            <val>45.14</val>
          </value>
        </values>
      </ddeItem>
      <ddeItem name="00778B.TW-BestBid1" advise="1">
        <values>
          <value>
            <val>45.02</val>
          </value>
        </values>
      </ddeItem>
      <ddeItem name="00778B.TW-PreClose" advise="1">
        <values>
          <value>
            <val>45.48</val>
          </value>
        </values>
      </ddeItem>
      <ddeItem name="00778B.TW-Price" advise="1">
        <values>
          <value>
            <val>45.14</val>
          </value>
        </values>
      </ddeItem>
      <ddeItem name="00779B.TW-BestAsk1" advise="1">
        <values>
          <value>
            <val>43.51</val>
          </value>
        </values>
      </ddeItem>
      <ddeItem name="00779B.TW-BestBid1" advise="1">
        <values>
          <value>
            <val>43.4</val>
          </value>
        </values>
      </ddeItem>
      <ddeItem name="00779B.TW-PreClose" advise="1">
        <values>
          <value>
            <val>44.43</val>
          </value>
        </values>
      </ddeItem>
      <ddeItem name="00779B.TW-Price" advise="1">
        <values>
          <value>
            <val>43.49</val>
          </value>
        </values>
      </ddeItem>
      <ddeItem name="00780B.TW-BestAsk1" advise="1">
        <values>
          <value>
            <val>42.2</val>
          </value>
        </values>
      </ddeItem>
      <ddeItem name="00780B.TW-BestBid1" advise="1">
        <values>
          <value>
            <val>42.13</val>
          </value>
        </values>
      </ddeItem>
      <ddeItem name="00780B.TW-PreClose" advise="1">
        <values>
          <value>
            <val>42.4</val>
          </value>
        </values>
      </ddeItem>
      <ddeItem name="00780B.TW-Price" advise="1">
        <values>
          <value>
            <val>42.14</val>
          </value>
        </values>
      </ddeItem>
      <ddeItem name="00781B.TW-BestAsk1" advise="1">
        <values>
          <value>
            <val>43.99</val>
          </value>
        </values>
      </ddeItem>
      <ddeItem name="00781B.TW-BestBid1" advise="1">
        <values>
          <value>
            <val>43.93</val>
          </value>
        </values>
      </ddeItem>
      <ddeItem name="00781B.TW-PreClose" advise="1">
        <values>
          <value>
            <val>44.47</val>
          </value>
        </values>
      </ddeItem>
      <ddeItem name="00781B.TW-Price" advise="1">
        <values>
          <value>
            <val>43.94</val>
          </value>
        </values>
      </ddeItem>
      <ddeItem name="00782B.TW-BestAsk1" advise="1">
        <values>
          <value>
            <val>43.77</val>
          </value>
        </values>
      </ddeItem>
      <ddeItem name="00782B.TW-BestBid1" advise="1">
        <values>
          <value>
            <val>43.71</val>
          </value>
        </values>
      </ddeItem>
      <ddeItem name="00782B.TW-PreClose" advise="1">
        <values>
          <value>
            <val>44.33</val>
          </value>
        </values>
      </ddeItem>
      <ddeItem name="00782B.TW-Price" advise="1">
        <values>
          <value>
            <val>43.75</val>
          </value>
        </values>
      </ddeItem>
      <ddeItem name="00783.TW-BestAsk1" advise="1">
        <values>
          <value>
            <val>17.739999999999998</val>
          </value>
        </values>
      </ddeItem>
      <ddeItem name="00783.TW-BestBid1" advise="1">
        <values>
          <value>
            <val>17.73</val>
          </value>
        </values>
      </ddeItem>
      <ddeItem name="00783.TW-PreClose" advise="1">
        <values>
          <value>
            <val>17.690000000000001</val>
          </value>
        </values>
      </ddeItem>
      <ddeItem name="00783.TW-Price" advise="1">
        <values>
          <value>
            <val>17.73</val>
          </value>
        </values>
      </ddeItem>
      <ddeItem name="00784B.TW-BestAsk1" advise="1">
        <values>
          <value>
            <val>41.28</val>
          </value>
        </values>
      </ddeItem>
      <ddeItem name="00784B.TW-BestBid1" advise="1">
        <values>
          <value>
            <val>41.22</val>
          </value>
        </values>
      </ddeItem>
      <ddeItem name="00784B.TW-PreClose" advise="1">
        <values>
          <value>
            <val>41.29</val>
          </value>
        </values>
      </ddeItem>
      <ddeItem name="00784B.TW-Price" advise="1">
        <values>
          <value>
            <val>41.25</val>
          </value>
        </values>
      </ddeItem>
      <ddeItem name="00785B.TW-BestAsk1" advise="1">
        <values>
          <value>
            <val>43.04</val>
          </value>
        </values>
      </ddeItem>
      <ddeItem name="00785B.TW-BestBid1" advise="1">
        <values>
          <value>
            <val>42.99</val>
          </value>
        </values>
      </ddeItem>
      <ddeItem name="00785B.TW-PreClose" advise="1">
        <values>
          <value>
            <val>43.33</val>
          </value>
        </values>
      </ddeItem>
      <ddeItem name="00785B.TW-Price" advise="1">
        <values>
          <value>
            <val>43.04</val>
          </value>
        </values>
      </ddeItem>
      <ddeItem name="00786B.TW-BestAsk1" advise="1">
        <values>
          <value>
            <val>42.4</val>
          </value>
        </values>
      </ddeItem>
      <ddeItem name="00786B.TW-BestBid1" advise="1">
        <values>
          <value>
            <val>42.33</val>
          </value>
        </values>
      </ddeItem>
      <ddeItem name="00786B.TW-PreClose" advise="1">
        <values>
          <value>
            <val>43.14</val>
          </value>
        </values>
      </ddeItem>
      <ddeItem name="00786B.TW-Price" advise="1">
        <values>
          <value>
            <val>42.34</val>
          </value>
        </values>
      </ddeItem>
      <ddeItem name="00787B.TW-BestAsk1" advise="1">
        <values>
          <value>
            <val>42.15</val>
          </value>
        </values>
      </ddeItem>
      <ddeItem name="00787B.TW-BestBid1" advise="1">
        <values>
          <value>
            <val>42.06</val>
          </value>
        </values>
      </ddeItem>
      <ddeItem name="00787B.TW-PreClose" advise="1">
        <values>
          <value>
            <val>42.7</val>
          </value>
        </values>
      </ddeItem>
      <ddeItem name="00787B.TW-Price" advise="1">
        <values>
          <value>
            <val>42.08</val>
          </value>
        </values>
      </ddeItem>
      <ddeItem name="00788B.TW-BestAsk1" advise="1">
        <values>
          <value>
            <val>41.78</val>
          </value>
        </values>
      </ddeItem>
      <ddeItem name="00788B.TW-BestBid1" advise="1">
        <values>
          <value>
            <val>41.74</val>
          </value>
        </values>
      </ddeItem>
      <ddeItem name="00788B.TW-PreClose" advise="1">
        <values>
          <value>
            <val>42.32</val>
          </value>
        </values>
      </ddeItem>
      <ddeItem name="00788B.TW-Price" advise="1">
        <values>
          <value>
            <val>41.74</val>
          </value>
        </values>
      </ddeItem>
      <ddeItem name="00789B.TW-BestAsk1" advise="1">
        <values>
          <value>
            <val>65.849999999999994</val>
          </value>
        </values>
      </ddeItem>
      <ddeItem name="00789B.TW-BestBid1" advise="1">
        <values>
          <value>
            <val>65.599999999999994</val>
          </value>
        </values>
      </ddeItem>
      <ddeItem name="00789B.TW-PreClose" advise="1">
        <values>
          <value>
            <val>66.55</val>
          </value>
        </values>
      </ddeItem>
      <ddeItem name="00789B.TW-Price" advise="1">
        <values>
          <value>
            <val>65.849999999999994</val>
          </value>
        </values>
      </ddeItem>
      <ddeItem name="00790B.TW-BestAsk1" advise="1">
        <values>
          <value>
            <val>65.400000000000006</val>
          </value>
        </values>
      </ddeItem>
      <ddeItem name="00790B.TW-BestBid1" advise="1">
        <values>
          <value>
            <val>65.150000000000006</val>
          </value>
        </values>
      </ddeItem>
      <ddeItem name="00790B.TW-PreClose" advise="1">
        <values>
          <value>
            <val>65.900000000000006</val>
          </value>
        </values>
      </ddeItem>
      <ddeItem name="00790B.TW-Price" advise="1">
        <values>
          <value>
            <val>65.349999999999994</val>
          </value>
        </values>
      </ddeItem>
      <ddeItem name="00791B.TW-BestAsk1" advise="1">
        <values>
          <value>
            <val>62.55</val>
          </value>
        </values>
      </ddeItem>
      <ddeItem name="00791B.TW-BestBid1" advise="1">
        <values>
          <value>
            <val>62.3</val>
          </value>
        </values>
      </ddeItem>
      <ddeItem name="00791B.TW-PreClose" advise="1">
        <values>
          <value>
            <val>62.65</val>
          </value>
        </values>
      </ddeItem>
      <ddeItem name="00791B.TW-Price" advise="1">
        <values>
          <value>
            <val>62.45</val>
          </value>
        </values>
      </ddeItem>
      <ddeItem name="00792B.TW-BestAsk1" advise="1">
        <values>
          <value>
            <val>42.64</val>
          </value>
        </values>
      </ddeItem>
      <ddeItem name="00792B.TW-BestBid1" advise="1">
        <values>
          <value>
            <val>42.6</val>
          </value>
        </values>
      </ddeItem>
      <ddeItem name="00792B.TW-PreClose" advise="1">
        <values>
          <value>
            <val>43.18</val>
          </value>
        </values>
      </ddeItem>
      <ddeItem name="00792B.TW-Price" advise="1">
        <values>
          <value>
            <val>42.62</val>
          </value>
        </values>
      </ddeItem>
      <ddeItem name="00793B.TW-BestAsk1" advise="1">
        <values>
          <value>
            <val>42.48</val>
          </value>
        </values>
      </ddeItem>
      <ddeItem name="00793B.TW-BestBid1" advise="1">
        <values>
          <value>
            <val>42.4</val>
          </value>
        </values>
      </ddeItem>
      <ddeItem name="00793B.TW-PreClose" advise="1">
        <values>
          <value>
            <val>42.92</val>
          </value>
        </values>
      </ddeItem>
      <ddeItem name="00793B.TW-Price" advise="1">
        <values>
          <value>
            <val>42.46</val>
          </value>
        </values>
      </ddeItem>
      <ddeItem name="00794B.TW-BestAsk1" advise="1">
        <values>
          <value>
            <val>40.74</val>
          </value>
        </values>
      </ddeItem>
      <ddeItem name="00794B.TW-BestBid1" advise="1">
        <values>
          <value>
            <val>40.729999999999997</val>
          </value>
        </values>
      </ddeItem>
      <ddeItem name="00794B.TW-PreClose" advise="1">
        <values>
          <value>
            <val>40.79</val>
          </value>
        </values>
      </ddeItem>
      <ddeItem name="00794B.TW-Price" advise="1">
        <values>
          <value>
            <val>40.729999999999997</val>
          </value>
        </values>
      </ddeItem>
      <ddeItem name="00795B.TW-BestAsk1" advise="1">
        <values>
          <value>
            <val>42.45</val>
          </value>
        </values>
      </ddeItem>
      <ddeItem name="00795B.TW-BestBid1" advise="1">
        <values>
          <value>
            <val>42.43</val>
          </value>
        </values>
      </ddeItem>
      <ddeItem name="00795B.TW-PreClose" advise="1">
        <values>
          <value>
            <val>43.16</val>
          </value>
        </values>
      </ddeItem>
      <ddeItem name="00795B.TW-Price" advise="1">
        <values>
          <value>
            <val>42.46</val>
          </value>
        </values>
      </ddeItem>
      <ddeItem name="00796B.TW-BestAsk1" advise="1">
        <values>
          <value>
            <val>40.299999999999997</val>
          </value>
        </values>
      </ddeItem>
      <ddeItem name="00796B.TW-BestBid1" advise="1">
        <values>
          <value>
            <val>40.29</val>
          </value>
        </values>
      </ddeItem>
      <ddeItem name="00796B.TW-PreClose" advise="1">
        <values>
          <value>
            <val>40.33</val>
          </value>
        </values>
      </ddeItem>
      <ddeItem name="00796B.TW-Price" advise="1">
        <values>
          <value>
            <val>40.29</val>
          </value>
        </values>
      </ddeItem>
      <ddeItem name="00797B.TW-BestAsk1" advise="1">
        <values>
          <value>
            <val>41.46</val>
          </value>
        </values>
      </ddeItem>
      <ddeItem name="00797B.TW-BestBid1" advise="1">
        <values>
          <value>
            <val>41.43</val>
          </value>
        </values>
      </ddeItem>
      <ddeItem name="00797B.TW-PreClose" advise="1">
        <values>
          <value>
            <val>41.61</val>
          </value>
        </values>
      </ddeItem>
      <ddeItem name="00797B.TW-Price" advise="1">
        <values>
          <value>
            <val>41.47</val>
          </value>
        </values>
      </ddeItem>
      <ddeItem name="00798B.TW-BestAsk1" advise="1">
        <values>
          <value>
            <val>42.1</val>
          </value>
        </values>
      </ddeItem>
      <ddeItem name="00798B.TW-BestBid1" advise="1">
        <values>
          <value>
            <val>42.04</val>
          </value>
        </values>
      </ddeItem>
      <ddeItem name="00798B.TW-PreClose" advise="1">
        <values>
          <value>
            <val>41.82</val>
          </value>
        </values>
      </ddeItem>
      <ddeItem name="00798B.TW-Price" advise="1">
        <values>
          <value>
            <val>42.09</val>
          </value>
        </values>
      </ddeItem>
      <ddeItem name="00799B.TW-BestAsk1" advise="1">
        <values>
          <value>
            <val>42.2</val>
          </value>
        </values>
      </ddeItem>
      <ddeItem name="00799B.TW-BestBid1" advise="1">
        <values>
          <value>
            <val>42.15</val>
          </value>
        </values>
      </ddeItem>
      <ddeItem name="00799B.TW-PreClose" advise="1">
        <values>
          <value>
            <val>42.73</val>
          </value>
        </values>
      </ddeItem>
      <ddeItem name="00799B.TW-Price" advise="1">
        <values>
          <value>
            <val>42.2</val>
          </value>
        </values>
      </ddeItem>
      <ddeItem name="008201.TW-BestAsk1" advise="1">
        <values>
          <value>
            <val>109.1</val>
          </value>
        </values>
      </ddeItem>
      <ddeItem name="008201.TW-BestBid1" advise="1">
        <values>
          <value>
            <val>106.85</val>
          </value>
        </values>
      </ddeItem>
      <ddeItem name="008201.TW-PreClose" advise="1">
        <values>
          <value>
            <val>107.95</val>
          </value>
        </values>
      </ddeItem>
      <ddeItem name="008201.TW-Price" advise="1">
        <values>
          <value>
            <val>109.5</val>
          </value>
        </values>
      </ddeItem>
      <ddeItem name="00830.TW-BestAsk1" advise="1">
        <values>
          <value>
            <val>14.39</val>
          </value>
        </values>
      </ddeItem>
      <ddeItem name="00830.TW-BestBid1" advise="1">
        <values>
          <value>
            <val>14.38</val>
          </value>
        </values>
      </ddeItem>
      <ddeItem name="00830.TW-PreClose" advise="1">
        <values>
          <value>
            <val>14.35</val>
          </value>
        </values>
      </ddeItem>
      <ddeItem name="00830.TW-Price" advise="1">
        <values>
          <value>
            <val>14.38</val>
          </value>
        </values>
      </ddeItem>
      <ddeItem name="00831B.TW-BestAsk1" advise="1">
        <values>
          <value>
            <val>40.82</val>
          </value>
        </values>
      </ddeItem>
      <ddeItem name="00831B.TW-BestBid1" advise="1">
        <values>
          <value>
            <val>40.75</val>
          </value>
        </values>
      </ddeItem>
      <ddeItem name="00831B.TW-PreClose" advise="1">
        <values>
          <value>
            <val>40.82</val>
          </value>
        </values>
      </ddeItem>
      <ddeItem name="00831B.TW-Price" advise="1">
        <values>
          <value>
            <val>40.770000000000003</val>
          </value>
        </values>
      </ddeItem>
      <ddeItem name="00832B.TW-BestAsk1" advise="1">
        <values>
          <value>
            <val>43.04</val>
          </value>
        </values>
      </ddeItem>
      <ddeItem name="00832B.TW-BestBid1" advise="1">
        <values>
          <value>
            <val>42.94</val>
          </value>
        </values>
      </ddeItem>
      <ddeItem name="00832B.TW-PreClose" advise="1">
        <values>
          <value>
            <val>43.61</val>
          </value>
        </values>
      </ddeItem>
      <ddeItem name="00832B.TW-Price" advise="1">
        <values>
          <value>
            <val>43.03</val>
          </value>
        </values>
      </ddeItem>
      <ddeItem name="00833B.TW-BestAsk1" advise="1">
        <values>
          <value>
            <val>41.68</val>
          </value>
        </values>
      </ddeItem>
      <ddeItem name="00833B.TW-BestBid1" advise="1">
        <values>
          <value>
            <val>41.61</val>
          </value>
        </values>
      </ddeItem>
      <ddeItem name="00833B.TW-PreClose" advise="1">
        <values>
          <value>
            <val>42.28</val>
          </value>
        </values>
      </ddeItem>
      <ddeItem name="00833B.TW-Price" advise="1">
        <values>
          <value>
            <val>41.64</val>
          </value>
        </values>
      </ddeItem>
      <ddeItem name="00834B.TW-BestAsk1" advise="1">
        <values>
          <value>
            <val>42.06</val>
          </value>
        </values>
      </ddeItem>
      <ddeItem name="00834B.TW-BestBid1" advise="1">
        <values>
          <value>
            <val>41.84</val>
          </value>
        </values>
      </ddeItem>
      <ddeItem name="00834B.TW-PreClose" advise="1">
        <values>
          <value>
            <val>42.42</val>
          </value>
        </values>
      </ddeItem>
      <ddeItem name="00834B.TW-Price" advise="1">
        <values>
          <value>
            <val>42.02</val>
          </value>
        </values>
      </ddeItem>
      <ddeItem name="00835B.TW-BestAsk1" advise="1">
        <values>
          <value>
            <val>41.9</val>
          </value>
        </values>
      </ddeItem>
      <ddeItem name="00835B.TW-BestBid1" advise="1">
        <values>
          <value>
            <val>41.83</val>
          </value>
        </values>
      </ddeItem>
      <ddeItem name="00835B.TW-PreClose" advise="1">
        <values>
          <value>
            <val>42.31</val>
          </value>
        </values>
      </ddeItem>
      <ddeItem name="00835B.TW-Price" advise="1">
        <values>
          <value>
            <val>41.86</val>
          </value>
        </values>
      </ddeItem>
      <ddeItem name="00836B.TW-BestAsk1" advise="1">
        <values>
          <value>
            <val>41.63</val>
          </value>
        </values>
      </ddeItem>
      <ddeItem name="00836B.TW-BestBid1" advise="1">
        <values>
          <value>
            <val>41.56</val>
          </value>
        </values>
      </ddeItem>
      <ddeItem name="00836B.TW-PreClose" advise="1">
        <values>
          <value>
            <val>42.18</val>
          </value>
        </values>
      </ddeItem>
      <ddeItem name="00836B.TW-Price" advise="1">
        <values>
          <value>
            <val>41.62</val>
          </value>
        </values>
      </ddeItem>
      <ddeItem name="00837B.TW-BestAsk1" advise="1">
        <values>
          <value>
            <val>41.03</val>
          </value>
        </values>
      </ddeItem>
      <ddeItem name="00837B.TW-BestBid1" advise="1">
        <values>
          <value>
            <val>40.94</val>
          </value>
        </values>
      </ddeItem>
      <ddeItem name="00837B.TW-PreClose" advise="1">
        <values>
          <value>
            <val>41.65</val>
          </value>
        </values>
      </ddeItem>
      <ddeItem name="00837B.TW-Price" advise="1">
        <values>
          <value>
            <val>40.950000000000003</val>
          </value>
        </values>
      </ddeItem>
      <ddeItem name="00838B.TW-BestAsk1" advise="1">
        <values>
          <value>
            <val>40.06</val>
          </value>
        </values>
      </ddeItem>
      <ddeItem name="00838B.TW-BestBid1" advise="1">
        <values>
          <value>
            <val>40.020000000000003</val>
          </value>
        </values>
      </ddeItem>
      <ddeItem name="00838B.TW-PreClose" advise="1">
        <values>
          <value>
            <val>40.06</val>
          </value>
        </values>
      </ddeItem>
      <ddeItem name="00838B.TW-Price" advise="1">
        <values>
          <value>
            <val>40.06</val>
          </value>
        </values>
      </ddeItem>
      <ddeItem name="00839B.TW-BestAsk1" advise="1">
        <values>
          <value>
            <val>40.479999999999997</val>
          </value>
        </values>
      </ddeItem>
      <ddeItem name="00839B.TW-BestBid1" advise="1">
        <values>
          <value>
            <val>40.46</val>
          </value>
        </values>
      </ddeItem>
      <ddeItem name="00839B.TW-PreClose" advise="1">
        <values>
          <value>
            <val>40.98</val>
          </value>
        </values>
      </ddeItem>
      <ddeItem name="00839B.TW-Price" advise="1">
        <values>
          <value>
            <val>40.46</val>
          </value>
        </values>
      </ddeItem>
      <ddeItem name="00840B.TW-BestAsk1" advise="1">
        <values>
          <value>
            <val>40.299999999999997</val>
          </value>
        </values>
      </ddeItem>
      <ddeItem name="00840B.TW-BestBid1" advise="1">
        <values>
          <value>
            <val>40.200000000000003</val>
          </value>
        </values>
      </ddeItem>
      <ddeItem name="00840B.TW-PreClose" advise="1">
        <values>
          <value>
            <val>40.86</val>
          </value>
        </values>
      </ddeItem>
      <ddeItem name="00840B.TW-Price" advise="1">
        <values>
          <value>
            <val>40.299999999999997</val>
          </value>
        </values>
      </ddeItem>
      <ddeItem name="00841B.TW-BestAsk1" advise="1">
        <values>
          <value>
            <val>40.520000000000003</val>
          </value>
        </values>
      </ddeItem>
      <ddeItem name="00841B.TW-BestBid1" advise="1">
        <values>
          <value>
            <val>40.299999999999997</val>
          </value>
        </values>
      </ddeItem>
      <ddeItem name="00841B.TW-PreClose" advise="1">
        <values>
          <value>
            <val>40.9</val>
          </value>
        </values>
      </ddeItem>
      <ddeItem name="00841B.TW-Price" advise="1">
        <values>
          <value>
            <val>40.35</val>
          </value>
        </values>
      </ddeItem>
      <ddeItem name="00842B.TW-BestAsk1" advise="1">
        <values>
          <value>
            <val>40.32</val>
          </value>
        </values>
      </ddeItem>
      <ddeItem name="00842B.TW-BestBid1" advise="1">
        <values>
          <value>
            <val>40.25</val>
          </value>
        </values>
      </ddeItem>
      <ddeItem name="00842B.TW-PreClose" advise="1">
        <values>
          <value>
            <val>40.75</val>
          </value>
        </values>
      </ddeItem>
      <ddeItem name="00842B.TW-Price" advise="1">
        <values>
          <value>
            <val>40.25</val>
          </value>
        </values>
      </ddeItem>
      <ddeItem name="1101.TW-BestAsk1" advise="1">
        <values>
          <value>
            <val>44.4</val>
          </value>
        </values>
      </ddeItem>
      <ddeItem name="1101.TW-BestBid1" advise="1">
        <values>
          <value>
            <val>44.35</val>
          </value>
        </values>
      </ddeItem>
      <ddeItem name="1101.TW-PreClose" advise="1">
        <values>
          <value>
            <val>44.8</val>
          </value>
        </values>
      </ddeItem>
      <ddeItem name="1101.TW-Price" advise="1">
        <values>
          <value>
            <val>44.35</val>
          </value>
        </values>
      </ddeItem>
      <ddeItem name="1102.TW-BestAsk1" advise="1">
        <values>
          <value>
            <val>46.1</val>
          </value>
        </values>
      </ddeItem>
      <ddeItem name="1102.TW-BestBid1" advise="1">
        <values>
          <value>
            <val>46.05</val>
          </value>
        </values>
      </ddeItem>
      <ddeItem name="1102.TW-PreClose" advise="1">
        <values>
          <value>
            <val>47.15</val>
          </value>
        </values>
      </ddeItem>
      <ddeItem name="1102.TW-Price" advise="1">
        <values>
          <value>
            <val>46.1</val>
          </value>
        </values>
      </ddeItem>
      <ddeItem name="1210.TW-BestAsk1" advise="1">
        <values>
          <value>
            <val>39.700000000000003</val>
          </value>
        </values>
      </ddeItem>
      <ddeItem name="1210.TW-BestBid1" advise="1">
        <values>
          <value>
            <val>39.65</val>
          </value>
        </values>
      </ddeItem>
      <ddeItem name="1210.TW-PreClose" advise="1">
        <values>
          <value>
            <val>39.6</val>
          </value>
        </values>
      </ddeItem>
      <ddeItem name="1210.TW-Price" advise="1">
        <values>
          <value>
            <val>39.65</val>
          </value>
        </values>
      </ddeItem>
      <ddeItem name="1216.TW-BestAsk1" advise="1">
        <values>
          <value>
            <val>82.1</val>
          </value>
        </values>
      </ddeItem>
      <ddeItem name="1216.TW-BestBid1" advise="1">
        <values>
          <value>
            <val>82</val>
          </value>
        </values>
      </ddeItem>
      <ddeItem name="1216.TW-PreClose" advise="1">
        <values>
          <value>
            <val>83</val>
          </value>
        </values>
      </ddeItem>
      <ddeItem name="1216.TW-Price" advise="1">
        <values>
          <value>
            <val>82</val>
          </value>
        </values>
      </ddeItem>
      <ddeItem name="1227.TW-BestAsk1" advise="1">
        <values>
          <value>
            <val>61.9</val>
          </value>
        </values>
      </ddeItem>
      <ddeItem name="1227.TW-BestBid1" advise="1">
        <values>
          <value>
            <val>61.8</val>
          </value>
        </values>
      </ddeItem>
      <ddeItem name="1227.TW-PreClose" advise="1">
        <values>
          <value>
            <val>62</val>
          </value>
        </values>
      </ddeItem>
      <ddeItem name="1227.TW-Price" advise="1">
        <values>
          <value>
            <val>61.9</val>
          </value>
        </values>
      </ddeItem>
      <ddeItem name="1229.TW-BestAsk1" advise="1">
        <values>
          <value>
            <val>38.799999999999997</val>
          </value>
        </values>
      </ddeItem>
      <ddeItem name="1229.TW-BestBid1" advise="1">
        <values>
          <value>
            <val>38.75</val>
          </value>
        </values>
      </ddeItem>
      <ddeItem name="1229.TW-PreClose" advise="1">
        <values>
          <value>
            <val>38.5</val>
          </value>
        </values>
      </ddeItem>
      <ddeItem name="1229.TW-Price" advise="1">
        <values>
          <value>
            <val>38.75</val>
          </value>
        </values>
      </ddeItem>
      <ddeItem name="1301.TW-BestAsk1" advise="1">
        <values>
          <value>
            <val>104.5</val>
          </value>
        </values>
      </ddeItem>
      <ddeItem name="1301.TW-BestBid1" advise="1">
        <values>
          <value>
            <val>104</val>
          </value>
        </values>
      </ddeItem>
      <ddeItem name="1301.TW-PreClose" advise="1">
        <values>
          <value>
            <val>102.5</val>
          </value>
        </values>
      </ddeItem>
      <ddeItem name="1301.TW-Price" advise="1">
        <values>
          <value>
            <val>104</val>
          </value>
        </values>
      </ddeItem>
      <ddeItem name="1303.TW-BestAsk1" advise="1">
        <values>
          <value>
            <val>72.099999999999994</val>
          </value>
        </values>
      </ddeItem>
      <ddeItem name="1303.TW-BestBid1" advise="1">
        <values>
          <value>
            <val>72</val>
          </value>
        </values>
      </ddeItem>
      <ddeItem name="1303.TW-PreClose" advise="1">
        <values>
          <value>
            <val>72</val>
          </value>
        </values>
      </ddeItem>
      <ddeItem name="1303.TW-Price" advise="1">
        <values>
          <value>
            <val>72</val>
          </value>
        </values>
      </ddeItem>
      <ddeItem name="1314.TW-BestAsk1" advise="1">
        <values>
          <value>
            <val>10.55</val>
          </value>
        </values>
      </ddeItem>
      <ddeItem name="1314.TW-BestBid1" advise="1">
        <values>
          <value>
            <val>10.5</val>
          </value>
        </values>
      </ddeItem>
      <ddeItem name="1314.TW-PreClose" advise="1">
        <values>
          <value>
            <val>10.6</val>
          </value>
        </values>
      </ddeItem>
      <ddeItem name="1314.TW-Price" advise="1">
        <values>
          <value>
            <val>10.5</val>
          </value>
        </values>
      </ddeItem>
      <ddeItem name="1319.TW-BestAsk1" advise="1">
        <values>
          <value>
            <val>47.05</val>
          </value>
        </values>
      </ddeItem>
      <ddeItem name="1319.TW-BestBid1" advise="1">
        <values>
          <value>
            <val>47</val>
          </value>
        </values>
      </ddeItem>
      <ddeItem name="1319.TW-PreClose" advise="1">
        <values>
          <value>
            <val>47</val>
          </value>
        </values>
      </ddeItem>
      <ddeItem name="1319.TW-Price" advise="1">
        <values>
          <value>
            <val>47.05</val>
          </value>
        </values>
      </ddeItem>
      <ddeItem name="1326.TW-BestAsk1" advise="1">
        <values>
          <value>
            <val>98.5</val>
          </value>
        </values>
      </ddeItem>
      <ddeItem name="1326.TW-BestBid1" advise="1">
        <values>
          <value>
            <val>98.4</val>
          </value>
        </values>
      </ddeItem>
      <ddeItem name="1326.TW-PreClose" advise="1">
        <values>
          <value>
            <val>98.3</val>
          </value>
        </values>
      </ddeItem>
      <ddeItem name="1326.TW-Price" advise="1">
        <values>
          <value>
            <val>98.4</val>
          </value>
        </values>
      </ddeItem>
      <ddeItem name="1402.TW-BestAsk1" advise="1">
        <values>
          <value>
            <val>33.85</val>
          </value>
        </values>
      </ddeItem>
      <ddeItem name="1402.TW-BestBid1" advise="1">
        <values>
          <value>
            <val>33.799999999999997</val>
          </value>
        </values>
      </ddeItem>
      <ddeItem name="1402.TW-PreClose" advise="1">
        <values>
          <value>
            <val>33.9</val>
          </value>
        </values>
      </ddeItem>
      <ddeItem name="1402.TW-Price" advise="1">
        <values>
          <value>
            <val>33.799999999999997</val>
          </value>
        </values>
      </ddeItem>
      <ddeItem name="1434.TW-BestAsk1" advise="1">
        <values>
          <value>
            <val>39.15</val>
          </value>
        </values>
      </ddeItem>
      <ddeItem name="1434.TW-BestBid1" advise="1">
        <values>
          <value>
            <val>39.1</val>
          </value>
        </values>
      </ddeItem>
      <ddeItem name="1434.TW-PreClose" advise="1">
        <values>
          <value>
            <val>39.299999999999997</val>
          </value>
        </values>
      </ddeItem>
      <ddeItem name="1434.TW-Price" advise="1">
        <values>
          <value>
            <val>39.15</val>
          </value>
        </values>
      </ddeItem>
      <ddeItem name="1476.TW-BestAsk1" advise="1">
        <values>
          <value>
            <val>391</val>
          </value>
        </values>
      </ddeItem>
      <ddeItem name="1476.TW-BestBid1" advise="1">
        <values>
          <value>
            <val>390</val>
          </value>
        </values>
      </ddeItem>
      <ddeItem name="1476.TW-PreClose" advise="1">
        <values>
          <value>
            <val>392.5</val>
          </value>
        </values>
      </ddeItem>
      <ddeItem name="1476.TW-Price" advise="1">
        <values>
          <value>
            <val>390</val>
          </value>
        </values>
      </ddeItem>
      <ddeItem name="1477.TW-BestAsk1" advise="1">
        <values>
          <value>
            <val>204</val>
          </value>
        </values>
      </ddeItem>
      <ddeItem name="1477.TW-BestBid1" advise="1">
        <values>
          <value>
            <val>203.5</val>
          </value>
        </values>
      </ddeItem>
      <ddeItem name="1477.TW-PreClose" advise="1">
        <values>
          <value>
            <val>206.5</val>
          </value>
        </values>
      </ddeItem>
      <ddeItem name="1477.TW-Price" advise="1">
        <values>
          <value>
            <val>203.5</val>
          </value>
        </values>
      </ddeItem>
      <ddeItem name="1504.TW-BestAsk1" advise="1">
        <values>
          <value>
            <val>22.55</val>
          </value>
        </values>
      </ddeItem>
      <ddeItem name="1504.TW-BestBid1" advise="1">
        <values>
          <value>
            <val>22.5</val>
          </value>
        </values>
      </ddeItem>
      <ddeItem name="1504.TW-PreClose" advise="1">
        <values>
          <value>
            <val>22.55</val>
          </value>
        </values>
      </ddeItem>
      <ddeItem name="1504.TW-Price" advise="1">
        <values>
          <value>
            <val>22.55</val>
          </value>
        </values>
      </ddeItem>
      <ddeItem name="1507.TW-BestAsk1" advise="1">
        <values>
          <value>
            <val>66.5</val>
          </value>
        </values>
      </ddeItem>
      <ddeItem name="1507.TW-BestBid1" advise="1">
        <values>
          <value>
            <val>66.400000000000006</val>
          </value>
        </values>
      </ddeItem>
      <ddeItem name="1507.TW-PreClose" advise="1">
        <values>
          <value>
            <val>67.400000000000006</val>
          </value>
        </values>
      </ddeItem>
      <ddeItem name="1507.TW-Price" advise="1">
        <values>
          <value>
            <val>66.599999999999994</val>
          </value>
        </values>
      </ddeItem>
      <ddeItem name="1536.TW-BestAsk1" advise="1">
        <values>
          <value>
            <val>113</val>
          </value>
        </values>
      </ddeItem>
      <ddeItem name="1536.TW-BestBid1" advise="1">
        <values>
          <value>
            <val>112.5</val>
          </value>
        </values>
      </ddeItem>
      <ddeItem name="1536.TW-PreClose" advise="1">
        <values>
          <value>
            <val>112</val>
          </value>
        </values>
      </ddeItem>
      <ddeItem name="1536.TW-Price" advise="1">
        <values>
          <value>
            <val>113</val>
          </value>
        </values>
      </ddeItem>
      <ddeItem name="1590.TW-BestAsk1" advise="1">
        <values>
          <value>
            <val>336.5</val>
          </value>
        </values>
      </ddeItem>
      <ddeItem name="1590.TW-BestBid1" advise="1">
        <values>
          <value>
            <val>336</val>
          </value>
        </values>
      </ddeItem>
      <ddeItem name="1590.TW-PreClose" advise="1">
        <values>
          <value>
            <val>339</val>
          </value>
        </values>
      </ddeItem>
      <ddeItem name="1590.TW-Price" advise="1">
        <values>
          <value>
            <val>336.5</val>
          </value>
        </values>
      </ddeItem>
      <ddeItem name="1605.TW-BestAsk1" advise="1">
        <values>
          <value>
            <val>14.45</val>
          </value>
        </values>
      </ddeItem>
      <ddeItem name="1605.TW-BestBid1" advise="1">
        <values>
          <value>
            <val>14.4</val>
          </value>
        </values>
      </ddeItem>
      <ddeItem name="1605.TW-PreClose" advise="1">
        <values>
          <value>
            <val>14.6</val>
          </value>
        </values>
      </ddeItem>
      <ddeItem name="1605.TW-Price" advise="1">
        <values>
          <value>
            <val>14.45</val>
          </value>
        </values>
      </ddeItem>
      <ddeItem name="1707.TW-BestAsk1" advise="1">
        <values>
          <value>
            <val>201.5</val>
          </value>
        </values>
      </ddeItem>
      <ddeItem name="1707.TW-BestBid1" advise="1">
        <values>
          <value>
            <val>201</val>
          </value>
        </values>
      </ddeItem>
      <ddeItem name="1707.TW-PreClose" advise="1">
        <values>
          <value>
            <val>201.5</val>
          </value>
        </values>
      </ddeItem>
      <ddeItem name="1707.TW-Price" advise="1">
        <values>
          <value>
            <val>201</val>
          </value>
        </values>
      </ddeItem>
      <ddeItem name="1722.TW-BestAsk1" advise="1">
        <values>
          <value>
            <val>48</val>
          </value>
        </values>
      </ddeItem>
      <ddeItem name="1722.TW-BestBid1" advise="1">
        <values>
          <value>
            <val>47.95</val>
          </value>
        </values>
      </ddeItem>
      <ddeItem name="1722.TW-PreClose" advise="1">
        <values>
          <value>
            <val>47.75</val>
          </value>
        </values>
      </ddeItem>
      <ddeItem name="1722.TW-Price" advise="1">
        <values>
          <value>
            <val>47.95</val>
          </value>
        </values>
      </ddeItem>
      <ddeItem name="1723.TW-BestAsk1" advise="1">
        <values>
          <value>
            <val>130</val>
          </value>
        </values>
      </ddeItem>
      <ddeItem name="1723.TW-BestBid1" advise="1">
        <values>
          <value>
            <val>129.5</val>
          </value>
        </values>
      </ddeItem>
      <ddeItem name="1723.TW-PreClose" advise="1">
        <values>
          <value>
            <val>130</val>
          </value>
        </values>
      </ddeItem>
      <ddeItem name="1723.TW-Price" advise="1">
        <values>
          <value>
            <val>129.5</val>
          </value>
        </values>
      </ddeItem>
      <ddeItem name="1802.TW-BestAsk1" advise="1">
        <values>
          <value>
            <val>12.4</val>
          </value>
        </values>
      </ddeItem>
      <ddeItem name="1802.TW-BestBid1" advise="1">
        <values>
          <value>
            <val>12.35</val>
          </value>
        </values>
      </ddeItem>
      <ddeItem name="1802.TW-PreClose" advise="1">
        <values>
          <value>
            <val>12.45</val>
          </value>
        </values>
      </ddeItem>
      <ddeItem name="1802.TW-Price" advise="1">
        <values>
          <value>
            <val>12.35</val>
          </value>
        </values>
      </ddeItem>
      <ddeItem name="2002.TW-BestAsk1" advise="1">
        <values>
          <value>
            <val>24.85</val>
          </value>
        </values>
      </ddeItem>
      <ddeItem name="2002.TW-BestBid1" advise="1">
        <values>
          <value>
            <val>24.8</val>
          </value>
        </values>
      </ddeItem>
      <ddeItem name="2002.TW-PreClose" advise="1">
        <values>
          <value>
            <val>24.8</val>
          </value>
        </values>
      </ddeItem>
      <ddeItem name="2002.TW-Price" advise="1">
        <values>
          <value>
            <val>24.8</val>
          </value>
        </values>
      </ddeItem>
      <ddeItem name="2027.TW-BestAsk1" advise="1">
        <values>
          <value>
            <val>45.2</val>
          </value>
        </values>
      </ddeItem>
      <ddeItem name="2027.TW-BestBid1" advise="1">
        <values>
          <value>
            <val>45.15</val>
          </value>
        </values>
      </ddeItem>
      <ddeItem name="2027.TW-PreClose" advise="1">
        <values>
          <value>
            <val>45.15</val>
          </value>
        </values>
      </ddeItem>
      <ddeItem name="2027.TW-Price" advise="1">
        <values>
          <value>
            <val>45.15</val>
          </value>
        </values>
      </ddeItem>
      <ddeItem name="2049.TW-BestAsk1" advise="1">
        <values>
          <value>
            <val>264</val>
          </value>
        </values>
      </ddeItem>
      <ddeItem name="2049.TW-BestBid1" advise="1">
        <values>
          <value>
            <val>263.5</val>
          </value>
        </values>
      </ddeItem>
      <ddeItem name="2049.TW-PreClose" advise="1">
        <values>
          <value>
            <val>269.5</val>
          </value>
        </values>
      </ddeItem>
      <ddeItem name="2049.TW-Price" advise="1">
        <values>
          <value>
            <val>263.5</val>
          </value>
        </values>
      </ddeItem>
      <ddeItem name="2059.TW-BestAsk1" advise="1">
        <values>
          <value>
            <val>300</val>
          </value>
        </values>
      </ddeItem>
      <ddeItem name="2059.TW-BestBid1" advise="1">
        <values>
          <value>
            <val>299</val>
          </value>
        </values>
      </ddeItem>
      <ddeItem name="2059.TW-PreClose" advise="1">
        <values>
          <value>
            <val>301</val>
          </value>
        </values>
      </ddeItem>
      <ddeItem name="2059.TW-Price" advise="1">
        <values>
          <value>
            <val>300</val>
          </value>
        </values>
      </ddeItem>
      <ddeItem name="2101.TW-BestAsk1" advise="1">
        <values>
          <value>
            <val>37.75</val>
          </value>
        </values>
      </ddeItem>
      <ddeItem name="2101.TW-BestBid1" advise="1">
        <values>
          <value>
            <val>37.700000000000003</val>
          </value>
        </values>
      </ddeItem>
      <ddeItem name="2101.TW-PreClose" advise="1">
        <values>
          <value>
            <val>37.450000000000003</val>
          </value>
        </values>
      </ddeItem>
      <ddeItem name="2101.TW-Price" advise="1">
        <values>
          <value>
            <val>37.700000000000003</val>
          </value>
        </values>
      </ddeItem>
      <ddeItem name="2103.TW-BestAsk1" advise="1">
        <values>
          <value>
            <val>27.75</val>
          </value>
        </values>
      </ddeItem>
      <ddeItem name="2103.TW-BestBid1" advise="1">
        <values>
          <value>
            <val>27.7</val>
          </value>
        </values>
      </ddeItem>
      <ddeItem name="2103.TW-PreClose" advise="1">
        <values>
          <value>
            <val>27.65</val>
          </value>
        </values>
      </ddeItem>
      <ddeItem name="2103.TW-Price" advise="1">
        <values>
          <value>
            <val>27.7</val>
          </value>
        </values>
      </ddeItem>
      <ddeItem name="2104.TW-BestAsk1" advise="1">
        <values>
          <value>
            <val>38.35</val>
          </value>
        </values>
      </ddeItem>
      <ddeItem name="2104.TW-BestBid1" advise="1">
        <values>
          <value>
            <val>38.299999999999997</val>
          </value>
        </values>
      </ddeItem>
      <ddeItem name="2104.TW-PreClose" advise="1">
        <values>
          <value>
            <val>37.950000000000003</val>
          </value>
        </values>
      </ddeItem>
      <ddeItem name="2104.TW-Price" advise="1">
        <values>
          <value>
            <val>38.35</val>
          </value>
        </values>
      </ddeItem>
      <ddeItem name="2105.TW-BestAsk1" advise="1">
        <values>
          <value>
            <val>40.65</val>
          </value>
        </values>
      </ddeItem>
      <ddeItem name="2105.TW-BestBid1" advise="1">
        <values>
          <value>
            <val>40.6</val>
          </value>
        </values>
      </ddeItem>
      <ddeItem name="2105.TW-PreClose" advise="1">
        <values>
          <value>
            <val>40.4</val>
          </value>
        </values>
      </ddeItem>
      <ddeItem name="2105.TW-Price" advise="1">
        <values>
          <value>
            <val>40.65</val>
          </value>
        </values>
      </ddeItem>
      <ddeItem name="2201.TW-BestAsk1" advise="1">
        <values>
          <value>
            <val>23.2</val>
          </value>
        </values>
      </ddeItem>
      <ddeItem name="2201.TW-BestBid1" advise="1">
        <values>
          <value>
            <val>23.15</val>
          </value>
        </values>
      </ddeItem>
      <ddeItem name="2201.TW-PreClose" advise="1">
        <values>
          <value>
            <val>23.95</val>
          </value>
        </values>
      </ddeItem>
      <ddeItem name="2201.TW-Price" advise="1">
        <values>
          <value>
            <val>23.15</val>
          </value>
        </values>
      </ddeItem>
      <ddeItem name="2204.TW-BestAsk1" advise="1">
        <values>
          <value>
            <val>28.3</val>
          </value>
        </values>
      </ddeItem>
      <ddeItem name="2204.TW-BestBid1" advise="1">
        <values>
          <value>
            <val>28.25</val>
          </value>
        </values>
      </ddeItem>
      <ddeItem name="2204.TW-PreClose" advise="1">
        <values>
          <value>
            <val>28.5</val>
          </value>
        </values>
      </ddeItem>
      <ddeItem name="2204.TW-Price" advise="1">
        <values>
          <value>
            <val>28.3</val>
          </value>
        </values>
      </ddeItem>
      <ddeItem name="2207.TW-BestAsk1" advise="1">
        <values>
          <value>
            <val>492</val>
          </value>
        </values>
      </ddeItem>
      <ddeItem name="2207.TW-BestBid1" advise="1">
        <values>
          <value>
            <val>491</val>
          </value>
        </values>
      </ddeItem>
      <ddeItem name="2207.TW-PreClose" advise="1">
        <values>
          <value>
            <val>497</val>
          </value>
        </values>
      </ddeItem>
      <ddeItem name="2207.TW-Price" advise="1">
        <values>
          <value>
            <val>491</val>
          </value>
        </values>
      </ddeItem>
      <ddeItem name="2227.TW-BestAsk1" advise="1">
        <values>
          <value>
            <val>276</val>
          </value>
        </values>
      </ddeItem>
      <ddeItem name="2227.TW-BestBid1" advise="1">
        <values>
          <value>
            <val>275</val>
          </value>
        </values>
      </ddeItem>
      <ddeItem name="2227.TW-PreClose" advise="1">
        <values>
          <value>
            <val>272</val>
          </value>
        </values>
      </ddeItem>
      <ddeItem name="2227.TW-Price" advise="1">
        <values>
          <value>
            <val>275.5</val>
          </value>
        </values>
      </ddeItem>
      <ddeItem name="2231.TW-BestAsk1" advise="1">
        <values>
          <value>
            <val>257</val>
          </value>
        </values>
      </ddeItem>
      <ddeItem name="2231.TW-BestBid1" advise="1">
        <values>
          <value>
            <val>256</val>
          </value>
        </values>
      </ddeItem>
      <ddeItem name="2231.TW-PreClose" advise="1">
        <values>
          <value>
            <val>258.5</val>
          </value>
        </values>
      </ddeItem>
      <ddeItem name="2231.TW-Price" advise="1">
        <values>
          <value>
            <val>256</val>
          </value>
        </values>
      </ddeItem>
      <ddeItem name="2301.TW-BestAsk1" advise="1">
        <values>
          <value>
            <val>46.95</val>
          </value>
        </values>
      </ddeItem>
      <ddeItem name="2301.TW-BestBid1" advise="1">
        <values>
          <value>
            <val>46.8</val>
          </value>
        </values>
      </ddeItem>
      <ddeItem name="2301.TW-PreClose" advise="1">
        <values>
          <value>
            <val>46.95</val>
          </value>
        </values>
      </ddeItem>
      <ddeItem name="2301.TW-Price" advise="1">
        <values>
          <value>
            <val>46.8</val>
          </value>
        </values>
      </ddeItem>
      <ddeItem name="2303.TW-BestAsk1" advise="1">
        <values>
          <value>
            <val>14.65</val>
          </value>
        </values>
      </ddeItem>
      <ddeItem name="2303.TW-BestBid1" advise="1">
        <values>
          <value>
            <val>14.6</val>
          </value>
        </values>
      </ddeItem>
      <ddeItem name="2303.TW-PreClose" advise="1">
        <values>
          <value>
            <val>14.95</val>
          </value>
        </values>
      </ddeItem>
      <ddeItem name="2303.TW-Price" advise="1">
        <values>
          <value>
            <val>14.6</val>
          </value>
        </values>
      </ddeItem>
      <ddeItem name="2308.TW-BestAsk1" advise="1">
        <values>
          <value>
            <val>151.5</val>
          </value>
        </values>
      </ddeItem>
      <ddeItem name="2308.TW-BestBid1" advise="1">
        <values>
          <value>
            <val>151</val>
          </value>
        </values>
      </ddeItem>
      <ddeItem name="2308.TW-PreClose" advise="1">
        <values>
          <value>
            <val>152</val>
          </value>
        </values>
      </ddeItem>
      <ddeItem name="2308.TW-Price" advise="1">
        <values>
          <value>
            <val>151</val>
          </value>
        </values>
      </ddeItem>
      <ddeItem name="2313.TW-BestAsk1" advise="1">
        <values>
          <value>
            <val>27.15</val>
          </value>
        </values>
      </ddeItem>
      <ddeItem name="2313.TW-BestBid1" advise="1">
        <values>
          <value>
            <val>27.1</val>
          </value>
        </values>
      </ddeItem>
      <ddeItem name="2313.TW-PreClose" advise="1">
        <values>
          <value>
            <val>25.95</val>
          </value>
        </values>
      </ddeItem>
      <ddeItem name="2313.TW-Price" advise="1">
        <values>
          <value>
            <val>27.1</val>
          </value>
        </values>
      </ddeItem>
      <ddeItem name="2317.TW-BestAsk1" advise="1">
        <values>
          <value>
            <val>77.7</val>
          </value>
        </values>
      </ddeItem>
      <ddeItem name="2317.TW-BestBid1" advise="1">
        <values>
          <value>
            <val>77.599999999999994</val>
          </value>
        </values>
      </ddeItem>
      <ddeItem name="2317.TW-PreClose" advise="1">
        <values>
          <value>
            <val>78.2</val>
          </value>
        </values>
      </ddeItem>
      <ddeItem name="2317.TW-Price" advise="1">
        <values>
          <value>
            <val>77.599999999999994</val>
          </value>
        </values>
      </ddeItem>
      <ddeItem name="2324.TW-BestAsk1" advise="1">
        <values>
          <value>
            <val>20.5</val>
          </value>
        </values>
      </ddeItem>
      <ddeItem name="2324.TW-BestBid1" advise="1">
        <values>
          <value>
            <val>20.45</val>
          </value>
        </values>
      </ddeItem>
      <ddeItem name="2324.TW-PreClose" advise="1">
        <values>
          <value>
            <val>20.350000000000001</val>
          </value>
        </values>
      </ddeItem>
      <ddeItem name="2324.TW-Price" advise="1">
        <values>
          <value>
            <val>20.45</val>
          </value>
        </values>
      </ddeItem>
      <ddeItem name="2327.TW-BestAsk1" advise="1">
        <values>
          <value>
            <val>274</val>
          </value>
        </values>
      </ddeItem>
      <ddeItem name="2327.TW-BestBid1" advise="1">
        <values>
          <value>
            <val>273.5</val>
          </value>
        </values>
      </ddeItem>
      <ddeItem name="2327.TW-PreClose" advise="1">
        <values>
          <value>
            <val>271.5</val>
          </value>
        </values>
      </ddeItem>
      <ddeItem name="2327.TW-Price" advise="1">
        <values>
          <value>
            <val>273.5</val>
          </value>
        </values>
      </ddeItem>
      <ddeItem name="2330.TW-BestAsk1" advise="1">
        <values>
          <value>
            <val>250.5</val>
          </value>
        </values>
      </ddeItem>
      <ddeItem name="2330.TW-BestBid1" advise="1">
        <values>
          <value>
            <val>250</val>
          </value>
        </values>
      </ddeItem>
      <ddeItem name="2330.TW-PreClose" advise="1">
        <values>
          <value>
            <val>250</val>
          </value>
        </values>
      </ddeItem>
      <ddeItem name="2330.TW-Price" advise="1">
        <values>
          <value>
            <val>250.5</val>
          </value>
        </values>
      </ddeItem>
      <ddeItem name="2337.TW-BestAsk1" advise="1">
        <values>
          <value>
            <val>26.65</val>
          </value>
        </values>
      </ddeItem>
      <ddeItem name="2337.TW-BestBid1" advise="1">
        <values>
          <value>
            <val>26.6</val>
          </value>
        </values>
      </ddeItem>
      <ddeItem name="2337.TW-PreClose" advise="1">
        <values>
          <value>
            <val>25.5</val>
          </value>
        </values>
      </ddeItem>
      <ddeItem name="2337.TW-Price" advise="1">
        <values>
          <value>
            <val>26.6</val>
          </value>
        </values>
      </ddeItem>
      <ddeItem name="2344.TW-BestAsk1" advise="1">
        <values>
          <value>
            <val>16.7</val>
          </value>
        </values>
      </ddeItem>
      <ddeItem name="2344.TW-BestBid1" advise="1">
        <values>
          <value>
            <val>16.649999999999999</val>
          </value>
        </values>
      </ddeItem>
      <ddeItem name="2344.TW-PreClose" advise="1">
        <values>
          <value>
            <val>16.45</val>
          </value>
        </values>
      </ddeItem>
      <ddeItem name="2344.TW-Price" advise="1">
        <values>
          <value>
            <val>16.7</val>
          </value>
        </values>
      </ddeItem>
      <ddeItem name="2345.TW-BestAsk1" advise="1">
        <values>
          <value>
            <val>129</val>
          </value>
        </values>
      </ddeItem>
      <ddeItem name="2345.TW-BestBid1" advise="1">
        <values>
          <value>
            <val>128.5</val>
          </value>
        </values>
      </ddeItem>
      <ddeItem name="2345.TW-PreClose" advise="1">
        <values>
          <value>
            <val>129</val>
          </value>
        </values>
      </ddeItem>
      <ddeItem name="2345.TW-Price" advise="1">
        <values>
          <value>
            <val>128.5</val>
          </value>
        </values>
      </ddeItem>
      <ddeItem name="2347.TW-BestAsk1" advise="1">
        <values>
          <value>
            <val>39.1</val>
          </value>
        </values>
      </ddeItem>
      <ddeItem name="2347.TW-BestBid1" advise="1">
        <values>
          <value>
            <val>39.049999999999997</val>
          </value>
        </values>
      </ddeItem>
      <ddeItem name="2347.TW-PreClose" advise="1">
        <values>
          <value>
            <val>39.25</val>
          </value>
        </values>
      </ddeItem>
      <ddeItem name="2347.TW-Price" advise="1">
        <values>
          <value>
            <val>39.049999999999997</val>
          </value>
        </values>
      </ddeItem>
      <ddeItem name="2352.TW-BestAsk1" advise="1">
        <values>
          <value>
            <val>20.3</val>
          </value>
        </values>
      </ddeItem>
      <ddeItem name="2352.TW-BestBid1" advise="1">
        <values>
          <value>
            <val>20.25</val>
          </value>
        </values>
      </ddeItem>
      <ddeItem name="2352.TW-PreClose" advise="1">
        <values>
          <value>
            <val>20.100000000000001</val>
          </value>
        </values>
      </ddeItem>
      <ddeItem name="2352.TW-Price" advise="1">
        <values>
          <value>
            <val>20.25</val>
          </value>
        </values>
      </ddeItem>
      <ddeItem name="2353.TW-BestAsk1" advise="1">
        <values>
          <value>
            <val>19.3</val>
          </value>
        </values>
      </ddeItem>
      <ddeItem name="2353.TW-BestBid1" advise="1">
        <values>
          <value>
            <val>19.25</val>
          </value>
        </values>
      </ddeItem>
      <ddeItem name="2353.TW-PreClose" advise="1">
        <values>
          <value>
            <val>19.25</val>
          </value>
        </values>
      </ddeItem>
      <ddeItem name="2353.TW-Price" advise="1">
        <values>
          <value>
            <val>19.3</val>
          </value>
        </values>
      </ddeItem>
      <ddeItem name="2354.TW-BestAsk1" advise="1">
        <values>
          <value>
            <val>66.2</val>
          </value>
        </values>
      </ddeItem>
      <ddeItem name="2354.TW-BestBid1" advise="1">
        <values>
          <value>
            <val>66.099999999999994</val>
          </value>
        </values>
      </ddeItem>
      <ddeItem name="2354.TW-PreClose" advise="1">
        <values>
          <value>
            <val>65.900000000000006</val>
          </value>
        </values>
      </ddeItem>
      <ddeItem name="2354.TW-Price" advise="1">
        <values>
          <value>
            <val>66.099999999999994</val>
          </value>
        </values>
      </ddeItem>
      <ddeItem name="2356.TW-BestAsk1" advise="1">
        <values>
          <value>
            <val>23.9</val>
          </value>
        </values>
      </ddeItem>
      <ddeItem name="2356.TW-BestBid1" advise="1">
        <values>
          <value>
            <val>23.85</val>
          </value>
        </values>
      </ddeItem>
      <ddeItem name="2356.TW-PreClose" advise="1">
        <values>
          <value>
            <val>23.65</val>
          </value>
        </values>
      </ddeItem>
      <ddeItem name="2356.TW-Price" advise="1">
        <values>
          <value>
            <val>23.85</val>
          </value>
        </values>
      </ddeItem>
      <ddeItem name="2357.TW-BestAsk1" advise="1">
        <values>
          <value>
            <val>216.5</val>
          </value>
        </values>
      </ddeItem>
      <ddeItem name="2357.TW-BestBid1" advise="1">
        <values>
          <value>
            <val>215.5</val>
          </value>
        </values>
      </ddeItem>
      <ddeItem name="2357.TW-PreClose" advise="1">
        <values>
          <value>
            <val>216</val>
          </value>
        </values>
      </ddeItem>
      <ddeItem name="2357.TW-Price" advise="1">
        <values>
          <value>
            <val>215.5</val>
          </value>
        </values>
      </ddeItem>
      <ddeItem name="2360.TW-BestAsk1" advise="1">
        <values>
          <value>
            <val>149.5</val>
          </value>
        </values>
      </ddeItem>
      <ddeItem name="2360.TW-BestBid1" advise="1">
        <values>
          <value>
            <val>149</val>
          </value>
        </values>
      </ddeItem>
      <ddeItem name="2360.TW-PreClose" advise="1">
        <values>
          <value>
            <val>145.5</val>
          </value>
        </values>
      </ddeItem>
      <ddeItem name="2360.TW-Price" advise="1">
        <values>
          <value>
            <val>149.5</val>
          </value>
        </values>
      </ddeItem>
      <ddeItem name="2371.TW-BestAsk1" advise="1">
        <values>
          <value>
            <val>18.45</val>
          </value>
        </values>
      </ddeItem>
      <ddeItem name="2371.TW-BestBid1" advise="1">
        <values>
          <value>
            <val>18.399999999999999</val>
          </value>
        </values>
      </ddeItem>
      <ddeItem name="2371.TW-PreClose" advise="1">
        <values>
          <value>
            <val>18.75</val>
          </value>
        </values>
      </ddeItem>
      <ddeItem name="2371.TW-Price" advise="1">
        <values>
          <value>
            <val>18.45</val>
          </value>
        </values>
      </ddeItem>
      <ddeItem name="2376.TW-BestAsk1" advise="1">
        <values>
          <value>
            <val>53.5</val>
          </value>
        </values>
      </ddeItem>
      <ddeItem name="2376.TW-BestBid1" advise="1">
        <values>
          <value>
            <val>53.4</val>
          </value>
        </values>
      </ddeItem>
      <ddeItem name="2376.TW-PreClose" advise="1">
        <values>
          <value>
            <val>52.8</val>
          </value>
        </values>
      </ddeItem>
      <ddeItem name="2376.TW-Price" advise="1">
        <values>
          <value>
            <val>53.5</val>
          </value>
        </values>
      </ddeItem>
      <ddeItem name="2377.TW-BestAsk1" advise="1">
        <values>
          <value>
            <val>89.5</val>
          </value>
        </values>
      </ddeItem>
      <ddeItem name="2377.TW-BestBid1" advise="1">
        <values>
          <value>
            <val>89.4</val>
          </value>
        </values>
      </ddeItem>
      <ddeItem name="2377.TW-PreClose" advise="1">
        <values>
          <value>
            <val>89.7</val>
          </value>
        </values>
      </ddeItem>
      <ddeItem name="2377.TW-Price" advise="1">
        <values>
          <value>
            <val>89.4</val>
          </value>
        </values>
      </ddeItem>
      <ddeItem name="2379.TW-BestAsk1" advise="1">
        <values>
          <value>
            <val>226</val>
          </value>
        </values>
      </ddeItem>
      <ddeItem name="2379.TW-BestBid1" advise="1">
        <values>
          <value>
            <val>225.5</val>
          </value>
        </values>
      </ddeItem>
      <ddeItem name="2379.TW-PreClose" advise="1">
        <values>
          <value>
            <val>221</val>
          </value>
        </values>
      </ddeItem>
      <ddeItem name="2379.TW-Price" advise="1">
        <values>
          <value>
            <val>225.5</val>
          </value>
        </values>
      </ddeItem>
      <ddeItem name="2382.TW-BestAsk1" advise="1">
        <values>
          <value>
            <val>60.8</val>
          </value>
        </values>
      </ddeItem>
      <ddeItem name="2382.TW-BestBid1" advise="1">
        <values>
          <value>
            <val>60.7</val>
          </value>
        </values>
      </ddeItem>
      <ddeItem name="2382.TW-PreClose" advise="1">
        <values>
          <value>
            <val>60.7</val>
          </value>
        </values>
      </ddeItem>
      <ddeItem name="2382.TW-Price" advise="1">
        <values>
          <value>
            <val>60.7</val>
          </value>
        </values>
      </ddeItem>
      <ddeItem name="2383.TW-BestAsk1" advise="1">
        <values>
          <value>
            <val>110</val>
          </value>
        </values>
      </ddeItem>
      <ddeItem name="2383.TW-BestBid1" advise="1">
        <values>
          <value>
            <val>109.5</val>
          </value>
        </values>
      </ddeItem>
      <ddeItem name="2383.TW-PreClose" advise="1">
        <values>
          <value>
            <val>108.5</val>
          </value>
        </values>
      </ddeItem>
      <ddeItem name="2383.TW-Price" advise="1">
        <values>
          <value>
            <val>110</val>
          </value>
        </values>
      </ddeItem>
      <ddeItem name="2385.TW-BestAsk1" advise="1">
        <values>
          <value>
            <val>80</val>
          </value>
        </values>
      </ddeItem>
      <ddeItem name="2385.TW-BestBid1" advise="1">
        <values>
          <value>
            <val>79.599999999999994</val>
          </value>
        </values>
      </ddeItem>
      <ddeItem name="2385.TW-PreClose" advise="1">
        <values>
          <value>
            <val>79</val>
          </value>
        </values>
      </ddeItem>
      <ddeItem name="2385.TW-Price" advise="1">
        <values>
          <value>
            <val>80</val>
          </value>
        </values>
      </ddeItem>
      <ddeItem name="2395.TW-BestAsk1" advise="1">
        <values>
          <value>
            <val>260.5</val>
          </value>
        </values>
      </ddeItem>
      <ddeItem name="2395.TW-BestBid1" advise="1">
        <values>
          <value>
            <val>260</val>
          </value>
        </values>
      </ddeItem>
      <ddeItem name="2395.TW-PreClose" advise="1">
        <values>
          <value>
            <val>261</val>
          </value>
        </values>
      </ddeItem>
      <ddeItem name="2395.TW-Price" advise="1">
        <values>
          <value>
            <val>260</val>
          </value>
        </values>
      </ddeItem>
      <ddeItem name="2408.TW-BestAsk1" advise="1">
        <values>
          <value>
            <val>66.7</val>
          </value>
        </values>
      </ddeItem>
      <ddeItem name="2408.TW-BestBid1" advise="1">
        <values>
          <value>
            <val>66.599999999999994</val>
          </value>
        </values>
      </ddeItem>
      <ddeItem name="2408.TW-PreClose" advise="1">
        <values>
          <value>
            <val>65.400000000000006</val>
          </value>
        </values>
      </ddeItem>
      <ddeItem name="2408.TW-Price" advise="1">
        <values>
          <value>
            <val>66.7</val>
          </value>
        </values>
      </ddeItem>
      <ddeItem name="2409.TW-BestAsk1" advise="1">
        <values>
          <value>
            <val>8.94</val>
          </value>
        </values>
      </ddeItem>
      <ddeItem name="2409.TW-BestBid1" advise="1">
        <values>
          <value>
            <val>8.93</val>
          </value>
        </values>
      </ddeItem>
      <ddeItem name="2409.TW-PreClose" advise="1">
        <values>
          <value>
            <val>9.0299999999999994</val>
          </value>
        </values>
      </ddeItem>
      <ddeItem name="2409.TW-Price" advise="1">
        <values>
          <value>
            <val>8.93</val>
          </value>
        </values>
      </ddeItem>
      <ddeItem name="2412.TW-BestAsk1" advise="1">
        <values>
          <value>
            <val>113.5</val>
          </value>
        </values>
      </ddeItem>
      <ddeItem name="2412.TW-BestBid1" advise="1">
        <values>
          <value>
            <val>113</val>
          </value>
        </values>
      </ddeItem>
      <ddeItem name="2412.TW-PreClose" advise="1">
        <values>
          <value>
            <val>113.5</val>
          </value>
        </values>
      </ddeItem>
      <ddeItem name="2412.TW-Price" advise="1">
        <values>
          <value>
            <val>113</val>
          </value>
        </values>
      </ddeItem>
      <ddeItem name="2439.TW-BestAsk1" advise="1">
        <values>
          <value>
            <val>167</val>
          </value>
        </values>
      </ddeItem>
      <ddeItem name="2439.TW-BestBid1" advise="1">
        <values>
          <value>
            <val>166.5</val>
          </value>
        </values>
      </ddeItem>
      <ddeItem name="2439.TW-PreClose" advise="1">
        <values>
          <value>
            <val>166</val>
          </value>
        </values>
      </ddeItem>
      <ddeItem name="2439.TW-Price" advise="1">
        <values>
          <value>
            <val>166.5</val>
          </value>
        </values>
      </ddeItem>
      <ddeItem name="2441.TW-BestAsk1" advise="1">
        <values>
          <value>
            <val>43.3</val>
          </value>
        </values>
      </ddeItem>
      <ddeItem name="2441.TW-BestBid1" advise="1">
        <values>
          <value>
            <val>43.2</val>
          </value>
        </values>
      </ddeItem>
      <ddeItem name="2441.TW-PreClose" advise="1">
        <values>
          <value>
            <val>43.3</val>
          </value>
        </values>
      </ddeItem>
      <ddeItem name="2441.TW-Price" advise="1">
        <values>
          <value>
            <val>43.3</val>
          </value>
        </values>
      </ddeItem>
      <ddeItem name="2448.TW-BestAsk1" advise="1">
        <values>
          <value>
            <val>24.5</val>
          </value>
        </values>
      </ddeItem>
      <ddeItem name="2448.TW-BestBid1" advise="1">
        <values>
          <value>
            <val>24.45</val>
          </value>
        </values>
      </ddeItem>
      <ddeItem name="2448.TW-PreClose" advise="1">
        <values>
          <value>
            <val>24.5</val>
          </value>
        </values>
      </ddeItem>
      <ddeItem name="2448.TW-Price" advise="1">
        <values>
          <value>
            <val>24.45</val>
          </value>
        </values>
      </ddeItem>
      <ddeItem name="2449.TW-BestAsk1" advise="1">
        <values>
          <value>
            <val>31.1</val>
          </value>
        </values>
      </ddeItem>
      <ddeItem name="2449.TW-BestBid1" advise="1">
        <values>
          <value>
            <val>31.05</val>
          </value>
        </values>
      </ddeItem>
      <ddeItem name="2449.TW-PreClose" advise="1">
        <values>
          <value>
            <val>30</val>
          </value>
        </values>
      </ddeItem>
      <ddeItem name="2449.TW-Price" advise="1">
        <values>
          <value>
            <val>31.1</val>
          </value>
        </values>
      </ddeItem>
      <ddeItem name="2451.TW-BestAsk1" advise="1">
        <values>
          <value>
            <val>67.8</val>
          </value>
        </values>
      </ddeItem>
      <ddeItem name="2451.TW-BestBid1" advise="1">
        <values>
          <value>
            <val>67.7</val>
          </value>
        </values>
      </ddeItem>
      <ddeItem name="2451.TW-PreClose" advise="1">
        <values>
          <value>
            <val>68.099999999999994</val>
          </value>
        </values>
      </ddeItem>
      <ddeItem name="2451.TW-Price" advise="1">
        <values>
          <value>
            <val>67.7</val>
          </value>
        </values>
      </ddeItem>
      <ddeItem name="2454.TW-BestAsk1" advise="1">
        <values>
          <value>
            <val>319</val>
          </value>
        </values>
      </ddeItem>
      <ddeItem name="2454.TW-BestBid1" advise="1">
        <values>
          <value>
            <val>318</val>
          </value>
        </values>
      </ddeItem>
      <ddeItem name="2454.TW-PreClose" advise="1">
        <values>
          <value>
            <val>322.5</val>
          </value>
        </values>
      </ddeItem>
      <ddeItem name="2454.TW-Price" advise="1">
        <values>
          <value>
            <val>318</val>
          </value>
        </values>
      </ddeItem>
      <ddeItem name="2474.TW-BestAsk1" advise="1">
        <values>
          <value>
            <val>228.5</val>
          </value>
        </values>
      </ddeItem>
      <ddeItem name="2474.TW-BestBid1" advise="1">
        <values>
          <value>
            <val>228</val>
          </value>
        </values>
      </ddeItem>
      <ddeItem name="2474.TW-PreClose" advise="1">
        <values>
          <value>
            <val>229</val>
          </value>
        </values>
      </ddeItem>
      <ddeItem name="2474.TW-Price" advise="1">
        <values>
          <value>
            <val>228</val>
          </value>
        </values>
      </ddeItem>
      <ddeItem name="2492.TW-BestAsk1" advise="1">
        <values>
          <value>
            <val>172.5</val>
          </value>
        </values>
      </ddeItem>
      <ddeItem name="2492.TW-BestBid1" advise="1">
        <values>
          <value>
            <val>172</val>
          </value>
        </values>
      </ddeItem>
      <ddeItem name="2492.TW-PreClose" advise="1">
        <values>
          <value>
            <val>170.5</val>
          </value>
        </values>
      </ddeItem>
      <ddeItem name="2492.TW-Price" advise="1">
        <values>
          <value>
            <val>172.5</val>
          </value>
        </values>
      </ddeItem>
      <ddeItem name="2498.TW-BestAsk1" advise="1">
        <values>
          <value>
            <val>38.950000000000003</val>
          </value>
        </values>
      </ddeItem>
      <ddeItem name="2498.TW-BestBid1" advise="1">
        <values>
          <value>
            <val>38.9</val>
          </value>
        </values>
      </ddeItem>
      <ddeItem name="2498.TW-PreClose" advise="1">
        <values>
          <value>
            <val>39.200000000000003</val>
          </value>
        </values>
      </ddeItem>
      <ddeItem name="2498.TW-Price" advise="1">
        <values>
          <value>
            <val>38.9</val>
          </value>
        </values>
      </ddeItem>
      <ddeItem name="2501.TW-BestAsk1" advise="1">
        <values>
          <value>
            <val>22.7</val>
          </value>
        </values>
      </ddeItem>
      <ddeItem name="2501.TW-BestBid1" advise="1">
        <values>
          <value>
            <val>22.65</val>
          </value>
        </values>
      </ddeItem>
      <ddeItem name="2501.TW-PreClose" advise="1">
        <values>
          <value>
            <val>22.55</val>
          </value>
        </values>
      </ddeItem>
      <ddeItem name="2501.TW-Price" advise="1">
        <values>
          <value>
            <val>22.7</val>
          </value>
        </values>
      </ddeItem>
      <ddeItem name="2542.TW-BestAsk1" advise="1">
        <values>
          <value>
            <val>49.15</val>
          </value>
        </values>
      </ddeItem>
      <ddeItem name="2542.TW-BestBid1" advise="1">
        <values>
          <value>
            <val>49.1</val>
          </value>
        </values>
      </ddeItem>
      <ddeItem name="2542.TW-PreClose" advise="1">
        <values>
          <value>
            <val>49.45</val>
          </value>
        </values>
      </ddeItem>
      <ddeItem name="2542.TW-Price" advise="1">
        <values>
          <value>
            <val>49.15</val>
          </value>
        </values>
      </ddeItem>
      <ddeItem name="2603.TW-BestAsk1" advise="1">
        <values>
          <value>
            <val>13.3</val>
          </value>
        </values>
      </ddeItem>
      <ddeItem name="2603.TW-BestBid1" advise="1">
        <values>
          <value>
            <val>13.25</val>
          </value>
        </values>
      </ddeItem>
      <ddeItem name="2603.TW-PreClose" advise="1">
        <values>
          <value>
            <val>13.4</val>
          </value>
        </values>
      </ddeItem>
      <ddeItem name="2603.TW-Price" advise="1">
        <values>
          <value>
            <val>13.25</val>
          </value>
        </values>
      </ddeItem>
      <ddeItem name="2606.TW-BestAsk1" advise="1">
        <values>
          <value>
            <val>33.1</val>
          </value>
        </values>
      </ddeItem>
      <ddeItem name="2606.TW-BestBid1" advise="1">
        <values>
          <value>
            <val>33.049999999999997</val>
          </value>
        </values>
      </ddeItem>
      <ddeItem name="2606.TW-PreClose" advise="1">
        <values>
          <value>
            <val>33.15</val>
          </value>
        </values>
      </ddeItem>
      <ddeItem name="2606.TW-Price" advise="1">
        <values>
          <value>
            <val>33.1</val>
          </value>
        </values>
      </ddeItem>
      <ddeItem name="2610.TW-BestAsk1" advise="1">
        <values>
          <value>
            <val>9.8699999999999992</val>
          </value>
        </values>
      </ddeItem>
      <ddeItem name="2610.TW-BestBid1" advise="1">
        <values>
          <value>
            <val>9.86</val>
          </value>
        </values>
      </ddeItem>
      <ddeItem name="2610.TW-PreClose" advise="1">
        <values>
          <value>
            <val>9.86</val>
          </value>
        </values>
      </ddeItem>
      <ddeItem name="2610.TW-Price" advise="1">
        <values>
          <value>
            <val>9.8699999999999992</val>
          </value>
        </values>
      </ddeItem>
      <ddeItem name="2615.TW-BestAsk1" advise="1">
        <values>
          <value>
            <val>19</val>
          </value>
        </values>
      </ddeItem>
      <ddeItem name="2615.TW-BestBid1" advise="1">
        <values>
          <value>
            <val>18.95</val>
          </value>
        </values>
      </ddeItem>
      <ddeItem name="2615.TW-PreClose" advise="1">
        <values>
          <value>
            <val>18.850000000000001</val>
          </value>
        </values>
      </ddeItem>
      <ddeItem name="2615.TW-Price" advise="1">
        <values>
          <value>
            <val>19</val>
          </value>
        </values>
      </ddeItem>
      <ddeItem name="2618.TW-BestAsk1" advise="1">
        <values>
          <value>
            <val>15.05</val>
          </value>
        </values>
      </ddeItem>
      <ddeItem name="2618.TW-BestBid1" advise="1">
        <values>
          <value>
            <val>15</val>
          </value>
        </values>
      </ddeItem>
      <ddeItem name="2618.TW-PreClose" advise="1">
        <values>
          <value>
            <val>15</val>
          </value>
        </values>
      </ddeItem>
      <ddeItem name="2618.TW-Price" advise="1">
        <values>
          <value>
            <val>15.05</val>
          </value>
        </values>
      </ddeItem>
      <ddeItem name="2633.TW-BestAsk1" advise="1">
        <values>
          <value>
            <val>43.75</val>
          </value>
        </values>
      </ddeItem>
      <ddeItem name="2633.TW-BestBid1" advise="1">
        <values>
          <value>
            <val>43.7</val>
          </value>
        </values>
      </ddeItem>
      <ddeItem name="2633.TW-PreClose" advise="1">
        <values>
          <value>
            <val>44</val>
          </value>
        </values>
      </ddeItem>
      <ddeItem name="2633.TW-Price" advise="1">
        <values>
          <value>
            <val>43.7</val>
          </value>
        </values>
      </ddeItem>
      <ddeItem name="2723.TW-BestAsk1" advise="1">
        <values>
          <value>
            <val>185.5</val>
          </value>
        </values>
      </ddeItem>
      <ddeItem name="2723.TW-BestBid1" advise="1">
        <values>
          <value>
            <val>185</val>
          </value>
        </values>
      </ddeItem>
      <ddeItem name="2723.TW-PreClose" advise="1">
        <values>
          <value>
            <val>173</val>
          </value>
        </values>
      </ddeItem>
      <ddeItem name="2723.TW-Price" advise="1">
        <values>
          <value>
            <val>185</val>
          </value>
        </values>
      </ddeItem>
      <ddeItem name="2801.TW-BestAsk1" advise="1">
        <values>
          <value>
            <val>21.6</val>
          </value>
        </values>
      </ddeItem>
      <ddeItem name="2801.TW-BestBid1" advise="1">
        <values>
          <value>
            <val>21.5</val>
          </value>
        </values>
      </ddeItem>
      <ddeItem name="2801.TW-PreClose" advise="1">
        <values>
          <value>
            <val>21.45</val>
          </value>
        </values>
      </ddeItem>
      <ddeItem name="2801.TW-Price" advise="1">
        <values>
          <value>
            <val>21.5</val>
          </value>
        </values>
      </ddeItem>
      <ddeItem name="2809.TW-BestAsk1" advise="1">
        <values>
          <value>
            <val>33.5</val>
          </value>
        </values>
      </ddeItem>
      <ddeItem name="2809.TW-BestBid1" advise="1">
        <values>
          <value>
            <val>33.450000000000003</val>
          </value>
        </values>
      </ddeItem>
      <ddeItem name="2809.TW-PreClose" advise="1">
        <values>
          <value>
            <val>33.75</val>
          </value>
        </values>
      </ddeItem>
      <ddeItem name="2809.TW-Price" advise="1">
        <values>
          <value>
            <val>33.5</val>
          </value>
        </values>
      </ddeItem>
      <ddeItem name="2812.TW-BestAsk1" advise="1">
        <values>
          <value>
            <val>12.6</val>
          </value>
        </values>
      </ddeItem>
      <ddeItem name="2812.TW-BestBid1" advise="1">
        <values>
          <value>
            <val>12.55</val>
          </value>
        </values>
      </ddeItem>
      <ddeItem name="2812.TW-PreClose" advise="1">
        <values>
          <value>
            <val>12.55</val>
          </value>
        </values>
      </ddeItem>
      <ddeItem name="2812.TW-Price" advise="1">
        <values>
          <value>
            <val>12.6</val>
          </value>
        </values>
      </ddeItem>
      <ddeItem name="2823.TW-BestAsk1" advise="1">
        <values>
          <value>
            <val>25.8</val>
          </value>
        </values>
      </ddeItem>
      <ddeItem name="2823.TW-BestBid1" advise="1">
        <values>
          <value>
            <val>25.75</val>
          </value>
        </values>
      </ddeItem>
      <ddeItem name="2823.TW-PreClose" advise="1">
        <values>
          <value>
            <val>25.75</val>
          </value>
        </values>
      </ddeItem>
      <ddeItem name="2823.TW-Price" advise="1">
        <values>
          <value>
            <val>25.75</val>
          </value>
        </values>
      </ddeItem>
      <ddeItem name="2834.TW-BestAsk1" advise="1">
        <values>
          <value>
            <val>13.6</val>
          </value>
        </values>
      </ddeItem>
      <ddeItem name="2834.TW-BestBid1" advise="1">
        <values>
          <value>
            <val>13.55</val>
          </value>
        </values>
      </ddeItem>
      <ddeItem name="2834.TW-PreClose" advise="1">
        <values>
          <value>
            <val>13.45</val>
          </value>
        </values>
      </ddeItem>
      <ddeItem name="2834.TW-Price" advise="1">
        <values>
          <value>
            <val>13.6</val>
          </value>
        </values>
      </ddeItem>
      <ddeItem name="2845.TW-BestAsk1" advise="1">
        <values>
          <value>
            <val>12.6</val>
          </value>
        </values>
      </ddeItem>
      <ddeItem name="2845.TW-BestBid1" advise="1">
        <values>
          <value>
            <val>12.55</val>
          </value>
        </values>
      </ddeItem>
      <ddeItem name="2845.TW-PreClose" advise="1">
        <values>
          <value>
            <val>12.55</val>
          </value>
        </values>
      </ddeItem>
      <ddeItem name="2845.TW-Price" advise="1">
        <values>
          <value>
            <val>12.6</val>
          </value>
        </values>
      </ddeItem>
      <ddeItem name="2867.TW-BestAsk1" advise="1">
        <values>
          <value>
            <val>10.85</val>
          </value>
        </values>
      </ddeItem>
      <ddeItem name="2867.TW-BestBid1" advise="1">
        <values>
          <value>
            <val>10.8</val>
          </value>
        </values>
      </ddeItem>
      <ddeItem name="2867.TW-PreClose" advise="1">
        <values>
          <value>
            <val>10.9</val>
          </value>
        </values>
      </ddeItem>
      <ddeItem name="2867.TW-Price" advise="1">
        <values>
          <value>
            <val>10.8</val>
          </value>
        </values>
      </ddeItem>
      <ddeItem name="2880.TW-BestAsk1" advise="1">
        <values>
          <value>
            <val>21.25</val>
          </value>
        </values>
      </ddeItem>
      <ddeItem name="2880.TW-BestBid1" advise="1">
        <values>
          <value>
            <val>21.2</val>
          </value>
        </values>
      </ddeItem>
      <ddeItem name="2880.TW-PreClose" advise="1">
        <values>
          <value>
            <val>21.2</val>
          </value>
        </values>
      </ddeItem>
      <ddeItem name="2880.TW-Price" advise="1">
        <values>
          <value>
            <val>21.2</val>
          </value>
        </values>
      </ddeItem>
      <ddeItem name="2881.TW-BestAsk1" advise="1">
        <values>
          <value>
            <val>44</val>
          </value>
        </values>
      </ddeItem>
      <ddeItem name="2881.TW-BestBid1" advise="1">
        <values>
          <value>
            <val>43.95</val>
          </value>
        </values>
      </ddeItem>
      <ddeItem name="2881.TW-PreClose" advise="1">
        <values>
          <value>
            <val>44.2</val>
          </value>
        </values>
      </ddeItem>
      <ddeItem name="2881.TW-Price" advise="1">
        <values>
          <value>
            <val>43.95</val>
          </value>
        </values>
      </ddeItem>
      <ddeItem name="2882.TW-BestAsk1" advise="1">
        <values>
          <value>
            <val>41.65</val>
          </value>
        </values>
      </ddeItem>
      <ddeItem name="2882.TW-BestBid1" advise="1">
        <values>
          <value>
            <val>41.6</val>
          </value>
        </values>
      </ddeItem>
      <ddeItem name="2882.TW-PreClose" advise="1">
        <values>
          <value>
            <val>41.95</val>
          </value>
        </values>
      </ddeItem>
      <ddeItem name="2882.TW-Price" advise="1">
        <values>
          <value>
            <val>41.6</val>
          </value>
        </values>
      </ddeItem>
      <ddeItem name="2883.TW-BestAsk1" advise="1">
        <values>
          <value>
            <val>9.42</val>
          </value>
        </values>
      </ddeItem>
      <ddeItem name="2883.TW-BestBid1" advise="1">
        <values>
          <value>
            <val>9.41</val>
          </value>
        </values>
      </ddeItem>
      <ddeItem name="2883.TW-PreClose" advise="1">
        <values>
          <value>
            <val>9.48</val>
          </value>
        </values>
      </ddeItem>
      <ddeItem name="2883.TW-Price" advise="1">
        <values>
          <value>
            <val>9.41</val>
          </value>
        </values>
      </ddeItem>
      <ddeItem name="2884.TW-BestAsk1" advise="1">
        <values>
          <value>
            <val>27.35</val>
          </value>
        </values>
      </ddeItem>
      <ddeItem name="2884.TW-BestBid1" advise="1">
        <values>
          <value>
            <val>27.3</val>
          </value>
        </values>
      </ddeItem>
      <ddeItem name="2884.TW-PreClose" advise="1">
        <values>
          <value>
            <val>27.2</val>
          </value>
        </values>
      </ddeItem>
      <ddeItem name="2884.TW-Price" advise="1">
        <values>
          <value>
            <val>27.35</val>
          </value>
        </values>
      </ddeItem>
      <ddeItem name="2885.TW-BestAsk1" advise="1">
        <values>
          <value>
            <val>18.05</val>
          </value>
        </values>
      </ddeItem>
      <ddeItem name="2885.TW-BestBid1" advise="1">
        <values>
          <value>
            <val>18</val>
          </value>
        </values>
      </ddeItem>
      <ddeItem name="2885.TW-PreClose" advise="1">
        <values>
          <value>
            <val>18</val>
          </value>
        </values>
      </ddeItem>
      <ddeItem name="2885.TW-Price" advise="1">
        <values>
          <value>
            <val>18.05</val>
          </value>
        </values>
      </ddeItem>
      <ddeItem name="2886.TW-BestAsk1" advise="1">
        <values>
          <value>
            <val>31.9</val>
          </value>
        </values>
      </ddeItem>
      <ddeItem name="2886.TW-BestBid1" advise="1">
        <values>
          <value>
            <val>31.85</val>
          </value>
        </values>
      </ddeItem>
      <ddeItem name="2886.TW-PreClose" advise="1">
        <values>
          <value>
            <val>31.85</val>
          </value>
        </values>
      </ddeItem>
      <ddeItem name="2886.TW-Price" advise="1">
        <values>
          <value>
            <val>31.85</val>
          </value>
        </values>
      </ddeItem>
      <ddeItem name="2887.TW-BestAsk1" advise="1">
        <values>
          <value>
            <val>14.6</val>
          </value>
        </values>
      </ddeItem>
      <ddeItem name="2887.TW-BestBid1" advise="1">
        <values>
          <value>
            <val>14.55</val>
          </value>
        </values>
      </ddeItem>
      <ddeItem name="2887.TW-PreClose" advise="1">
        <values>
          <value>
            <val>14.5</val>
          </value>
        </values>
      </ddeItem>
      <ddeItem name="2887.TW-Price" advise="1">
        <values>
          <value>
            <val>14.55</val>
          </value>
        </values>
      </ddeItem>
      <ddeItem name="2888.TW-BestAsk1" advise="1">
        <values>
          <value>
            <val>9.36</val>
          </value>
        </values>
      </ddeItem>
      <ddeItem name="2888.TW-BestBid1" advise="1">
        <values>
          <value>
            <val>9.35</val>
          </value>
        </values>
      </ddeItem>
      <ddeItem name="2888.TW-PreClose" advise="1">
        <values>
          <value>
            <val>9.41</val>
          </value>
        </values>
      </ddeItem>
      <ddeItem name="2888.TW-Price" advise="1">
        <values>
          <value>
            <val>9.35</val>
          </value>
        </values>
      </ddeItem>
      <ddeItem name="2889.TW-BestAsk1" advise="1">
        <values>
          <value>
            <val>10.8</val>
          </value>
        </values>
      </ddeItem>
      <ddeItem name="2889.TW-BestBid1" advise="1">
        <values>
          <value>
            <val>10.75</val>
          </value>
        </values>
      </ddeItem>
      <ddeItem name="2889.TW-PreClose" advise="1">
        <values>
          <value>
            <val>10.75</val>
          </value>
        </values>
      </ddeItem>
      <ddeItem name="2889.TW-Price" advise="1">
        <values>
          <value>
            <val>10.8</val>
          </value>
        </values>
      </ddeItem>
      <ddeItem name="2890.TW-BestAsk1" advise="1">
        <values>
          <value>
            <val>12.55</val>
          </value>
        </values>
      </ddeItem>
      <ddeItem name="2890.TW-BestBid1" advise="1">
        <values>
          <value>
            <val>12.5</val>
          </value>
        </values>
      </ddeItem>
      <ddeItem name="2890.TW-PreClose" advise="1">
        <values>
          <value>
            <val>12.65</val>
          </value>
        </values>
      </ddeItem>
      <ddeItem name="2890.TW-Price" advise="1">
        <values>
          <value>
            <val>12.5</val>
          </value>
        </values>
      </ddeItem>
      <ddeItem name="2891.TW-BestAsk1" advise="1">
        <values>
          <value>
            <val>21.65</val>
          </value>
        </values>
      </ddeItem>
      <ddeItem name="2891.TW-BestBid1" advise="1">
        <values>
          <value>
            <val>21.6</val>
          </value>
        </values>
      </ddeItem>
      <ddeItem name="2891.TW-PreClose" advise="1">
        <values>
          <value>
            <val>21.75</val>
          </value>
        </values>
      </ddeItem>
      <ddeItem name="2891.TW-Price" advise="1">
        <values>
          <value>
            <val>21.6</val>
          </value>
        </values>
      </ddeItem>
      <ddeItem name="2892.TW-BestAsk1" advise="1">
        <values>
          <value>
            <val>22.9</val>
          </value>
        </values>
      </ddeItem>
      <ddeItem name="2892.TW-BestBid1" advise="1">
        <values>
          <value>
            <val>22.85</val>
          </value>
        </values>
      </ddeItem>
      <ddeItem name="2892.TW-PreClose" advise="1">
        <values>
          <value>
            <val>22.9</val>
          </value>
        </values>
      </ddeItem>
      <ddeItem name="2892.TW-Price" advise="1">
        <values>
          <value>
            <val>22.85</val>
          </value>
        </values>
      </ddeItem>
      <ddeItem name="2912.TW-BestAsk1" advise="1">
        <values>
          <value>
            <val>300.5</val>
          </value>
        </values>
      </ddeItem>
      <ddeItem name="2912.TW-BestBid1" advise="1">
        <values>
          <value>
            <val>300</val>
          </value>
        </values>
      </ddeItem>
      <ddeItem name="2912.TW-PreClose" advise="1">
        <values>
          <value>
            <val>302.5</val>
          </value>
        </values>
      </ddeItem>
      <ddeItem name="2912.TW-Price" advise="1">
        <values>
          <value>
            <val>300</val>
          </value>
        </values>
      </ddeItem>
      <ddeItem name="2915.TW-BestAsk1" advise="1">
        <values>
          <value>
            <val>68.8</val>
          </value>
        </values>
      </ddeItem>
      <ddeItem name="2915.TW-BestBid1" advise="1">
        <values>
          <value>
            <val>68.7</val>
          </value>
        </values>
      </ddeItem>
      <ddeItem name="2915.TW-PreClose" advise="1">
        <values>
          <value>
            <val>69.2</val>
          </value>
        </values>
      </ddeItem>
      <ddeItem name="2915.TW-Price" advise="1">
        <values>
          <value>
            <val>68.7</val>
          </value>
        </values>
      </ddeItem>
      <ddeItem name="3005.TW-BestAsk1" advise="1">
        <values>
          <value>
            <val>44.6</val>
          </value>
        </values>
      </ddeItem>
      <ddeItem name="3005.TW-BestBid1" advise="1">
        <values>
          <value>
            <val>44.55</val>
          </value>
        </values>
      </ddeItem>
      <ddeItem name="3005.TW-PreClose" advise="1">
        <values>
          <value>
            <val>44.8</val>
          </value>
        </values>
      </ddeItem>
      <ddeItem name="3005.TW-Price" advise="1">
        <values>
          <value>
            <val>44.55</val>
          </value>
        </values>
      </ddeItem>
      <ddeItem name="3008.TW-BestAsk1" advise="1">
        <values>
          <value>
            <val>4210</val>
          </value>
        </values>
      </ddeItem>
      <ddeItem name="3008.TW-BestBid1" advise="1">
        <values>
          <value>
            <val>4205</val>
          </value>
        </values>
      </ddeItem>
      <ddeItem name="3008.TW-PreClose" advise="1">
        <values>
          <value>
            <val>4305</val>
          </value>
        </values>
      </ddeItem>
      <ddeItem name="3008.TW-Price" advise="1">
        <values>
          <value>
            <val>4205</val>
          </value>
        </values>
      </ddeItem>
      <ddeItem name="3034.TW-BestAsk1" advise="1">
        <values>
          <value>
            <val>174</val>
          </value>
        </values>
      </ddeItem>
      <ddeItem name="3034.TW-BestBid1" advise="1">
        <values>
          <value>
            <val>173.5</val>
          </value>
        </values>
      </ddeItem>
      <ddeItem name="3034.TW-PreClose" advise="1">
        <values>
          <value>
            <val>174</val>
          </value>
        </values>
      </ddeItem>
      <ddeItem name="3034.TW-Price" advise="1">
        <values>
          <value>
            <val>173.5</val>
          </value>
        </values>
      </ddeItem>
      <ddeItem name="3037.TW-BestAsk1" advise="1">
        <values>
          <value>
            <val>36.75</val>
          </value>
        </values>
      </ddeItem>
      <ddeItem name="3037.TW-BestBid1" advise="1">
        <values>
          <value>
            <val>36.700000000000003</val>
          </value>
        </values>
      </ddeItem>
      <ddeItem name="3037.TW-PreClose" advise="1">
        <values>
          <value>
            <val>37.5</val>
          </value>
        </values>
      </ddeItem>
      <ddeItem name="3037.TW-Price" advise="1">
        <values>
          <value>
            <val>36.700000000000003</val>
          </value>
        </values>
      </ddeItem>
      <ddeItem name="3044.TW-BestAsk1" advise="1">
        <values>
          <value>
            <val>108.5</val>
          </value>
        </values>
      </ddeItem>
      <ddeItem name="3044.TW-BestBid1" advise="1">
        <values>
          <value>
            <val>108</val>
          </value>
        </values>
      </ddeItem>
      <ddeItem name="3044.TW-PreClose" advise="1">
        <values>
          <value>
            <val>106.5</val>
          </value>
        </values>
      </ddeItem>
      <ddeItem name="3044.TW-Price" advise="1">
        <values>
          <value>
            <val>108</val>
          </value>
        </values>
      </ddeItem>
      <ddeItem name="3045.TW-BestAsk1" advise="1">
        <values>
          <value>
            <val>111.5</val>
          </value>
        </values>
      </ddeItem>
      <ddeItem name="3045.TW-BestBid1" advise="1">
        <values>
          <value>
            <val>111</val>
          </value>
        </values>
      </ddeItem>
      <ddeItem name="3045.TW-PreClose" advise="1">
        <values>
          <value>
            <val>112</val>
          </value>
        </values>
      </ddeItem>
      <ddeItem name="3045.TW-Price" advise="1">
        <values>
          <value>
            <val>111.5</val>
          </value>
        </values>
      </ddeItem>
      <ddeItem name="3231.TW-BestAsk1" advise="1">
        <values>
          <value>
            <val>25.1</val>
          </value>
        </values>
      </ddeItem>
      <ddeItem name="3231.TW-BestBid1" advise="1">
        <values>
          <value>
            <val>25.05</val>
          </value>
        </values>
      </ddeItem>
      <ddeItem name="3231.TW-PreClose" advise="1">
        <values>
          <value>
            <val>24.9</val>
          </value>
        </values>
      </ddeItem>
      <ddeItem name="3231.TW-Price" advise="1">
        <values>
          <value>
            <val>25.05</val>
          </value>
        </values>
      </ddeItem>
      <ddeItem name="3406.TW-BestAsk1" advise="1">
        <values>
          <value>
            <val>430.5</val>
          </value>
        </values>
      </ddeItem>
      <ddeItem name="3406.TW-BestBid1" advise="1">
        <values>
          <value>
            <val>430</val>
          </value>
        </values>
      </ddeItem>
      <ddeItem name="3406.TW-PreClose" advise="1">
        <values>
          <value>
            <val>435</val>
          </value>
        </values>
      </ddeItem>
      <ddeItem name="3406.TW-Price" advise="1">
        <values>
          <value>
            <val>430.5</val>
          </value>
        </values>
      </ddeItem>
      <ddeItem name="3443.TW-BestAsk1" advise="1">
        <values>
          <value>
            <val>235</val>
          </value>
        </values>
      </ddeItem>
      <ddeItem name="3443.TW-BestBid1" advise="1">
        <values>
          <value>
            <val>234.5</val>
          </value>
        </values>
      </ddeItem>
      <ddeItem name="3443.TW-PreClose" advise="1">
        <values>
          <value>
            <val>229.5</val>
          </value>
        </values>
      </ddeItem>
      <ddeItem name="3443.TW-Price" advise="1">
        <values>
          <value>
            <val>234.5</val>
          </value>
        </values>
      </ddeItem>
      <ddeItem name="3481.TW-BestAsk1" advise="1">
        <values>
          <value>
            <val>7.27</val>
          </value>
        </values>
      </ddeItem>
      <ddeItem name="3481.TW-BestBid1" advise="1">
        <values>
          <value>
            <val>7.26</val>
          </value>
        </values>
      </ddeItem>
      <ddeItem name="3481.TW-PreClose" advise="1">
        <values>
          <value>
            <val>7.35</val>
          </value>
        </values>
      </ddeItem>
      <ddeItem name="3481.TW-Price" advise="1">
        <values>
          <value>
            <val>7.26</val>
          </value>
        </values>
      </ddeItem>
      <ddeItem name="3532.TW-BestAsk1" advise="1">
        <values>
          <value>
            <val>108</val>
          </value>
        </values>
      </ddeItem>
      <ddeItem name="3532.TW-BestBid1" advise="1">
        <values>
          <value>
            <val>107.5</val>
          </value>
        </values>
      </ddeItem>
      <ddeItem name="3532.TW-PreClose" advise="1">
        <values>
          <value>
            <val>110.5</val>
          </value>
        </values>
      </ddeItem>
      <ddeItem name="3532.TW-Price" advise="1">
        <values>
          <value>
            <val>107.5</val>
          </value>
        </values>
      </ddeItem>
      <ddeItem name="3682.TW-BestAsk1" advise="1">
        <values>
          <value>
            <val>7.36</val>
          </value>
        </values>
      </ddeItem>
      <ddeItem name="3682.TW-BestBid1" advise="1">
        <values>
          <value>
            <val>7.35</val>
          </value>
        </values>
      </ddeItem>
      <ddeItem name="3682.TW-PreClose" advise="1">
        <values>
          <value>
            <val>7.33</val>
          </value>
        </values>
      </ddeItem>
      <ddeItem name="3682.TW-Price" advise="1">
        <values>
          <value>
            <val>7.35</val>
          </value>
        </values>
      </ddeItem>
      <ddeItem name="3702.TW-BestAsk1" advise="1">
        <values>
          <value>
            <val>41.45</val>
          </value>
        </values>
      </ddeItem>
      <ddeItem name="3702.TW-BestBid1" advise="1">
        <values>
          <value>
            <val>41.4</val>
          </value>
        </values>
      </ddeItem>
      <ddeItem name="3702.TW-PreClose" advise="1">
        <values>
          <value>
            <val>41.45</val>
          </value>
        </values>
      </ddeItem>
      <ddeItem name="3702.TW-Price" advise="1">
        <values>
          <value>
            <val>41.4</val>
          </value>
        </values>
      </ddeItem>
      <ddeItem name="3706.TW-BestAsk1" advise="1">
        <values>
          <value>
            <val>32.200000000000003</val>
          </value>
        </values>
      </ddeItem>
      <ddeItem name="3706.TW-BestBid1" advise="1">
        <values>
          <value>
            <val>32.15</val>
          </value>
        </values>
      </ddeItem>
      <ddeItem name="3706.TW-PreClose" advise="1">
        <values>
          <value>
            <val>32</val>
          </value>
        </values>
      </ddeItem>
      <ddeItem name="3706.TW-Price" advise="1">
        <values>
          <value>
            <val>32.15</val>
          </value>
        </values>
      </ddeItem>
      <ddeItem name="3711.TW-BestAsk1" advise="1">
        <values>
          <value>
            <val>67.599999999999994</val>
          </value>
        </values>
      </ddeItem>
      <ddeItem name="3711.TW-BestBid1" advise="1">
        <values>
          <value>
            <val>67.5</val>
          </value>
        </values>
      </ddeItem>
      <ddeItem name="3711.TW-PreClose" advise="1">
        <values>
          <value>
            <val>68.400000000000006</val>
          </value>
        </values>
      </ddeItem>
      <ddeItem name="3711.TW-Price" advise="1">
        <values>
          <value>
            <val>67.5</val>
          </value>
        </values>
      </ddeItem>
      <ddeItem name="4904.TW-BestAsk1" advise="1">
        <values>
          <value>
            <val>75.900000000000006</val>
          </value>
        </values>
      </ddeItem>
      <ddeItem name="4904.TW-BestBid1" advise="1">
        <values>
          <value>
            <val>75.8</val>
          </value>
        </values>
      </ddeItem>
      <ddeItem name="4904.TW-PreClose" advise="1">
        <values>
          <value>
            <val>75.400000000000006</val>
          </value>
        </values>
      </ddeItem>
      <ddeItem name="4904.TW-Price" advise="1">
        <values>
          <value>
            <val>75.8</val>
          </value>
        </values>
      </ddeItem>
      <ddeItem name="4938.TW-BestAsk1" advise="1">
        <values>
          <value>
            <val>55.2</val>
          </value>
        </values>
      </ddeItem>
      <ddeItem name="4938.TW-BestBid1" advise="1">
        <values>
          <value>
            <val>55</val>
          </value>
        </values>
      </ddeItem>
      <ddeItem name="4938.TW-PreClose" advise="1">
        <values>
          <value>
            <val>55.5</val>
          </value>
        </values>
      </ddeItem>
      <ddeItem name="4938.TW-Price" advise="1">
        <values>
          <value>
            <val>55</val>
          </value>
        </values>
      </ddeItem>
      <ddeItem name="4958.TW-BestAsk1" advise="1">
        <values>
          <value>
            <val>104.5</val>
          </value>
        </values>
      </ddeItem>
      <ddeItem name="4958.TW-BestBid1" advise="1">
        <values>
          <value>
            <val>104</val>
          </value>
        </values>
      </ddeItem>
      <ddeItem name="4958.TW-PreClose" advise="1">
        <values>
          <value>
            <val>104</val>
          </value>
        </values>
      </ddeItem>
      <ddeItem name="4958.TW-Price" advise="1">
        <values>
          <value>
            <val>104.5</val>
          </value>
        </values>
      </ddeItem>
      <ddeItem name="5269.TW-BestAsk1" advise="1">
        <values>
          <value>
            <val>532</val>
          </value>
        </values>
      </ddeItem>
      <ddeItem name="5269.TW-BestBid1" advise="1">
        <values>
          <value>
            <val>530</val>
          </value>
        </values>
      </ddeItem>
      <ddeItem name="5269.TW-PreClose" advise="1">
        <values>
          <value>
            <val>520</val>
          </value>
        </values>
      </ddeItem>
      <ddeItem name="5269.TW-Price" advise="1">
        <values>
          <value>
            <val>532</val>
          </value>
        </values>
      </ddeItem>
      <ddeItem name="5522.TW-BestAsk1" advise="1">
        <values>
          <value>
            <val>40.799999999999997</val>
          </value>
        </values>
      </ddeItem>
      <ddeItem name="5522.TW-BestBid1" advise="1">
        <values>
          <value>
            <val>40.75</val>
          </value>
        </values>
      </ddeItem>
      <ddeItem name="5522.TW-PreClose" advise="1">
        <values>
          <value>
            <val>41</val>
          </value>
        </values>
      </ddeItem>
      <ddeItem name="5522.TW-Price" advise="1">
        <values>
          <value>
            <val>40.799999999999997</val>
          </value>
        </values>
      </ddeItem>
      <ddeItem name="5534.TW-BestAsk1" advise="1">
        <values>
          <value>
            <val>89.5</val>
          </value>
        </values>
      </ddeItem>
      <ddeItem name="5534.TW-BestBid1" advise="1">
        <values>
          <value>
            <val>89.4</val>
          </value>
        </values>
      </ddeItem>
      <ddeItem name="5534.TW-PreClose" advise="1">
        <values>
          <value>
            <val>89.6</val>
          </value>
        </values>
      </ddeItem>
      <ddeItem name="5534.TW-Price" advise="1">
        <values>
          <value>
            <val>89.5</val>
          </value>
        </values>
      </ddeItem>
      <ddeItem name="5871.TW-BestAsk1" advise="1">
        <values>
          <value>
            <val>135</val>
          </value>
        </values>
      </ddeItem>
      <ddeItem name="5871.TW-BestBid1" advise="1">
        <values>
          <value>
            <val>134.5</val>
          </value>
        </values>
      </ddeItem>
      <ddeItem name="5871.TW-PreClose" advise="1">
        <values>
          <value>
            <val>136.5</val>
          </value>
        </values>
      </ddeItem>
      <ddeItem name="5871.TW-Price" advise="1">
        <values>
          <value>
            <val>135</val>
          </value>
        </values>
      </ddeItem>
      <ddeItem name="5876.TW-BestAsk1" advise="1">
        <values>
          <value>
            <val>57.3</val>
          </value>
        </values>
      </ddeItem>
      <ddeItem name="5876.TW-BestBid1" advise="1">
        <values>
          <value>
            <val>57.2</val>
          </value>
        </values>
      </ddeItem>
      <ddeItem name="5876.TW-PreClose" advise="1">
        <values>
          <value>
            <val>57.5</val>
          </value>
        </values>
      </ddeItem>
      <ddeItem name="5876.TW-Price" advise="1">
        <values>
          <value>
            <val>57.2</val>
          </value>
        </values>
      </ddeItem>
      <ddeItem name="5880.TW-BestAsk1" advise="1">
        <values>
          <value>
            <val>20.85</val>
          </value>
        </values>
      </ddeItem>
      <ddeItem name="5880.TW-BestBid1" advise="1">
        <values>
          <value>
            <val>20.8</val>
          </value>
        </values>
      </ddeItem>
      <ddeItem name="5880.TW-PreClose" advise="1">
        <values>
          <value>
            <val>20.85</val>
          </value>
        </values>
      </ddeItem>
      <ddeItem name="5880.TW-Price" advise="1">
        <values>
          <value>
            <val>20.8</val>
          </value>
        </values>
      </ddeItem>
      <ddeItem name="6176.TW-BestAsk1" advise="1">
        <values>
          <value>
            <val>120</val>
          </value>
        </values>
      </ddeItem>
      <ddeItem name="6176.TW-BestBid1" advise="1">
        <values>
          <value>
            <val>119.5</val>
          </value>
        </values>
      </ddeItem>
      <ddeItem name="6176.TW-PreClose" advise="1">
        <values>
          <value>
            <val>116</val>
          </value>
        </values>
      </ddeItem>
      <ddeItem name="6176.TW-Price" advise="1">
        <values>
          <value>
            <val>119.5</val>
          </value>
        </values>
      </ddeItem>
      <ddeItem name="6239.TW-BestAsk1" advise="1">
        <values>
          <value>
            <val>78.5</val>
          </value>
        </values>
      </ddeItem>
      <ddeItem name="6239.TW-BestBid1" advise="1">
        <values>
          <value>
            <val>78.400000000000006</val>
          </value>
        </values>
      </ddeItem>
      <ddeItem name="6239.TW-PreClose" advise="1">
        <values>
          <value>
            <val>78.599999999999994</val>
          </value>
        </values>
      </ddeItem>
      <ddeItem name="6239.TW-Price" advise="1">
        <values>
          <value>
            <val>78.5</val>
          </value>
        </values>
      </ddeItem>
      <ddeItem name="6269.TW-BestAsk1" advise="1">
        <values>
          <value>
            <val>92.1</val>
          </value>
        </values>
      </ddeItem>
      <ddeItem name="6269.TW-BestBid1" advise="1">
        <values>
          <value>
            <val>92</val>
          </value>
        </values>
      </ddeItem>
      <ddeItem name="6269.TW-PreClose" advise="1">
        <values>
          <value>
            <val>91.5</val>
          </value>
        </values>
      </ddeItem>
      <ddeItem name="6269.TW-Price" advise="1">
        <values>
          <value>
            <val>92</val>
          </value>
        </values>
      </ddeItem>
      <ddeItem name="6285.TW-BestAsk1" advise="1">
        <values>
          <value>
            <val>76.3</val>
          </value>
        </values>
      </ddeItem>
      <ddeItem name="6285.TW-BestBid1" advise="1">
        <values>
          <value>
            <val>76.2</val>
          </value>
        </values>
      </ddeItem>
      <ddeItem name="6285.TW-PreClose" advise="1">
        <values>
          <value>
            <val>75.400000000000006</val>
          </value>
        </values>
      </ddeItem>
      <ddeItem name="6285.TW-Price" advise="1">
        <values>
          <value>
            <val>76.3</val>
          </value>
        </values>
      </ddeItem>
      <ddeItem name="6409.TW-BestAsk1" advise="1">
        <values>
          <value>
            <val>669</val>
          </value>
        </values>
      </ddeItem>
      <ddeItem name="6409.TW-BestBid1" advise="1">
        <values>
          <value>
            <val>663</val>
          </value>
        </values>
      </ddeItem>
      <ddeItem name="6409.TW-PreClose" advise="1">
        <values>
          <value>
            <val>681</val>
          </value>
        </values>
      </ddeItem>
      <ddeItem name="6409.TW-Price" advise="1">
        <values>
          <value>
            <val>665</val>
          </value>
        </values>
      </ddeItem>
      <ddeItem name="6415.TW-BestAsk1" advise="1">
        <values>
          <value>
            <val>640</val>
          </value>
        </values>
      </ddeItem>
      <ddeItem name="6415.TW-BestBid1" advise="1">
        <values>
          <value>
            <val>634</val>
          </value>
        </values>
      </ddeItem>
      <ddeItem name="6415.TW-PreClose" advise="1">
        <values>
          <value>
            <val>629</val>
          </value>
        </values>
      </ddeItem>
      <ddeItem name="6415.TW-Price" advise="1">
        <values>
          <value>
            <val>634</val>
          </value>
        </values>
      </ddeItem>
      <ddeItem name="6456.TW-BestAsk1" advise="1">
        <values>
          <value>
            <val>108</val>
          </value>
        </values>
      </ddeItem>
      <ddeItem name="6456.TW-BestBid1" advise="1">
        <values>
          <value>
            <val>107.5</val>
          </value>
        </values>
      </ddeItem>
      <ddeItem name="6456.TW-PreClose" advise="1">
        <values>
          <value>
            <val>109.5</val>
          </value>
        </values>
      </ddeItem>
      <ddeItem name="6456.TW-Price" advise="1">
        <values>
          <value>
            <val>107.5</val>
          </value>
        </values>
      </ddeItem>
      <ddeItem name="6505.TW-BestAsk1" advise="1">
        <values>
          <value>
            <val>108</val>
          </value>
        </values>
      </ddeItem>
      <ddeItem name="6505.TW-BestBid1" advise="1">
        <values>
          <value>
            <val>107.5</val>
          </value>
        </values>
      </ddeItem>
      <ddeItem name="6505.TW-PreClose" advise="1">
        <values>
          <value>
            <val>107.5</val>
          </value>
        </values>
      </ddeItem>
      <ddeItem name="6505.TW-Price" advise="1">
        <values>
          <value>
            <val>107.5</val>
          </value>
        </values>
      </ddeItem>
      <ddeItem name="6669.TW-BestAsk1" advise="1">
        <values>
          <value>
            <val>348</val>
          </value>
        </values>
      </ddeItem>
      <ddeItem name="6669.TW-BestBid1" advise="1">
        <values>
          <value>
            <val>347.5</val>
          </value>
        </values>
      </ddeItem>
      <ddeItem name="6669.TW-PreClose" advise="1">
        <values>
          <value>
            <val>350.5</val>
          </value>
        </values>
      </ddeItem>
      <ddeItem name="6669.TW-Price" advise="1">
        <values>
          <value>
            <val>347.5</val>
          </value>
        </values>
      </ddeItem>
      <ddeItem name="8341.TW-BestAsk1" advise="1">
        <values>
          <value>
            <val>270</val>
          </value>
        </values>
      </ddeItem>
      <ddeItem name="8341.TW-BestBid1" advise="1">
        <values>
          <value>
            <val>268.5</val>
          </value>
        </values>
      </ddeItem>
      <ddeItem name="8341.TW-PreClose" advise="1">
        <values>
          <value>
            <val>270</val>
          </value>
        </values>
      </ddeItem>
      <ddeItem name="8341.TW-Price" advise="1">
        <values>
          <value>
            <val>268.5</val>
          </value>
        </values>
      </ddeItem>
      <ddeItem name="8454.TW-BestAsk1" advise="1">
        <values>
          <value>
            <val>263.5</val>
          </value>
        </values>
      </ddeItem>
      <ddeItem name="8454.TW-BestBid1" advise="1">
        <values>
          <value>
            <val>263</val>
          </value>
        </values>
      </ddeItem>
      <ddeItem name="8454.TW-PreClose" advise="1">
        <values>
          <value>
            <val>262</val>
          </value>
        </values>
      </ddeItem>
      <ddeItem name="8454.TW-Price" advise="1">
        <values>
          <value>
            <val>263</val>
          </value>
        </values>
      </ddeItem>
      <ddeItem name="8464.TW-BestAsk1" advise="1">
        <values>
          <value>
            <val>252</val>
          </value>
        </values>
      </ddeItem>
      <ddeItem name="8464.TW-BestBid1" advise="1">
        <values>
          <value>
            <val>251</val>
          </value>
        </values>
      </ddeItem>
      <ddeItem name="8464.TW-PreClose" advise="1">
        <values>
          <value>
            <val>248</val>
          </value>
        </values>
      </ddeItem>
      <ddeItem name="8464.TW-Price" advise="1">
        <values>
          <value>
            <val>252</val>
          </value>
        </values>
      </ddeItem>
      <ddeItem name="9904.TW-BestAsk1" advise="1">
        <values>
          <value>
            <val>38.4</val>
          </value>
        </values>
      </ddeItem>
      <ddeItem name="9904.TW-BestBid1" advise="1">
        <values>
          <value>
            <val>38.35</val>
          </value>
        </values>
      </ddeItem>
      <ddeItem name="9904.TW-PreClose" advise="1">
        <values>
          <value>
            <val>38.450000000000003</val>
          </value>
        </values>
      </ddeItem>
      <ddeItem name="9904.TW-Price" advise="1">
        <values>
          <value>
            <val>38.4</val>
          </value>
        </values>
      </ddeItem>
      <ddeItem name="9910.TW-BestAsk1" advise="1">
        <values>
          <value>
            <val>230</val>
          </value>
        </values>
      </ddeItem>
      <ddeItem name="9910.TW-BestBid1" advise="1">
        <values>
          <value>
            <val>229.5</val>
          </value>
        </values>
      </ddeItem>
      <ddeItem name="9910.TW-PreClose" advise="1">
        <values>
          <value>
            <val>244.5</val>
          </value>
        </values>
      </ddeItem>
      <ddeItem name="9910.TW-Price" advise="1">
        <values>
          <value>
            <val>229.5</val>
          </value>
        </values>
      </ddeItem>
      <ddeItem name="9914.TW-BestAsk1" advise="1">
        <values>
          <value>
            <val>181.5</val>
          </value>
        </values>
      </ddeItem>
      <ddeItem name="9914.TW-BestBid1" advise="1">
        <values>
          <value>
            <val>181</val>
          </value>
        </values>
      </ddeItem>
      <ddeItem name="9914.TW-PreClose" advise="1">
        <values>
          <value>
            <val>183</val>
          </value>
        </values>
      </ddeItem>
      <ddeItem name="9914.TW-Price" advise="1">
        <values>
          <value>
            <val>181</val>
          </value>
        </values>
      </ddeItem>
      <ddeItem name="9917.TW-BestAsk1" advise="1">
        <values>
          <value>
            <val>89.6</val>
          </value>
        </values>
      </ddeItem>
      <ddeItem name="9917.TW-BestBid1" advise="1">
        <values>
          <value>
            <val>89.5</val>
          </value>
        </values>
      </ddeItem>
      <ddeItem name="9917.TW-PreClose" advise="1">
        <values>
          <value>
            <val>89.6</val>
          </value>
        </values>
      </ddeItem>
      <ddeItem name="9917.TW-Price" advise="1">
        <values>
          <value>
            <val>89.5</val>
          </value>
        </values>
      </ddeItem>
      <ddeItem name="9921.TW-BestAsk1" advise="1">
        <values>
          <value>
            <val>239</val>
          </value>
        </values>
      </ddeItem>
      <ddeItem name="9921.TW-BestBid1" advise="1">
        <values>
          <value>
            <val>238.5</val>
          </value>
        </values>
      </ddeItem>
      <ddeItem name="9921.TW-PreClose" advise="1">
        <values>
          <value>
            <val>238</val>
          </value>
        </values>
      </ddeItem>
      <ddeItem name="9921.TW-Price" advise="1">
        <values>
          <value>
            <val>239</val>
          </value>
        </values>
      </ddeItem>
      <ddeItem name="9933.TW-BestAsk1" advise="1">
        <values>
          <value>
            <val>46.3</val>
          </value>
        </values>
      </ddeItem>
      <ddeItem name="9933.TW-BestBid1" advise="1">
        <values>
          <value>
            <val>46.25</val>
          </value>
        </values>
      </ddeItem>
      <ddeItem name="9933.TW-PreClose" advise="1">
        <values>
          <value>
            <val>46</val>
          </value>
        </values>
      </ddeItem>
      <ddeItem name="9933.TW-Price" advise="1">
        <values>
          <value>
            <val>46.3</val>
          </value>
        </values>
      </ddeItem>
      <ddeItem name="9941.TW-BestAsk1" advise="1">
        <values>
          <value>
            <val>128</val>
          </value>
        </values>
      </ddeItem>
      <ddeItem name="9941.TW-BestBid1" advise="1">
        <values>
          <value>
            <val>127.5</val>
          </value>
        </values>
      </ddeItem>
      <ddeItem name="9941.TW-PreClose" advise="1">
        <values>
          <value>
            <val>127</val>
          </value>
        </values>
      </ddeItem>
      <ddeItem name="9941.TW-Price" advise="1">
        <values>
          <value>
            <val>127.5</val>
          </value>
        </values>
      </ddeItem>
      <ddeItem name="9945.TW-BestAsk1" advise="1">
        <values>
          <value>
            <val>42.3</val>
          </value>
        </values>
      </ddeItem>
      <ddeItem name="9945.TW-BestBid1" advise="1">
        <values>
          <value>
            <val>42.25</val>
          </value>
        </values>
      </ddeItem>
      <ddeItem name="9945.TW-PreClose" advise="1">
        <values>
          <value>
            <val>42.6</val>
          </value>
        </values>
      </ddeItem>
      <ddeItem name="9945.TW-Price" advise="1">
        <values>
          <value>
            <val>42.3</val>
          </value>
        </values>
      </ddeItem>
      <ddeItem name="FINYF*1.TF-BestAsk1" advise="1">
        <values>
          <value>
            <val>82.95</val>
          </value>
        </values>
      </ddeItem>
      <ddeItem name="FINYF*1.TF-BestBid1" advise="1">
        <values>
          <value>
            <val>82.9</val>
          </value>
        </values>
      </ddeItem>
      <ddeItem name="FINYF*1.TF-PreClose" advise="1">
        <values>
          <value>
            <val>82.9</val>
          </value>
        </values>
      </ddeItem>
      <ddeItem name="FINYF*1.TF-Price" advise="1">
        <values>
          <value>
            <val>82.9</val>
          </value>
        </values>
      </ddeItem>
      <ddeItem name="FINYF*2.TF-BestAsk1" advise="1">
        <values>
          <value>
            <val>82.95</val>
          </value>
        </values>
      </ddeItem>
      <ddeItem name="FINYF*2.TF-BestBid1" advise="1">
        <values>
          <value>
            <val>82.85</val>
          </value>
        </values>
      </ddeItem>
      <ddeItem name="FINYF*2.TF-PreClose" advise="1">
        <values>
          <value>
            <val>82.9</val>
          </value>
        </values>
      </ddeItem>
      <ddeItem name="FINYF*2.TF-Price" advise="1">
        <values>
          <value>
            <val>82.9</val>
          </value>
        </values>
      </ddeItem>
      <ddeItem name="FITF*1.TF-BestAsk1" advise="1">
        <values>
          <value>
            <val>1305.5999999999999</val>
          </value>
        </values>
      </ddeItem>
      <ddeItem name="FITF*1.TF-BestBid1" advise="1">
        <values>
          <value>
            <val>1304.8</val>
          </value>
        </values>
      </ddeItem>
      <ddeItem name="FITF*1.TF-PreClose" advise="1">
        <values>
          <value>
            <val>1306.8</val>
          </value>
        </values>
      </ddeItem>
      <ddeItem name="FITF*1.TF-Price" advise="1">
        <values>
          <value>
            <val>1304.8</val>
          </value>
        </values>
      </ddeItem>
      <ddeItem name="FITF*2.TF-BestAsk1" advise="1">
        <values>
          <value>
            <val>1289.8</val>
          </value>
        </values>
      </ddeItem>
      <ddeItem name="FITF*2.TF-BestBid1" advise="1">
        <values>
          <value>
            <val>1288.5999999999999</val>
          </value>
        </values>
      </ddeItem>
      <ddeItem name="FITF*2.TF-PreClose" advise="1">
        <values>
          <value>
            <val>1291</val>
          </value>
        </values>
      </ddeItem>
      <ddeItem name="FITF*2.TF-Price" advise="1">
        <values>
          <value>
            <val>1289</val>
          </value>
        </values>
      </ddeItem>
      <ddeItem name="FITX*1.TF-BestAsk1" advise="1">
        <values>
          <value>
            <val>10812</val>
          </value>
        </values>
      </ddeItem>
      <ddeItem name="FITX*1.TF-BestBid1" advise="1">
        <values>
          <value>
            <val>10810</val>
          </value>
        </values>
      </ddeItem>
      <ddeItem name="FITX*1.TF-PreClose" advise="1">
        <values>
          <value>
            <val>10813</val>
          </value>
        </values>
      </ddeItem>
      <ddeItem name="FITX*1.TF-Price" advise="1">
        <values>
          <value>
            <val>10810</val>
          </value>
        </values>
      </ddeItem>
      <ddeItem name="FITX*2.TF-BestAsk1" advise="1">
        <values>
          <value>
            <val>10683</val>
          </value>
        </values>
      </ddeItem>
      <ddeItem name="FITX*2.TF-BestBid1" advise="1">
        <values>
          <value>
            <val>10679</val>
          </value>
        </values>
      </ddeItem>
      <ddeItem name="FITX*2.TF-PreClose" advise="1">
        <values>
          <value>
            <val>10679</val>
          </value>
        </values>
      </ddeItem>
      <ddeItem name="FITX*2.TF-Price" advise="1">
        <values>
          <value>
            <val>10679</val>
          </value>
        </values>
      </ddeItem>
      <ddeItem name="StdDocumentName" ole="1" advise="1"/>
    </ddeItems>
  </dd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XQ" ddeTopic="Quote">
    <ddeItems>
      <ddeItem name="A.US-BestAsk1" advise="1"/>
      <ddeItem name="A.US-BestBid1" advise="1"/>
      <ddeItem name="A.US-PreClose" advise="1"/>
      <ddeItem name="A.US-Price" advise="1"/>
      <ddeItem name="AAL.US-BestAsk1" advise="1"/>
      <ddeItem name="AAL.US-BestBid1" advise="1"/>
      <ddeItem name="AAL.US-PreClose" advise="1"/>
      <ddeItem name="AAL.US-Price" advise="1"/>
      <ddeItem name="AAP.US-BestAsk1" advise="1"/>
      <ddeItem name="AAP.US-BestBid1" advise="1"/>
      <ddeItem name="AAP.US-PreClose" advise="1"/>
      <ddeItem name="AAP.US-Price" advise="1"/>
      <ddeItem name="AAPL.US-BestAsk1" advise="1"/>
      <ddeItem name="AAPL.US-BestBid1" advise="1"/>
      <ddeItem name="AAPL.US-PreClose" advise="1"/>
      <ddeItem name="AAPL.US-Price" advise="1"/>
      <ddeItem name="ABBV.US-BestAsk1">
        <values>
          <value t="str">
            <val>N/A</val>
          </value>
        </values>
      </ddeItem>
      <ddeItem name="ABBV.US-BestBid1">
        <values>
          <value t="str">
            <val>N/A</val>
          </value>
        </values>
      </ddeItem>
      <ddeItem name="ABBV.US-PreClose">
        <values>
          <value t="str">
            <val>N/A</val>
          </value>
        </values>
      </ddeItem>
      <ddeItem name="ABBV.US-Price">
        <values>
          <value t="str">
            <val>N/A</val>
          </value>
        </values>
      </ddeItem>
      <ddeItem name="ABC.US-BestAsk1" advise="1"/>
      <ddeItem name="ABC.US-BestBid1" advise="1"/>
      <ddeItem name="ABC.US-PreClose" advise="1"/>
      <ddeItem name="ABC.US-Price" advise="1"/>
      <ddeItem name="ABT.US-BestAsk1" advise="1"/>
      <ddeItem name="ABT.US-BestBid1" advise="1"/>
      <ddeItem name="ABT.US-PreClose" advise="1"/>
      <ddeItem name="ABT.US-Price" advise="1"/>
      <ddeItem name="ACN.US-BestAsk1" advise="1"/>
      <ddeItem name="ACN.US-BestBid1" advise="1"/>
      <ddeItem name="ACN.US-PreClose" advise="1"/>
      <ddeItem name="ACN.US-Price" advise="1"/>
      <ddeItem name="ADBE.US-BestAsk1" advise="1"/>
      <ddeItem name="ADBE.US-BestBid1" advise="1"/>
      <ddeItem name="ADBE.US-PreClose" advise="1"/>
      <ddeItem name="ADBE.US-Price" advise="1"/>
      <ddeItem name="ADI.US-BestAsk1" advise="1"/>
      <ddeItem name="ADI.US-BestBid1" advise="1"/>
      <ddeItem name="ADI.US-PreClose" advise="1"/>
      <ddeItem name="ADI.US-Price" advise="1"/>
      <ddeItem name="ADM.US-BestAsk1">
        <values>
          <value t="str">
            <val>N/A</val>
          </value>
        </values>
      </ddeItem>
      <ddeItem name="ADM.US-BestBid1">
        <values>
          <value t="str">
            <val>N/A</val>
          </value>
        </values>
      </ddeItem>
      <ddeItem name="ADM.US-PreClose">
        <values>
          <value t="str">
            <val>N/A</val>
          </value>
        </values>
      </ddeItem>
      <ddeItem name="ADM.US-Price">
        <values>
          <value t="str">
            <val>N/A</val>
          </value>
        </values>
      </ddeItem>
      <ddeItem name="ADP.US-BestAsk1" advise="1"/>
      <ddeItem name="ADP.US-BestBid1" advise="1"/>
      <ddeItem name="ADP.US-PreClose" advise="1"/>
      <ddeItem name="ADP.US-Price" advise="1"/>
      <ddeItem name="ADS.US-BestAsk1" advise="1"/>
      <ddeItem name="ADS.US-BestBid1" advise="1"/>
      <ddeItem name="ADS.US-PreClose" advise="1"/>
      <ddeItem name="ADS.US-Price" advise="1"/>
      <ddeItem name="ADSK.US-BestAsk1" advise="1"/>
      <ddeItem name="ADSK.US-BestBid1" advise="1"/>
      <ddeItem name="ADSK.US-PreClose" advise="1"/>
      <ddeItem name="ADSK.US-Price" advise="1"/>
      <ddeItem name="AEE.US-BestAsk1" advise="1"/>
      <ddeItem name="AEE.US-BestBid1" advise="1"/>
      <ddeItem name="AEE.US-PreClose" advise="1"/>
      <ddeItem name="AEE.US-Price" advise="1"/>
      <ddeItem name="AEP.US-BestAsk1" advise="1"/>
      <ddeItem name="AEP.US-BestBid1" advise="1"/>
      <ddeItem name="AEP.US-PreClose" advise="1"/>
      <ddeItem name="AEP.US-Price" advise="1"/>
      <ddeItem name="AES.US-BestAsk1" advise="1"/>
      <ddeItem name="AES.US-BestBid1" advise="1"/>
      <ddeItem name="AES.US-PreClose" advise="1"/>
      <ddeItem name="AES.US-Price" advise="1"/>
      <ddeItem name="AET.US-BestAsk1" advise="1"/>
      <ddeItem name="AET.US-BestBid1" advise="1"/>
      <ddeItem name="AET.US-PreClose" advise="1"/>
      <ddeItem name="AET.US-Price" advise="1"/>
      <ddeItem name="AFL.US-BestAsk1" advise="1"/>
      <ddeItem name="AFL.US-BestBid1" advise="1"/>
      <ddeItem name="AFL.US-PreClose" advise="1"/>
      <ddeItem name="AFL.US-Price" advise="1"/>
      <ddeItem name="AGN.US-BestAsk1" advise="1"/>
      <ddeItem name="AGN.US-BestBid1" advise="1"/>
      <ddeItem name="AGN.US-PreClose" advise="1"/>
      <ddeItem name="AGN.US-Price" advise="1"/>
      <ddeItem name="AIG.US-BestAsk1" advise="1"/>
      <ddeItem name="AIG.US-BestBid1" advise="1"/>
      <ddeItem name="AIG.US-PreClose" advise="1"/>
      <ddeItem name="AIG.US-Price" advise="1"/>
      <ddeItem name="AIV.US-BestAsk1" advise="1"/>
      <ddeItem name="AIV.US-BestBid1" advise="1"/>
      <ddeItem name="AIV.US-PreClose" advise="1"/>
      <ddeItem name="AIV.US-Price" advise="1"/>
      <ddeItem name="AIZ.US-BestAsk1" advise="1"/>
      <ddeItem name="AIZ.US-BestBid1" advise="1"/>
      <ddeItem name="AIZ.US-PreClose" advise="1"/>
      <ddeItem name="AIZ.US-Price" advise="1"/>
      <ddeItem name="AJG.US-BestAsk1" advise="1"/>
      <ddeItem name="AJG.US-BestBid1" advise="1"/>
      <ddeItem name="AJG.US-PreClose" advise="1"/>
      <ddeItem name="AJG.US-Price" advise="1"/>
      <ddeItem name="AKAM.US-BestAsk1" advise="1"/>
      <ddeItem name="AKAM.US-BestBid1" advise="1"/>
      <ddeItem name="AKAM.US-PreClose" advise="1"/>
      <ddeItem name="AKAM.US-Price" advise="1"/>
      <ddeItem name="ALB.US-BestAsk1" advise="1"/>
      <ddeItem name="ALB.US-BestBid1" advise="1"/>
      <ddeItem name="ALB.US-PreClose" advise="1"/>
      <ddeItem name="ALB.US-Price" advise="1"/>
      <ddeItem name="ALGN.US-BestAsk1" advise="1"/>
      <ddeItem name="ALGN.US-BestBid1" advise="1"/>
      <ddeItem name="ALGN.US-PreClose" advise="1"/>
      <ddeItem name="ALGN.US-Price" advise="1"/>
      <ddeItem name="ALK.US-BestAsk1" advise="1"/>
      <ddeItem name="ALK.US-BestBid1" advise="1"/>
      <ddeItem name="ALK.US-PreClose" advise="1"/>
      <ddeItem name="ALK.US-Price" advise="1"/>
      <ddeItem name="ALL.US-BestAsk1" advise="1"/>
      <ddeItem name="ALL.US-BestBid1" advise="1"/>
      <ddeItem name="ALL.US-PreClose" advise="1"/>
      <ddeItem name="ALL.US-Price" advise="1"/>
      <ddeItem name="ALLE.US-BestAsk1" advise="1"/>
      <ddeItem name="ALLE.US-BestBid1" advise="1"/>
      <ddeItem name="ALLE.US-PreClose" advise="1"/>
      <ddeItem name="ALLE.US-Price" advise="1"/>
      <ddeItem name="ALXN.US-BestAsk1" advise="1"/>
      <ddeItem name="ALXN.US-BestBid1" advise="1"/>
      <ddeItem name="ALXN.US-PreClose" advise="1"/>
      <ddeItem name="ALXN.US-Price" advise="1"/>
      <ddeItem name="AMAT.US-BestAsk1" advise="1"/>
      <ddeItem name="AMAT.US-BestBid1" advise="1"/>
      <ddeItem name="AMAT.US-PreClose" advise="1"/>
      <ddeItem name="AMAT.US-Price" advise="1"/>
      <ddeItem name="AMD.US-BestAsk1" advise="1"/>
      <ddeItem name="AMD.US-BestBid1" advise="1"/>
      <ddeItem name="AMD.US-PreClose" advise="1"/>
      <ddeItem name="AMD.US-Price" advise="1"/>
      <ddeItem name="AME.US-BestAsk1" advise="1"/>
      <ddeItem name="AME.US-BestBid1" advise="1"/>
      <ddeItem name="AME.US-PreClose" advise="1"/>
      <ddeItem name="AME.US-Price" advise="1"/>
      <ddeItem name="AMG.US-BestAsk1" advise="1"/>
      <ddeItem name="AMG.US-BestBid1" advise="1"/>
      <ddeItem name="AMG.US-PreClose" advise="1"/>
      <ddeItem name="AMG.US-Price" advise="1"/>
      <ddeItem name="AMGN.US-BestAsk1" advise="1"/>
      <ddeItem name="AMGN.US-BestBid1" advise="1"/>
      <ddeItem name="AMGN.US-PreClose" advise="1"/>
      <ddeItem name="AMGN.US-Price" advise="1"/>
      <ddeItem name="AMP.US-BestAsk1" advise="1"/>
      <ddeItem name="AMP.US-BestBid1" advise="1"/>
      <ddeItem name="AMP.US-PreClose" advise="1"/>
      <ddeItem name="AMP.US-Price" advise="1"/>
      <ddeItem name="AMT.US-BestAsk1" advise="1"/>
      <ddeItem name="AMT.US-BestBid1" advise="1"/>
      <ddeItem name="AMT.US-PreClose" advise="1"/>
      <ddeItem name="AMT.US-Price" advise="1"/>
      <ddeItem name="AMZN.US-BestAsk1" advise="1"/>
      <ddeItem name="AMZN.US-BestBid1" advise="1"/>
      <ddeItem name="AMZN.US-PreClose" advise="1"/>
      <ddeItem name="AMZN.US-Price" advise="1"/>
      <ddeItem name="ANDV.US-BestAsk1" advise="1"/>
      <ddeItem name="ANDV.US-BestBid1" advise="1"/>
      <ddeItem name="ANDV.US-PreClose" advise="1"/>
      <ddeItem name="ANDV.US-Price" advise="1"/>
      <ddeItem name="ANSS.US-BestAsk1" advise="1"/>
      <ddeItem name="ANSS.US-BestBid1" advise="1"/>
      <ddeItem name="ANSS.US-PreClose" advise="1"/>
      <ddeItem name="ANSS.US-Price" advise="1"/>
      <ddeItem name="ANTM.US-BestAsk1" advise="1"/>
      <ddeItem name="ANTM.US-BestBid1" advise="1"/>
      <ddeItem name="ANTM.US-PreClose" advise="1"/>
      <ddeItem name="ANTM.US-Price" advise="1"/>
      <ddeItem name="AON.US-BestAsk1" advise="1"/>
      <ddeItem name="AON.US-BestBid1" advise="1"/>
      <ddeItem name="AON.US-PreClose" advise="1"/>
      <ddeItem name="AON.US-Price" advise="1"/>
      <ddeItem name="AOS.US-BestAsk1" advise="1"/>
      <ddeItem name="AOS.US-BestBid1" advise="1"/>
      <ddeItem name="AOS.US-PreClose" advise="1"/>
      <ddeItem name="AOS.US-Price" advise="1"/>
      <ddeItem name="APA.US-BestAsk1" advise="1"/>
      <ddeItem name="APA.US-BestBid1" advise="1"/>
      <ddeItem name="APA.US-PreClose" advise="1"/>
      <ddeItem name="APA.US-Price" advise="1"/>
      <ddeItem name="APC.US-BestAsk1" advise="1"/>
      <ddeItem name="APC.US-BestBid1" advise="1"/>
      <ddeItem name="APC.US-PreClose" advise="1"/>
      <ddeItem name="APC.US-Price" advise="1"/>
      <ddeItem name="APD.US-BestAsk1" advise="1"/>
      <ddeItem name="APD.US-BestBid1" advise="1"/>
      <ddeItem name="APD.US-PreClose" advise="1"/>
      <ddeItem name="APD.US-Price" advise="1"/>
      <ddeItem name="APH.US-BestAsk1" advise="1"/>
      <ddeItem name="APH.US-BestBid1" advise="1"/>
      <ddeItem name="APH.US-PreClose" advise="1"/>
      <ddeItem name="APH.US-Price" advise="1"/>
      <ddeItem name="ARE.US-BestAsk1" advise="1"/>
      <ddeItem name="ARE.US-BestBid1" advise="1"/>
      <ddeItem name="ARE.US-PreClose" advise="1"/>
      <ddeItem name="ARE.US-Price" advise="1"/>
      <ddeItem name="ARNC.US-BestAsk1" advise="1"/>
      <ddeItem name="ARNC.US-BestBid1" advise="1"/>
      <ddeItem name="ARNC.US-PreClose" advise="1"/>
      <ddeItem name="ARNC.US-Price" advise="1"/>
      <ddeItem name="ATVI.US-BestAsk1" advise="1"/>
      <ddeItem name="ATVI.US-BestBid1" advise="1"/>
      <ddeItem name="ATVI.US-PreClose" advise="1"/>
      <ddeItem name="ATVI.US-Price" advise="1"/>
      <ddeItem name="AUD.FX-Ask" advise="1"/>
      <ddeItem name="AUD.FX-AvgPrice" advise="1"/>
      <ddeItem name="AUD.FX-BestAskSize" advise="1"/>
      <ddeItem name="AUD.FX-BestBidSize" advise="1"/>
      <ddeItem name="AUD.FX-Bid" advise="1"/>
      <ddeItem name="AUD.FX-Capital" advise="1"/>
      <ddeItem name="AUD.FX-InOutRatio" advise="1"/>
      <ddeItem name="AUD.FX-MarketValue" advise="1"/>
      <ddeItem name="AUD.FX-Name" advise="1"/>
      <ddeItem name="AUD.FX-PreClose" advise="1"/>
      <ddeItem name="AUD.FX-Price" advise="1"/>
      <ddeItem name="AUD.FX-PriceChange" advise="1"/>
      <ddeItem name="AUD.FX-PriceChangeRatio" advise="1"/>
      <ddeItem name="AUD.FX-Profit" advise="1"/>
      <ddeItem name="AUD.FX-TotalVolume" advise="1"/>
      <ddeItem name="AUD.FX-Volume" advise="1"/>
      <ddeItem name="AUDTW.FX-Ask" advise="1"/>
      <ddeItem name="AUDTW.FX-AvgPrice" advise="1"/>
      <ddeItem name="AUDTW.FX-BestAskSize" advise="1"/>
      <ddeItem name="AUDTW.FX-BestBidSize" advise="1"/>
      <ddeItem name="AUDTW.FX-Bid" advise="1"/>
      <ddeItem name="AUDTW.FX-Capital" advise="1"/>
      <ddeItem name="AUDTW.FX-InOutRatio" advise="1"/>
      <ddeItem name="AUDTW.FX-MarketValue" advise="1"/>
      <ddeItem name="AUDTW.FX-Name" advise="1"/>
      <ddeItem name="AUDTW.FX-PreClose" advise="1"/>
      <ddeItem name="AUDTW.FX-Price" advise="1"/>
      <ddeItem name="AUDTW.FX-PriceChange" advise="1"/>
      <ddeItem name="AUDTW.FX-PriceChangeRatio" advise="1"/>
      <ddeItem name="AUDTW.FX-Profit" advise="1"/>
      <ddeItem name="AUDTW.FX-TotalVolume" advise="1"/>
      <ddeItem name="AUDTW.FX-Volume" advise="1"/>
      <ddeItem name="AVB.US-BestAsk1" advise="1"/>
      <ddeItem name="AVB.US-BestBid1" advise="1"/>
      <ddeItem name="AVB.US-PreClose" advise="1"/>
      <ddeItem name="AVB.US-Price" advise="1"/>
      <ddeItem name="AVGO.US-BestAsk1" advise="1"/>
      <ddeItem name="AVGO.US-BestBid1" advise="1"/>
      <ddeItem name="AVGO.US-PreClose" advise="1"/>
      <ddeItem name="AVGO.US-Price" advise="1"/>
      <ddeItem name="AVY.US-BestAsk1" advise="1"/>
      <ddeItem name="AVY.US-BestBid1" advise="1"/>
      <ddeItem name="AVY.US-PreClose" advise="1"/>
      <ddeItem name="AVY.US-Price" advise="1"/>
      <ddeItem name="AWK.US-BestAsk1" advise="1"/>
      <ddeItem name="AWK.US-BestBid1" advise="1"/>
      <ddeItem name="AWK.US-PreClose" advise="1"/>
      <ddeItem name="AWK.US-Price" advise="1"/>
      <ddeItem name="AXP.US-BestAsk1">
        <values>
          <value t="str">
            <val>N/A</val>
          </value>
        </values>
      </ddeItem>
      <ddeItem name="AXP.US-BestBid1">
        <values>
          <value t="str">
            <val>N/A</val>
          </value>
        </values>
      </ddeItem>
      <ddeItem name="AXP.US-PreClose">
        <values>
          <value t="str">
            <val>N/A</val>
          </value>
        </values>
      </ddeItem>
      <ddeItem name="AXP.US-Price">
        <values>
          <value t="str">
            <val>N/A</val>
          </value>
        </values>
      </ddeItem>
      <ddeItem name="AYI.US-BestAsk1" advise="1"/>
      <ddeItem name="AYI.US-BestBid1" advise="1"/>
      <ddeItem name="AYI.US-PreClose" advise="1"/>
      <ddeItem name="AYI.US-Price" advise="1"/>
      <ddeItem name="AZO.US-BestAsk1" advise="1"/>
      <ddeItem name="AZO.US-BestBid1" advise="1"/>
      <ddeItem name="AZO.US-PreClose" advise="1"/>
      <ddeItem name="AZO.US-Price" advise="1"/>
      <ddeItem name="BA.US-BestAsk1">
        <values>
          <value t="str">
            <val>N/A</val>
          </value>
        </values>
      </ddeItem>
      <ddeItem name="BA.US-BestBid1">
        <values>
          <value t="str">
            <val>N/A</val>
          </value>
        </values>
      </ddeItem>
      <ddeItem name="BA.US-PreClose">
        <values>
          <value t="str">
            <val>N/A</val>
          </value>
        </values>
      </ddeItem>
      <ddeItem name="BA.US-Price">
        <values>
          <value t="str">
            <val>N/A</val>
          </value>
        </values>
      </ddeItem>
      <ddeItem name="BAC.US-BestAsk1" advise="1"/>
      <ddeItem name="BAC.US-BestBid1" advise="1"/>
      <ddeItem name="BAC.US-PreClose" advise="1"/>
      <ddeItem name="BAC.US-Price" advise="1"/>
      <ddeItem name="BAX.US-BestAsk1" advise="1"/>
      <ddeItem name="BAX.US-BestBid1" advise="1"/>
      <ddeItem name="BAX.US-PreClose" advise="1"/>
      <ddeItem name="BAX.US-Price" advise="1"/>
      <ddeItem name="BBT.US-BestAsk1" advise="1"/>
      <ddeItem name="BBT.US-BestBid1" advise="1"/>
      <ddeItem name="BBT.US-PreClose" advise="1"/>
      <ddeItem name="BBT.US-Price" advise="1"/>
      <ddeItem name="BBY.US-BestAsk1" advise="1"/>
      <ddeItem name="BBY.US-BestBid1" advise="1"/>
      <ddeItem name="BBY.US-PreClose" advise="1"/>
      <ddeItem name="BBY.US-Price" advise="1"/>
      <ddeItem name="BCR.US-BestAsk1" advise="1"/>
      <ddeItem name="BCR.US-BestBid1" advise="1"/>
      <ddeItem name="BCR.US-PreClose" advise="1"/>
      <ddeItem name="BCR.US-Price" advise="1"/>
      <ddeItem name="BDX.US-BestAsk1" advise="1"/>
      <ddeItem name="BDX.US-BestBid1" advise="1"/>
      <ddeItem name="BDX.US-PreClose" advise="1"/>
      <ddeItem name="BDX.US-Price" advise="1"/>
      <ddeItem name="BEN.US-BestAsk1" advise="1"/>
      <ddeItem name="BEN.US-BestBid1" advise="1"/>
      <ddeItem name="BEN.US-PreClose" advise="1"/>
      <ddeItem name="BEN.US-Price" advise="1"/>
      <ddeItem name="BF.B.US-BestAsk1" advise="1"/>
      <ddeItem name="BF.B.US-BestBid1" advise="1"/>
      <ddeItem name="BF.B.US-PreClose" advise="1"/>
      <ddeItem name="BF.B.US-Price" advise="1"/>
      <ddeItem name="BHF.US-BestAsk1" advise="1"/>
      <ddeItem name="BHF.US-BestBid1" advise="1"/>
      <ddeItem name="BHF.US-PreClose" advise="1"/>
      <ddeItem name="BHF.US-Price" advise="1"/>
      <ddeItem name="BHGE.US-BestAsk1" advise="1"/>
      <ddeItem name="BHGE.US-BestBid1" advise="1"/>
      <ddeItem name="BHGE.US-PreClose" advise="1"/>
      <ddeItem name="BHGE.US-Price" advise="1"/>
      <ddeItem name="BIIB.US-BestAsk1" advise="1"/>
      <ddeItem name="BIIB.US-BestBid1" advise="1"/>
      <ddeItem name="BIIB.US-PreClose" advise="1"/>
      <ddeItem name="BIIB.US-Price" advise="1"/>
      <ddeItem name="BK.US-BestAsk1" advise="1"/>
      <ddeItem name="BK.US-BestBid1" advise="1"/>
      <ddeItem name="BK.US-PreClose" advise="1"/>
      <ddeItem name="BK.US-Price" advise="1"/>
      <ddeItem name="BLK.US-BestAsk1" advise="1"/>
      <ddeItem name="BLK.US-BestBid1" advise="1"/>
      <ddeItem name="BLK.US-PreClose" advise="1"/>
      <ddeItem name="BLK.US-Price" advise="1"/>
      <ddeItem name="BLL.US-BestAsk1" advise="1"/>
      <ddeItem name="BLL.US-BestBid1" advise="1"/>
      <ddeItem name="BLL.US-PreClose" advise="1"/>
      <ddeItem name="BLL.US-Price" advise="1"/>
      <ddeItem name="BMY.US-BestAsk1" advise="1"/>
      <ddeItem name="BMY.US-BestBid1" advise="1"/>
      <ddeItem name="BMY.US-PreClose" advise="1"/>
      <ddeItem name="BMY.US-Price" advise="1"/>
      <ddeItem name="BRK.B.US-BestAsk1" advise="1"/>
      <ddeItem name="BRK.B.US-BestBid1" advise="1"/>
      <ddeItem name="BRK.B.US-PreClose" advise="1"/>
      <ddeItem name="BRK.B.US-Price" advise="1"/>
      <ddeItem name="BSX.US-BestAsk1" advise="1"/>
      <ddeItem name="BSX.US-BestBid1" advise="1"/>
      <ddeItem name="BSX.US-PreClose" advise="1"/>
      <ddeItem name="BSX.US-Price" advise="1"/>
      <ddeItem name="BWA.US-BestAsk1" advise="1"/>
      <ddeItem name="BWA.US-BestBid1" advise="1"/>
      <ddeItem name="BWA.US-PreClose" advise="1"/>
      <ddeItem name="BWA.US-Price" advise="1"/>
      <ddeItem name="BXP.US-BestAsk1" advise="1"/>
      <ddeItem name="BXP.US-BestBid1" advise="1"/>
      <ddeItem name="BXP.US-PreClose" advise="1"/>
      <ddeItem name="BXP.US-Price" advise="1"/>
      <ddeItem name="C.US-BestAsk1" advise="1"/>
      <ddeItem name="C.US-BestBid1" advise="1"/>
      <ddeItem name="C.US-PreClose" advise="1"/>
      <ddeItem name="C.US-Price" advise="1"/>
      <ddeItem name="CA.US-BestAsk1" advise="1"/>
      <ddeItem name="CA.US-BestBid1" advise="1"/>
      <ddeItem name="CA.US-PreClose" advise="1"/>
      <ddeItem name="CA.US-Price" advise="1"/>
      <ddeItem name="CAD.FX-Ask" advise="1"/>
      <ddeItem name="CAD.FX-AvgPrice" advise="1"/>
      <ddeItem name="CAD.FX-BestAskSize" advise="1"/>
      <ddeItem name="CAD.FX-BestBidSize" advise="1"/>
      <ddeItem name="CAD.FX-Bid" advise="1"/>
      <ddeItem name="CAD.FX-Capital" advise="1"/>
      <ddeItem name="CAD.FX-InOutRatio" advise="1"/>
      <ddeItem name="CAD.FX-MarketValue" advise="1"/>
      <ddeItem name="CAD.FX-Name" advise="1"/>
      <ddeItem name="CAD.FX-PreClose" advise="1"/>
      <ddeItem name="CAD.FX-Price" advise="1"/>
      <ddeItem name="CAD.FX-PriceChange" advise="1"/>
      <ddeItem name="CAD.FX-PriceChangeRatio" advise="1"/>
      <ddeItem name="CAD.FX-Profit" advise="1"/>
      <ddeItem name="CAD.FX-TotalVolume" advise="1"/>
      <ddeItem name="CAD.FX-Volume" advise="1"/>
      <ddeItem name="CADTW.FX-Ask" advise="1"/>
      <ddeItem name="CADTW.FX-AvgPrice" advise="1"/>
      <ddeItem name="CADTW.FX-BestAskSize" advise="1"/>
      <ddeItem name="CADTW.FX-BestBidSize" advise="1"/>
      <ddeItem name="CADTW.FX-Bid" advise="1"/>
      <ddeItem name="CADTW.FX-Capital" advise="1"/>
      <ddeItem name="CADTW.FX-InOutRatio" advise="1"/>
      <ddeItem name="CADTW.FX-MarketValue" advise="1"/>
      <ddeItem name="CADTW.FX-Name" advise="1"/>
      <ddeItem name="CADTW.FX-PreClose" advise="1"/>
      <ddeItem name="CADTW.FX-Price" advise="1"/>
      <ddeItem name="CADTW.FX-PriceChange" advise="1"/>
      <ddeItem name="CADTW.FX-PriceChangeRatio" advise="1"/>
      <ddeItem name="CADTW.FX-Profit" advise="1"/>
      <ddeItem name="CADTW.FX-TotalVolume" advise="1"/>
      <ddeItem name="CADTW.FX-Volume" advise="1"/>
      <ddeItem name="CAG.US-BestAsk1" advise="1"/>
      <ddeItem name="CAG.US-BestBid1" advise="1"/>
      <ddeItem name="CAG.US-PreClose" advise="1"/>
      <ddeItem name="CAG.US-Price" advise="1"/>
      <ddeItem name="CAH.US-BestAsk1" advise="1"/>
      <ddeItem name="CAH.US-BestBid1" advise="1"/>
      <ddeItem name="CAH.US-PreClose" advise="1"/>
      <ddeItem name="CAH.US-Price" advise="1"/>
      <ddeItem name="CAT.US-BestAsk1">
        <values>
          <value t="str">
            <val>N/A</val>
          </value>
        </values>
      </ddeItem>
      <ddeItem name="CAT.US-BestBid1">
        <values>
          <value t="str">
            <val>N/A</val>
          </value>
        </values>
      </ddeItem>
      <ddeItem name="CAT.US-PreClose">
        <values>
          <value t="str">
            <val>N/A</val>
          </value>
        </values>
      </ddeItem>
      <ddeItem name="CAT.US-Price">
        <values>
          <value t="str">
            <val>N/A</val>
          </value>
        </values>
      </ddeItem>
      <ddeItem name="CB.US-BestAsk1" advise="1"/>
      <ddeItem name="CB.US-BestBid1" advise="1"/>
      <ddeItem name="CB.US-PreClose" advise="1"/>
      <ddeItem name="CB.US-Price" advise="1"/>
      <ddeItem name="CBG.US-BestAsk1" advise="1"/>
      <ddeItem name="CBG.US-BestBid1" advise="1"/>
      <ddeItem name="CBG.US-PreClose" advise="1"/>
      <ddeItem name="CBG.US-Price" advise="1"/>
      <ddeItem name="CBOE.US-BestAsk1" advise="1"/>
      <ddeItem name="CBOE.US-BestBid1" advise="1"/>
      <ddeItem name="CBOE.US-PreClose" advise="1"/>
      <ddeItem name="CBOE.US-Price" advise="1"/>
      <ddeItem name="CBS.US-BestAsk1" advise="1"/>
      <ddeItem name="CBS.US-BestBid1" advise="1"/>
      <ddeItem name="CBS.US-PreClose" advise="1"/>
      <ddeItem name="CBS.US-Price" advise="1"/>
      <ddeItem name="CCI.US-BestAsk1" advise="1"/>
      <ddeItem name="CCI.US-BestBid1" advise="1"/>
      <ddeItem name="CCI.US-PreClose" advise="1"/>
      <ddeItem name="CCI.US-Price" advise="1"/>
      <ddeItem name="CCL.US-BestAsk1" advise="1"/>
      <ddeItem name="CCL.US-BestBid1" advise="1"/>
      <ddeItem name="CCL.US-PreClose" advise="1"/>
      <ddeItem name="CCL.US-Price" advise="1"/>
      <ddeItem name="CDNS.US-BestAsk1" advise="1"/>
      <ddeItem name="CDNS.US-BestBid1" advise="1"/>
      <ddeItem name="CDNS.US-PreClose" advise="1"/>
      <ddeItem name="CDNS.US-Price" advise="1"/>
      <ddeItem name="CELG.US-BestAsk1" advise="1"/>
      <ddeItem name="CELG.US-BestBid1" advise="1"/>
      <ddeItem name="CELG.US-PreClose" advise="1"/>
      <ddeItem name="CELG.US-Price" advise="1"/>
      <ddeItem name="CERN.US-BestAsk1" advise="1"/>
      <ddeItem name="CERN.US-BestBid1" advise="1"/>
      <ddeItem name="CERN.US-PreClose" advise="1"/>
      <ddeItem name="CERN.US-Price" advise="1"/>
      <ddeItem name="CF.US-BestAsk1" advise="1"/>
      <ddeItem name="CF.US-BestBid1" advise="1"/>
      <ddeItem name="CF.US-PreClose" advise="1"/>
      <ddeItem name="CF.US-Price" advise="1"/>
      <ddeItem name="CFG.US-BestAsk1" advise="1"/>
      <ddeItem name="CFG.US-BestBid1" advise="1"/>
      <ddeItem name="CFG.US-PreClose" advise="1"/>
      <ddeItem name="CFG.US-Price" advise="1"/>
      <ddeItem name="CHD.US-BestAsk1" advise="1"/>
      <ddeItem name="CHD.US-BestBid1" advise="1"/>
      <ddeItem name="CHD.US-PreClose" advise="1"/>
      <ddeItem name="CHD.US-Price" advise="1"/>
      <ddeItem name="CHF.FX-Ask" advise="1"/>
      <ddeItem name="CHF.FX-AvgPrice" advise="1"/>
      <ddeItem name="CHF.FX-BestAskSize" advise="1"/>
      <ddeItem name="CHF.FX-BestBidSize" advise="1"/>
      <ddeItem name="CHF.FX-Bid" advise="1"/>
      <ddeItem name="CHF.FX-Capital" advise="1"/>
      <ddeItem name="CHF.FX-InOutRatio" advise="1"/>
      <ddeItem name="CHF.FX-MarketValue" advise="1"/>
      <ddeItem name="CHF.FX-Name" advise="1"/>
      <ddeItem name="CHF.FX-PreClose" advise="1"/>
      <ddeItem name="CHF.FX-Price" advise="1"/>
      <ddeItem name="CHF.FX-PriceChange" advise="1"/>
      <ddeItem name="CHF.FX-PriceChangeRatio" advise="1"/>
      <ddeItem name="CHF.FX-Profit" advise="1"/>
      <ddeItem name="CHF.FX-TotalVolume" advise="1"/>
      <ddeItem name="CHF.FX-Volume" advise="1"/>
      <ddeItem name="CHFTW.FX-Ask" advise="1"/>
      <ddeItem name="CHFTW.FX-AvgPrice" advise="1"/>
      <ddeItem name="CHFTW.FX-BestAskSize" advise="1"/>
      <ddeItem name="CHFTW.FX-BestBidSize" advise="1"/>
      <ddeItem name="CHFTW.FX-Bid" advise="1"/>
      <ddeItem name="CHFTW.FX-Capital" advise="1"/>
      <ddeItem name="CHFTW.FX-InOutRatio" advise="1"/>
      <ddeItem name="CHFTW.FX-MarketValue" advise="1"/>
      <ddeItem name="CHFTW.FX-Name" advise="1"/>
      <ddeItem name="CHFTW.FX-PreClose" advise="1"/>
      <ddeItem name="CHFTW.FX-Price" advise="1"/>
      <ddeItem name="CHFTW.FX-PriceChange" advise="1"/>
      <ddeItem name="CHFTW.FX-PriceChangeRatio" advise="1"/>
      <ddeItem name="CHFTW.FX-Profit" advise="1"/>
      <ddeItem name="CHFTW.FX-TotalVolume" advise="1"/>
      <ddeItem name="CHFTW.FX-Volume" advise="1"/>
      <ddeItem name="CHK.US-BestAsk1" advise="1"/>
      <ddeItem name="CHK.US-BestBid1" advise="1"/>
      <ddeItem name="CHK.US-PreClose" advise="1"/>
      <ddeItem name="CHK.US-Price" advise="1"/>
      <ddeItem name="CHRW.US-BestAsk1" advise="1"/>
      <ddeItem name="CHRW.US-BestBid1" advise="1"/>
      <ddeItem name="CHRW.US-PreClose" advise="1"/>
      <ddeItem name="CHRW.US-Price" advise="1"/>
      <ddeItem name="CHTR.US-BestAsk1" advise="1"/>
      <ddeItem name="CHTR.US-BestBid1" advise="1"/>
      <ddeItem name="CHTR.US-PreClose" advise="1"/>
      <ddeItem name="CHTR.US-Price" advise="1"/>
      <ddeItem name="CI.US-BestAsk1" advise="1"/>
      <ddeItem name="CI.US-BestBid1" advise="1"/>
      <ddeItem name="CI.US-PreClose" advise="1"/>
      <ddeItem name="CI.US-Price" advise="1"/>
      <ddeItem name="CINF.US-BestAsk1" advise="1"/>
      <ddeItem name="CINF.US-BestBid1" advise="1"/>
      <ddeItem name="CINF.US-PreClose" advise="1"/>
      <ddeItem name="CINF.US-Price" advise="1"/>
      <ddeItem name="CL.US-BestAsk1" advise="1"/>
      <ddeItem name="CL.US-BestBid1" advise="1"/>
      <ddeItem name="CL.US-PreClose" advise="1"/>
      <ddeItem name="CL.US-Price" advise="1"/>
      <ddeItem name="CLX.US-BestAsk1" advise="1"/>
      <ddeItem name="CLX.US-BestBid1" advise="1"/>
      <ddeItem name="CLX.US-PreClose" advise="1"/>
      <ddeItem name="CLX.US-Price" advise="1"/>
      <ddeItem name="CMA.US-BestAsk1" advise="1"/>
      <ddeItem name="CMA.US-BestBid1" advise="1"/>
      <ddeItem name="CMA.US-PreClose" advise="1"/>
      <ddeItem name="CMA.US-Price" advise="1"/>
      <ddeItem name="CMCSA.US-BestAsk1" advise="1"/>
      <ddeItem name="CMCSA.US-BestBid1" advise="1"/>
      <ddeItem name="CMCSA.US-PreClose" advise="1"/>
      <ddeItem name="CMCSA.US-Price" advise="1"/>
      <ddeItem name="CME.US-BestAsk1">
        <values>
          <value t="str">
            <val>N/A</val>
          </value>
        </values>
      </ddeItem>
      <ddeItem name="CME.US-BestBid1">
        <values>
          <value t="str">
            <val>N/A</val>
          </value>
        </values>
      </ddeItem>
      <ddeItem name="CME.US-PreClose">
        <values>
          <value t="str">
            <val>N/A</val>
          </value>
        </values>
      </ddeItem>
      <ddeItem name="CME.US-Price">
        <values>
          <value t="str">
            <val>N/A</val>
          </value>
        </values>
      </ddeItem>
      <ddeItem name="CMG.US-BestAsk1" advise="1"/>
      <ddeItem name="CMG.US-BestBid1" advise="1"/>
      <ddeItem name="CMG.US-PreClose" advise="1"/>
      <ddeItem name="CMG.US-Price" advise="1"/>
      <ddeItem name="CMI.US-BestAsk1" advise="1"/>
      <ddeItem name="CMI.US-BestBid1" advise="1"/>
      <ddeItem name="CMI.US-PreClose" advise="1"/>
      <ddeItem name="CMI.US-Price" advise="1"/>
      <ddeItem name="CMS.US-BestAsk1" advise="1"/>
      <ddeItem name="CMS.US-BestBid1" advise="1"/>
      <ddeItem name="CMS.US-PreClose" advise="1"/>
      <ddeItem name="CMS.US-Price" advise="1"/>
      <ddeItem name="CNC.US-BestAsk1" advise="1"/>
      <ddeItem name="CNC.US-BestBid1" advise="1"/>
      <ddeItem name="CNC.US-PreClose" advise="1"/>
      <ddeItem name="CNC.US-Price" advise="1"/>
      <ddeItem name="CNH.FX-Ask" advise="1"/>
      <ddeItem name="CNH.FX-AvgPrice" advise="1"/>
      <ddeItem name="CNH.FX-BestAskSize" advise="1"/>
      <ddeItem name="CNH.FX-BestBidSize" advise="1"/>
      <ddeItem name="CNH.FX-Bid" advise="1"/>
      <ddeItem name="CNH.FX-Capital" advise="1"/>
      <ddeItem name="CNH.FX-InOutRatio" advise="1"/>
      <ddeItem name="CNH.FX-MarketValue" advise="1"/>
      <ddeItem name="CNH.FX-Name" advise="1"/>
      <ddeItem name="CNH.FX-PreClose" advise="1"/>
      <ddeItem name="CNH.FX-Price">
        <values>
          <value t="str">
            <val>N/A</val>
          </value>
        </values>
      </ddeItem>
      <ddeItem name="CNH.FX-PriceChange" advise="1"/>
      <ddeItem name="CNH.FX-PriceChangeRatio" advise="1"/>
      <ddeItem name="CNH.FX-Profit" advise="1"/>
      <ddeItem name="CNH.FX-TotalVolume" advise="1"/>
      <ddeItem name="CNH.FX-Volume" advise="1"/>
      <ddeItem name="CNP.US-BestAsk1">
        <values>
          <value t="str">
            <val>N/A</val>
          </value>
        </values>
      </ddeItem>
      <ddeItem name="CNP.US-BestBid1">
        <values>
          <value t="str">
            <val>N/A</val>
          </value>
        </values>
      </ddeItem>
      <ddeItem name="CNP.US-PreClose">
        <values>
          <value t="str">
            <val>N/A</val>
          </value>
        </values>
      </ddeItem>
      <ddeItem name="CNP.US-Price">
        <values>
          <value t="str">
            <val>N/A</val>
          </value>
        </values>
      </ddeItem>
      <ddeItem name="CNY.FX-Ask" advise="1"/>
      <ddeItem name="CNY.FX-AvgPrice" advise="1"/>
      <ddeItem name="CNY.FX-BestAskSize" advise="1"/>
      <ddeItem name="CNY.FX-BestBidSize" advise="1"/>
      <ddeItem name="CNY.FX-Bid" advise="1"/>
      <ddeItem name="CNY.FX-Capital" advise="1"/>
      <ddeItem name="CNY.FX-InOutRatio" advise="1"/>
      <ddeItem name="CNY.FX-MarketValue" advise="1"/>
      <ddeItem name="CNY.FX-Name" advise="1"/>
      <ddeItem name="CNY.FX-PreClose" advise="1"/>
      <ddeItem name="CNY.FX-Price" advise="1"/>
      <ddeItem name="CNY.FX-PriceChange" advise="1"/>
      <ddeItem name="CNY.FX-PriceChangeRatio" advise="1"/>
      <ddeItem name="CNY.FX-Profit" advise="1"/>
      <ddeItem name="CNY.FX-TotalVolume" advise="1"/>
      <ddeItem name="CNY.FX-Volume" advise="1"/>
      <ddeItem name="CNYTW.FX-Ask" advise="1"/>
      <ddeItem name="CNYTW.FX-AvgPrice" advise="1"/>
      <ddeItem name="CNYTW.FX-BestAskSize" advise="1"/>
      <ddeItem name="CNYTW.FX-BestBidSize" advise="1"/>
      <ddeItem name="CNYTW.FX-Bid" advise="1"/>
      <ddeItem name="CNYTW.FX-Capital" advise="1"/>
      <ddeItem name="CNYTW.FX-InOutRatio" advise="1"/>
      <ddeItem name="CNYTW.FX-MarketValue" advise="1"/>
      <ddeItem name="CNYTW.FX-Name" advise="1"/>
      <ddeItem name="CNYTW.FX-Preclose" advise="1"/>
      <ddeItem name="CNYTW.FX-Price" advise="1"/>
      <ddeItem name="CNYTW.FX-PriceChange" advise="1"/>
      <ddeItem name="CNYTW.FX-PriceChangeRatio" advise="1"/>
      <ddeItem name="CNYTW.FX-Profit" advise="1"/>
      <ddeItem name="CNYTW.FX-TotalVolume" advise="1"/>
      <ddeItem name="CNYTW.FX-Volume" advise="1"/>
      <ddeItem name="COF.US-BestAsk1" advise="1"/>
      <ddeItem name="COF.US-BestBid1" advise="1"/>
      <ddeItem name="COF.US-PreClose" advise="1"/>
      <ddeItem name="COF.US-Price" advise="1"/>
      <ddeItem name="COG.US-BestAsk1" advise="1"/>
      <ddeItem name="COG.US-BestBid1" advise="1"/>
      <ddeItem name="COG.US-PreClose" advise="1"/>
      <ddeItem name="COG.US-Price" advise="1"/>
      <ddeItem name="COH.US-BestAsk1" advise="1"/>
      <ddeItem name="COH.US-BestBid1" advise="1"/>
      <ddeItem name="COH.US-PreClose" advise="1"/>
      <ddeItem name="COH.US-Price" advise="1"/>
      <ddeItem name="COL.US-BestAsk1" advise="1"/>
      <ddeItem name="COL.US-BestBid1" advise="1"/>
      <ddeItem name="COL.US-PreClose" advise="1"/>
      <ddeItem name="COL.US-Price" advise="1"/>
      <ddeItem name="COO.US-BestAsk1" advise="1"/>
      <ddeItem name="COO.US-BestBid1" advise="1"/>
      <ddeItem name="COO.US-PreClose" advise="1"/>
      <ddeItem name="COO.US-Price" advise="1"/>
      <ddeItem name="COP.US-BestAsk1" advise="1"/>
      <ddeItem name="COP.US-BestBid1" advise="1"/>
      <ddeItem name="COP.US-PreClose" advise="1"/>
      <ddeItem name="COP.US-Price" advise="1"/>
      <ddeItem name="COST.US-BestAsk1" advise="1"/>
      <ddeItem name="COST.US-BestBid1" advise="1"/>
      <ddeItem name="COST.US-PreClose" advise="1"/>
      <ddeItem name="COST.US-Price" advise="1"/>
      <ddeItem name="COTY.US-BestAsk1" advise="1"/>
      <ddeItem name="COTY.US-BestBid1" advise="1"/>
      <ddeItem name="COTY.US-PreClose" advise="1"/>
      <ddeItem name="COTY.US-Price" advise="1"/>
      <ddeItem name="CPB.US-BestAsk1" advise="1"/>
      <ddeItem name="CPB.US-BestBid1" advise="1"/>
      <ddeItem name="CPB.US-PreClose" advise="1"/>
      <ddeItem name="CPB.US-Price" advise="1"/>
      <ddeItem name="CRM.US-BestAsk1" advise="1"/>
      <ddeItem name="CRM.US-BestBid1" advise="1"/>
      <ddeItem name="CRM.US-PreClose" advise="1"/>
      <ddeItem name="CRM.US-Price" advise="1"/>
      <ddeItem name="CSCO.US-BestAsk1" advise="1"/>
      <ddeItem name="CSCO.US-BestBid1" advise="1"/>
      <ddeItem name="CSCO.US-PreClose" advise="1"/>
      <ddeItem name="CSCO.US-Price" advise="1"/>
      <ddeItem name="CSRA.US-BestAsk1" advise="1"/>
      <ddeItem name="CSRA.US-BestBid1" advise="1"/>
      <ddeItem name="CSRA.US-PreClose" advise="1"/>
      <ddeItem name="CSRA.US-Price" advise="1"/>
      <ddeItem name="CSX.US-BestAsk1" advise="1"/>
      <ddeItem name="CSX.US-BestBid1" advise="1"/>
      <ddeItem name="CSX.US-PreClose" advise="1"/>
      <ddeItem name="CSX.US-Price" advise="1"/>
      <ddeItem name="CTAS.US-BestAsk1" advise="1"/>
      <ddeItem name="CTAS.US-BestBid1" advise="1"/>
      <ddeItem name="CTAS.US-PreClose" advise="1"/>
      <ddeItem name="CTAS.US-Price" advise="1"/>
      <ddeItem name="CTL.US-BestAsk1" advise="1"/>
      <ddeItem name="CTL.US-BestBid1" advise="1"/>
      <ddeItem name="CTL.US-PreClose" advise="1"/>
      <ddeItem name="CTL.US-Price" advise="1"/>
      <ddeItem name="CTSH.US-BestAsk1" advise="1"/>
      <ddeItem name="CTSH.US-BestBid1" advise="1"/>
      <ddeItem name="CTSH.US-PreClose" advise="1"/>
      <ddeItem name="CTSH.US-Price" advise="1"/>
      <ddeItem name="CTXS.US-BestAsk1" advise="1"/>
      <ddeItem name="CTXS.US-BestBid1" advise="1"/>
      <ddeItem name="CTXS.US-PreClose" advise="1"/>
      <ddeItem name="CTXS.US-Price" advise="1"/>
      <ddeItem name="CVS.US-BestAsk1" advise="1"/>
      <ddeItem name="CVS.US-BestBid1" advise="1"/>
      <ddeItem name="CVS.US-PreClose" advise="1"/>
      <ddeItem name="CVS.US-Price" advise="1"/>
      <ddeItem name="CVX.US-BestAsk1">
        <values>
          <value t="str">
            <val>N/A</val>
          </value>
        </values>
      </ddeItem>
      <ddeItem name="CVX.US-BestBid1">
        <values>
          <value t="str">
            <val>N/A</val>
          </value>
        </values>
      </ddeItem>
      <ddeItem name="CVX.US-PreClose">
        <values>
          <value t="str">
            <val>N/A</val>
          </value>
        </values>
      </ddeItem>
      <ddeItem name="CVX.US-Price">
        <values>
          <value t="str">
            <val>N/A</val>
          </value>
        </values>
      </ddeItem>
      <ddeItem name="CXO.US-BestAsk1" advise="1"/>
      <ddeItem name="CXO.US-BestBid1" advise="1"/>
      <ddeItem name="CXO.US-PreClose" advise="1"/>
      <ddeItem name="CXO.US-Price" advise="1"/>
      <ddeItem name="D.US-BestAsk1">
        <values>
          <value t="str">
            <val>N/A</val>
          </value>
        </values>
      </ddeItem>
      <ddeItem name="D.US-BestBid1">
        <values>
          <value t="str">
            <val>N/A</val>
          </value>
        </values>
      </ddeItem>
      <ddeItem name="D.US-PreClose">
        <values>
          <value t="str">
            <val>N/A</val>
          </value>
        </values>
      </ddeItem>
      <ddeItem name="D.US-Price">
        <values>
          <value t="str">
            <val>N/A</val>
          </value>
        </values>
      </ddeItem>
      <ddeItem name="DAL.US-BestAsk1" advise="1"/>
      <ddeItem name="DAL.US-BestBid1" advise="1"/>
      <ddeItem name="DAL.US-PreClose" advise="1"/>
      <ddeItem name="DAL.US-Price" advise="1"/>
      <ddeItem name="DE.US-BestAsk1" advise="1"/>
      <ddeItem name="DE.US-BestBid1" advise="1"/>
      <ddeItem name="DE.US-PreClose" advise="1"/>
      <ddeItem name="DE.US-Price" advise="1"/>
      <ddeItem name="DFS.US-BestAsk1" advise="1"/>
      <ddeItem name="DFS.US-BestBid1" advise="1"/>
      <ddeItem name="DFS.US-PreClose" advise="1"/>
      <ddeItem name="DFS.US-Price" advise="1"/>
      <ddeItem name="DG.US-BestAsk1" advise="1"/>
      <ddeItem name="DG.US-BestBid1" advise="1"/>
      <ddeItem name="DG.US-PreClose" advise="1"/>
      <ddeItem name="DG.US-Price" advise="1"/>
      <ddeItem name="DGX.US-BestAsk1" advise="1"/>
      <ddeItem name="DGX.US-BestBid1" advise="1"/>
      <ddeItem name="DGX.US-PreClose" advise="1"/>
      <ddeItem name="DGX.US-Price" advise="1"/>
      <ddeItem name="DHI.US-BestAsk1" advise="1"/>
      <ddeItem name="DHI.US-BestBid1" advise="1"/>
      <ddeItem name="DHI.US-PreClose" advise="1"/>
      <ddeItem name="DHI.US-Price" advise="1"/>
      <ddeItem name="DHR.US-BestAsk1" advise="1"/>
      <ddeItem name="DHR.US-BestBid1" advise="1"/>
      <ddeItem name="DHR.US-PreClose" advise="1"/>
      <ddeItem name="DHR.US-Price" advise="1"/>
      <ddeItem name="DIS.US-BestAsk1">
        <values>
          <value t="str">
            <val>N/A</val>
          </value>
        </values>
      </ddeItem>
      <ddeItem name="DIS.US-BestBid1">
        <values>
          <value t="str">
            <val>N/A</val>
          </value>
        </values>
      </ddeItem>
      <ddeItem name="DIS.US-PreClose">
        <values>
          <value t="str">
            <val>N/A</val>
          </value>
        </values>
      </ddeItem>
      <ddeItem name="DIS.US-Price">
        <values>
          <value t="str">
            <val>N/A</val>
          </value>
        </values>
      </ddeItem>
      <ddeItem name="DISCA.US-BestAsk1" advise="1"/>
      <ddeItem name="DISCA.US-BestBid1" advise="1"/>
      <ddeItem name="DISCA.US-PreClose" advise="1"/>
      <ddeItem name="DISCA.US-Price" advise="1"/>
      <ddeItem name="DISCK.US-BestAsk1" advise="1"/>
      <ddeItem name="DISCK.US-BestBid1" advise="1"/>
      <ddeItem name="DISCK.US-PreClose" advise="1"/>
      <ddeItem name="DISCK.US-Price" advise="1"/>
      <ddeItem name="DISH.US-BestAsk1" advise="1"/>
      <ddeItem name="DISH.US-BestBid1" advise="1"/>
      <ddeItem name="DISH.US-PreClose" advise="1"/>
      <ddeItem name="DISH.US-Price" advise="1"/>
      <ddeItem name="DLPH.US-BestAsk1" advise="1"/>
      <ddeItem name="DLPH.US-BestBid1" advise="1"/>
      <ddeItem name="DLPH.US-PreClose" advise="1"/>
      <ddeItem name="DLPH.US-Price" advise="1"/>
      <ddeItem name="DLR.US-BestAsk1" advise="1"/>
      <ddeItem name="DLR.US-BestBid1" advise="1"/>
      <ddeItem name="DLR.US-PreClose" advise="1"/>
      <ddeItem name="DLR.US-Price" advise="1"/>
      <ddeItem name="DLTR.US-BestAsk1" advise="1"/>
      <ddeItem name="DLTR.US-BestBid1" advise="1"/>
      <ddeItem name="DLTR.US-PreClose" advise="1"/>
      <ddeItem name="DLTR.US-Price" advise="1"/>
      <ddeItem name="DOV.US-BestAsk1" advise="1"/>
      <ddeItem name="DOV.US-BestBid1" advise="1"/>
      <ddeItem name="DOV.US-PreClose" advise="1"/>
      <ddeItem name="DOV.US-Price" advise="1"/>
      <ddeItem name="DPS.US-BestAsk1" advise="1"/>
      <ddeItem name="DPS.US-BestBid1" advise="1"/>
      <ddeItem name="DPS.US-PreClose" advise="1"/>
      <ddeItem name="DPS.US-Price" advise="1"/>
      <ddeItem name="DRE.US-BestAsk1" advise="1"/>
      <ddeItem name="DRE.US-BestBid1" advise="1"/>
      <ddeItem name="DRE.US-PreClose" advise="1"/>
      <ddeItem name="DRE.US-Price" advise="1"/>
      <ddeItem name="DRI.US-BestAsk1" advise="1"/>
      <ddeItem name="DRI.US-BestBid1" advise="1"/>
      <ddeItem name="DRI.US-PreClose" advise="1"/>
      <ddeItem name="DRI.US-Price" advise="1"/>
      <ddeItem name="DTE.US-BestAsk1" advise="1"/>
      <ddeItem name="DTE.US-BestBid1" advise="1"/>
      <ddeItem name="DTE.US-PreClose" advise="1"/>
      <ddeItem name="DTE.US-Price" advise="1"/>
      <ddeItem name="DUK.US-BestAsk1">
        <values>
          <value t="str">
            <val>N/A</val>
          </value>
        </values>
      </ddeItem>
      <ddeItem name="DUK.US-BestBid1">
        <values>
          <value t="str">
            <val>N/A</val>
          </value>
        </values>
      </ddeItem>
      <ddeItem name="DUK.US-PreClose">
        <values>
          <value t="str">
            <val>N/A</val>
          </value>
        </values>
      </ddeItem>
      <ddeItem name="DUK.US-Price">
        <values>
          <value t="str">
            <val>N/A</val>
          </value>
        </values>
      </ddeItem>
      <ddeItem name="DVA.US-BestAsk1" advise="1"/>
      <ddeItem name="DVA.US-BestBid1" advise="1"/>
      <ddeItem name="DVA.US-PreClose" advise="1"/>
      <ddeItem name="DVA.US-Price" advise="1"/>
      <ddeItem name="DVN.US-BestAsk1" advise="1"/>
      <ddeItem name="DVN.US-BestBid1" advise="1"/>
      <ddeItem name="DVN.US-PreClose" advise="1"/>
      <ddeItem name="DVN.US-Price" advise="1"/>
      <ddeItem name="DWDP.US-BestAsk1">
        <values>
          <value t="str">
            <val>--</val>
          </value>
        </values>
      </ddeItem>
      <ddeItem name="DWDP.US-BestBid1">
        <values>
          <value t="str">
            <val>--</val>
          </value>
        </values>
      </ddeItem>
      <ddeItem name="DWDP.US-PreClose">
        <values>
          <value t="str">
            <val>--</val>
          </value>
        </values>
      </ddeItem>
      <ddeItem name="DWDP.US-Price">
        <values>
          <value t="str">
            <val>--</val>
          </value>
        </values>
      </ddeItem>
      <ddeItem name="DXC.US-BestAsk1" advise="1"/>
      <ddeItem name="DXC.US-BestBid1" advise="1"/>
      <ddeItem name="DXC.US-PreClose" advise="1"/>
      <ddeItem name="DXC.US-Price" advise="1"/>
      <ddeItem name="EA.US-BestAsk1" advise="1"/>
      <ddeItem name="EA.US-BestBid1" advise="1"/>
      <ddeItem name="EA.US-PreClose" advise="1"/>
      <ddeItem name="EA.US-Price" advise="1"/>
      <ddeItem name="EBAY.US-BestAsk1" advise="1"/>
      <ddeItem name="EBAY.US-BestBid1" advise="1"/>
      <ddeItem name="EBAY.US-PreClose" advise="1"/>
      <ddeItem name="EBAY.US-Price" advise="1"/>
      <ddeItem name="ECL.US-BestAsk1" advise="1"/>
      <ddeItem name="ECL.US-BestBid1" advise="1"/>
      <ddeItem name="ECL.US-PreClose" advise="1"/>
      <ddeItem name="ECL.US-Price" advise="1"/>
      <ddeItem name="ED.US-BestAsk1" advise="1"/>
      <ddeItem name="ED.US-BestBid1" advise="1"/>
      <ddeItem name="ED.US-PreClose" advise="1"/>
      <ddeItem name="ED.US-Price" advise="1"/>
      <ddeItem name="EFX.US-BestAsk1" advise="1"/>
      <ddeItem name="EFX.US-BestBid1" advise="1"/>
      <ddeItem name="EFX.US-PreClose" advise="1"/>
      <ddeItem name="EFX.US-Price" advise="1"/>
      <ddeItem name="EIX.US-BestAsk1" advise="1"/>
      <ddeItem name="EIX.US-BestBid1" advise="1"/>
      <ddeItem name="EIX.US-PreClose" advise="1"/>
      <ddeItem name="EIX.US-Price" advise="1"/>
      <ddeItem name="EL.US-BestAsk1" advise="1"/>
      <ddeItem name="EL.US-BestBid1" advise="1"/>
      <ddeItem name="EL.US-PreClose" advise="1"/>
      <ddeItem name="EL.US-Price" advise="1"/>
      <ddeItem name="EMN.US-BestAsk1" advise="1"/>
      <ddeItem name="EMN.US-BestBid1" advise="1"/>
      <ddeItem name="EMN.US-PreClose" advise="1"/>
      <ddeItem name="EMN.US-Price" advise="1"/>
      <ddeItem name="EMR.US-BestAsk1">
        <values>
          <value t="str">
            <val>N/A</val>
          </value>
        </values>
      </ddeItem>
      <ddeItem name="EMR.US-BestBid1">
        <values>
          <value t="str">
            <val>N/A</val>
          </value>
        </values>
      </ddeItem>
      <ddeItem name="EMR.US-PreClose">
        <values>
          <value t="str">
            <val>N/A</val>
          </value>
        </values>
      </ddeItem>
      <ddeItem name="EMR.US-Price">
        <values>
          <value t="str">
            <val>N/A</val>
          </value>
        </values>
      </ddeItem>
      <ddeItem name="EOG.US-BestAsk1" advise="1"/>
      <ddeItem name="EOG.US-BestBid1" advise="1"/>
      <ddeItem name="EOG.US-PreClose" advise="1"/>
      <ddeItem name="EOG.US-Price" advise="1"/>
      <ddeItem name="EQIX.US-BestAsk1" advise="1"/>
      <ddeItem name="EQIX.US-BestBid1" advise="1"/>
      <ddeItem name="EQIX.US-PreClose" advise="1"/>
      <ddeItem name="EQIX.US-Price" advise="1"/>
      <ddeItem name="EQR.US-BestAsk1" advise="1"/>
      <ddeItem name="EQR.US-BestBid1" advise="1"/>
      <ddeItem name="EQR.US-PreClose" advise="1"/>
      <ddeItem name="EQR.US-Price" advise="1"/>
      <ddeItem name="EQT.US-BestAsk1" advise="1"/>
      <ddeItem name="EQT.US-BestBid1" advise="1"/>
      <ddeItem name="EQT.US-PreClose" advise="1"/>
      <ddeItem name="EQT.US-Price" advise="1"/>
      <ddeItem name="ES.US-BestAsk1" advise="1"/>
      <ddeItem name="ES.US-BestBid1" advise="1"/>
      <ddeItem name="ES.US-PreClose" advise="1"/>
      <ddeItem name="ES.US-Price" advise="1"/>
      <ddeItem name="ESRX.US-BestAsk1" advise="1"/>
      <ddeItem name="ESRX.US-BestBid1" advise="1"/>
      <ddeItem name="ESRX.US-PreClose" advise="1"/>
      <ddeItem name="ESRX.US-Price" advise="1"/>
      <ddeItem name="ESS.US-BestAsk1" advise="1"/>
      <ddeItem name="ESS.US-BestBid1" advise="1"/>
      <ddeItem name="ESS.US-PreClose" advise="1"/>
      <ddeItem name="ESS.US-Price" advise="1"/>
      <ddeItem name="ETFC.US-BestAsk1" advise="1"/>
      <ddeItem name="ETFC.US-BestBid1" advise="1"/>
      <ddeItem name="ETFC.US-PreClose" advise="1"/>
      <ddeItem name="ETFC.US-Price" advise="1"/>
      <ddeItem name="ETN.US-BestAsk1">
        <values>
          <value t="str">
            <val>N/A</val>
          </value>
        </values>
      </ddeItem>
      <ddeItem name="ETN.US-BestBid1">
        <values>
          <value t="str">
            <val>N/A</val>
          </value>
        </values>
      </ddeItem>
      <ddeItem name="ETN.US-PreClose">
        <values>
          <value t="str">
            <val>N/A</val>
          </value>
        </values>
      </ddeItem>
      <ddeItem name="ETN.US-Price">
        <values>
          <value t="str">
            <val>N/A</val>
          </value>
        </values>
      </ddeItem>
      <ddeItem name="ETR.US-BestAsk1">
        <values>
          <value t="str">
            <val>N/A</val>
          </value>
        </values>
      </ddeItem>
      <ddeItem name="ETR.US-BestBid1">
        <values>
          <value t="str">
            <val>N/A</val>
          </value>
        </values>
      </ddeItem>
      <ddeItem name="ETR.US-PreClose">
        <values>
          <value t="str">
            <val>N/A</val>
          </value>
        </values>
      </ddeItem>
      <ddeItem name="ETR.US-Price">
        <values>
          <value t="str">
            <val>N/A</val>
          </value>
        </values>
      </ddeItem>
      <ddeItem name="EUR.FX-Ask" advise="1"/>
      <ddeItem name="EUR.FX-AvgPrice" advise="1"/>
      <ddeItem name="EUR.FX-BestAskSize" advise="1"/>
      <ddeItem name="EUR.FX-BestBidSize" advise="1"/>
      <ddeItem name="EUR.FX-Bid" advise="1"/>
      <ddeItem name="EUR.FX-Capital" advise="1"/>
      <ddeItem name="EUR.FX-InOutRatio" advise="1"/>
      <ddeItem name="EUR.FX-MarketValue" advise="1"/>
      <ddeItem name="EUR.FX-Name" advise="1"/>
      <ddeItem name="EUR.FX-PreClose" advise="1"/>
      <ddeItem name="EUR.FX-Price" advise="1"/>
      <ddeItem name="EUR.FX-PriceChange" advise="1"/>
      <ddeItem name="EUR.FX-PriceChangeRatio" advise="1"/>
      <ddeItem name="EUR.FX-Profit" advise="1"/>
      <ddeItem name="EUR.FX-TotalVolume" advise="1"/>
      <ddeItem name="EUR.FX-Volume" advise="1"/>
      <ddeItem name="EURTW.FX-Ask" advise="1"/>
      <ddeItem name="EURTW.FX-AvgPrice" advise="1"/>
      <ddeItem name="EURTW.FX-BestAskSize" advise="1"/>
      <ddeItem name="EURTW.FX-BestBidSize" advise="1"/>
      <ddeItem name="EURTW.FX-Bid" advise="1"/>
      <ddeItem name="EURTW.FX-Capital" advise="1"/>
      <ddeItem name="EURTW.FX-InOutRatio" advise="1"/>
      <ddeItem name="EURTW.FX-MarketValue" advise="1"/>
      <ddeItem name="EURTW.FX-Name" advise="1"/>
      <ddeItem name="EURTW.FX-PreClose" advise="1"/>
      <ddeItem name="EURTW.FX-Price" advise="1"/>
      <ddeItem name="EURTW.FX-PriceChange" advise="1"/>
      <ddeItem name="EURTW.FX-PriceChangeRatio" advise="1"/>
      <ddeItem name="EURTW.FX-Profit" advise="1"/>
      <ddeItem name="EURTW.FX-TotalVolume" advise="1"/>
      <ddeItem name="EURTW.FX-Volume" advise="1"/>
      <ddeItem name="EVHC.US-BestAsk1" advise="1"/>
      <ddeItem name="EVHC.US-BestBid1" advise="1"/>
      <ddeItem name="EVHC.US-PreClose" advise="1"/>
      <ddeItem name="EVHC.US-Price" advise="1"/>
      <ddeItem name="EW.US-BestAsk1" advise="1"/>
      <ddeItem name="EW.US-BestBid1" advise="1"/>
      <ddeItem name="EW.US-PreClose" advise="1"/>
      <ddeItem name="EW.US-Price" advise="1"/>
      <ddeItem name="EXC.US-BestAsk1">
        <values>
          <value t="str">
            <val>N/A</val>
          </value>
        </values>
      </ddeItem>
      <ddeItem name="EXC.US-BestBid1">
        <values>
          <value t="str">
            <val>N/A</val>
          </value>
        </values>
      </ddeItem>
      <ddeItem name="EXC.US-PreClose">
        <values>
          <value t="str">
            <val>N/A</val>
          </value>
        </values>
      </ddeItem>
      <ddeItem name="EXC.US-Price">
        <values>
          <value t="str">
            <val>N/A</val>
          </value>
        </values>
      </ddeItem>
      <ddeItem name="EXPD.US-BestAsk1" advise="1"/>
      <ddeItem name="EXPD.US-BestBid1" advise="1"/>
      <ddeItem name="EXPD.US-PreClose" advise="1"/>
      <ddeItem name="EXPD.US-Price" advise="1"/>
      <ddeItem name="EXPE.US-BestAsk1" advise="1"/>
      <ddeItem name="EXPE.US-BestBid1" advise="1"/>
      <ddeItem name="EXPE.US-PreClose" advise="1"/>
      <ddeItem name="EXPE.US-Price" advise="1"/>
      <ddeItem name="EXR.US-BestAsk1">
        <values>
          <value t="str">
            <val>N/A</val>
          </value>
        </values>
      </ddeItem>
      <ddeItem name="EXR.US-BestBid1">
        <values>
          <value t="str">
            <val>N/A</val>
          </value>
        </values>
      </ddeItem>
      <ddeItem name="EXR.US-PreClose">
        <values>
          <value t="str">
            <val>N/A</val>
          </value>
        </values>
      </ddeItem>
      <ddeItem name="EXR.US-Price">
        <values>
          <value t="str">
            <val>N/A</val>
          </value>
        </values>
      </ddeItem>
      <ddeItem name="F.US-BestAsk1">
        <values>
          <value t="str">
            <val>N/A</val>
          </value>
        </values>
      </ddeItem>
      <ddeItem name="F.US-BestBid1">
        <values>
          <value t="str">
            <val>N/A</val>
          </value>
        </values>
      </ddeItem>
      <ddeItem name="F.US-PreClose">
        <values>
          <value t="str">
            <val>N/A</val>
          </value>
        </values>
      </ddeItem>
      <ddeItem name="F.US-Price">
        <values>
          <value t="str">
            <val>N/A</val>
          </value>
        </values>
      </ddeItem>
      <ddeItem name="FAST.US-BestAsk1" advise="1"/>
      <ddeItem name="FAST.US-BestBid1" advise="1"/>
      <ddeItem name="FAST.US-PreClose" advise="1"/>
      <ddeItem name="FAST.US-Price" advise="1"/>
      <ddeItem name="FB.US-BestAsk1" advise="1"/>
      <ddeItem name="FB.US-BestBid1" advise="1"/>
      <ddeItem name="FB.US-PreClose" advise="1"/>
      <ddeItem name="FB.US-Price" advise="1"/>
      <ddeItem name="FBHS.US-BestAsk1" advise="1"/>
      <ddeItem name="FBHS.US-BestBid1" advise="1"/>
      <ddeItem name="FBHS.US-PreClose" advise="1"/>
      <ddeItem name="FBHS.US-Price" advise="1"/>
      <ddeItem name="FCX.US-BestAsk1" advise="1"/>
      <ddeItem name="FCX.US-BestBid1" advise="1"/>
      <ddeItem name="FCX.US-PreClose" advise="1"/>
      <ddeItem name="FCX.US-Price" advise="1"/>
      <ddeItem name="FDX.US-BestAsk1" advise="1"/>
      <ddeItem name="FDX.US-BestBid1" advise="1"/>
      <ddeItem name="FDX.US-PreClose" advise="1"/>
      <ddeItem name="FDX.US-Price" advise="1"/>
      <ddeItem name="FE.US-BestAsk1">
        <values>
          <value t="str">
            <val>N/A</val>
          </value>
        </values>
      </ddeItem>
      <ddeItem name="FE.US-BestBid1">
        <values>
          <value t="str">
            <val>N/A</val>
          </value>
        </values>
      </ddeItem>
      <ddeItem name="FE.US-PreClose">
        <values>
          <value t="str">
            <val>N/A</val>
          </value>
        </values>
      </ddeItem>
      <ddeItem name="FE.US-Price">
        <values>
          <value t="str">
            <val>N/A</val>
          </value>
        </values>
      </ddeItem>
      <ddeItem name="FFIV.US-BestAsk1" advise="1"/>
      <ddeItem name="FFIV.US-BestBid1" advise="1"/>
      <ddeItem name="FFIV.US-PreClose" advise="1"/>
      <ddeItem name="FFIV.US-Price" advise="1"/>
      <ddeItem name="FIGD*1.TF-Amplitude" advise="1"/>
      <ddeItem name="FIGD*1.TF-Ask" advise="1"/>
      <ddeItem name="FIGD*1.TF-Bid" advise="1"/>
      <ddeItem name="FIGD*1.TF-High" advise="1"/>
      <ddeItem name="FIGD*1.TF-ID" advise="1"/>
      <ddeItem name="FIGD*1.TF-Low" advise="1"/>
      <ddeItem name="FIGD*1.TF-Name" advise="1"/>
      <ddeItem name="FIGD*1.TF-Open" advise="1"/>
      <ddeItem name="FIGD*1.TF-PreClose" advise="1"/>
      <ddeItem name="FIGD*1.TF-PreTotalVolume" advise="1"/>
      <ddeItem name="FIGD*1.TF-Price" advise="1"/>
      <ddeItem name="FIGD*1.TF-PriceChange" advise="1"/>
      <ddeItem name="FIGD*1.TF-PriceChangeRatio" advise="1"/>
      <ddeItem name="FIGD*1.TF-TotalVolume" advise="1"/>
      <ddeItem name="FIGD*1.TF-Volume" advise="1"/>
      <ddeItem name="FIGD*2.TF-Amplitude" advise="1"/>
      <ddeItem name="FIGD*2.TF-Ask" advise="1"/>
      <ddeItem name="FIGD*2.TF-Bid" advise="1"/>
      <ddeItem name="FIGD*2.TF-High" advise="1"/>
      <ddeItem name="FIGD*2.TF-ID" advise="1"/>
      <ddeItem name="FIGD*2.TF-Low" advise="1"/>
      <ddeItem name="FIGD*2.TF-Name" advise="1"/>
      <ddeItem name="FIGD*2.TF-Open" advise="1"/>
      <ddeItem name="FIGD*2.TF-PreClose" advise="1"/>
      <ddeItem name="FIGD*2.TF-PreTotalVolume" advise="1"/>
      <ddeItem name="FIGD*2.TF-Price" advise="1"/>
      <ddeItem name="FIGD*2.TF-PriceChange" advise="1"/>
      <ddeItem name="FIGD*2.TF-PriceChangeRatio" advise="1"/>
      <ddeItem name="FIGD*2.TF-TotalVolume" advise="1"/>
      <ddeItem name="FIGD*2.TF-Volume" advise="1"/>
      <ddeItem name="FIGT*1.TF-Amplitude" advise="1"/>
      <ddeItem name="FIGT*1.TF-Ask" advise="1"/>
      <ddeItem name="FIGT*1.TF-Bid" advise="1"/>
      <ddeItem name="FIGT*1.TF-High" advise="1"/>
      <ddeItem name="FIGT*1.TF-ID" advise="1"/>
      <ddeItem name="FIGT*1.TF-Low" advise="1"/>
      <ddeItem name="FIGT*1.TF-Name" advise="1"/>
      <ddeItem name="FIGT*1.TF-Open" advise="1"/>
      <ddeItem name="FIGT*1.TF-PreClose" advise="1"/>
      <ddeItem name="FIGT*1.TF-PreTotalVolume" advise="1"/>
      <ddeItem name="FIGT*1.TF-Price" advise="1"/>
      <ddeItem name="FIGT*1.TF-PriceChange" advise="1"/>
      <ddeItem name="FIGT*1.TF-PriceChangeRatio" advise="1"/>
      <ddeItem name="FIGT*1.TF-TotalVolume" advise="1"/>
      <ddeItem name="FIGT*1.TF-Volume" advise="1"/>
      <ddeItem name="FIGT*2.TF-Amplitude" advise="1"/>
      <ddeItem name="FIGT*2.TF-Ask" advise="1"/>
      <ddeItem name="FIGT*2.TF-Bid" advise="1"/>
      <ddeItem name="FIGT*2.TF-High" advise="1"/>
      <ddeItem name="FIGT*2.TF-ID" advise="1"/>
      <ddeItem name="FIGT*2.TF-Low" advise="1"/>
      <ddeItem name="FIGT*2.TF-Name" advise="1"/>
      <ddeItem name="FIGT*2.TF-Open" advise="1"/>
      <ddeItem name="FIGT*2.TF-PreClose" advise="1"/>
      <ddeItem name="FIGT*2.TF-PreTotalVolume" advise="1"/>
      <ddeItem name="FIGT*2.TF-Price" advise="1"/>
      <ddeItem name="FIGT*2.TF-PriceChange" advise="1"/>
      <ddeItem name="FIGT*2.TF-PriceChangeRatio" advise="1"/>
      <ddeItem name="FIGT*2.TF-TotalVolume" advise="1"/>
      <ddeItem name="FIGT*2.TF-Volume" advise="1"/>
      <ddeItem name="FIGT00.TF-Amplitude" advise="1"/>
      <ddeItem name="FIGT00.TF-Ask" advise="1"/>
      <ddeItem name="FIGT00.TF-Bid" advise="1"/>
      <ddeItem name="FIGT00.TF-High" advise="1"/>
      <ddeItem name="FIGT00.TF-ID" advise="1"/>
      <ddeItem name="FIGT00.TF-Low" advise="1"/>
      <ddeItem name="FIGT00.TF-Name" advise="1"/>
      <ddeItem name="FIGT00.TF-Open" advise="1"/>
      <ddeItem name="FIGT00.TF-PreClose" advise="1"/>
      <ddeItem name="FIGT00.TF-PreTotalVolume" advise="1"/>
      <ddeItem name="FIGT00.TF-Price" advise="1"/>
      <ddeItem name="FIGT00.TF-PriceChange" advise="1"/>
      <ddeItem name="FIGT00.TF-PriceChangeRatio" advise="1"/>
      <ddeItem name="FIGT00.TF-TotalVolume" advise="1"/>
      <ddeItem name="FIGT00.TF-Volume" advise="1"/>
      <ddeItem name="FII5*1.TF-Amplitude" advise="1"/>
      <ddeItem name="FII5*1.TF-Ask" advise="1"/>
      <ddeItem name="FII5*1.TF-Bid" advise="1"/>
      <ddeItem name="FII5*1.TF-High" advise="1"/>
      <ddeItem name="FII5*1.TF-ID" advise="1"/>
      <ddeItem name="FII5*1.TF-Low" advise="1"/>
      <ddeItem name="FII5*1.TF-Name" advise="1"/>
      <ddeItem name="FII5*1.TF-Open" advise="1"/>
      <ddeItem name="FII5*1.TF-PreClose" advise="1"/>
      <ddeItem name="FII5*1.TF-PreTotalVolume" advise="1"/>
      <ddeItem name="FII5*1.TF-Price" advise="1"/>
      <ddeItem name="FII5*1.TF-PriceChange" advise="1"/>
      <ddeItem name="FII5*1.TF-PriceChangeRatio" advise="1"/>
      <ddeItem name="FII5*1.TF-TotalVolume" advise="1"/>
      <ddeItem name="FII5*1.TF-Volume" advise="1"/>
      <ddeItem name="FII5*2.TF-Amplitude" advise="1"/>
      <ddeItem name="FII5*2.TF-Ask" advise="1"/>
      <ddeItem name="FII5*2.TF-Bid" advise="1"/>
      <ddeItem name="FII5*2.TF-High" advise="1"/>
      <ddeItem name="FII5*2.TF-ID" advise="1"/>
      <ddeItem name="FII5*2.TF-Low" advise="1"/>
      <ddeItem name="FII5*2.TF-Name" advise="1"/>
      <ddeItem name="FII5*2.TF-Open" advise="1"/>
      <ddeItem name="FII5*2.TF-PreClose" advise="1"/>
      <ddeItem name="FII5*2.TF-PreTotalVolume" advise="1"/>
      <ddeItem name="FII5*2.TF-Price" advise="1"/>
      <ddeItem name="FII5*2.TF-PriceChange" advise="1"/>
      <ddeItem name="FII5*2.TF-PriceChangeRatio" advise="1"/>
      <ddeItem name="FII5*2.TF-TotalVolume" advise="1"/>
      <ddeItem name="FII5*2.TF-Volume" advise="1"/>
      <ddeItem name="FIMTX*1.TF-Amplitude" advise="1"/>
      <ddeItem name="FIMTX*1.TF-Ask" advise="1"/>
      <ddeItem name="FIMTX*1.TF-Bid" advise="1"/>
      <ddeItem name="FIMTX*1.TF-High" advise="1"/>
      <ddeItem name="FIMTX*1.TF-ID" advise="1"/>
      <ddeItem name="FIMTX*1.TF-Low" advise="1"/>
      <ddeItem name="FIMTX*1.TF-Name" advise="1"/>
      <ddeItem name="FIMTX*1.TF-Open" advise="1"/>
      <ddeItem name="FIMTX*1.TF-PreClose" advise="1"/>
      <ddeItem name="FIMTX*1.TF-PreTotalVolume" advise="1"/>
      <ddeItem name="FIMTX*1.TF-Price" advise="1"/>
      <ddeItem name="FIMTX*1.TF-PriceChange" advise="1"/>
      <ddeItem name="FIMTX*1.TF-PriceChangeRatio" advise="1"/>
      <ddeItem name="FIMTX*1.TF-TotalVolume" advise="1"/>
      <ddeItem name="FIMTX*1.TF-Volume" advise="1"/>
      <ddeItem name="FIMTX*2.TF-Amplitude" advise="1"/>
      <ddeItem name="FIMTX*2.TF-Ask" advise="1"/>
      <ddeItem name="FIMTX*2.TF-Bid" advise="1"/>
      <ddeItem name="FIMTX*2.TF-High" advise="1"/>
      <ddeItem name="FIMTX*2.TF-ID" advise="1"/>
      <ddeItem name="FIMTX*2.TF-Low" advise="1"/>
      <ddeItem name="FIMTX*2.TF-Name" advise="1"/>
      <ddeItem name="FIMTX*2.TF-Open" advise="1"/>
      <ddeItem name="FIMTX*2.TF-PreClose" advise="1"/>
      <ddeItem name="FIMTX*2.TF-PreTotalVolume" advise="1"/>
      <ddeItem name="FIMTX*2.TF-Price" advise="1"/>
      <ddeItem name="FIMTX*2.TF-PriceChange" advise="1"/>
      <ddeItem name="FIMTX*2.TF-PriceChangeRatio" advise="1"/>
      <ddeItem name="FIMTX*2.TF-TotalVolume" advise="1"/>
      <ddeItem name="FIMTX*2.TF-Volume" advise="1"/>
      <ddeItem name="FIMTX00.TF-Amplitude" advise="1"/>
      <ddeItem name="FIMTX00.TF-Ask" advise="1"/>
      <ddeItem name="FIMTX00.TF-Bid" advise="1"/>
      <ddeItem name="FIMTX00.TF-High" advise="1"/>
      <ddeItem name="FIMTX00.TF-ID" advise="1"/>
      <ddeItem name="FIMTX00.TF-Low" advise="1"/>
      <ddeItem name="FIMTX00.TF-Name" advise="1"/>
      <ddeItem name="FIMTX00.TF-Open" advise="1"/>
      <ddeItem name="FIMTX00.TF-PreClose" advise="1"/>
      <ddeItem name="FIMTX00.TF-PreTotalVolume" advise="1"/>
      <ddeItem name="FIMTX00.TF-Price" advise="1"/>
      <ddeItem name="FIMTX00.TF-PriceChange" advise="1"/>
      <ddeItem name="FIMTX00.TF-PriceChangeRatio" advise="1"/>
      <ddeItem name="FIMTX00.TF-TotalVolume" advise="1"/>
      <ddeItem name="FIMTX00.TF-Volume" advise="1"/>
      <ddeItem name="FIMTXN*1.TF-Amplitude" advise="1"/>
      <ddeItem name="FIMTXN*1.TF-Ask" advise="1"/>
      <ddeItem name="FIMTXN*1.TF-Bid" advise="1"/>
      <ddeItem name="FIMTXN*1.TF-High" advise="1"/>
      <ddeItem name="FIMTXN*1.TF-ID" advise="1"/>
      <ddeItem name="FIMTXN*1.TF-Low" advise="1"/>
      <ddeItem name="FIMTXN*1.TF-Name" advise="1"/>
      <ddeItem name="FIMTXN*1.TF-Open" advise="1"/>
      <ddeItem name="FIMTXN*1.TF-PreClose" advise="1"/>
      <ddeItem name="FIMTXN*1.TF-PreTotalVolume" advise="1"/>
      <ddeItem name="FIMTXN*1.TF-Price" advise="1"/>
      <ddeItem name="FIMTXN*1.TF-PriceChange" advise="1"/>
      <ddeItem name="FIMTXN*1.TF-PriceChangeRatio" advise="1"/>
      <ddeItem name="FIMTXN*1.TF-TotalVolume" advise="1"/>
      <ddeItem name="FIMTXN*1.TF-Volume" advise="1"/>
      <ddeItem name="FIMTXN*2.TF-Amplitude" advise="1"/>
      <ddeItem name="FIMTXN*2.TF-Ask" advise="1"/>
      <ddeItem name="FIMTXN*2.TF-Bid" advise="1"/>
      <ddeItem name="FIMTXN*2.TF-High" advise="1"/>
      <ddeItem name="FIMTXN*2.TF-ID" advise="1"/>
      <ddeItem name="FIMTXN*2.TF-Low" advise="1"/>
      <ddeItem name="FIMTXN*2.TF-Name" advise="1"/>
      <ddeItem name="FIMTXN*2.TF-Open" advise="1"/>
      <ddeItem name="FIMTXN*2.TF-PreClose" advise="1"/>
      <ddeItem name="FIMTXN*2.TF-PreTotalVolume" advise="1"/>
      <ddeItem name="FIMTXN*2.TF-Price" advise="1"/>
      <ddeItem name="FIMTXN*2.TF-PriceChange" advise="1"/>
      <ddeItem name="FIMTXN*2.TF-PriceChangeRatio" advise="1"/>
      <ddeItem name="FIMTXN*2.TF-TotalVolume" advise="1"/>
      <ddeItem name="FIMTXN*2.TF-Volume" advise="1"/>
      <ddeItem name="FINYF*1.TF-Amplitude" advise="1"/>
      <ddeItem name="FINYF*1.TF-Ask" advise="1"/>
      <ddeItem name="FINYF*1.TF-Bid" advise="1"/>
      <ddeItem name="FINYF*1.TF-High" advise="1"/>
      <ddeItem name="FINYF*1.TF-ID" advise="1"/>
      <ddeItem name="FINYF*1.TF-Low" advise="1"/>
      <ddeItem name="FINYF*1.TF-Name" advise="1"/>
      <ddeItem name="FINYF*1.TF-Open" advise="1"/>
      <ddeItem name="FINYF*1.TF-PreClose" advise="1"/>
      <ddeItem name="FINYF*1.TF-PreTotalVolume" advise="1"/>
      <ddeItem name="FINYF*1.TF-Price" advise="1"/>
      <ddeItem name="FINYF*1.TF-PriceChange" advise="1"/>
      <ddeItem name="FINYF*1.TF-PriceChangeRatio" advise="1"/>
      <ddeItem name="FINYF*1.TF-TotalVolume" advise="1"/>
      <ddeItem name="FINYF*1.TF-Volume" advise="1"/>
      <ddeItem name="FINYF*2.TF-Amplitude" advise="1"/>
      <ddeItem name="FINYF*2.TF-Ask" advise="1"/>
      <ddeItem name="FINYF*2.TF-Bid" advise="1"/>
      <ddeItem name="FINYF*2.TF-High" advise="1"/>
      <ddeItem name="FINYF*2.TF-ID" advise="1"/>
      <ddeItem name="FINYF*2.TF-Low" advise="1"/>
      <ddeItem name="FINYF*2.TF-Name" advise="1"/>
      <ddeItem name="FINYF*2.TF-Open" advise="1"/>
      <ddeItem name="FINYF*2.TF-PreClose" advise="1"/>
      <ddeItem name="FINYF*2.TF-PreTotalVolume" advise="1"/>
      <ddeItem name="FINYF*2.TF-Price" advise="1"/>
      <ddeItem name="FINYF*2.TF-PriceChange" advise="1"/>
      <ddeItem name="FINYF*2.TF-PriceChangeRatio" advise="1"/>
      <ddeItem name="FINYF*2.TF-TotalVolume" advise="1"/>
      <ddeItem name="FINYF*2.TF-Volume" advise="1"/>
      <ddeItem name="FINYF00.TF-Amplitude" advise="1"/>
      <ddeItem name="FINYF00.TF-Ask" advise="1"/>
      <ddeItem name="FINYF00.TF-Bid" advise="1"/>
      <ddeItem name="FINYF00.TF-High" advise="1"/>
      <ddeItem name="FINYF00.TF-ID" advise="1"/>
      <ddeItem name="FINYF00.TF-Low" advise="1"/>
      <ddeItem name="FINYF00.TF-Name" advise="1"/>
      <ddeItem name="FINYF00.TF-Open" advise="1"/>
      <ddeItem name="FINYF00.TF-PreClose" advise="1"/>
      <ddeItem name="FINYF00.TF-PreTotalVolume" advise="1"/>
      <ddeItem name="FINYF00.TF-Price" advise="1"/>
      <ddeItem name="FINYF00.TF-PriceChange" advise="1"/>
      <ddeItem name="FINYF00.TF-PriceChangeRatio" advise="1"/>
      <ddeItem name="FINYF00.TF-TotalVolume" advise="1"/>
      <ddeItem name="FINYF00.TF-Volume" advise="1"/>
      <ddeItem name="FINZF*1.TF-Amplitude" advise="1"/>
      <ddeItem name="FINZF*1.TF-Ask" advise="1"/>
      <ddeItem name="FINZF*1.TF-Bid" advise="1"/>
      <ddeItem name="FINZF*1.TF-High" advise="1"/>
      <ddeItem name="FINZF*1.TF-ID" advise="1"/>
      <ddeItem name="FINZF*1.TF-Low" advise="1"/>
      <ddeItem name="FINZF*1.TF-Name" advise="1"/>
      <ddeItem name="FINZF*1.TF-Open" advise="1"/>
      <ddeItem name="FINZF*1.TF-PreClose" advise="1"/>
      <ddeItem name="FINZF*1.TF-PreTotalVolume" advise="1"/>
      <ddeItem name="FINZF*1.TF-Price" advise="1"/>
      <ddeItem name="FINZF*1.TF-PriceChange" advise="1"/>
      <ddeItem name="FINZF*1.TF-PriceChangeRatio" advise="1"/>
      <ddeItem name="FINZF*1.TF-TotalVolume" advise="1"/>
      <ddeItem name="FINZF*1.TF-Volume" advise="1"/>
      <ddeItem name="FINZF*2.TF-Amplitude" advise="1"/>
      <ddeItem name="FINZF*2.TF-Ask" advise="1"/>
      <ddeItem name="FINZF*2.TF-Bid" advise="1"/>
      <ddeItem name="FINZF*2.TF-High" advise="1"/>
      <ddeItem name="FINZF*2.TF-ID" advise="1"/>
      <ddeItem name="FINZF*2.TF-Low" advise="1"/>
      <ddeItem name="FINZF*2.TF-Name" advise="1"/>
      <ddeItem name="FINZF*2.TF-Open" advise="1"/>
      <ddeItem name="FINZF*2.TF-PreClose" advise="1"/>
      <ddeItem name="FINZF*2.TF-PreTotalVolume" advise="1"/>
      <ddeItem name="FINZF*2.TF-Price" advise="1"/>
      <ddeItem name="FINZF*2.TF-PriceChange" advise="1"/>
      <ddeItem name="FINZF*2.TF-PriceChangeRatio" advise="1"/>
      <ddeItem name="FINZF*2.TF-TotalVolume" advise="1"/>
      <ddeItem name="FINZF*2.TF-Volume" advise="1"/>
      <ddeItem name="FINZF00.TF-Amplitude" advise="1"/>
      <ddeItem name="FINZF00.TF-Ask" advise="1"/>
      <ddeItem name="FINZF00.TF-Bid" advise="1"/>
      <ddeItem name="FINZF00.TF-High" advise="1"/>
      <ddeItem name="FINZF00.TF-ID" advise="1"/>
      <ddeItem name="FINZF00.TF-Low" advise="1"/>
      <ddeItem name="FINZF00.TF-Name" advise="1"/>
      <ddeItem name="FINZF00.TF-Open" advise="1"/>
      <ddeItem name="FINZF00.TF-PreClose" advise="1"/>
      <ddeItem name="FINZF00.TF-PreTotalVolume" advise="1"/>
      <ddeItem name="FINZF00.TF-Price" advise="1"/>
      <ddeItem name="FINZF00.TF-PriceChange" advise="1"/>
      <ddeItem name="FINZF00.TF-PriceChangeRatio" advise="1"/>
      <ddeItem name="FINZF00.TF-TotalVolume" advise="1"/>
      <ddeItem name="FINZF00.TF-Volume" advise="1"/>
      <ddeItem name="FIOAF*1.TF-Amplitude" advise="1"/>
      <ddeItem name="FIOAF*1.TF-Ask" advise="1"/>
      <ddeItem name="FIOAF*1.TF-Bid" advise="1"/>
      <ddeItem name="FIOAF*1.TF-High" advise="1"/>
      <ddeItem name="FIOAF*1.TF-ID" advise="1"/>
      <ddeItem name="FIOAF*1.TF-Low" advise="1"/>
      <ddeItem name="FIOAF*1.TF-Name" advise="1"/>
      <ddeItem name="FIOAF*1.TF-Open" advise="1"/>
      <ddeItem name="FIOAF*1.TF-PreClose" advise="1"/>
      <ddeItem name="FIOAF*1.TF-PreTotalVolume" advise="1"/>
      <ddeItem name="FIOAF*1.TF-Price" advise="1"/>
      <ddeItem name="FIOAF*1.TF-PriceChange" advise="1"/>
      <ddeItem name="FIOAF*1.TF-PriceChangeRatio" advise="1"/>
      <ddeItem name="FIOAF*1.TF-TotalVolume" advise="1"/>
      <ddeItem name="FIOAF*1.TF-Volume" advise="1"/>
      <ddeItem name="FIOAF*2.TF-Amplitude" advise="1"/>
      <ddeItem name="FIOAF*2.TF-Ask" advise="1"/>
      <ddeItem name="FIOAF*2.TF-Bid" advise="1"/>
      <ddeItem name="FIOAF*2.TF-High" advise="1"/>
      <ddeItem name="FIOAF*2.TF-ID" advise="1"/>
      <ddeItem name="FIOAF*2.TF-Low" advise="1"/>
      <ddeItem name="FIOAF*2.TF-Name" advise="1"/>
      <ddeItem name="FIOAF*2.TF-Open" advise="1"/>
      <ddeItem name="FIOAF*2.TF-PreClose" advise="1"/>
      <ddeItem name="FIOAF*2.TF-PreTotalVolume" advise="1"/>
      <ddeItem name="FIOAF*2.TF-Price" advise="1"/>
      <ddeItem name="FIOAF*2.TF-PriceChange" advise="1"/>
      <ddeItem name="FIOAF*2.TF-PriceChangeRatio" advise="1"/>
      <ddeItem name="FIOAF*2.TF-TotalVolume" advise="1"/>
      <ddeItem name="FIOAF*2.TF-Volume" advise="1"/>
      <ddeItem name="FIOAF00.TF-Amplitude" advise="1"/>
      <ddeItem name="FIOAF00.TF-Ask" advise="1"/>
      <ddeItem name="FIOAF00.TF-Bid" advise="1"/>
      <ddeItem name="FIOAF00.TF-High" advise="1"/>
      <ddeItem name="FIOAF00.TF-ID" advise="1"/>
      <ddeItem name="FIOAF00.TF-Low" advise="1"/>
      <ddeItem name="FIOAF00.TF-Name" advise="1"/>
      <ddeItem name="FIOAF00.TF-Open" advise="1"/>
      <ddeItem name="FIOAF00.TF-PreClose" advise="1"/>
      <ddeItem name="FIOAF00.TF-PreTotalVolume" advise="1"/>
      <ddeItem name="FIOAF00.TF-Price" advise="1"/>
      <ddeItem name="FIOAF00.TF-PriceChange" advise="1"/>
      <ddeItem name="FIOAF00.TF-PriceChangeRatio" advise="1"/>
      <ddeItem name="FIOAF00.TF-TotalVolume" advise="1"/>
      <ddeItem name="FIOAF00.TF-Volume" advise="1"/>
      <ddeItem name="FIOBF*1.TF-Amplitude" advise="1"/>
      <ddeItem name="FIOBF*1.TF-Ask" advise="1"/>
      <ddeItem name="FIOBF*1.TF-Bid" advise="1"/>
      <ddeItem name="FIOBF*1.TF-High" advise="1"/>
      <ddeItem name="FIOBF*1.TF-ID" advise="1"/>
      <ddeItem name="FIOBF*1.TF-Low" advise="1"/>
      <ddeItem name="FIOBF*1.TF-Name" advise="1"/>
      <ddeItem name="FIOBF*1.TF-Open" advise="1"/>
      <ddeItem name="FIOBF*1.TF-PreClose" advise="1"/>
      <ddeItem name="FIOBF*1.TF-PreTotalVolume" advise="1"/>
      <ddeItem name="FIOBF*1.TF-Price" advise="1"/>
      <ddeItem name="FIOBF*1.TF-PriceChange" advise="1"/>
      <ddeItem name="FIOBF*1.TF-PriceChangeRatio" advise="1"/>
      <ddeItem name="FIOBF*1.TF-TotalVolume" advise="1"/>
      <ddeItem name="FIOBF*1.TF-Volume" advise="1"/>
      <ddeItem name="FIOBF*2.TF-Amplitude" advise="1"/>
      <ddeItem name="FIOBF*2.TF-Ask" advise="1"/>
      <ddeItem name="FIOBF*2.TF-Bid" advise="1"/>
      <ddeItem name="FIOBF*2.TF-High" advise="1"/>
      <ddeItem name="FIOBF*2.TF-ID" advise="1"/>
      <ddeItem name="FIOBF*2.TF-Low" advise="1"/>
      <ddeItem name="FIOBF*2.TF-Name" advise="1"/>
      <ddeItem name="FIOBF*2.TF-Open" advise="1"/>
      <ddeItem name="FIOBF*2.TF-PreClose" advise="1"/>
      <ddeItem name="FIOBF*2.TF-PreTotalVolume" advise="1"/>
      <ddeItem name="FIOBF*2.TF-Price" advise="1"/>
      <ddeItem name="FIOBF*2.TF-PriceChange" advise="1"/>
      <ddeItem name="FIOBF*2.TF-PriceChangeRatio" advise="1"/>
      <ddeItem name="FIOBF*2.TF-TotalVolume" advise="1"/>
      <ddeItem name="FIOBF*2.TF-Volume" advise="1"/>
      <ddeItem name="FIOBF00.TF-Amplitude" advise="1"/>
      <ddeItem name="FIOBF00.TF-Ask" advise="1"/>
      <ddeItem name="FIOBF00.TF-Bid" advise="1"/>
      <ddeItem name="FIOBF00.TF-High" advise="1"/>
      <ddeItem name="FIOBF00.TF-ID" advise="1"/>
      <ddeItem name="FIOBF00.TF-Low" advise="1"/>
      <ddeItem name="FIOBF00.TF-Name" advise="1"/>
      <ddeItem name="FIOBF00.TF-Open" advise="1"/>
      <ddeItem name="FIOBF00.TF-PreClose" advise="1"/>
      <ddeItem name="FIOBF00.TF-PreTotalVolume" advise="1"/>
      <ddeItem name="FIOBF00.TF-Price" advise="1"/>
      <ddeItem name="FIOBF00.TF-PriceChange" advise="1"/>
      <ddeItem name="FIOBF00.TF-PriceChangeRatio" advise="1"/>
      <ddeItem name="FIOBF00.TF-TotalVolume" advise="1"/>
      <ddeItem name="FIOBF00.TF-Volume" advise="1"/>
      <ddeItem name="FIOCF*1.TF-Amplitude" advise="1"/>
      <ddeItem name="FIOCF*1.TF-Ask" advise="1"/>
      <ddeItem name="FIOCF*1.TF-Bid" advise="1"/>
      <ddeItem name="FIOCF*1.TF-High" advise="1"/>
      <ddeItem name="FIOCF*1.TF-ID" advise="1"/>
      <ddeItem name="FIOCF*1.TF-Low" advise="1"/>
      <ddeItem name="FIOCF*1.TF-Name" advise="1"/>
      <ddeItem name="FIOCF*1.TF-Open" advise="1"/>
      <ddeItem name="FIOCF*1.TF-PreClose" advise="1"/>
      <ddeItem name="FIOCF*1.TF-PreTotalVolume" advise="1"/>
      <ddeItem name="FIOCF*1.TF-Price" advise="1"/>
      <ddeItem name="FIOCF*1.TF-PriceChange" advise="1"/>
      <ddeItem name="FIOCF*1.TF-PriceChangeRatio" advise="1"/>
      <ddeItem name="FIOCF*1.TF-TotalVolume" advise="1"/>
      <ddeItem name="FIOCF*1.TF-Volume" advise="1"/>
      <ddeItem name="FIOCF*2.TF-Amplitude" advise="1"/>
      <ddeItem name="FIOCF*2.TF-Ask" advise="1"/>
      <ddeItem name="FIOCF*2.TF-Bid" advise="1"/>
      <ddeItem name="FIOCF*2.TF-High" advise="1"/>
      <ddeItem name="FIOCF*2.TF-ID" advise="1"/>
      <ddeItem name="FIOCF*2.TF-Low" advise="1"/>
      <ddeItem name="FIOCF*2.TF-Name" advise="1"/>
      <ddeItem name="FIOCF*2.TF-Open" advise="1"/>
      <ddeItem name="FIOCF*2.TF-PreClose" advise="1"/>
      <ddeItem name="FIOCF*2.TF-PreTotalVolume" advise="1"/>
      <ddeItem name="FIOCF*2.TF-Price" advise="1"/>
      <ddeItem name="FIOCF*2.TF-PriceChange" advise="1"/>
      <ddeItem name="FIOCF*2.TF-PriceChangeRatio" advise="1"/>
      <ddeItem name="FIOCF*2.TF-TotalVolume" advise="1"/>
      <ddeItem name="FIOCF*2.TF-Volume" advise="1"/>
      <ddeItem name="FIOCF00.TF-Amplitude" advise="1"/>
      <ddeItem name="FIOCF00.TF-Ask" advise="1"/>
      <ddeItem name="FIOCF00.TF-Bid" advise="1"/>
      <ddeItem name="FIOCF00.TF-High" advise="1"/>
      <ddeItem name="FIOCF00.TF-ID" advise="1"/>
      <ddeItem name="FIOCF00.TF-Low" advise="1"/>
      <ddeItem name="FIOCF00.TF-Name" advise="1"/>
      <ddeItem name="FIOCF00.TF-Open" advise="1"/>
      <ddeItem name="FIOCF00.TF-PreClose" advise="1"/>
      <ddeItem name="FIOCF00.TF-PreTotalVolume" advise="1"/>
      <ddeItem name="FIOCF00.TF-Price" advise="1"/>
      <ddeItem name="FIOCF00.TF-PriceChange" advise="1"/>
      <ddeItem name="FIOCF00.TF-PriceChangeRatio" advise="1"/>
      <ddeItem name="FIOCF00.TF-TotalVolume" advise="1"/>
      <ddeItem name="FIOCF00.TF-Volume" advise="1"/>
      <ddeItem name="FIOJF*1.TF-Amplitude" advise="1"/>
      <ddeItem name="FIOJF*1.TF-Ask" advise="1"/>
      <ddeItem name="FIOJF*1.TF-Bid" advise="1"/>
      <ddeItem name="FIOJF*1.TF-High" advise="1"/>
      <ddeItem name="FIOJF*1.TF-ID" advise="1"/>
      <ddeItem name="FIOJF*1.TF-Low" advise="1"/>
      <ddeItem name="FIOJF*1.TF-Name" advise="1"/>
      <ddeItem name="FIOJF*1.TF-Open" advise="1"/>
      <ddeItem name="FIOJF*1.TF-PreClose" advise="1"/>
      <ddeItem name="FIOJF*1.TF-PreTotalVolume" advise="1"/>
      <ddeItem name="FIOJF*1.TF-Price" advise="1"/>
      <ddeItem name="FIOJF*1.TF-PriceChange" advise="1"/>
      <ddeItem name="FIOJF*1.TF-PriceChangeRatio" advise="1"/>
      <ddeItem name="FIOJF*1.TF-TotalVolume" advise="1"/>
      <ddeItem name="FIOJF*1.TF-Volume" advise="1"/>
      <ddeItem name="FIOJF*2.TF-Amplitude" advise="1"/>
      <ddeItem name="FIOJF*2.TF-Ask" advise="1"/>
      <ddeItem name="FIOJF*2.TF-Bid" advise="1"/>
      <ddeItem name="FIOJF*2.TF-High" advise="1"/>
      <ddeItem name="FIOJF*2.TF-ID" advise="1"/>
      <ddeItem name="FIOJF*2.TF-Low" advise="1"/>
      <ddeItem name="FIOJF*2.TF-Name" advise="1"/>
      <ddeItem name="FIOJF*2.TF-Open" advise="1"/>
      <ddeItem name="FIOJF*2.TF-PreClose" advise="1"/>
      <ddeItem name="FIOJF*2.TF-PreTotalVolume" advise="1"/>
      <ddeItem name="FIOJF*2.TF-Price" advise="1"/>
      <ddeItem name="FIOJF*2.TF-PriceChange" advise="1"/>
      <ddeItem name="FIOJF*2.TF-PriceChangeRatio" advise="1"/>
      <ddeItem name="FIOJF*2.TF-TotalVolume" advise="1"/>
      <ddeItem name="FIOJF*2.TF-Volume" advise="1"/>
      <ddeItem name="FIOJF00.TF-Amplitude" advise="1"/>
      <ddeItem name="FIOJF00.TF-Ask" advise="1"/>
      <ddeItem name="FIOJF00.TF-Bid" advise="1"/>
      <ddeItem name="FIOJF00.TF-High" advise="1"/>
      <ddeItem name="FIOJF00.TF-ID" advise="1"/>
      <ddeItem name="FIOJF00.TF-Low" advise="1"/>
      <ddeItem name="FIOJF00.TF-Name" advise="1"/>
      <ddeItem name="FIOJF00.TF-Open" advise="1"/>
      <ddeItem name="FIOJF00.TF-PreClose" advise="1"/>
      <ddeItem name="FIOJF00.TF-PreTotalVolume" advise="1"/>
      <ddeItem name="FIOJF00.TF-Price" advise="1"/>
      <ddeItem name="FIOJF00.TF-PriceChange" advise="1"/>
      <ddeItem name="FIOJF00.TF-PriceChangeRatio" advise="1"/>
      <ddeItem name="FIOJF00.TF-TotalVolume" advise="1"/>
      <ddeItem name="FIOJF00.TF-Volume" advise="1"/>
      <ddeItem name="FIOKF*1.TF-Amplitude" advise="1"/>
      <ddeItem name="FIOKF*1.TF-Ask" advise="1"/>
      <ddeItem name="FIOKF*1.TF-Bid" advise="1"/>
      <ddeItem name="FIOKF*1.TF-High" advise="1"/>
      <ddeItem name="FIOKF*1.TF-ID" advise="1"/>
      <ddeItem name="FIOKF*1.TF-Low" advise="1"/>
      <ddeItem name="FIOKF*1.TF-Name" advise="1"/>
      <ddeItem name="FIOKF*1.TF-Open" advise="1"/>
      <ddeItem name="FIOKF*1.TF-PreClose" advise="1"/>
      <ddeItem name="FIOKF*1.TF-PreTotalVolume" advise="1"/>
      <ddeItem name="FIOKF*1.TF-Price" advise="1"/>
      <ddeItem name="FIOKF*1.TF-PriceChange" advise="1"/>
      <ddeItem name="FIOKF*1.TF-PriceChangeRatio" advise="1"/>
      <ddeItem name="FIOKF*1.TF-TotalVolume" advise="1"/>
      <ddeItem name="FIOKF*1.TF-Volume" advise="1"/>
      <ddeItem name="FIOKF*2.TF-Amplitude" advise="1"/>
      <ddeItem name="FIOKF*2.TF-Ask" advise="1"/>
      <ddeItem name="FIOKF*2.TF-Bid" advise="1"/>
      <ddeItem name="FIOKF*2.TF-High" advise="1"/>
      <ddeItem name="FIOKF*2.TF-ID" advise="1"/>
      <ddeItem name="FIOKF*2.TF-Low" advise="1"/>
      <ddeItem name="FIOKF*2.TF-Name" advise="1"/>
      <ddeItem name="FIOKF*2.TF-Open" advise="1"/>
      <ddeItem name="FIOKF*2.TF-PreClose" advise="1"/>
      <ddeItem name="FIOKF*2.TF-PreTotalVolume" advise="1"/>
      <ddeItem name="FIOKF*2.TF-Price" advise="1"/>
      <ddeItem name="FIOKF*2.TF-PriceChange" advise="1"/>
      <ddeItem name="FIOKF*2.TF-PriceChangeRatio" advise="1"/>
      <ddeItem name="FIOKF*2.TF-TotalVolume" advise="1"/>
      <ddeItem name="FIOKF*2.TF-Volume" advise="1"/>
      <ddeItem name="FIOKF00.TF-Amplitude" advise="1"/>
      <ddeItem name="FIOKF00.TF-Ask" advise="1"/>
      <ddeItem name="FIOKF00.TF-Bid" advise="1"/>
      <ddeItem name="FIOKF00.TF-High" advise="1"/>
      <ddeItem name="FIOKF00.TF-ID" advise="1"/>
      <ddeItem name="FIOKF00.TF-Low" advise="1"/>
      <ddeItem name="FIOKF00.TF-Name" advise="1"/>
      <ddeItem name="FIOKF00.TF-Open" advise="1"/>
      <ddeItem name="FIOKF00.TF-PreClose" advise="1"/>
      <ddeItem name="FIOKF00.TF-PreTotalVolume" advise="1"/>
      <ddeItem name="FIOKF00.TF-Price" advise="1"/>
      <ddeItem name="FIOKF00.TF-PriceChange" advise="1"/>
      <ddeItem name="FIOKF00.TF-PriceChangeRatio" advise="1"/>
      <ddeItem name="FIOKF00.TF-TotalVolume" advise="1"/>
      <ddeItem name="FIOKF00.TF-Volume" advise="1"/>
      <ddeItem name="FIOOF*1.TF-Amplitude" advise="1"/>
      <ddeItem name="FIOOF*1.TF-Ask" advise="1"/>
      <ddeItem name="FIOOF*1.TF-Bid" advise="1"/>
      <ddeItem name="FIOOF*1.TF-High" advise="1"/>
      <ddeItem name="FIOOF*1.TF-ID" advise="1"/>
      <ddeItem name="FIOOF*1.TF-Low" advise="1"/>
      <ddeItem name="FIOOF*1.TF-Name" advise="1"/>
      <ddeItem name="FIOOF*1.TF-Open" advise="1"/>
      <ddeItem name="FIOOF*1.TF-PreClose" advise="1"/>
      <ddeItem name="FIOOF*1.TF-PreTotalVolume" advise="1"/>
      <ddeItem name="FIOOF*1.TF-Price" advise="1"/>
      <ddeItem name="FIOOF*1.TF-PriceChange" advise="1"/>
      <ddeItem name="FIOOF*1.TF-PriceChangeRatio" advise="1"/>
      <ddeItem name="FIOOF*1.TF-TotalVolume" advise="1"/>
      <ddeItem name="FIOOF*1.TF-Volume" advise="1"/>
      <ddeItem name="FIOOF*2.TF-Amplitude" advise="1"/>
      <ddeItem name="FIOOF*2.TF-Ask" advise="1"/>
      <ddeItem name="FIOOF*2.TF-Bid" advise="1"/>
      <ddeItem name="FIOOF*2.TF-High" advise="1"/>
      <ddeItem name="FIOOF*2.TF-ID" advise="1"/>
      <ddeItem name="FIOOF*2.TF-Low" advise="1"/>
      <ddeItem name="FIOOF*2.TF-Name" advise="1"/>
      <ddeItem name="FIOOF*2.TF-Open" advise="1"/>
      <ddeItem name="FIOOF*2.TF-PreClose" advise="1"/>
      <ddeItem name="FIOOF*2.TF-PreTotalVolume" advise="1"/>
      <ddeItem name="FIOOF*2.TF-Price" advise="1"/>
      <ddeItem name="FIOOF*2.TF-PriceChange" advise="1"/>
      <ddeItem name="FIOOF*2.TF-PriceChangeRatio" advise="1"/>
      <ddeItem name="FIOOF*2.TF-TotalVolume" advise="1"/>
      <ddeItem name="FIOOF*2.TF-Volume" advise="1"/>
      <ddeItem name="FIOOF00.TF-Amplitude" advise="1"/>
      <ddeItem name="FIOOF00.TF-Ask" advise="1"/>
      <ddeItem name="FIOOF00.TF-Bid" advise="1"/>
      <ddeItem name="FIOOF00.TF-High" advise="1"/>
      <ddeItem name="FIOOF00.TF-ID" advise="1"/>
      <ddeItem name="FIOOF00.TF-Low" advise="1"/>
      <ddeItem name="FIOOF00.TF-Name" advise="1"/>
      <ddeItem name="FIOOF00.TF-Open" advise="1"/>
      <ddeItem name="FIOOF00.TF-PreClose" advise="1"/>
      <ddeItem name="FIOOF00.TF-PreTotalVolume" advise="1"/>
      <ddeItem name="FIOOF00.TF-Price" advise="1"/>
      <ddeItem name="FIOOF00.TF-PriceChange" advise="1"/>
      <ddeItem name="FIOOF00.TF-PriceChangeRatio" advise="1"/>
      <ddeItem name="FIOOF00.TF-TotalVolume" advise="1"/>
      <ddeItem name="FIOOF00.TF-Volume" advise="1"/>
      <ddeItem name="FIS.US-BestAsk1" advise="1"/>
      <ddeItem name="FIS.US-BestBid1" advise="1"/>
      <ddeItem name="FIS.US-PreClose" advise="1"/>
      <ddeItem name="FIS.US-Price" advise="1"/>
      <ddeItem name="FISP*1.TF-Amplitude" advise="1"/>
      <ddeItem name="FISP*1.TF-Ask" advise="1"/>
      <ddeItem name="FISP*1.TF-Bid" advise="1"/>
      <ddeItem name="FISP*1.TF-High" advise="1"/>
      <ddeItem name="FISP*1.TF-ID" advise="1"/>
      <ddeItem name="FISP*1.TF-Low" advise="1"/>
      <ddeItem name="FISP*1.TF-Name" advise="1"/>
      <ddeItem name="FISP*1.TF-Open" advise="1"/>
      <ddeItem name="FISP*1.TF-PreClose" advise="1"/>
      <ddeItem name="FISP*1.TF-PreTotalVolume" advise="1"/>
      <ddeItem name="FISP*1.TF-Price" advise="1"/>
      <ddeItem name="FISP*1.TF-PriceChange" advise="1"/>
      <ddeItem name="FISP*1.TF-PriceChangeRatio" advise="1"/>
      <ddeItem name="FISP*1.TF-TotalVolume" advise="1"/>
      <ddeItem name="FISP*1.TF-Volume" advise="1"/>
      <ddeItem name="FISP*2.TF-Amplitude" advise="1"/>
      <ddeItem name="FISP*2.TF-Ask" advise="1"/>
      <ddeItem name="FISP*2.TF-Bid" advise="1"/>
      <ddeItem name="FISP*2.TF-High" advise="1"/>
      <ddeItem name="FISP*2.TF-ID" advise="1"/>
      <ddeItem name="FISP*2.TF-Low" advise="1"/>
      <ddeItem name="FISP*2.TF-Name" advise="1"/>
      <ddeItem name="FISP*2.TF-Open" advise="1"/>
      <ddeItem name="FISP*2.TF-PreClose" advise="1"/>
      <ddeItem name="FISP*2.TF-PreTotalVolume" advise="1"/>
      <ddeItem name="FISP*2.TF-Price" advise="1"/>
      <ddeItem name="FISP*2.TF-PriceChange" advise="1"/>
      <ddeItem name="FISP*2.TF-PriceChangeRatio" advise="1"/>
      <ddeItem name="FISP*2.TF-TotalVolume" advise="1"/>
      <ddeItem name="FISP*2.TF-Volume" advise="1"/>
      <ddeItem name="FISV.US-BestAsk1" advise="1"/>
      <ddeItem name="FISV.US-BestBid1" advise="1"/>
      <ddeItem name="FISV.US-PreClose" advise="1"/>
      <ddeItem name="FISV.US-Price" advise="1"/>
      <ddeItem name="FITB.US-BestAsk1" advise="1"/>
      <ddeItem name="FITB.US-BestBid1" advise="1"/>
      <ddeItem name="FITB.US-PreClose" advise="1"/>
      <ddeItem name="FITB.US-Price" advise="1"/>
      <ddeItem name="FITE*1.TF-Amplitude" advise="1"/>
      <ddeItem name="FITE*1.TF-Ask" advise="1"/>
      <ddeItem name="FITE*1.TF-Bid" advise="1"/>
      <ddeItem name="FITE*1.TF-High" advise="1"/>
      <ddeItem name="FITE*1.TF-ID" advise="1"/>
      <ddeItem name="FITE*1.TF-Low" advise="1"/>
      <ddeItem name="FITE*1.TF-Name" advise="1"/>
      <ddeItem name="FITE*1.TF-Open" advise="1"/>
      <ddeItem name="FITE*1.TF-PreClose" advise="1"/>
      <ddeItem name="FITE*1.TF-PreTotalVolume" advise="1"/>
      <ddeItem name="FITE*1.TF-Price" advise="1"/>
      <ddeItem name="FITE*1.TF-PriceChange" advise="1"/>
      <ddeItem name="FITE*1.TF-PriceChangeRatio" advise="1"/>
      <ddeItem name="FITE*1.TF-TotalVolume" advise="1"/>
      <ddeItem name="FITE*1.TF-Volume" advise="1"/>
      <ddeItem name="FITE*2.TF-Amplitude" advise="1"/>
      <ddeItem name="FITE*2.TF-Ask" advise="1"/>
      <ddeItem name="FITE*2.TF-Bid" advise="1"/>
      <ddeItem name="FITE*2.TF-High" advise="1"/>
      <ddeItem name="FITE*2.TF-ID" advise="1"/>
      <ddeItem name="FITE*2.TF-Low" advise="1"/>
      <ddeItem name="FITE*2.TF-Name" advise="1"/>
      <ddeItem name="FITE*2.TF-Open" advise="1"/>
      <ddeItem name="FITE*2.TF-PreClose" advise="1"/>
      <ddeItem name="FITE*2.TF-PreTotalVolume" advise="1"/>
      <ddeItem name="FITE*2.TF-Price" advise="1"/>
      <ddeItem name="FITE*2.TF-PriceChange" advise="1"/>
      <ddeItem name="FITE*2.TF-PriceChangeRatio" advise="1"/>
      <ddeItem name="FITE*2.TF-TotalVolume" advise="1"/>
      <ddeItem name="FITE*2.TF-Volume" advise="1"/>
      <ddeItem name="FITE00.TF-Amplitude" advise="1"/>
      <ddeItem name="FITE00.TF-Ask" advise="1"/>
      <ddeItem name="FITE00.TF-Bid" advise="1"/>
      <ddeItem name="FITE00.TF-High" advise="1"/>
      <ddeItem name="FITE00.TF-ID" advise="1"/>
      <ddeItem name="FITE00.TF-Low" advise="1"/>
      <ddeItem name="FITE00.TF-Name" advise="1"/>
      <ddeItem name="FITE00.TF-Open" advise="1"/>
      <ddeItem name="FITE00.TF-PreClose" advise="1"/>
      <ddeItem name="FITE00.TF-PreTotalVolume" advise="1"/>
      <ddeItem name="FITE00.TF-Price" advise="1"/>
      <ddeItem name="FITE00.TF-PriceChange" advise="1"/>
      <ddeItem name="FITE00.TF-PriceChangeRatio" advise="1"/>
      <ddeItem name="FITE00.TF-TotalVolume" advise="1"/>
      <ddeItem name="FITE00.TF-Volume" advise="1"/>
      <ddeItem name="FITF*1.TF-Amplitude" advise="1"/>
      <ddeItem name="FITF*1.TF-Ask" advise="1"/>
      <ddeItem name="FITF*1.TF-Bid" advise="1"/>
      <ddeItem name="FITF*1.TF-High" advise="1"/>
      <ddeItem name="FITF*1.TF-ID" advise="1"/>
      <ddeItem name="FITF*1.TF-Low" advise="1"/>
      <ddeItem name="FITF*1.TF-Name" advise="1"/>
      <ddeItem name="FITF*1.TF-Open" advise="1"/>
      <ddeItem name="FITF*1.TF-PreClose" advise="1"/>
      <ddeItem name="FITF*1.TF-PreTotalVolume" advise="1"/>
      <ddeItem name="FITF*1.TF-Price" advise="1"/>
      <ddeItem name="FITF*1.TF-PriceChange" advise="1"/>
      <ddeItem name="FITF*1.TF-PriceChangeRatio" advise="1"/>
      <ddeItem name="FITF*1.TF-TotalVolume" advise="1"/>
      <ddeItem name="FITF*1.TF-Volume" advise="1"/>
      <ddeItem name="FITF*2.TF-Amplitude" advise="1"/>
      <ddeItem name="FITF*2.TF-Ask" advise="1"/>
      <ddeItem name="FITF*2.TF-Bid" advise="1"/>
      <ddeItem name="FITF*2.TF-High" advise="1"/>
      <ddeItem name="FITF*2.TF-ID" advise="1"/>
      <ddeItem name="FITF*2.TF-Low" advise="1"/>
      <ddeItem name="FITF*2.TF-Name" advise="1"/>
      <ddeItem name="FITF*2.TF-Open" advise="1"/>
      <ddeItem name="FITF*2.TF-PreClose" advise="1"/>
      <ddeItem name="FITF*2.TF-PreTotalVolume" advise="1"/>
      <ddeItem name="FITF*2.TF-Price" advise="1"/>
      <ddeItem name="FITF*2.TF-PriceChange" advise="1"/>
      <ddeItem name="FITF*2.TF-PriceChangeRatio" advise="1"/>
      <ddeItem name="FITF*2.TF-TotalVolume" advise="1"/>
      <ddeItem name="FITF*2.TF-Volume" advise="1"/>
      <ddeItem name="FITF00.TF-Amplitude" advise="1"/>
      <ddeItem name="FITF00.TF-Ask" advise="1"/>
      <ddeItem name="FITF00.TF-Bid" advise="1"/>
      <ddeItem name="FITF00.TF-High" advise="1"/>
      <ddeItem name="FITF00.TF-ID" advise="1"/>
      <ddeItem name="FITF00.TF-Low" advise="1"/>
      <ddeItem name="FITF00.TF-Name" advise="1"/>
      <ddeItem name="FITF00.TF-Open" advise="1"/>
      <ddeItem name="FITF00.TF-PreClose" advise="1"/>
      <ddeItem name="FITF00.TF-PreTotalVolume" advise="1"/>
      <ddeItem name="FITF00.TF-Price" advise="1"/>
      <ddeItem name="FITF00.TF-PriceChange" advise="1"/>
      <ddeItem name="FITF00.TF-PriceChangeRatio" advise="1"/>
      <ddeItem name="FITF00.TF-TotalVolume" advise="1"/>
      <ddeItem name="FITF00.TF-Volume" advise="1"/>
      <ddeItem name="FITG*1.TF-Amplitude" advise="1"/>
      <ddeItem name="FITG*1.TF-Ask" advise="1"/>
      <ddeItem name="FITG*1.TF-Bid" advise="1"/>
      <ddeItem name="FITG*1.TF-High" advise="1"/>
      <ddeItem name="FITG*1.TF-ID" advise="1"/>
      <ddeItem name="FITG*1.TF-Low" advise="1"/>
      <ddeItem name="FITG*1.TF-Name" advise="1"/>
      <ddeItem name="FITG*1.TF-Open" advise="1"/>
      <ddeItem name="FITG*1.TF-PreClose" advise="1"/>
      <ddeItem name="FITG*1.TF-PreTotalVolume" advise="1"/>
      <ddeItem name="FITG*1.TF-Price" advise="1"/>
      <ddeItem name="FITG*1.TF-PriceChange" advise="1"/>
      <ddeItem name="FITG*1.TF-PriceChangeRatio" advise="1"/>
      <ddeItem name="FITG*1.TF-TotalVolume" advise="1"/>
      <ddeItem name="FITG*1.TF-Volume" advise="1"/>
      <ddeItem name="FITG*2.TF-Amplitude" advise="1"/>
      <ddeItem name="FITG*2.TF-Ask" advise="1"/>
      <ddeItem name="FITG*2.TF-Bid" advise="1"/>
      <ddeItem name="FITG*2.TF-High" advise="1"/>
      <ddeItem name="FITG*2.TF-ID" advise="1"/>
      <ddeItem name="FITG*2.TF-Low" advise="1"/>
      <ddeItem name="FITG*2.TF-Name" advise="1"/>
      <ddeItem name="FITG*2.TF-Open" advise="1"/>
      <ddeItem name="FITG*2.TF-PreClose" advise="1"/>
      <ddeItem name="FITG*2.TF-PreTotalVolume" advise="1"/>
      <ddeItem name="FITG*2.TF-Price" advise="1"/>
      <ddeItem name="FITG*2.TF-PriceChange" advise="1"/>
      <ddeItem name="FITG*2.TF-PriceChangeRatio" advise="1"/>
      <ddeItem name="FITG*2.TF-TotalVolume" advise="1"/>
      <ddeItem name="FITG*2.TF-Volume" advise="1"/>
      <ddeItem name="FITJ*1.TF-Amplitude" advise="1"/>
      <ddeItem name="FITJ*1.TF-Ask" advise="1"/>
      <ddeItem name="FITJ*1.TF-Bid" advise="1"/>
      <ddeItem name="FITJ*1.TF-High" advise="1"/>
      <ddeItem name="FITJ*1.TF-ID" advise="1"/>
      <ddeItem name="FITJ*1.TF-Low" advise="1"/>
      <ddeItem name="FITJ*1.TF-Name" advise="1"/>
      <ddeItem name="FITJ*1.TF-Open" advise="1"/>
      <ddeItem name="FITJ*1.TF-PreClose" advise="1"/>
      <ddeItem name="FITJ*1.TF-PreTotalVolume" advise="1"/>
      <ddeItem name="FITJ*1.TF-Price" advise="1"/>
      <ddeItem name="FITJ*1.TF-PriceChange" advise="1"/>
      <ddeItem name="FITJ*1.TF-PriceChangeRatio" advise="1"/>
      <ddeItem name="FITJ*1.TF-TotalVolume" advise="1"/>
      <ddeItem name="FITJ*1.TF-Volume" advise="1"/>
      <ddeItem name="FITJ*2.TF-Amplitude" advise="1"/>
      <ddeItem name="FITJ*2.TF-Ask" advise="1"/>
      <ddeItem name="FITJ*2.TF-Bid" advise="1"/>
      <ddeItem name="FITJ*2.TF-High" advise="1"/>
      <ddeItem name="FITJ*2.TF-ID" advise="1"/>
      <ddeItem name="FITJ*2.TF-Low" advise="1"/>
      <ddeItem name="FITJ*2.TF-Name" advise="1"/>
      <ddeItem name="FITJ*2.TF-Open" advise="1"/>
      <ddeItem name="FITJ*2.TF-PreClose" advise="1"/>
      <ddeItem name="FITJ*2.TF-PreTotalVolume" advise="1"/>
      <ddeItem name="FITJ*2.TF-Price" advise="1"/>
      <ddeItem name="FITJ*2.TF-PriceChange" advise="1"/>
      <ddeItem name="FITJ*2.TF-PriceChangeRatio" advise="1"/>
      <ddeItem name="FITJ*2.TF-TotalVolume" advise="1"/>
      <ddeItem name="FITJ*2.TF-Volume" advise="1"/>
      <ddeItem name="FITJ00.TF-Amplitude" advise="1"/>
      <ddeItem name="FITJ00.TF-Ask" advise="1"/>
      <ddeItem name="FITJ00.TF-Bid" advise="1"/>
      <ddeItem name="FITJ00.TF-High" advise="1"/>
      <ddeItem name="FITJ00.TF-ID" advise="1"/>
      <ddeItem name="FITJ00.TF-Low" advise="1"/>
      <ddeItem name="FITJ00.TF-Name" advise="1"/>
      <ddeItem name="FITJ00.TF-Open" advise="1"/>
      <ddeItem name="FITJ00.TF-PreClose" advise="1"/>
      <ddeItem name="FITJ00.TF-PreTotalVolume" advise="1"/>
      <ddeItem name="FITJ00.TF-Price" advise="1"/>
      <ddeItem name="FITJ00.TF-PriceChange" advise="1"/>
      <ddeItem name="FITJ00.TF-PriceChangeRatio" advise="1"/>
      <ddeItem name="FITJ00.TF-TotalVolume" advise="1"/>
      <ddeItem name="FITJ00.TF-Volume" advise="1"/>
      <ddeItem name="FITV*1.TF-Amplitude" advise="1"/>
      <ddeItem name="FITV*1.TF-Ask" advise="1"/>
      <ddeItem name="FITV*1.TF-Bid" advise="1"/>
      <ddeItem name="FITV*1.TF-High" advise="1"/>
      <ddeItem name="FITV*1.TF-ID" advise="1"/>
      <ddeItem name="FITV*1.TF-Low" advise="1"/>
      <ddeItem name="FITV*1.TF-Name" advise="1"/>
      <ddeItem name="FITV*1.TF-Open" advise="1"/>
      <ddeItem name="FITV*1.TF-PreClose" advise="1"/>
      <ddeItem name="FITV*1.TF-PreTotalVolume" advise="1"/>
      <ddeItem name="FITV*1.TF-Price" advise="1"/>
      <ddeItem name="FITV*1.TF-PriceChange" advise="1"/>
      <ddeItem name="FITV*1.TF-PriceChangeRatio" advise="1"/>
      <ddeItem name="FITV*1.TF-TotalVolume" advise="1"/>
      <ddeItem name="FITV*1.TF-Volume" advise="1"/>
      <ddeItem name="FITV*2.TF-Amplitude" advise="1"/>
      <ddeItem name="FITV*2.TF-Ask" advise="1"/>
      <ddeItem name="FITV*2.TF-Bid" advise="1"/>
      <ddeItem name="FITV*2.TF-High" advise="1"/>
      <ddeItem name="FITV*2.TF-ID" advise="1"/>
      <ddeItem name="FITV*2.TF-Low" advise="1"/>
      <ddeItem name="FITV*2.TF-Name" advise="1"/>
      <ddeItem name="FITV*2.TF-Open" advise="1"/>
      <ddeItem name="FITV*2.TF-PreClose" advise="1"/>
      <ddeItem name="FITV*2.TF-PreTotalVolume" advise="1"/>
      <ddeItem name="FITV*2.TF-Price" advise="1"/>
      <ddeItem name="FITV*2.TF-PriceChange" advise="1"/>
      <ddeItem name="FITV*2.TF-PriceChangeRatio" advise="1"/>
      <ddeItem name="FITV*2.TF-TotalVolume" advise="1"/>
      <ddeItem name="FITV*2.TF-Volume" advise="1"/>
      <ddeItem name="FITV00.TF-Amplitude" advise="1"/>
      <ddeItem name="FITV00.TF-Ask" advise="1"/>
      <ddeItem name="FITV00.TF-Bid" advise="1"/>
      <ddeItem name="FITV00.TF-High" advise="1"/>
      <ddeItem name="FITV00.TF-ID" advise="1"/>
      <ddeItem name="FITV00.TF-Low" advise="1"/>
      <ddeItem name="FITV00.TF-Name" advise="1"/>
      <ddeItem name="FITV00.TF-Open" advise="1"/>
      <ddeItem name="FITV00.TF-PreClose" advise="1"/>
      <ddeItem name="FITV00.TF-PreTotalVolume" advise="1"/>
      <ddeItem name="FITV00.TF-Price" advise="1"/>
      <ddeItem name="FITV00.TF-PriceChange" advise="1"/>
      <ddeItem name="FITV00.TF-PriceChangeRatio" advise="1"/>
      <ddeItem name="FITV00.TF-TotalVolume" advise="1"/>
      <ddeItem name="FITV00.TF-Volume" advise="1"/>
      <ddeItem name="FITX*1.TF-Amplitude" advise="1"/>
      <ddeItem name="FITX*1.TF-Ask" advise="1"/>
      <ddeItem name="FITX*1.TF-Bid" advise="1"/>
      <ddeItem name="FITX*1.TF-High" advise="1"/>
      <ddeItem name="FITX*1.TF-ID" advise="1"/>
      <ddeItem name="FITX*1.TF-Low" advise="1"/>
      <ddeItem name="FITX*1.TF-Name" advise="1"/>
      <ddeItem name="FITX*1.TF-Open" advise="1"/>
      <ddeItem name="FITX*1.TF-PreClose" advise="1"/>
      <ddeItem name="FITX*1.TF-PreTotalVolume" advise="1"/>
      <ddeItem name="FITX*1.TF-Price" advise="1"/>
      <ddeItem name="FITX*1.TF-PriceChange" advise="1"/>
      <ddeItem name="FITX*1.TF-PriceChangeRatio" advise="1"/>
      <ddeItem name="FITX*1.TF-TotalVolume" advise="1"/>
      <ddeItem name="FITX*1.TF-Volume" advise="1"/>
      <ddeItem name="FITX*2.TF-Amplitude" advise="1"/>
      <ddeItem name="FITX*2.TF-Ask" advise="1"/>
      <ddeItem name="FITX*2.TF-Bid" advise="1"/>
      <ddeItem name="FITX*2.TF-High" advise="1"/>
      <ddeItem name="FITX*2.TF-ID" advise="1"/>
      <ddeItem name="FITX*2.TF-Low" advise="1"/>
      <ddeItem name="FITX*2.TF-Name" advise="1"/>
      <ddeItem name="FITX*2.TF-Open" advise="1"/>
      <ddeItem name="FITX*2.TF-PreClose" advise="1"/>
      <ddeItem name="FITX*2.TF-PreTotalVolume" advise="1"/>
      <ddeItem name="FITX*2.TF-Price" advise="1"/>
      <ddeItem name="FITX*2.TF-PriceChange" advise="1"/>
      <ddeItem name="FITX*2.TF-PriceChangeRatio" advise="1"/>
      <ddeItem name="FITX*2.TF-TotalVolume" advise="1"/>
      <ddeItem name="FITX*2.TF-Volume" advise="1"/>
      <ddeItem name="FITX00.TF-Amplitude" advise="1"/>
      <ddeItem name="FITX00.TF-Ask" advise="1"/>
      <ddeItem name="FITX00.TF-Bid" advise="1"/>
      <ddeItem name="FITX00.TF-High" advise="1"/>
      <ddeItem name="FITX00.TF-ID" advise="1"/>
      <ddeItem name="FITX00.TF-Low" advise="1"/>
      <ddeItem name="FITX00.TF-Name" advise="1"/>
      <ddeItem name="FITX00.TF-Open" advise="1"/>
      <ddeItem name="FITX00.TF-PreClose" advise="1"/>
      <ddeItem name="FITX00.TF-PreTotalVolume" advise="1"/>
      <ddeItem name="FITX00.TF-Price" advise="1"/>
      <ddeItem name="FITX00.TF-PriceChange" advise="1"/>
      <ddeItem name="FITX00.TF-PriceChangeRatio" advise="1"/>
      <ddeItem name="FITX00.TF-TotalVolume" advise="1"/>
      <ddeItem name="FITX00.TF-Volume" advise="1"/>
      <ddeItem name="FITXN*1.TF-Amplitude" advise="1"/>
      <ddeItem name="FITXN*1.TF-Ask" advise="1"/>
      <ddeItem name="FITXN*1.TF-Bid" advise="1"/>
      <ddeItem name="FITXN*1.TF-High" advise="1"/>
      <ddeItem name="FITXN*1.TF-ID" advise="1"/>
      <ddeItem name="FITXN*1.TF-Low" advise="1"/>
      <ddeItem name="FITXN*1.TF-Name" advise="1"/>
      <ddeItem name="FITXN*1.TF-Open" advise="1"/>
      <ddeItem name="FITXN*1.TF-PreClose" advise="1"/>
      <ddeItem name="FITXN*1.TF-PreTotalVolume" advise="1"/>
      <ddeItem name="FITXN*1.TF-Price" advise="1"/>
      <ddeItem name="FITXN*1.TF-PriceChange" advise="1"/>
      <ddeItem name="FITXN*1.TF-PriceChangeRatio" advise="1"/>
      <ddeItem name="FITXN*1.TF-TotalVolume" advise="1"/>
      <ddeItem name="FITXN*1.TF-Volume" advise="1"/>
      <ddeItem name="FITXN*2.TF-Amplitude" advise="1"/>
      <ddeItem name="FITXN*2.TF-Ask" advise="1"/>
      <ddeItem name="FITXN*2.TF-Bid" advise="1"/>
      <ddeItem name="FITXN*2.TF-High" advise="1"/>
      <ddeItem name="FITXN*2.TF-ID" advise="1"/>
      <ddeItem name="FITXN*2.TF-Low" advise="1"/>
      <ddeItem name="FITXN*2.TF-Name" advise="1"/>
      <ddeItem name="FITXN*2.TF-Open" advise="1"/>
      <ddeItem name="FITXN*2.TF-PreClose" advise="1"/>
      <ddeItem name="FITXN*2.TF-PreTotalVolume" advise="1"/>
      <ddeItem name="FITXN*2.TF-Price" advise="1"/>
      <ddeItem name="FITXN*2.TF-PriceChange" advise="1"/>
      <ddeItem name="FITXN*2.TF-PriceChangeRatio" advise="1"/>
      <ddeItem name="FITXN*2.TF-TotalVolume" advise="1"/>
      <ddeItem name="FITXN*2.TF-Volume" advise="1"/>
      <ddeItem name="FIUD*1.TF-Amplitude" advise="1"/>
      <ddeItem name="FIUD*1.TF-Ask" advise="1"/>
      <ddeItem name="FIUD*1.TF-Bid" advise="1"/>
      <ddeItem name="FIUD*1.TF-High" advise="1"/>
      <ddeItem name="FIUD*1.TF-ID" advise="1"/>
      <ddeItem name="FIUD*1.TF-Low" advise="1"/>
      <ddeItem name="FIUD*1.TF-Name" advise="1"/>
      <ddeItem name="FIUD*1.TF-Open" advise="1"/>
      <ddeItem name="FIUD*1.TF-PreClose" advise="1"/>
      <ddeItem name="FIUD*1.TF-PreTotalVolume" advise="1"/>
      <ddeItem name="FIUD*1.TF-Price" advise="1"/>
      <ddeItem name="FIUD*1.TF-PriceChange" advise="1"/>
      <ddeItem name="FIUD*1.TF-PriceChangeRatio" advise="1"/>
      <ddeItem name="FIUD*1.TF-TotalVolume" advise="1"/>
      <ddeItem name="FIUD*1.TF-Volume" advise="1"/>
      <ddeItem name="FIUD*2.TF-Amplitude" advise="1"/>
      <ddeItem name="FIUD*2.TF-Ask" advise="1"/>
      <ddeItem name="FIUD*2.TF-Bid" advise="1"/>
      <ddeItem name="FIUD*2.TF-High" advise="1"/>
      <ddeItem name="FIUD*2.TF-ID" advise="1"/>
      <ddeItem name="FIUD*2.TF-Low" advise="1"/>
      <ddeItem name="FIUD*2.TF-Name" advise="1"/>
      <ddeItem name="FIUD*2.TF-Open" advise="1"/>
      <ddeItem name="FIUD*2.TF-PreClose" advise="1"/>
      <ddeItem name="FIUD*2.TF-PreTotalVolume" advise="1"/>
      <ddeItem name="FIUD*2.TF-Price" advise="1"/>
      <ddeItem name="FIUD*2.TF-PriceChange" advise="1"/>
      <ddeItem name="FIUD*2.TF-PriceChangeRatio" advise="1"/>
      <ddeItem name="FIUD*2.TF-TotalVolume" advise="1"/>
      <ddeItem name="FIUD*2.TF-Volume" advise="1"/>
      <ddeItem name="FIXI*1.TF-Amplitude" advise="1"/>
      <ddeItem name="FIXI*1.TF-Ask" advise="1"/>
      <ddeItem name="FIXI*1.TF-Bid" advise="1"/>
      <ddeItem name="FIXI*1.TF-High" advise="1"/>
      <ddeItem name="FIXI*1.TF-ID" advise="1"/>
      <ddeItem name="FIXI*1.TF-Low" advise="1"/>
      <ddeItem name="FIXI*1.TF-Name" advise="1"/>
      <ddeItem name="FIXI*1.TF-Open" advise="1"/>
      <ddeItem name="FIXI*1.TF-PreClose" advise="1"/>
      <ddeItem name="FIXI*1.TF-PreTotalVolume" advise="1"/>
      <ddeItem name="FIXI*1.TF-Price" advise="1"/>
      <ddeItem name="FIXI*1.TF-PriceChange" advise="1"/>
      <ddeItem name="FIXI*1.TF-PriceChangeRatio" advise="1"/>
      <ddeItem name="FIXI*1.TF-TotalVolume" advise="1"/>
      <ddeItem name="FIXI*1.TF-Volume" advise="1"/>
      <ddeItem name="FIXI*2.TF-Amplitude" advise="1"/>
      <ddeItem name="FIXI*2.TF-Ask" advise="1"/>
      <ddeItem name="FIXI*2.TF-Bid" advise="1"/>
      <ddeItem name="FIXI*2.TF-High" advise="1"/>
      <ddeItem name="FIXI*2.TF-ID" advise="1"/>
      <ddeItem name="FIXI*2.TF-Low" advise="1"/>
      <ddeItem name="FIXI*2.TF-Name" advise="1"/>
      <ddeItem name="FIXI*2.TF-Open" advise="1"/>
      <ddeItem name="FIXI*2.TF-PreClose" advise="1"/>
      <ddeItem name="FIXI*2.TF-PreTotalVolume" advise="1"/>
      <ddeItem name="FIXI*2.TF-Price" advise="1"/>
      <ddeItem name="FIXI*2.TF-PriceChange" advise="1"/>
      <ddeItem name="FIXI*2.TF-PriceChangeRatio" advise="1"/>
      <ddeItem name="FIXI*2.TF-TotalVolume" advise="1"/>
      <ddeItem name="FIXI*2.TF-Volume" advise="1"/>
      <ddeItem name="FIXI00.TF-Amplitude" advise="1"/>
      <ddeItem name="FIXI00.TF-Ask" advise="1"/>
      <ddeItem name="FIXI00.TF-Bid" advise="1"/>
      <ddeItem name="FIXI00.TF-High" advise="1"/>
      <ddeItem name="FIXI00.TF-ID" advise="1"/>
      <ddeItem name="FIXI00.TF-Low" advise="1"/>
      <ddeItem name="FIXI00.TF-Name" advise="1"/>
      <ddeItem name="FIXI00.TF-Open" advise="1"/>
      <ddeItem name="FIXI00.TF-PreClose" advise="1"/>
      <ddeItem name="FIXI00.TF-PreTotalVolume" advise="1"/>
      <ddeItem name="FIXI00.TF-Price" advise="1"/>
      <ddeItem name="FIXI00.TF-PriceChange" advise="1"/>
      <ddeItem name="FIXI00.TF-PriceChangeRatio" advise="1"/>
      <ddeItem name="FIXI00.TF-TotalVolume" advise="1"/>
      <ddeItem name="FIXI00.TF-Volume" advise="1"/>
      <ddeItem name="FL.US-BestAsk1" advise="1"/>
      <ddeItem name="FL.US-BestBid1" advise="1"/>
      <ddeItem name="FL.US-PreClose" advise="1"/>
      <ddeItem name="FL.US-Price" advise="1"/>
      <ddeItem name="FLIR.US-BestAsk1" advise="1"/>
      <ddeItem name="FLIR.US-BestBid1" advise="1"/>
      <ddeItem name="FLIR.US-PreClose" advise="1"/>
      <ddeItem name="FLIR.US-Price" advise="1"/>
      <ddeItem name="FLR.US-BestAsk1" advise="1"/>
      <ddeItem name="FLR.US-BestBid1" advise="1"/>
      <ddeItem name="FLR.US-PreClose" advise="1"/>
      <ddeItem name="FLR.US-Price" advise="1"/>
      <ddeItem name="FLS.US-BestAsk1" advise="1"/>
      <ddeItem name="FLS.US-BestBid1" advise="1"/>
      <ddeItem name="FLS.US-PreClose" advise="1"/>
      <ddeItem name="FLS.US-Price" advise="1"/>
      <ddeItem name="FMC.US-BestAsk1" advise="1"/>
      <ddeItem name="FMC.US-BestBid1" advise="1"/>
      <ddeItem name="FMC.US-PreClose" advise="1"/>
      <ddeItem name="FMC.US-Price" advise="1"/>
      <ddeItem name="FOX.US-BestAsk1" advise="1"/>
      <ddeItem name="FOX.US-BestBid1" advise="1"/>
      <ddeItem name="FOX.US-PreClose" advise="1"/>
      <ddeItem name="FOX.US-Price" advise="1"/>
      <ddeItem name="FOXA.US-BestAsk1" advise="1"/>
      <ddeItem name="FOXA.US-BestBid1" advise="1"/>
      <ddeItem name="FOXA.US-PreClose" advise="1"/>
      <ddeItem name="FOXA.US-Price" advise="1"/>
      <ddeItem name="FRT.US-BestAsk1" advise="1"/>
      <ddeItem name="FRT.US-BestBid1" advise="1"/>
      <ddeItem name="FRT.US-PreClose" advise="1"/>
      <ddeItem name="FRT.US-Price" advise="1"/>
      <ddeItem name="FTI.US-BestAsk1" advise="1"/>
      <ddeItem name="FTI.US-BestBid1" advise="1"/>
      <ddeItem name="FTI.US-PreClose" advise="1"/>
      <ddeItem name="FTI.US-Price" advise="1"/>
      <ddeItem name="FTV.US-BestAsk1" advise="1"/>
      <ddeItem name="FTV.US-BestBid1" advise="1"/>
      <ddeItem name="FTV.US-PreClose" advise="1"/>
      <ddeItem name="FTV.US-Price" advise="1"/>
      <ddeItem name="GBP.FX-Ask" advise="1"/>
      <ddeItem name="GBP.FX-AvgPrice" advise="1"/>
      <ddeItem name="GBP.FX-BestAskSize" advise="1"/>
      <ddeItem name="GBP.FX-BestBidSize" advise="1"/>
      <ddeItem name="GBP.FX-Bid" advise="1"/>
      <ddeItem name="GBP.FX-Capital" advise="1"/>
      <ddeItem name="GBP.FX-InOutRatio" advise="1"/>
      <ddeItem name="GBP.FX-MarketValue" advise="1"/>
      <ddeItem name="GBP.FX-Name" advise="1"/>
      <ddeItem name="GBP.FX-PreClose" advise="1"/>
      <ddeItem name="GBP.FX-Price" advise="1"/>
      <ddeItem name="GBP.FX-PriceChange" advise="1"/>
      <ddeItem name="GBP.FX-PriceChangeRatio" advise="1"/>
      <ddeItem name="GBP.FX-Profit" advise="1"/>
      <ddeItem name="GBP.FX-TotalVolume" advise="1"/>
      <ddeItem name="GBP.FX-Volume" advise="1"/>
      <ddeItem name="GBPTW.FX-Ask" advise="1"/>
      <ddeItem name="GBPTW.FX-AvgPrice" advise="1"/>
      <ddeItem name="GBPTW.FX-BestAskSize" advise="1"/>
      <ddeItem name="GBPTW.FX-BestBidSize" advise="1"/>
      <ddeItem name="GBPTW.FX-Bid" advise="1"/>
      <ddeItem name="GBPTW.FX-Capital" advise="1"/>
      <ddeItem name="GBPTW.FX-InOutRatio" advise="1"/>
      <ddeItem name="GBPTW.FX-MarketValue" advise="1"/>
      <ddeItem name="GBPTW.FX-Name" advise="1"/>
      <ddeItem name="GBPTW.FX-PreClose" advise="1"/>
      <ddeItem name="GBPTW.FX-Price" advise="1"/>
      <ddeItem name="GBPTW.FX-PriceChange" advise="1"/>
      <ddeItem name="GBPTW.FX-PriceChangeRatio" advise="1"/>
      <ddeItem name="GBPTW.FX-Profit" advise="1"/>
      <ddeItem name="GBPTW.FX-TotalVolume" advise="1"/>
      <ddeItem name="GBPTW.FX-Volume" advise="1"/>
      <ddeItem name="GD.US-BestAsk1" advise="1"/>
      <ddeItem name="GD.US-BestBid1" advise="1"/>
      <ddeItem name="GD.US-PreClose" advise="1"/>
      <ddeItem name="GD.US-Price" advise="1"/>
      <ddeItem name="GE.US-BestAsk1">
        <values>
          <value t="str">
            <val>N/A</val>
          </value>
        </values>
      </ddeItem>
      <ddeItem name="GE.US-BestBid1">
        <values>
          <value t="str">
            <val>N/A</val>
          </value>
        </values>
      </ddeItem>
      <ddeItem name="GE.US-PreClose">
        <values>
          <value t="str">
            <val>N/A</val>
          </value>
        </values>
      </ddeItem>
      <ddeItem name="GE.US-Price">
        <values>
          <value t="str">
            <val>N/A</val>
          </value>
        </values>
      </ddeItem>
      <ddeItem name="GGP.US-BestAsk1" advise="1"/>
      <ddeItem name="GGP.US-BestBid1" advise="1"/>
      <ddeItem name="GGP.US-PreClose" advise="1"/>
      <ddeItem name="GGP.US-Price" advise="1"/>
      <ddeItem name="GILD.US-BestAsk1" advise="1"/>
      <ddeItem name="GILD.US-BestBid1" advise="1"/>
      <ddeItem name="GILD.US-PreClose" advise="1"/>
      <ddeItem name="GILD.US-Price" advise="1"/>
      <ddeItem name="GIS.US-BestAsk1">
        <values>
          <value t="str">
            <val>N/A</val>
          </value>
        </values>
      </ddeItem>
      <ddeItem name="GIS.US-BestBid1">
        <values>
          <value t="str">
            <val>N/A</val>
          </value>
        </values>
      </ddeItem>
      <ddeItem name="GIS.US-PreClose">
        <values>
          <value t="str">
            <val>N/A</val>
          </value>
        </values>
      </ddeItem>
      <ddeItem name="GIS.US-Price">
        <values>
          <value t="str">
            <val>N/A</val>
          </value>
        </values>
      </ddeItem>
      <ddeItem name="GLW.US-BestAsk1" advise="1"/>
      <ddeItem name="GLW.US-BestBid1" advise="1"/>
      <ddeItem name="GLW.US-PreClose" advise="1"/>
      <ddeItem name="GLW.US-Price" advise="1"/>
      <ddeItem name="GM.US-BestAsk1" advise="1"/>
      <ddeItem name="GM.US-BestBid1" advise="1"/>
      <ddeItem name="GM.US-PreClose" advise="1"/>
      <ddeItem name="GM.US-Price" advise="1"/>
      <ddeItem name="GOOG.US-BestAsk1" advise="1"/>
      <ddeItem name="GOOG.US-BestBid1" advise="1"/>
      <ddeItem name="GOOG.US-PreClose" advise="1"/>
      <ddeItem name="GOOG.US-Price" advise="1"/>
      <ddeItem name="GOOGL.US-BestAsk1" advise="1"/>
      <ddeItem name="GOOGL.US-BestBid1" advise="1"/>
      <ddeItem name="GOOGL.US-PreClose" advise="1"/>
      <ddeItem name="GOOGL.US-Price" advise="1"/>
      <ddeItem name="GPC.US-BestAsk1" advise="1"/>
      <ddeItem name="GPC.US-BestBid1" advise="1"/>
      <ddeItem name="GPC.US-PreClose" advise="1"/>
      <ddeItem name="GPC.US-Price" advise="1"/>
      <ddeItem name="GPN.US-BestAsk1" advise="1"/>
      <ddeItem name="GPN.US-BestBid1" advise="1"/>
      <ddeItem name="GPN.US-PreClose" advise="1"/>
      <ddeItem name="GPN.US-Price" advise="1"/>
      <ddeItem name="GPS.US-BestAsk1" advise="1"/>
      <ddeItem name="GPS.US-BestBid1" advise="1"/>
      <ddeItem name="GPS.US-PreClose" advise="1"/>
      <ddeItem name="GPS.US-Price" advise="1"/>
      <ddeItem name="GRMN.US-BestAsk1" advise="1"/>
      <ddeItem name="GRMN.US-BestBid1" advise="1"/>
      <ddeItem name="GRMN.US-PreClose" advise="1"/>
      <ddeItem name="GRMN.US-Price" advise="1"/>
      <ddeItem name="GS.US-BestAsk1">
        <values>
          <value t="str">
            <val>N/A</val>
          </value>
        </values>
      </ddeItem>
      <ddeItem name="GS.US-BestBid1">
        <values>
          <value t="str">
            <val>N/A</val>
          </value>
        </values>
      </ddeItem>
      <ddeItem name="GS.US-PreClose">
        <values>
          <value t="str">
            <val>N/A</val>
          </value>
        </values>
      </ddeItem>
      <ddeItem name="GS.US-Price">
        <values>
          <value t="str">
            <val>N/A</val>
          </value>
        </values>
      </ddeItem>
      <ddeItem name="GT.US-BestAsk1" advise="1"/>
      <ddeItem name="GT.US-BestBid1" advise="1"/>
      <ddeItem name="GT.US-PreClose" advise="1"/>
      <ddeItem name="GT.US-Price" advise="1"/>
      <ddeItem name="GWW.US-BestAsk1" advise="1"/>
      <ddeItem name="GWW.US-BestBid1" advise="1"/>
      <ddeItem name="GWW.US-PreClose" advise="1"/>
      <ddeItem name="GWW.US-Price" advise="1"/>
      <ddeItem name="HAL.US-BestAsk1" advise="1"/>
      <ddeItem name="HAL.US-BestBid1" advise="1"/>
      <ddeItem name="HAL.US-PreClose" advise="1"/>
      <ddeItem name="HAL.US-Price" advise="1"/>
      <ddeItem name="HAS.US-BestAsk1" advise="1"/>
      <ddeItem name="HAS.US-BestBid1" advise="1"/>
      <ddeItem name="HAS.US-PreClose" advise="1"/>
      <ddeItem name="HAS.US-Price" advise="1"/>
      <ddeItem name="HBAN.US-BestAsk1" advise="1"/>
      <ddeItem name="HBAN.US-BestBid1" advise="1"/>
      <ddeItem name="HBAN.US-PreClose" advise="1"/>
      <ddeItem name="HBAN.US-Price" advise="1"/>
      <ddeItem name="HBI.US-BestAsk1" advise="1"/>
      <ddeItem name="HBI.US-BestBid1" advise="1"/>
      <ddeItem name="HBI.US-PreClose" advise="1"/>
      <ddeItem name="HBI.US-Price" advise="1"/>
      <ddeItem name="HCA.US-BestAsk1" advise="1"/>
      <ddeItem name="HCA.US-BestBid1" advise="1"/>
      <ddeItem name="HCA.US-PreClose" advise="1"/>
      <ddeItem name="HCA.US-Price" advise="1"/>
      <ddeItem name="HCN.US-BestAsk1">
        <values>
          <value t="str">
            <val>--</val>
          </value>
        </values>
      </ddeItem>
      <ddeItem name="HCN.US-BestBid1">
        <values>
          <value t="str">
            <val>--</val>
          </value>
        </values>
      </ddeItem>
      <ddeItem name="HCN.US-PreClose">
        <values>
          <value>
            <val>60.17</val>
          </value>
        </values>
      </ddeItem>
      <ddeItem name="HCN.US-Price">
        <values>
          <value>
            <val>59.16</val>
          </value>
        </values>
      </ddeItem>
      <ddeItem name="HCP.US-BestAsk1">
        <values>
          <value t="str">
            <val>N/A</val>
          </value>
        </values>
      </ddeItem>
      <ddeItem name="HCP.US-BestBid1">
        <values>
          <value t="str">
            <val>N/A</val>
          </value>
        </values>
      </ddeItem>
      <ddeItem name="HCP.US-PreClose">
        <values>
          <value t="str">
            <val>N/A</val>
          </value>
        </values>
      </ddeItem>
      <ddeItem name="HCP.US-Price">
        <values>
          <value t="str">
            <val>N/A</val>
          </value>
        </values>
      </ddeItem>
      <ddeItem name="HD.US-BestAsk1">
        <values>
          <value t="str">
            <val>N/A</val>
          </value>
        </values>
      </ddeItem>
      <ddeItem name="HD.US-BestBid1">
        <values>
          <value t="str">
            <val>N/A</val>
          </value>
        </values>
      </ddeItem>
      <ddeItem name="HD.US-PreClose">
        <values>
          <value t="str">
            <val>N/A</val>
          </value>
        </values>
      </ddeItem>
      <ddeItem name="HD.US-Price">
        <values>
          <value t="str">
            <val>N/A</val>
          </value>
        </values>
      </ddeItem>
      <ddeItem name="HES.US-BestAsk1" advise="1"/>
      <ddeItem name="HES.US-BestBid1" advise="1"/>
      <ddeItem name="HES.US-PreClose" advise="1"/>
      <ddeItem name="HES.US-Price" advise="1"/>
      <ddeItem name="HIG.US-BestAsk1" advise="1"/>
      <ddeItem name="HIG.US-BestBid1" advise="1"/>
      <ddeItem name="HIG.US-PreClose" advise="1"/>
      <ddeItem name="HIG.US-Price" advise="1"/>
      <ddeItem name="HKD.FX-Ask" advise="1"/>
      <ddeItem name="HKD.FX-AvgPrice" advise="1"/>
      <ddeItem name="HKD.FX-BestAskSize" advise="1"/>
      <ddeItem name="HKD.FX-BestBidSize" advise="1"/>
      <ddeItem name="HKD.FX-Bid" advise="1"/>
      <ddeItem name="HKD.FX-Capital" advise="1"/>
      <ddeItem name="HKD.FX-InOutRatio" advise="1"/>
      <ddeItem name="HKD.FX-MarketValue" advise="1"/>
      <ddeItem name="HKD.FX-Name" advise="1"/>
      <ddeItem name="HKD.FX-PreClose" advise="1"/>
      <ddeItem name="HKD.FX-Price" advise="1"/>
      <ddeItem name="HKD.FX-PriceChange" advise="1"/>
      <ddeItem name="HKD.FX-PriceChangeRatio" advise="1"/>
      <ddeItem name="HKD.FX-Profit" advise="1"/>
      <ddeItem name="HKD.FX-TotalVolume" advise="1"/>
      <ddeItem name="HKD.FX-Volume" advise="1"/>
      <ddeItem name="HKDTW.FX-Ask" advise="1"/>
      <ddeItem name="HKDTW.FX-AvgPrice" advise="1"/>
      <ddeItem name="HKDTW.FX-BestAskSize" advise="1"/>
      <ddeItem name="HKDTW.FX-BestBidSize" advise="1"/>
      <ddeItem name="HKDTW.FX-Bid" advise="1"/>
      <ddeItem name="HKDTW.FX-Capital" advise="1"/>
      <ddeItem name="HKDTW.FX-InOutRatio" advise="1"/>
      <ddeItem name="HKDTW.FX-MarketValue" advise="1"/>
      <ddeItem name="HKDTW.FX-Name" advise="1"/>
      <ddeItem name="HKDTW.FX-PreClose" advise="1"/>
      <ddeItem name="HKDTW.FX-Price" advise="1"/>
      <ddeItem name="HKDTW.FX-PriceChange" advise="1"/>
      <ddeItem name="HKDTW.FX-PriceChangeRatio" advise="1"/>
      <ddeItem name="HKDTW.FX-Profit" advise="1"/>
      <ddeItem name="HKDTW.FX-TotalVolume" advise="1"/>
      <ddeItem name="HKDTW.FX-Volume" advise="1"/>
      <ddeItem name="HLT.US-BestAsk1" advise="1"/>
      <ddeItem name="HLT.US-BestBid1" advise="1"/>
      <ddeItem name="HLT.US-PreClose" advise="1"/>
      <ddeItem name="HLT.US-Price" advise="1"/>
      <ddeItem name="HOG.US-BestAsk1" advise="1"/>
      <ddeItem name="HOG.US-BestBid1" advise="1"/>
      <ddeItem name="HOG.US-PreClose" advise="1"/>
      <ddeItem name="HOG.US-Price" advise="1"/>
      <ddeItem name="HOLX.US-BestAsk1" advise="1"/>
      <ddeItem name="HOLX.US-BestBid1" advise="1"/>
      <ddeItem name="HOLX.US-PreClose" advise="1"/>
      <ddeItem name="HOLX.US-Price" advise="1"/>
      <ddeItem name="HON.US-BestAsk1" advise="1"/>
      <ddeItem name="HON.US-BestBid1" advise="1"/>
      <ddeItem name="HON.US-PreClose" advise="1"/>
      <ddeItem name="HON.US-Price" advise="1"/>
      <ddeItem name="HP.US-BestAsk1" advise="1"/>
      <ddeItem name="HP.US-BestBid1" advise="1"/>
      <ddeItem name="HP.US-PreClose" advise="1"/>
      <ddeItem name="HP.US-Price" advise="1"/>
      <ddeItem name="HPE.US-BestAsk1" advise="1"/>
      <ddeItem name="HPE.US-BestBid1" advise="1"/>
      <ddeItem name="HPE.US-PreClose" advise="1"/>
      <ddeItem name="HPE.US-Price" advise="1"/>
      <ddeItem name="HPQ.US-BestAsk1">
        <values>
          <value t="str">
            <val>N/A</val>
          </value>
        </values>
      </ddeItem>
      <ddeItem name="HPQ.US-BestBid1">
        <values>
          <value t="str">
            <val>N/A</val>
          </value>
        </values>
      </ddeItem>
      <ddeItem name="HPQ.US-PreClose">
        <values>
          <value t="str">
            <val>N/A</val>
          </value>
        </values>
      </ddeItem>
      <ddeItem name="HPQ.US-Price">
        <values>
          <value t="str">
            <val>N/A</val>
          </value>
        </values>
      </ddeItem>
      <ddeItem name="HRB.US-BestAsk1" advise="1"/>
      <ddeItem name="HRB.US-BestBid1" advise="1"/>
      <ddeItem name="HRB.US-PreClose" advise="1"/>
      <ddeItem name="HRB.US-Price" advise="1"/>
      <ddeItem name="HRL.US-BestAsk1" advise="1"/>
      <ddeItem name="HRL.US-BestBid1" advise="1"/>
      <ddeItem name="HRL.US-PreClose" advise="1"/>
      <ddeItem name="HRL.US-Price" advise="1"/>
      <ddeItem name="HRS.US-BestAsk1" advise="1"/>
      <ddeItem name="HRS.US-BestBid1" advise="1"/>
      <ddeItem name="HRS.US-PreClose" advise="1"/>
      <ddeItem name="HRS.US-Price" advise="1"/>
      <ddeItem name="HSIC.US-BestAsk1" advise="1"/>
      <ddeItem name="HSIC.US-BestBid1" advise="1"/>
      <ddeItem name="HSIC.US-PreClose" advise="1"/>
      <ddeItem name="HSIC.US-Price" advise="1"/>
      <ddeItem name="HST.US-BestAsk1">
        <values>
          <value t="str">
            <val>N/A</val>
          </value>
        </values>
      </ddeItem>
      <ddeItem name="HST.US-BestBid1">
        <values>
          <value t="str">
            <val>N/A</val>
          </value>
        </values>
      </ddeItem>
      <ddeItem name="HST.US-PreClose">
        <values>
          <value t="str">
            <val>N/A</val>
          </value>
        </values>
      </ddeItem>
      <ddeItem name="HST.US-Price">
        <values>
          <value t="str">
            <val>N/A</val>
          </value>
        </values>
      </ddeItem>
      <ddeItem name="HSY.US-BestAsk1" advise="1"/>
      <ddeItem name="HSY.US-BestBid1" advise="1"/>
      <ddeItem name="HSY.US-PreClose" advise="1"/>
      <ddeItem name="HSY.US-Price" advise="1"/>
      <ddeItem name="HUM.US-BestAsk1" advise="1"/>
      <ddeItem name="HUM.US-BestBid1" advise="1"/>
      <ddeItem name="HUM.US-PreClose" advise="1"/>
      <ddeItem name="HUM.US-Price" advise="1"/>
      <ddeItem name="IBM.US-BestAsk1">
        <values>
          <value t="str">
            <val>N/A</val>
          </value>
        </values>
      </ddeItem>
      <ddeItem name="IBM.US-BestBid1">
        <values>
          <value t="str">
            <val>N/A</val>
          </value>
        </values>
      </ddeItem>
      <ddeItem name="IBM.US-PreClose">
        <values>
          <value t="str">
            <val>N/A</val>
          </value>
        </values>
      </ddeItem>
      <ddeItem name="IBM.US-Price">
        <values>
          <value t="str">
            <val>N/A</val>
          </value>
        </values>
      </ddeItem>
      <ddeItem name="ICE.US-BestAsk1" advise="1"/>
      <ddeItem name="ICE.US-BestBid1" advise="1"/>
      <ddeItem name="ICE.US-PreClose" advise="1"/>
      <ddeItem name="ICE.US-Price" advise="1"/>
      <ddeItem name="IDRTW.FX-Ask" advise="1"/>
      <ddeItem name="IDRTW.FX-AvgPrice" advise="1"/>
      <ddeItem name="IDRTW.FX-BestAskSize" advise="1"/>
      <ddeItem name="IDRTW.FX-BestBidSize" advise="1"/>
      <ddeItem name="IDRTW.FX-Bid" advise="1"/>
      <ddeItem name="IDRTW.FX-Capital" advise="1"/>
      <ddeItem name="IDRTW.FX-InOutRatio" advise="1"/>
      <ddeItem name="IDRTW.FX-MarketValue" advise="1"/>
      <ddeItem name="IDRTW.FX-Name" advise="1"/>
      <ddeItem name="IDRTW.FX-PreClose" advise="1"/>
      <ddeItem name="IDRTW.FX-Price" advise="1"/>
      <ddeItem name="IDRTW.FX-PriceChange" advise="1"/>
      <ddeItem name="IDRTW.FX-PriceChangeRatio" advise="1"/>
      <ddeItem name="IDRTW.FX-Profit" advise="1"/>
      <ddeItem name="IDRTW.FX-TotalVolume" advise="1"/>
      <ddeItem name="IDRTW.FX-Volume" advise="1"/>
      <ddeItem name="IDXX.US-BestAsk1" advise="1"/>
      <ddeItem name="IDXX.US-BestBid1" advise="1"/>
      <ddeItem name="IDXX.US-PreClose" advise="1"/>
      <ddeItem name="IDXX.US-Price" advise="1"/>
      <ddeItem name="IFF.US-BestAsk1" advise="1"/>
      <ddeItem name="IFF.US-BestBid1" advise="1"/>
      <ddeItem name="IFF.US-PreClose" advise="1"/>
      <ddeItem name="IFF.US-Price" advise="1"/>
      <ddeItem name="ILMN.US-BestAsk1" advise="1"/>
      <ddeItem name="ILMN.US-BestBid1" advise="1"/>
      <ddeItem name="ILMN.US-PreClose" advise="1"/>
      <ddeItem name="ILMN.US-Price" advise="1"/>
      <ddeItem name="INCY.US-BestAsk1" advise="1"/>
      <ddeItem name="INCY.US-BestBid1" advise="1"/>
      <ddeItem name="INCY.US-PreClose" advise="1"/>
      <ddeItem name="INCY.US-Price" advise="1"/>
      <ddeItem name="INFO.US-BestAsk1" advise="1"/>
      <ddeItem name="INFO.US-BestBid1" advise="1"/>
      <ddeItem name="INFO.US-PreClose" advise="1"/>
      <ddeItem name="INFO.US-Price" advise="1"/>
      <ddeItem name="INR.FX-Ask" advise="1"/>
      <ddeItem name="INR.FX-AvgPrice" advise="1"/>
      <ddeItem name="INR.FX-BestAskSize" advise="1"/>
      <ddeItem name="INR.FX-BestBidSize" advise="1"/>
      <ddeItem name="INR.FX-Bid" advise="1"/>
      <ddeItem name="INR.FX-Capital" advise="1"/>
      <ddeItem name="INR.FX-InOutRatio" advise="1"/>
      <ddeItem name="INR.FX-MarketValue" advise="1"/>
      <ddeItem name="INR.FX-Name" advise="1"/>
      <ddeItem name="INR.FX-PreClose" advise="1"/>
      <ddeItem name="INR.FX-Price" advise="1"/>
      <ddeItem name="INR.FX-PriceChange" advise="1"/>
      <ddeItem name="INR.FX-PriceChangeRatio" advise="1"/>
      <ddeItem name="INR.FX-Profit" advise="1"/>
      <ddeItem name="INR.FX-TotalVolume" advise="1"/>
      <ddeItem name="INR.FX-Volume" advise="1"/>
      <ddeItem name="INRTW.FX-Ask" advise="1"/>
      <ddeItem name="INRTW.FX-AvgPrice" advise="1"/>
      <ddeItem name="INRTW.FX-BestAskSize" advise="1"/>
      <ddeItem name="INRTW.FX-BestBidSize" advise="1"/>
      <ddeItem name="INRTW.FX-Bid" advise="1"/>
      <ddeItem name="INRTW.FX-Capital" advise="1"/>
      <ddeItem name="INRTW.FX-InOutRatio" advise="1"/>
      <ddeItem name="INRTW.FX-MarketValue" advise="1"/>
      <ddeItem name="INRTW.FX-Name" advise="1"/>
      <ddeItem name="INRTW.FX-PreClose" advise="1"/>
      <ddeItem name="INRTW.FX-Price" advise="1"/>
      <ddeItem name="INRTW.FX-PriceChange" advise="1"/>
      <ddeItem name="INRTW.FX-PriceChangeRatio" advise="1"/>
      <ddeItem name="INRTW.FX-Profit" advise="1"/>
      <ddeItem name="INRTW.FX-TotalVolume" advise="1"/>
      <ddeItem name="INRTW.FX-Volume" advise="1"/>
      <ddeItem name="INTC.US-BestAsk1" advise="1"/>
      <ddeItem name="INTC.US-BestBid1" advise="1"/>
      <ddeItem name="INTC.US-PreClose" advise="1"/>
      <ddeItem name="INTC.US-Price" advise="1"/>
      <ddeItem name="INTU.US-BestAsk1" advise="1"/>
      <ddeItem name="INTU.US-BestBid1" advise="1"/>
      <ddeItem name="INTU.US-PreClose" advise="1"/>
      <ddeItem name="INTU.US-Price" advise="1"/>
      <ddeItem name="IP.US-BestAsk1">
        <values>
          <value t="str">
            <val>N/A</val>
          </value>
        </values>
      </ddeItem>
      <ddeItem name="IP.US-BestBid1">
        <values>
          <value t="str">
            <val>N/A</val>
          </value>
        </values>
      </ddeItem>
      <ddeItem name="IP.US-PreClose">
        <values>
          <value t="str">
            <val>N/A</val>
          </value>
        </values>
      </ddeItem>
      <ddeItem name="IP.US-Price">
        <values>
          <value t="str">
            <val>N/A</val>
          </value>
        </values>
      </ddeItem>
      <ddeItem name="IPG.US-BestAsk1" advise="1"/>
      <ddeItem name="IPG.US-BestBid1" advise="1"/>
      <ddeItem name="IPG.US-PreClose" advise="1"/>
      <ddeItem name="IPG.US-Price" advise="1"/>
      <ddeItem name="IR.US-BestAsk1" advise="1"/>
      <ddeItem name="IR.US-BestBid1" advise="1"/>
      <ddeItem name="IR.US-PreClose" advise="1"/>
      <ddeItem name="IR.US-Price" advise="1"/>
      <ddeItem name="IRM.US-BestAsk1">
        <values>
          <value t="str">
            <val>N/A</val>
          </value>
        </values>
      </ddeItem>
      <ddeItem name="IRM.US-BestBid1">
        <values>
          <value t="str">
            <val>N/A</val>
          </value>
        </values>
      </ddeItem>
      <ddeItem name="IRM.US-PreClose">
        <values>
          <value t="str">
            <val>N/A</val>
          </value>
        </values>
      </ddeItem>
      <ddeItem name="IRM.US-Price">
        <values>
          <value t="str">
            <val>N/A</val>
          </value>
        </values>
      </ddeItem>
      <ddeItem name="ISRG.US-BestAsk1" advise="1"/>
      <ddeItem name="ISRG.US-BestBid1" advise="1"/>
      <ddeItem name="ISRG.US-PreClose" advise="1"/>
      <ddeItem name="ISRG.US-Price" advise="1"/>
      <ddeItem name="IT.US-BestAsk1" advise="1"/>
      <ddeItem name="IT.US-BestBid1" advise="1"/>
      <ddeItem name="IT.US-PreClose" advise="1"/>
      <ddeItem name="IT.US-Price" advise="1"/>
      <ddeItem name="ITW.US-BestAsk1" advise="1"/>
      <ddeItem name="ITW.US-BestBid1" advise="1"/>
      <ddeItem name="ITW.US-PreClose" advise="1"/>
      <ddeItem name="ITW.US-Price" advise="1"/>
      <ddeItem name="IVZ.US-BestAsk1">
        <values>
          <value t="str">
            <val>N/A</val>
          </value>
        </values>
      </ddeItem>
      <ddeItem name="IVZ.US-BestBid1">
        <values>
          <value t="str">
            <val>N/A</val>
          </value>
        </values>
      </ddeItem>
      <ddeItem name="IVZ.US-PreClose">
        <values>
          <value t="str">
            <val>N/A</val>
          </value>
        </values>
      </ddeItem>
      <ddeItem name="IVZ.US-Price">
        <values>
          <value t="str">
            <val>N/A</val>
          </value>
        </values>
      </ddeItem>
      <ddeItem name="JBHT.US-BestAsk1" advise="1"/>
      <ddeItem name="JBHT.US-BestBid1" advise="1"/>
      <ddeItem name="JBHT.US-PreClose" advise="1"/>
      <ddeItem name="JBHT.US-Price" advise="1"/>
      <ddeItem name="JCI.US-BestAsk1" advise="1"/>
      <ddeItem name="JCI.US-BestBid1" advise="1"/>
      <ddeItem name="JCI.US-PreClose" advise="1"/>
      <ddeItem name="JCI.US-Price" advise="1"/>
      <ddeItem name="JEC.US-BestAsk1" advise="1"/>
      <ddeItem name="JEC.US-BestBid1" advise="1"/>
      <ddeItem name="JEC.US-PreClose" advise="1"/>
      <ddeItem name="JEC.US-Price" advise="1"/>
      <ddeItem name="JNJ.US-BestAsk1">
        <values>
          <value t="str">
            <val>N/A</val>
          </value>
        </values>
      </ddeItem>
      <ddeItem name="JNJ.US-BestBid1">
        <values>
          <value t="str">
            <val>N/A</val>
          </value>
        </values>
      </ddeItem>
      <ddeItem name="JNJ.US-PreClose">
        <values>
          <value t="str">
            <val>N/A</val>
          </value>
        </values>
      </ddeItem>
      <ddeItem name="JNJ.US-Price">
        <values>
          <value t="str">
            <val>N/A</val>
          </value>
        </values>
      </ddeItem>
      <ddeItem name="JNPR.US-BestAsk1" advise="1"/>
      <ddeItem name="JNPR.US-BestBid1" advise="1"/>
      <ddeItem name="JNPR.US-PreClose" advise="1"/>
      <ddeItem name="JNPR.US-Price" advise="1"/>
      <ddeItem name="JPM.US-BestAsk1">
        <values>
          <value t="str">
            <val>N/A</val>
          </value>
        </values>
      </ddeItem>
      <ddeItem name="JPM.US-BestBid1">
        <values>
          <value t="str">
            <val>N/A</val>
          </value>
        </values>
      </ddeItem>
      <ddeItem name="JPM.US-PreClose">
        <values>
          <value t="str">
            <val>N/A</val>
          </value>
        </values>
      </ddeItem>
      <ddeItem name="JPM.US-Price">
        <values>
          <value t="str">
            <val>N/A</val>
          </value>
        </values>
      </ddeItem>
      <ddeItem name="JPY.FX-Ask" advise="1"/>
      <ddeItem name="JPY.FX-AvgPrice" advise="1"/>
      <ddeItem name="JPY.FX-BestAskSize" advise="1"/>
      <ddeItem name="JPY.FX-BestBidSize" advise="1"/>
      <ddeItem name="JPY.FX-Bid" advise="1"/>
      <ddeItem name="JPY.FX-Capital" advise="1"/>
      <ddeItem name="JPY.FX-InOutRatio" advise="1"/>
      <ddeItem name="JPY.FX-MarketValue" advise="1"/>
      <ddeItem name="JPY.FX-Name" advise="1"/>
      <ddeItem name="JPY.FX-PreClose" advise="1"/>
      <ddeItem name="JPY.FX-Price" advise="1"/>
      <ddeItem name="JPY.FX-PriceChange" advise="1"/>
      <ddeItem name="JPY.FX-PriceChangeRatio" advise="1"/>
      <ddeItem name="JPY.FX-Profit" advise="1"/>
      <ddeItem name="JPY.FX-TotalVolume" advise="1"/>
      <ddeItem name="JPY.FX-Volume" advise="1"/>
      <ddeItem name="JPYTW.FX-Ask" advise="1"/>
      <ddeItem name="JPYTW.FX-AvgPrice" advise="1"/>
      <ddeItem name="JPYTW.FX-BestAskSize" advise="1"/>
      <ddeItem name="JPYTW.FX-BestBidSize" advise="1"/>
      <ddeItem name="JPYTW.FX-Bid" advise="1"/>
      <ddeItem name="JPYTW.FX-Capital" advise="1"/>
      <ddeItem name="JPYTW.FX-InOutRatio" advise="1"/>
      <ddeItem name="JPYTW.FX-MarketValue" advise="1"/>
      <ddeItem name="JPYTW.FX-Name" advise="1"/>
      <ddeItem name="JPYTW.FX-PreClose" advise="1"/>
      <ddeItem name="JPYTW.FX-Price" advise="1"/>
      <ddeItem name="JPYTW.FX-PriceChange" advise="1"/>
      <ddeItem name="JPYTW.FX-PriceChangeRatio" advise="1"/>
      <ddeItem name="JPYTW.FX-Profit" advise="1"/>
      <ddeItem name="JPYTW.FX-TotalVolume" advise="1"/>
      <ddeItem name="JPYTW.FX-Volume" advise="1"/>
      <ddeItem name="JWN.US-BestAsk1" advise="1"/>
      <ddeItem name="JWN.US-BestBid1" advise="1"/>
      <ddeItem name="JWN.US-PreClose" advise="1"/>
      <ddeItem name="JWN.US-Price" advise="1"/>
      <ddeItem name="K.US-BestAsk1">
        <values>
          <value t="str">
            <val>N/A</val>
          </value>
        </values>
      </ddeItem>
      <ddeItem name="K.US-BestBid1">
        <values>
          <value t="str">
            <val>N/A</val>
          </value>
        </values>
      </ddeItem>
      <ddeItem name="K.US-PreClose">
        <values>
          <value t="str">
            <val>N/A</val>
          </value>
        </values>
      </ddeItem>
      <ddeItem name="K.US-Price">
        <values>
          <value t="str">
            <val>N/A</val>
          </value>
        </values>
      </ddeItem>
      <ddeItem name="KEY.US-BestAsk1" advise="1"/>
      <ddeItem name="KEY.US-BestBid1" advise="1"/>
      <ddeItem name="KEY.US-PreClose" advise="1"/>
      <ddeItem name="KEY.US-Price" advise="1"/>
      <ddeItem name="KHC.US-BestAsk1" advise="1"/>
      <ddeItem name="KHC.US-BestBid1" advise="1"/>
      <ddeItem name="KHC.US-PreClose" advise="1"/>
      <ddeItem name="KHC.US-Price" advise="1"/>
      <ddeItem name="KIM.US-BestAsk1">
        <values>
          <value t="str">
            <val>N/A</val>
          </value>
        </values>
      </ddeItem>
      <ddeItem name="KIM.US-BestBid1">
        <values>
          <value t="str">
            <val>N/A</val>
          </value>
        </values>
      </ddeItem>
      <ddeItem name="KIM.US-PreClose">
        <values>
          <value t="str">
            <val>N/A</val>
          </value>
        </values>
      </ddeItem>
      <ddeItem name="KIM.US-Price">
        <values>
          <value t="str">
            <val>N/A</val>
          </value>
        </values>
      </ddeItem>
      <ddeItem name="KLAC.US-BestAsk1" advise="1"/>
      <ddeItem name="KLAC.US-BestBid1" advise="1"/>
      <ddeItem name="KLAC.US-PreClose" advise="1"/>
      <ddeItem name="KLAC.US-Price" advise="1"/>
      <ddeItem name="KMB.US-BestAsk1" advise="1"/>
      <ddeItem name="KMB.US-BestBid1" advise="1"/>
      <ddeItem name="KMB.US-PreClose" advise="1"/>
      <ddeItem name="KMB.US-Price" advise="1"/>
      <ddeItem name="KMI.US-BestAsk1" advise="1"/>
      <ddeItem name="KMI.US-BestBid1" advise="1"/>
      <ddeItem name="KMI.US-PreClose" advise="1"/>
      <ddeItem name="KMI.US-Price" advise="1"/>
      <ddeItem name="KMX.US-BestAsk1" advise="1"/>
      <ddeItem name="KMX.US-BestBid1" advise="1"/>
      <ddeItem name="KMX.US-PreClose" advise="1"/>
      <ddeItem name="KMX.US-Price" advise="1"/>
      <ddeItem name="KO.US-BestAsk1">
        <values>
          <value t="str">
            <val>N/A</val>
          </value>
        </values>
      </ddeItem>
      <ddeItem name="KO.US-BestBid1">
        <values>
          <value t="str">
            <val>N/A</val>
          </value>
        </values>
      </ddeItem>
      <ddeItem name="KO.US-PreClose">
        <values>
          <value t="str">
            <val>N/A</val>
          </value>
        </values>
      </ddeItem>
      <ddeItem name="KO.US-Price">
        <values>
          <value t="str">
            <val>N/A</val>
          </value>
        </values>
      </ddeItem>
      <ddeItem name="KORS.US-BestAsk1" advise="1"/>
      <ddeItem name="KORS.US-BestBid1" advise="1"/>
      <ddeItem name="KORS.US-PreClose" advise="1"/>
      <ddeItem name="KORS.US-Price" advise="1"/>
      <ddeItem name="KR.US-BestAsk1" advise="1"/>
      <ddeItem name="KR.US-BestBid1" advise="1"/>
      <ddeItem name="KR.US-PreClose" advise="1"/>
      <ddeItem name="KR.US-Price" advise="1"/>
      <ddeItem name="KRW.FX-Ask" advise="1"/>
      <ddeItem name="KRW.FX-AvgPrice" advise="1"/>
      <ddeItem name="KRW.FX-BestAskSize" advise="1"/>
      <ddeItem name="KRW.FX-BestBidSize" advise="1"/>
      <ddeItem name="KRW.FX-Bid" advise="1"/>
      <ddeItem name="KRW.FX-Capital" advise="1"/>
      <ddeItem name="KRW.FX-InOutRatio" advise="1"/>
      <ddeItem name="KRW.FX-MarketValue" advise="1"/>
      <ddeItem name="KRW.FX-Name" advise="1"/>
      <ddeItem name="KRW.FX-PreClose" advise="1"/>
      <ddeItem name="KRW.FX-Price" advise="1"/>
      <ddeItem name="KRW.FX-PriceChange" advise="1"/>
      <ddeItem name="KRW.FX-PriceChangeRatio" advise="1"/>
      <ddeItem name="KRW.FX-Profit" advise="1"/>
      <ddeItem name="KRW.FX-TotalVolume" advise="1"/>
      <ddeItem name="KRW.FX-Volume" advise="1"/>
      <ddeItem name="KRWTW.FX-Ask" advise="1"/>
      <ddeItem name="KRWTW.FX-AvgPrice" advise="1"/>
      <ddeItem name="KRWTW.FX-BestAskSize" advise="1"/>
      <ddeItem name="KRWTW.FX-BestBidSize" advise="1"/>
      <ddeItem name="KRWTW.FX-Bid" advise="1"/>
      <ddeItem name="KRWTW.FX-Capital" advise="1"/>
      <ddeItem name="KRWTW.FX-InOutRatio" advise="1"/>
      <ddeItem name="KRWTW.FX-MarketValue" advise="1"/>
      <ddeItem name="KRWTW.FX-Name" advise="1"/>
      <ddeItem name="KRWTW.FX-PreClose" advise="1"/>
      <ddeItem name="KRWTW.FX-Price" advise="1"/>
      <ddeItem name="KRWTW.FX-PriceChange" advise="1"/>
      <ddeItem name="KRWTW.FX-PriceChangeRatio" advise="1"/>
      <ddeItem name="KRWTW.FX-Profit" advise="1"/>
      <ddeItem name="KRWTW.FX-TotalVolume" advise="1"/>
      <ddeItem name="KRWTW.FX-Volume" advise="1"/>
      <ddeItem name="KSS.US-BestAsk1" advise="1"/>
      <ddeItem name="KSS.US-BestBid1" advise="1"/>
      <ddeItem name="KSS.US-PreClose" advise="1"/>
      <ddeItem name="KSS.US-Price" advise="1"/>
      <ddeItem name="KSU.US-BestAsk1" advise="1"/>
      <ddeItem name="KSU.US-BestBid1" advise="1"/>
      <ddeItem name="KSU.US-PreClose" advise="1"/>
      <ddeItem name="KSU.US-Price" advise="1"/>
      <ddeItem name="L.US-BestAsk1" advise="1"/>
      <ddeItem name="L.US-BestBid1" advise="1"/>
      <ddeItem name="L.US-PreClose" advise="1"/>
      <ddeItem name="L.US-Price" advise="1"/>
      <ddeItem name="LB.US-BestAsk1" advise="1"/>
      <ddeItem name="LB.US-BestBid1" advise="1"/>
      <ddeItem name="LB.US-PreClose" advise="1"/>
      <ddeItem name="LB.US-Price" advise="1"/>
      <ddeItem name="LEG.US-BestAsk1" advise="1"/>
      <ddeItem name="LEG.US-BestBid1" advise="1"/>
      <ddeItem name="LEG.US-PreClose" advise="1"/>
      <ddeItem name="LEG.US-Price" advise="1"/>
      <ddeItem name="LEN.US-BestAsk1" advise="1"/>
      <ddeItem name="LEN.US-BestBid1" advise="1"/>
      <ddeItem name="LEN.US-PreClose" advise="1"/>
      <ddeItem name="LEN.US-Price" advise="1"/>
      <ddeItem name="LH.US-BestAsk1" advise="1"/>
      <ddeItem name="LH.US-BestBid1" advise="1"/>
      <ddeItem name="LH.US-PreClose" advise="1"/>
      <ddeItem name="LH.US-Price" advise="1"/>
      <ddeItem name="LKQ.US-BestAsk1" advise="1"/>
      <ddeItem name="LKQ.US-BestBid1" advise="1"/>
      <ddeItem name="LKQ.US-PreClose" advise="1"/>
      <ddeItem name="LKQ.US-Price" advise="1"/>
      <ddeItem name="LLL.US-BestAsk1" advise="1"/>
      <ddeItem name="LLL.US-BestBid1" advise="1"/>
      <ddeItem name="LLL.US-PreClose" advise="1"/>
      <ddeItem name="LLL.US-Price" advise="1"/>
      <ddeItem name="LLY.US-BestAsk1" advise="1"/>
      <ddeItem name="LLY.US-BestBid1" advise="1"/>
      <ddeItem name="LLY.US-PreClose" advise="1"/>
      <ddeItem name="LLY.US-Price" advise="1"/>
      <ddeItem name="LMT.US-BestAsk1" advise="1"/>
      <ddeItem name="LMT.US-BestBid1" advise="1"/>
      <ddeItem name="LMT.US-PreClose" advise="1"/>
      <ddeItem name="LMT.US-Price" advise="1"/>
      <ddeItem name="LNC.US-BestAsk1" advise="1"/>
      <ddeItem name="LNC.US-BestBid1" advise="1"/>
      <ddeItem name="LNC.US-PreClose" advise="1"/>
      <ddeItem name="LNC.US-Price" advise="1"/>
      <ddeItem name="LNT.US-BestAsk1" advise="1"/>
      <ddeItem name="LNT.US-BestBid1" advise="1"/>
      <ddeItem name="LNT.US-PreClose" advise="1"/>
      <ddeItem name="LNT.US-Price" advise="1"/>
      <ddeItem name="LOW.US-BestAsk1" advise="1"/>
      <ddeItem name="LOW.US-BestBid1" advise="1"/>
      <ddeItem name="LOW.US-PreClose" advise="1"/>
      <ddeItem name="LOW.US-Price" advise="1"/>
      <ddeItem name="LRCX.US-BestAsk1" advise="1"/>
      <ddeItem name="LRCX.US-BestBid1" advise="1"/>
      <ddeItem name="LRCX.US-PreClose" advise="1"/>
      <ddeItem name="LRCX.US-Price" advise="1"/>
      <ddeItem name="LUK.US-BestAsk1" advise="1"/>
      <ddeItem name="LUK.US-BestBid1" advise="1"/>
      <ddeItem name="LUK.US-PreClose" advise="1"/>
      <ddeItem name="LUK.US-Price" advise="1"/>
      <ddeItem name="LUV.US-BestAsk1" advise="1"/>
      <ddeItem name="LUV.US-BestBid1" advise="1"/>
      <ddeItem name="LUV.US-PreClose" advise="1"/>
      <ddeItem name="LUV.US-Price" advise="1"/>
      <ddeItem name="LVLT.US-BestAsk1" advise="1"/>
      <ddeItem name="LVLT.US-BestBid1" advise="1"/>
      <ddeItem name="LVLT.US-PreClose" advise="1"/>
      <ddeItem name="LVLT.US-Price" advise="1"/>
      <ddeItem name="LYB.US-BestAsk1" advise="1"/>
      <ddeItem name="LYB.US-BestBid1" advise="1"/>
      <ddeItem name="LYB.US-PreClose" advise="1"/>
      <ddeItem name="LYB.US-Price" advise="1"/>
      <ddeItem name="M.US-BestAsk1" advise="1"/>
      <ddeItem name="M.US-BestBid1" advise="1"/>
      <ddeItem name="M.US-PreClose" advise="1"/>
      <ddeItem name="M.US-Price" advise="1"/>
      <ddeItem name="MA.US-BestAsk1" advise="1"/>
      <ddeItem name="MA.US-BestBid1" advise="1"/>
      <ddeItem name="MA.US-PreClose" advise="1"/>
      <ddeItem name="MA.US-Price" advise="1"/>
      <ddeItem name="MAA.US-BestAsk1" advise="1"/>
      <ddeItem name="MAA.US-BestBid1" advise="1"/>
      <ddeItem name="MAA.US-PreClose" advise="1"/>
      <ddeItem name="MAA.US-Price" advise="1"/>
      <ddeItem name="MAC.US-BestAsk1">
        <values>
          <value t="str">
            <val>N/A</val>
          </value>
        </values>
      </ddeItem>
      <ddeItem name="MAC.US-BestBid1">
        <values>
          <value t="str">
            <val>N/A</val>
          </value>
        </values>
      </ddeItem>
      <ddeItem name="MAC.US-PreClose">
        <values>
          <value t="str">
            <val>N/A</val>
          </value>
        </values>
      </ddeItem>
      <ddeItem name="MAC.US-Price">
        <values>
          <value t="str">
            <val>N/A</val>
          </value>
        </values>
      </ddeItem>
      <ddeItem name="MAR.US-BestAsk1" advise="1"/>
      <ddeItem name="MAR.US-BestBid1" advise="1"/>
      <ddeItem name="MAR.US-PreClose" advise="1"/>
      <ddeItem name="MAR.US-Price" advise="1"/>
      <ddeItem name="MAS.US-BestAsk1" advise="1"/>
      <ddeItem name="MAS.US-BestBid1" advise="1"/>
      <ddeItem name="MAS.US-PreClose" advise="1"/>
      <ddeItem name="MAS.US-Price" advise="1"/>
      <ddeItem name="MAT.US-BestAsk1" advise="1"/>
      <ddeItem name="MAT.US-BestBid1" advise="1"/>
      <ddeItem name="MAT.US-PreClose" advise="1"/>
      <ddeItem name="MAT.US-Price" advise="1"/>
      <ddeItem name="MCD.US-BestAsk1">
        <values>
          <value t="str">
            <val>N/A</val>
          </value>
        </values>
      </ddeItem>
      <ddeItem name="MCD.US-BestBid1">
        <values>
          <value t="str">
            <val>N/A</val>
          </value>
        </values>
      </ddeItem>
      <ddeItem name="MCD.US-PreClose">
        <values>
          <value t="str">
            <val>N/A</val>
          </value>
        </values>
      </ddeItem>
      <ddeItem name="MCD.US-Price">
        <values>
          <value t="str">
            <val>N/A</val>
          </value>
        </values>
      </ddeItem>
      <ddeItem name="MCHP.US-BestAsk1" advise="1"/>
      <ddeItem name="MCHP.US-BestBid1" advise="1"/>
      <ddeItem name="MCHP.US-PreClose" advise="1"/>
      <ddeItem name="MCHP.US-Price" advise="1"/>
      <ddeItem name="MCK.US-BestAsk1" advise="1"/>
      <ddeItem name="MCK.US-BestBid1" advise="1"/>
      <ddeItem name="MCK.US-PreClose" advise="1"/>
      <ddeItem name="MCK.US-Price" advise="1"/>
      <ddeItem name="MCO.US-BestAsk1" advise="1"/>
      <ddeItem name="MCO.US-BestBid1" advise="1"/>
      <ddeItem name="MCO.US-PreClose" advise="1"/>
      <ddeItem name="MCO.US-Price" advise="1"/>
      <ddeItem name="MDLZ.US-BestAsk1" advise="1"/>
      <ddeItem name="MDLZ.US-BestBid1" advise="1"/>
      <ddeItem name="MDLZ.US-PreClose" advise="1"/>
      <ddeItem name="MDLZ.US-Price" advise="1"/>
      <ddeItem name="MDT.US-BestAsk1" advise="1"/>
      <ddeItem name="MDT.US-BestBid1" advise="1"/>
      <ddeItem name="MDT.US-PreClose" advise="1"/>
      <ddeItem name="MDT.US-Price" advise="1"/>
      <ddeItem name="MET.US-BestAsk1" advise="1"/>
      <ddeItem name="MET.US-BestBid1" advise="1"/>
      <ddeItem name="MET.US-PreClose" advise="1"/>
      <ddeItem name="MET.US-Price" advise="1"/>
      <ddeItem name="MGM.US-BestAsk1" advise="1"/>
      <ddeItem name="MGM.US-BestBid1" advise="1"/>
      <ddeItem name="MGM.US-PreClose" advise="1"/>
      <ddeItem name="MGM.US-Price" advise="1"/>
      <ddeItem name="MHK.US-BestAsk1" advise="1"/>
      <ddeItem name="MHK.US-BestBid1" advise="1"/>
      <ddeItem name="MHK.US-PreClose" advise="1"/>
      <ddeItem name="MHK.US-Price" advise="1"/>
      <ddeItem name="MKC.US-BestAsk1" advise="1"/>
      <ddeItem name="MKC.US-BestBid1" advise="1"/>
      <ddeItem name="MKC.US-PreClose" advise="1"/>
      <ddeItem name="MKC.US-Price" advise="1"/>
      <ddeItem name="MLM.US-BestAsk1" advise="1"/>
      <ddeItem name="MLM.US-BestBid1" advise="1"/>
      <ddeItem name="MLM.US-PreClose" advise="1"/>
      <ddeItem name="MLM.US-Price" advise="1"/>
      <ddeItem name="MMC.US-BestAsk1" advise="1"/>
      <ddeItem name="MMC.US-BestBid1" advise="1"/>
      <ddeItem name="MMC.US-PreClose" advise="1"/>
      <ddeItem name="MMC.US-Price" advise="1"/>
      <ddeItem name="MMM.US-BestAsk1">
        <values>
          <value t="str">
            <val>N/A</val>
          </value>
        </values>
      </ddeItem>
      <ddeItem name="MMM.US-BestBid1">
        <values>
          <value t="str">
            <val>N/A</val>
          </value>
        </values>
      </ddeItem>
      <ddeItem name="MMM.US-PreClose">
        <values>
          <value t="str">
            <val>N/A</val>
          </value>
        </values>
      </ddeItem>
      <ddeItem name="MMM.US-Price">
        <values>
          <value t="str">
            <val>N/A</val>
          </value>
        </values>
      </ddeItem>
      <ddeItem name="MNST.US-BestAsk1" advise="1"/>
      <ddeItem name="MNST.US-BestBid1" advise="1"/>
      <ddeItem name="MNST.US-PreClose" advise="1"/>
      <ddeItem name="MNST.US-Price" advise="1"/>
      <ddeItem name="MO.US-BestAsk1">
        <values>
          <value t="str">
            <val>N/A</val>
          </value>
        </values>
      </ddeItem>
      <ddeItem name="MO.US-BestBid1">
        <values>
          <value t="str">
            <val>N/A</val>
          </value>
        </values>
      </ddeItem>
      <ddeItem name="MO.US-PreClose">
        <values>
          <value t="str">
            <val>N/A</val>
          </value>
        </values>
      </ddeItem>
      <ddeItem name="MO.US-Price">
        <values>
          <value t="str">
            <val>N/A</val>
          </value>
        </values>
      </ddeItem>
      <ddeItem name="MON.US-BestAsk1" advise="1"/>
      <ddeItem name="MON.US-BestBid1" advise="1"/>
      <ddeItem name="MON.US-PreClose" advise="1"/>
      <ddeItem name="MON.US-Price" advise="1"/>
      <ddeItem name="MOS.US-BestAsk1" advise="1"/>
      <ddeItem name="MOS.US-BestBid1" advise="1"/>
      <ddeItem name="MOS.US-PreClose" advise="1"/>
      <ddeItem name="MOS.US-Price" advise="1"/>
      <ddeItem name="MPC.US-BestAsk1" advise="1"/>
      <ddeItem name="MPC.US-BestBid1" advise="1"/>
      <ddeItem name="MPC.US-PreClose" advise="1"/>
      <ddeItem name="MPC.US-Price" advise="1"/>
      <ddeItem name="MRK.US-BestAsk1">
        <values>
          <value t="str">
            <val>N/A</val>
          </value>
        </values>
      </ddeItem>
      <ddeItem name="MRK.US-BestBid1">
        <values>
          <value t="str">
            <val>N/A</val>
          </value>
        </values>
      </ddeItem>
      <ddeItem name="MRK.US-PreClose">
        <values>
          <value t="str">
            <val>N/A</val>
          </value>
        </values>
      </ddeItem>
      <ddeItem name="MRK.US-Price">
        <values>
          <value t="str">
            <val>N/A</val>
          </value>
        </values>
      </ddeItem>
      <ddeItem name="MRO.US-BestAsk1" advise="1"/>
      <ddeItem name="MRO.US-BestBid1" advise="1"/>
      <ddeItem name="MRO.US-PreClose" advise="1"/>
      <ddeItem name="MRO.US-Price" advise="1"/>
      <ddeItem name="MS.US-BestAsk1" advise="1"/>
      <ddeItem name="MS.US-BestBid1" advise="1"/>
      <ddeItem name="MS.US-PreClose" advise="1"/>
      <ddeItem name="MS.US-Price" advise="1"/>
      <ddeItem name="MSFT.US-BestAsk1" advise="1"/>
      <ddeItem name="MSFT.US-BestBid1" advise="1"/>
      <ddeItem name="MSFT.US-PreClose" advise="1"/>
      <ddeItem name="MSFT.US-Price" advise="1"/>
      <ddeItem name="MSI.US-BestAsk1" advise="1"/>
      <ddeItem name="MSI.US-BestBid1" advise="1"/>
      <ddeItem name="MSI.US-PreClose" advise="1"/>
      <ddeItem name="MSI.US-Price" advise="1"/>
      <ddeItem name="MTB.US-BestAsk1" advise="1"/>
      <ddeItem name="MTB.US-BestBid1" advise="1"/>
      <ddeItem name="MTB.US-PreClose" advise="1"/>
      <ddeItem name="MTB.US-Price" advise="1"/>
      <ddeItem name="MTD.US-BestAsk1" advise="1"/>
      <ddeItem name="MTD.US-BestBid1" advise="1"/>
      <ddeItem name="MTD.US-PreClose" advise="1"/>
      <ddeItem name="MTD.US-Price" advise="1"/>
      <ddeItem name="MU.US-BestAsk1" advise="1"/>
      <ddeItem name="MU.US-BestBid1" advise="1"/>
      <ddeItem name="MU.US-PreClose" advise="1"/>
      <ddeItem name="MU.US-Price" advise="1"/>
      <ddeItem name="MYL.US-BestAsk1" advise="1"/>
      <ddeItem name="MYL.US-BestBid1" advise="1"/>
      <ddeItem name="MYL.US-PreClose" advise="1"/>
      <ddeItem name="MYL.US-Price" advise="1"/>
      <ddeItem name="MYRTW.FX-Ask" advise="1"/>
      <ddeItem name="MYRTW.FX-AvgPrice" advise="1"/>
      <ddeItem name="MYRTW.FX-BestAskSize" advise="1"/>
      <ddeItem name="MYRTW.FX-BestBidSize" advise="1"/>
      <ddeItem name="MYRTW.FX-Bid" advise="1"/>
      <ddeItem name="MYRTW.FX-Capital" advise="1"/>
      <ddeItem name="MYRTW.FX-InOutRatio" advise="1"/>
      <ddeItem name="MYRTW.FX-MarketValue" advise="1"/>
      <ddeItem name="MYRTW.FX-Name" advise="1"/>
      <ddeItem name="MYRTW.FX-PreClose" advise="1"/>
      <ddeItem name="MYRTW.FX-Price" advise="1"/>
      <ddeItem name="MYRTW.FX-PriceChange" advise="1"/>
      <ddeItem name="MYRTW.FX-PriceChangeRatio" advise="1"/>
      <ddeItem name="MYRTW.FX-Profit" advise="1"/>
      <ddeItem name="MYRTW.FX-TotalVolume" advise="1"/>
      <ddeItem name="MYRTW.FX-Volume" advise="1"/>
      <ddeItem name="NAVI.US-BestAsk1" advise="1"/>
      <ddeItem name="NAVI.US-BestBid1" advise="1"/>
      <ddeItem name="NAVI.US-PreClose" advise="1"/>
      <ddeItem name="NAVI.US-Price" advise="1"/>
      <ddeItem name="NBL.US-BestAsk1" advise="1"/>
      <ddeItem name="NBL.US-BestBid1" advise="1"/>
      <ddeItem name="NBL.US-PreClose" advise="1"/>
      <ddeItem name="NBL.US-Price" advise="1"/>
      <ddeItem name="NDAQ.US-BestAsk1" advise="1"/>
      <ddeItem name="NDAQ.US-BestBid1" advise="1"/>
      <ddeItem name="NDAQ.US-PreClose" advise="1"/>
      <ddeItem name="NDAQ.US-Price" advise="1"/>
      <ddeItem name="NEE.US-BestAsk1" advise="1"/>
      <ddeItem name="NEE.US-BestBid1" advise="1"/>
      <ddeItem name="NEE.US-PreClose" advise="1"/>
      <ddeItem name="NEE.US-Price" advise="1"/>
      <ddeItem name="NEM.US-BestAsk1" advise="1"/>
      <ddeItem name="NEM.US-BestBid1" advise="1"/>
      <ddeItem name="NEM.US-PreClose" advise="1"/>
      <ddeItem name="NEM.US-Price" advise="1"/>
      <ddeItem name="NFLX.US-BestAsk1" advise="1"/>
      <ddeItem name="NFLX.US-BestBid1" advise="1"/>
      <ddeItem name="NFLX.US-PreClose" advise="1"/>
      <ddeItem name="NFLX.US-Price" advise="1"/>
      <ddeItem name="NFX.US-BestAsk1" advise="1"/>
      <ddeItem name="NFX.US-BestBid1" advise="1"/>
      <ddeItem name="NFX.US-PreClose" advise="1"/>
      <ddeItem name="NFX.US-Price" advise="1"/>
      <ddeItem name="NI.US-BestAsk1" advise="1"/>
      <ddeItem name="NI.US-BestBid1" advise="1"/>
      <ddeItem name="NI.US-PreClose" advise="1"/>
      <ddeItem name="NI.US-Price" advise="1"/>
      <ddeItem name="NKE.US-BestAsk1">
        <values>
          <value t="str">
            <val>N/A</val>
          </value>
        </values>
      </ddeItem>
      <ddeItem name="NKE.US-BestBid1">
        <values>
          <value t="str">
            <val>N/A</val>
          </value>
        </values>
      </ddeItem>
      <ddeItem name="NKE.US-PreClose">
        <values>
          <value t="str">
            <val>N/A</val>
          </value>
        </values>
      </ddeItem>
      <ddeItem name="NKE.US-Price">
        <values>
          <value t="str">
            <val>N/A</val>
          </value>
        </values>
      </ddeItem>
      <ddeItem name="NLSN.US-BestAsk1" advise="1"/>
      <ddeItem name="NLSN.US-BestBid1" advise="1"/>
      <ddeItem name="NLSN.US-PreClose" advise="1"/>
      <ddeItem name="NLSN.US-Price" advise="1"/>
      <ddeItem name="NOC.US-BestAsk1" advise="1"/>
      <ddeItem name="NOC.US-BestBid1" advise="1"/>
      <ddeItem name="NOC.US-PreClose" advise="1"/>
      <ddeItem name="NOC.US-Price" advise="1"/>
      <ddeItem name="NOV.US-BestAsk1" advise="1"/>
      <ddeItem name="NOV.US-BestBid1" advise="1"/>
      <ddeItem name="NOV.US-PreClose" advise="1"/>
      <ddeItem name="NOV.US-Price" advise="1"/>
      <ddeItem name="NRG.US-BestAsk1" advise="1"/>
      <ddeItem name="NRG.US-BestBid1" advise="1"/>
      <ddeItem name="NRG.US-PreClose" advise="1"/>
      <ddeItem name="NRG.US-Price" advise="1"/>
      <ddeItem name="NSC.US-BestAsk1" advise="1"/>
      <ddeItem name="NSC.US-BestBid1" advise="1"/>
      <ddeItem name="NSC.US-PreClose" advise="1"/>
      <ddeItem name="NSC.US-Price" advise="1"/>
      <ddeItem name="NTAP.US-BestAsk1" advise="1"/>
      <ddeItem name="NTAP.US-BestBid1" advise="1"/>
      <ddeItem name="NTAP.US-PreClose" advise="1"/>
      <ddeItem name="NTAP.US-Price" advise="1"/>
      <ddeItem name="NTRS.US-BestAsk1" advise="1"/>
      <ddeItem name="NTRS.US-BestBid1" advise="1"/>
      <ddeItem name="NTRS.US-PreClose" advise="1"/>
      <ddeItem name="NTRS.US-Price" advise="1"/>
      <ddeItem name="NUE.US-BestAsk1" advise="1"/>
      <ddeItem name="NUE.US-BestBid1" advise="1"/>
      <ddeItem name="NUE.US-PreClose" advise="1"/>
      <ddeItem name="NUE.US-Price" advise="1"/>
      <ddeItem name="NVDA.US-BestAsk1" advise="1"/>
      <ddeItem name="NVDA.US-BestBid1" advise="1"/>
      <ddeItem name="NVDA.US-PreClose" advise="1"/>
      <ddeItem name="NVDA.US-Price" advise="1"/>
      <ddeItem name="NWL.US-BestAsk1" advise="1"/>
      <ddeItem name="NWL.US-BestBid1" advise="1"/>
      <ddeItem name="NWL.US-PreClose" advise="1"/>
      <ddeItem name="NWL.US-Price" advise="1"/>
      <ddeItem name="NWS.US-BestAsk1" advise="1"/>
      <ddeItem name="NWS.US-BestBid1" advise="1"/>
      <ddeItem name="NWS.US-PreClose" advise="1"/>
      <ddeItem name="NWS.US-Price" advise="1"/>
      <ddeItem name="NWSA.US-BestAsk1" advise="1"/>
      <ddeItem name="NWSA.US-BestBid1" advise="1"/>
      <ddeItem name="NWSA.US-PreClose" advise="1"/>
      <ddeItem name="NWSA.US-Price" advise="1"/>
      <ddeItem name="NZD.FX-Ask" advise="1"/>
      <ddeItem name="NZD.FX-AvgPrice" advise="1"/>
      <ddeItem name="NZD.FX-BestAskSize" advise="1"/>
      <ddeItem name="NZD.FX-BestBidSize" advise="1"/>
      <ddeItem name="NZD.FX-Bid" advise="1"/>
      <ddeItem name="NZD.FX-Capital" advise="1"/>
      <ddeItem name="NZD.FX-InOutRatio" advise="1"/>
      <ddeItem name="NZD.FX-MarketValue" advise="1"/>
      <ddeItem name="NZD.FX-Name" advise="1"/>
      <ddeItem name="NZD.FX-PreClose" advise="1"/>
      <ddeItem name="NZD.FX-Price" advise="1"/>
      <ddeItem name="NZD.FX-PriceChange" advise="1"/>
      <ddeItem name="NZD.FX-PriceChangeRatio" advise="1"/>
      <ddeItem name="NZD.FX-Profit" advise="1"/>
      <ddeItem name="NZD.FX-TotalVolume" advise="1"/>
      <ddeItem name="NZD.FX-Volume" advise="1"/>
      <ddeItem name="NZDTW.FX-Ask" advise="1"/>
      <ddeItem name="NZDTW.FX-AvgPrice" advise="1"/>
      <ddeItem name="NZDTW.FX-BestAskSize" advise="1"/>
      <ddeItem name="NZDTW.FX-BestBidSize" advise="1"/>
      <ddeItem name="NZDTW.FX-Bid" advise="1"/>
      <ddeItem name="NZDTW.FX-Capital" advise="1"/>
      <ddeItem name="NZDTW.FX-InOutRatio" advise="1"/>
      <ddeItem name="NZDTW.FX-MarketValue" advise="1"/>
      <ddeItem name="NZDTW.FX-Name" advise="1"/>
      <ddeItem name="NZDTW.FX-PreClose" advise="1"/>
      <ddeItem name="NZDTW.FX-Price" advise="1"/>
      <ddeItem name="NZDTW.FX-PriceChange" advise="1"/>
      <ddeItem name="NZDTW.FX-PriceChangeRatio" advise="1"/>
      <ddeItem name="NZDTW.FX-Profit" advise="1"/>
      <ddeItem name="NZDTW.FX-TotalVolume" advise="1"/>
      <ddeItem name="NZDTW.FX-Volume" advise="1"/>
      <ddeItem name="O.US-BestAsk1">
        <values>
          <value t="str">
            <val>N/A</val>
          </value>
        </values>
      </ddeItem>
      <ddeItem name="O.US-BestBid1">
        <values>
          <value t="str">
            <val>N/A</val>
          </value>
        </values>
      </ddeItem>
      <ddeItem name="O.US-PreClose">
        <values>
          <value t="str">
            <val>N/A</val>
          </value>
        </values>
      </ddeItem>
      <ddeItem name="O.US-Price">
        <values>
          <value t="str">
            <val>N/A</val>
          </value>
        </values>
      </ddeItem>
      <ddeItem name="OKE.US-BestAsk1" advise="1"/>
      <ddeItem name="OKE.US-BestBid1" advise="1"/>
      <ddeItem name="OKE.US-PreClose" advise="1"/>
      <ddeItem name="OKE.US-Price" advise="1"/>
      <ddeItem name="OMC.US-BestAsk1" advise="1"/>
      <ddeItem name="OMC.US-BestBid1" advise="1"/>
      <ddeItem name="OMC.US-PreClose" advise="1"/>
      <ddeItem name="OMC.US-Price" advise="1"/>
      <ddeItem name="ORCL.US-BestAsk1" advise="1"/>
      <ddeItem name="ORCL.US-BestBid1" advise="1"/>
      <ddeItem name="ORCL.US-PreClose" advise="1"/>
      <ddeItem name="ORCL.US-Price" advise="1"/>
      <ddeItem name="ORLY.US-BestAsk1" advise="1"/>
      <ddeItem name="ORLY.US-BestBid1" advise="1"/>
      <ddeItem name="ORLY.US-PreClose" advise="1"/>
      <ddeItem name="ORLY.US-Price" advise="1"/>
      <ddeItem name="OXY.US-BestAsk1">
        <values>
          <value t="str">
            <val>N/A</val>
          </value>
        </values>
      </ddeItem>
      <ddeItem name="OXY.US-BestBid1">
        <values>
          <value t="str">
            <val>N/A</val>
          </value>
        </values>
      </ddeItem>
      <ddeItem name="OXY.US-PreClose">
        <values>
          <value t="str">
            <val>N/A</val>
          </value>
        </values>
      </ddeItem>
      <ddeItem name="OXY.US-Price">
        <values>
          <value t="str">
            <val>N/A</val>
          </value>
        </values>
      </ddeItem>
      <ddeItem name="PAYX.US-BestAsk1" advise="1"/>
      <ddeItem name="PAYX.US-BestBid1" advise="1"/>
      <ddeItem name="PAYX.US-PreClose" advise="1"/>
      <ddeItem name="PAYX.US-Price" advise="1"/>
      <ddeItem name="PBCT.US-BestAsk1">
        <values>
          <value t="str">
            <val>N/A</val>
          </value>
        </values>
      </ddeItem>
      <ddeItem name="PBCT.US-BestBid1">
        <values>
          <value t="str">
            <val>N/A</val>
          </value>
        </values>
      </ddeItem>
      <ddeItem name="PBCT.US-PreClose">
        <values>
          <value t="str">
            <val>N/A</val>
          </value>
        </values>
      </ddeItem>
      <ddeItem name="PBCT.US-Price">
        <values>
          <value t="str">
            <val>N/A</val>
          </value>
        </values>
      </ddeItem>
      <ddeItem name="PCAR.US-BestAsk1" advise="1"/>
      <ddeItem name="PCAR.US-BestBid1" advise="1"/>
      <ddeItem name="PCAR.US-PreClose" advise="1"/>
      <ddeItem name="PCAR.US-Price" advise="1"/>
      <ddeItem name="PCG.US-BestAsk1" advise="1"/>
      <ddeItem name="PCG.US-BestBid1" advise="1"/>
      <ddeItem name="PCG.US-PreClose" advise="1"/>
      <ddeItem name="PCG.US-Price" advise="1"/>
      <ddeItem name="PCLN.US-BestAsk1" advise="1"/>
      <ddeItem name="PCLN.US-BestBid1" advise="1"/>
      <ddeItem name="PCLN.US-PreClose" advise="1"/>
      <ddeItem name="PCLN.US-Price" advise="1"/>
      <ddeItem name="PDCO.US-BestAsk1" advise="1"/>
      <ddeItem name="PDCO.US-BestBid1" advise="1"/>
      <ddeItem name="PDCO.US-PreClose" advise="1"/>
      <ddeItem name="PDCO.US-Price" advise="1"/>
      <ddeItem name="PEG.US-BestAsk1">
        <values>
          <value t="str">
            <val>N/A</val>
          </value>
        </values>
      </ddeItem>
      <ddeItem name="PEG.US-BestBid1">
        <values>
          <value t="str">
            <val>N/A</val>
          </value>
        </values>
      </ddeItem>
      <ddeItem name="PEG.US-PreClose">
        <values>
          <value t="str">
            <val>N/A</val>
          </value>
        </values>
      </ddeItem>
      <ddeItem name="PEG.US-Price">
        <values>
          <value t="str">
            <val>N/A</val>
          </value>
        </values>
      </ddeItem>
      <ddeItem name="PEP.US-BestAsk1" advise="1"/>
      <ddeItem name="PEP.US-BestBid1" advise="1"/>
      <ddeItem name="PEP.US-PreClose" advise="1"/>
      <ddeItem name="PEP.US-Price" advise="1"/>
      <ddeItem name="PFE.US-BestAsk1">
        <values>
          <value t="str">
            <val>N/A</val>
          </value>
        </values>
      </ddeItem>
      <ddeItem name="PFE.US-BestBid1">
        <values>
          <value t="str">
            <val>N/A</val>
          </value>
        </values>
      </ddeItem>
      <ddeItem name="PFE.US-PreClose">
        <values>
          <value t="str">
            <val>N/A</val>
          </value>
        </values>
      </ddeItem>
      <ddeItem name="PFE.US-Price">
        <values>
          <value t="str">
            <val>N/A</val>
          </value>
        </values>
      </ddeItem>
      <ddeItem name="PFG.US-BestAsk1" advise="1"/>
      <ddeItem name="PFG.US-BestBid1" advise="1"/>
      <ddeItem name="PFG.US-PreClose" advise="1"/>
      <ddeItem name="PFG.US-Price" advise="1"/>
      <ddeItem name="PG.US-BestAsk1">
        <values>
          <value t="str">
            <val>N/A</val>
          </value>
        </values>
      </ddeItem>
      <ddeItem name="PG.US-BestBid1">
        <values>
          <value t="str">
            <val>N/A</val>
          </value>
        </values>
      </ddeItem>
      <ddeItem name="PG.US-PreClose">
        <values>
          <value t="str">
            <val>N/A</val>
          </value>
        </values>
      </ddeItem>
      <ddeItem name="PG.US-Price">
        <values>
          <value t="str">
            <val>N/A</val>
          </value>
        </values>
      </ddeItem>
      <ddeItem name="PGR.US-BestAsk1" advise="1"/>
      <ddeItem name="PGR.US-BestBid1" advise="1"/>
      <ddeItem name="PGR.US-PreClose" advise="1"/>
      <ddeItem name="PGR.US-Price" advise="1"/>
      <ddeItem name="PH.US-BestAsk1" advise="1"/>
      <ddeItem name="PH.US-BestBid1" advise="1"/>
      <ddeItem name="PH.US-PreClose" advise="1"/>
      <ddeItem name="PH.US-Price" advise="1"/>
      <ddeItem name="PHM.US-BestAsk1" advise="1"/>
      <ddeItem name="PHM.US-BestBid1" advise="1"/>
      <ddeItem name="PHM.US-PreClose" advise="1"/>
      <ddeItem name="PHM.US-Price" advise="1"/>
      <ddeItem name="PHPTW.FX-Ask" advise="1"/>
      <ddeItem name="PHPTW.FX-AvgPrice" advise="1"/>
      <ddeItem name="PHPTW.FX-BestAskSize" advise="1"/>
      <ddeItem name="PHPTW.FX-BestBidSize" advise="1"/>
      <ddeItem name="PHPTW.FX-Bid" advise="1"/>
      <ddeItem name="PHPTW.FX-Capital" advise="1"/>
      <ddeItem name="PHPTW.FX-InOutRatio" advise="1"/>
      <ddeItem name="PHPTW.FX-MarketValue" advise="1"/>
      <ddeItem name="PHPTW.FX-Name" advise="1"/>
      <ddeItem name="PHPTW.FX-PreClose" advise="1"/>
      <ddeItem name="PHPTW.FX-Price" advise="1"/>
      <ddeItem name="PHPTW.FX-PriceChange" advise="1"/>
      <ddeItem name="PHPTW.FX-PriceChangeRatio" advise="1"/>
      <ddeItem name="PHPTW.FX-Profit" advise="1"/>
      <ddeItem name="PHPTW.FX-TotalVolume" advise="1"/>
      <ddeItem name="PHPTW.FX-Volume" advise="1"/>
      <ddeItem name="PKG.US-BestAsk1" advise="1"/>
      <ddeItem name="PKG.US-BestBid1" advise="1"/>
      <ddeItem name="PKG.US-PreClose" advise="1"/>
      <ddeItem name="PKG.US-Price" advise="1"/>
      <ddeItem name="PKI.US-BestAsk1" advise="1"/>
      <ddeItem name="PKI.US-BestBid1" advise="1"/>
      <ddeItem name="PKI.US-PreClose" advise="1"/>
      <ddeItem name="PKI.US-Price" advise="1"/>
      <ddeItem name="PLD.US-BestAsk1" advise="1"/>
      <ddeItem name="PLD.US-BestBid1" advise="1"/>
      <ddeItem name="PLD.US-PreClose" advise="1"/>
      <ddeItem name="PLD.US-Price" advise="1"/>
      <ddeItem name="PM.US-BestAsk1">
        <values>
          <value t="str">
            <val>N/A</val>
          </value>
        </values>
      </ddeItem>
      <ddeItem name="PM.US-BestBid1">
        <values>
          <value t="str">
            <val>N/A</val>
          </value>
        </values>
      </ddeItem>
      <ddeItem name="PM.US-PreClose">
        <values>
          <value t="str">
            <val>N/A</val>
          </value>
        </values>
      </ddeItem>
      <ddeItem name="PM.US-Price">
        <values>
          <value t="str">
            <val>N/A</val>
          </value>
        </values>
      </ddeItem>
      <ddeItem name="PNC.US-BestAsk1" advise="1"/>
      <ddeItem name="PNC.US-BestBid1" advise="1"/>
      <ddeItem name="PNC.US-PreClose" advise="1"/>
      <ddeItem name="PNC.US-Price" advise="1"/>
      <ddeItem name="PNR.US-BestAsk1" advise="1"/>
      <ddeItem name="PNR.US-BestBid1" advise="1"/>
      <ddeItem name="PNR.US-PreClose" advise="1"/>
      <ddeItem name="PNR.US-Price" advise="1"/>
      <ddeItem name="PNW.US-BestAsk1" advise="1"/>
      <ddeItem name="PNW.US-BestBid1" advise="1"/>
      <ddeItem name="PNW.US-PreClose" advise="1"/>
      <ddeItem name="PNW.US-Price" advise="1"/>
      <ddeItem name="PPG.US-BestAsk1" advise="1"/>
      <ddeItem name="PPG.US-BestBid1" advise="1"/>
      <ddeItem name="PPG.US-PreClose" advise="1"/>
      <ddeItem name="PPG.US-Price" advise="1"/>
      <ddeItem name="PPL.US-BestAsk1">
        <values>
          <value t="str">
            <val>N/A</val>
          </value>
        </values>
      </ddeItem>
      <ddeItem name="PPL.US-BestBid1">
        <values>
          <value t="str">
            <val>N/A</val>
          </value>
        </values>
      </ddeItem>
      <ddeItem name="PPL.US-PreClose">
        <values>
          <value t="str">
            <val>N/A</val>
          </value>
        </values>
      </ddeItem>
      <ddeItem name="PPL.US-Price">
        <values>
          <value t="str">
            <val>N/A</val>
          </value>
        </values>
      </ddeItem>
      <ddeItem name="PRGO.US-BestAsk1" advise="1"/>
      <ddeItem name="PRGO.US-BestBid1" advise="1"/>
      <ddeItem name="PRGO.US-PreClose" advise="1"/>
      <ddeItem name="PRGO.US-Price" advise="1"/>
      <ddeItem name="PRU.US-BestAsk1" advise="1"/>
      <ddeItem name="PRU.US-BestBid1" advise="1"/>
      <ddeItem name="PRU.US-PreClose" advise="1"/>
      <ddeItem name="PRU.US-Price" advise="1"/>
      <ddeItem name="PSA.US-BestAsk1" advise="1"/>
      <ddeItem name="PSA.US-BestBid1" advise="1"/>
      <ddeItem name="PSA.US-PreClose" advise="1"/>
      <ddeItem name="PSA.US-Price" advise="1"/>
      <ddeItem name="PSX.US-BestAsk1">
        <values>
          <value t="str">
            <val>N/A</val>
          </value>
        </values>
      </ddeItem>
      <ddeItem name="PSX.US-BestBid1">
        <values>
          <value t="str">
            <val>N/A</val>
          </value>
        </values>
      </ddeItem>
      <ddeItem name="PSX.US-PreClose">
        <values>
          <value t="str">
            <val>N/A</val>
          </value>
        </values>
      </ddeItem>
      <ddeItem name="PSX.US-Price">
        <values>
          <value t="str">
            <val>N/A</val>
          </value>
        </values>
      </ddeItem>
      <ddeItem name="PVH.US-BestAsk1" advise="1"/>
      <ddeItem name="PVH.US-BestBid1" advise="1"/>
      <ddeItem name="PVH.US-PreClose" advise="1"/>
      <ddeItem name="PVH.US-Price" advise="1"/>
      <ddeItem name="PWR.US-BestAsk1" advise="1"/>
      <ddeItem name="PWR.US-BestBid1" advise="1"/>
      <ddeItem name="PWR.US-PreClose" advise="1"/>
      <ddeItem name="PWR.US-Price" advise="1"/>
      <ddeItem name="PX.US-BestAsk1" advise="1"/>
      <ddeItem name="PX.US-BestBid1" advise="1"/>
      <ddeItem name="PX.US-PreClose" advise="1"/>
      <ddeItem name="PX.US-Price" advise="1"/>
      <ddeItem name="PXD.US-BestAsk1" advise="1"/>
      <ddeItem name="PXD.US-BestBid1" advise="1"/>
      <ddeItem name="PXD.US-PreClose" advise="1"/>
      <ddeItem name="PXD.US-Price" advise="1"/>
      <ddeItem name="PYPL.US-BestAsk1" advise="1"/>
      <ddeItem name="PYPL.US-BestBid1" advise="1"/>
      <ddeItem name="PYPL.US-PreClose" advise="1"/>
      <ddeItem name="PYPL.US-Price" advise="1"/>
      <ddeItem name="Q.US-BestAsk1" advise="1"/>
      <ddeItem name="Q.US-BestBid1" advise="1"/>
      <ddeItem name="Q.US-PreClose" advise="1"/>
      <ddeItem name="Q.US-Price" advise="1"/>
      <ddeItem name="QCOM.US-BestAsk1" advise="1"/>
      <ddeItem name="QCOM.US-BestBid1" advise="1"/>
      <ddeItem name="QCOM.US-PreClose" advise="1"/>
      <ddeItem name="QCOM.US-Price" advise="1"/>
      <ddeItem name="QRVO.US-BestAsk1" advise="1"/>
      <ddeItem name="QRVO.US-BestBid1" advise="1"/>
      <ddeItem name="QRVO.US-PreClose" advise="1"/>
      <ddeItem name="QRVO.US-Price" advise="1"/>
      <ddeItem name="RCL.US-BestAsk1" advise="1"/>
      <ddeItem name="RCL.US-BestBid1" advise="1"/>
      <ddeItem name="RCL.US-PreClose" advise="1"/>
      <ddeItem name="RCL.US-Price" advise="1"/>
      <ddeItem name="RE.US-BestAsk1" advise="1"/>
      <ddeItem name="RE.US-BestBid1" advise="1"/>
      <ddeItem name="RE.US-PreClose" advise="1"/>
      <ddeItem name="RE.US-Price" advise="1"/>
      <ddeItem name="REG.US-BestAsk1" advise="1"/>
      <ddeItem name="REG.US-BestBid1" advise="1"/>
      <ddeItem name="REG.US-PreClose" advise="1"/>
      <ddeItem name="REG.US-Price" advise="1"/>
      <ddeItem name="REGN.US-BestAsk1" advise="1"/>
      <ddeItem name="REGN.US-BestBid1" advise="1"/>
      <ddeItem name="REGN.US-PreClose" advise="1"/>
      <ddeItem name="REGN.US-Price" advise="1"/>
      <ddeItem name="RF.US-BestAsk1" advise="1"/>
      <ddeItem name="RF.US-BestBid1" advise="1"/>
      <ddeItem name="RF.US-PreClose" advise="1"/>
      <ddeItem name="RF.US-Price" advise="1"/>
      <ddeItem name="RHI.US-BestAsk1" advise="1"/>
      <ddeItem name="RHI.US-BestBid1" advise="1"/>
      <ddeItem name="RHI.US-PreClose" advise="1"/>
      <ddeItem name="RHI.US-Price" advise="1"/>
      <ddeItem name="RHT.US-BestAsk1" advise="1"/>
      <ddeItem name="RHT.US-BestBid1" advise="1"/>
      <ddeItem name="RHT.US-PreClose" advise="1"/>
      <ddeItem name="RHT.US-Price" advise="1"/>
      <ddeItem name="RJF.US-BestAsk1" advise="1"/>
      <ddeItem name="RJF.US-BestBid1" advise="1"/>
      <ddeItem name="RJF.US-PreClose" advise="1"/>
      <ddeItem name="RJF.US-Price" advise="1"/>
      <ddeItem name="RL.US-BestAsk1" advise="1"/>
      <ddeItem name="RL.US-BestBid1" advise="1"/>
      <ddeItem name="RL.US-PreClose" advise="1"/>
      <ddeItem name="RL.US-Price" advise="1"/>
      <ddeItem name="RMD.US-BestAsk1" advise="1"/>
      <ddeItem name="RMD.US-BestBid1" advise="1"/>
      <ddeItem name="RMD.US-PreClose" advise="1"/>
      <ddeItem name="RMD.US-Price" advise="1"/>
      <ddeItem name="ROK.US-BestAsk1" advise="1"/>
      <ddeItem name="ROK.US-BestBid1" advise="1"/>
      <ddeItem name="ROK.US-PreClose" advise="1"/>
      <ddeItem name="ROK.US-Price" advise="1"/>
      <ddeItem name="ROP.US-BestAsk1" advise="1"/>
      <ddeItem name="ROP.US-BestBid1" advise="1"/>
      <ddeItem name="ROP.US-PreClose" advise="1"/>
      <ddeItem name="ROP.US-Price" advise="1"/>
      <ddeItem name="ROST.US-BestAsk1" advise="1"/>
      <ddeItem name="ROST.US-BestBid1" advise="1"/>
      <ddeItem name="ROST.US-PreClose" advise="1"/>
      <ddeItem name="ROST.US-Price" advise="1"/>
      <ddeItem name="RRC.US-BestAsk1" advise="1"/>
      <ddeItem name="RRC.US-BestBid1" advise="1"/>
      <ddeItem name="RRC.US-PreClose" advise="1"/>
      <ddeItem name="RRC.US-Price" advise="1"/>
      <ddeItem name="RSG.US-BestAsk1" advise="1"/>
      <ddeItem name="RSG.US-BestBid1" advise="1"/>
      <ddeItem name="RSG.US-PreClose" advise="1"/>
      <ddeItem name="RSG.US-Price" advise="1"/>
      <ddeItem name="RTN.US-BestAsk1" advise="1"/>
      <ddeItem name="RTN.US-BestBid1" advise="1"/>
      <ddeItem name="RTN.US-PreClose" advise="1"/>
      <ddeItem name="RTN.US-Price" advise="1"/>
      <ddeItem name="RUB.FX-Ask" advise="1"/>
      <ddeItem name="RUB.FX-AvgPrice" advise="1"/>
      <ddeItem name="RUB.FX-BestAskSize" advise="1"/>
      <ddeItem name="RUB.FX-BestBidSize" advise="1"/>
      <ddeItem name="RUB.FX-Bid" advise="1"/>
      <ddeItem name="RUB.FX-Capital" advise="1"/>
      <ddeItem name="RUB.FX-InOutRatio" advise="1"/>
      <ddeItem name="RUB.FX-MarketValue" advise="1"/>
      <ddeItem name="RUB.FX-Name" advise="1"/>
      <ddeItem name="RUB.FX-PreClose" advise="1"/>
      <ddeItem name="RUB.FX-Price" advise="1"/>
      <ddeItem name="RUB.FX-PriceChange" advise="1"/>
      <ddeItem name="RUB.FX-PriceChangeRatio" advise="1"/>
      <ddeItem name="RUB.FX-Profit" advise="1"/>
      <ddeItem name="RUB.FX-TotalVolume" advise="1"/>
      <ddeItem name="RUB.FX-Volume" advise="1"/>
      <ddeItem name="SBAC.US-BestAsk1" advise="1"/>
      <ddeItem name="SBAC.US-BestBid1" advise="1"/>
      <ddeItem name="SBAC.US-PreClose" advise="1"/>
      <ddeItem name="SBAC.US-Price" advise="1"/>
      <ddeItem name="SBUX.US-BestAsk1" advise="1"/>
      <ddeItem name="SBUX.US-BestBid1" advise="1"/>
      <ddeItem name="SBUX.US-PreClose" advise="1"/>
      <ddeItem name="SBUX.US-Price" advise="1"/>
      <ddeItem name="SCG.US-BestAsk1" advise="1"/>
      <ddeItem name="SCG.US-BestBid1" advise="1"/>
      <ddeItem name="SCG.US-PreClose" advise="1"/>
      <ddeItem name="SCG.US-Price" advise="1"/>
      <ddeItem name="SCHW.US-BestAsk1" advise="1"/>
      <ddeItem name="SCHW.US-BestBid1" advise="1"/>
      <ddeItem name="SCHW.US-PreClose" advise="1"/>
      <ddeItem name="SCHW.US-Price" advise="1"/>
      <ddeItem name="SEE.US-BestAsk1" advise="1"/>
      <ddeItem name="SEE.US-BestBid1" advise="1"/>
      <ddeItem name="SEE.US-PreClose" advise="1"/>
      <ddeItem name="SEE.US-Price" advise="1"/>
      <ddeItem name="SGDTW.FX-Ask" advise="1"/>
      <ddeItem name="SGDTW.FX-AvgPrice" advise="1"/>
      <ddeItem name="SGDTW.FX-BestAskSize" advise="1"/>
      <ddeItem name="SGDTW.FX-BestBidSize" advise="1"/>
      <ddeItem name="SGDTW.FX-Bid" advise="1"/>
      <ddeItem name="SGDTW.FX-Capital" advise="1"/>
      <ddeItem name="SGDTW.FX-InOutRatio" advise="1"/>
      <ddeItem name="SGDTW.FX-MarketValue" advise="1"/>
      <ddeItem name="SGDTW.FX-Name" advise="1"/>
      <ddeItem name="SGDTW.FX-PreClose" advise="1"/>
      <ddeItem name="SGDTW.FX-Price" advise="1"/>
      <ddeItem name="SGDTW.FX-PriceChange" advise="1"/>
      <ddeItem name="SGDTW.FX-PriceChangeRatio" advise="1"/>
      <ddeItem name="SGDTW.FX-Profit" advise="1"/>
      <ddeItem name="SGDTW.FX-TotalVolume" advise="1"/>
      <ddeItem name="SGDTW.FX-Volume" advise="1"/>
      <ddeItem name="SHW.US-BestAsk1" advise="1"/>
      <ddeItem name="SHW.US-BestBid1" advise="1"/>
      <ddeItem name="SHW.US-PreClose" advise="1"/>
      <ddeItem name="SHW.US-Price" advise="1"/>
      <ddeItem name="SIG.US-BestAsk1" advise="1"/>
      <ddeItem name="SIG.US-BestBid1" advise="1"/>
      <ddeItem name="SIG.US-PreClose" advise="1"/>
      <ddeItem name="SIG.US-Price" advise="1"/>
      <ddeItem name="SJM.US-BestAsk1" advise="1"/>
      <ddeItem name="SJM.US-BestBid1" advise="1"/>
      <ddeItem name="SJM.US-PreClose" advise="1"/>
      <ddeItem name="SJM.US-Price" advise="1"/>
      <ddeItem name="SLB.US-BestAsk1">
        <values>
          <value t="str">
            <val>N/A</val>
          </value>
        </values>
      </ddeItem>
      <ddeItem name="SLB.US-BestBid1">
        <values>
          <value t="str">
            <val>N/A</val>
          </value>
        </values>
      </ddeItem>
      <ddeItem name="SLB.US-PreClose">
        <values>
          <value t="str">
            <val>N/A</val>
          </value>
        </values>
      </ddeItem>
      <ddeItem name="SLB.US-Price">
        <values>
          <value t="str">
            <val>N/A</val>
          </value>
        </values>
      </ddeItem>
      <ddeItem name="SLG.US-BestAsk1" advise="1"/>
      <ddeItem name="SLG.US-BestBid1" advise="1"/>
      <ddeItem name="SLG.US-PreClose" advise="1"/>
      <ddeItem name="SLG.US-Price" advise="1"/>
      <ddeItem name="SNA.US-BestAsk1" advise="1"/>
      <ddeItem name="SNA.US-BestBid1" advise="1"/>
      <ddeItem name="SNA.US-PreClose" advise="1"/>
      <ddeItem name="SNA.US-Price" advise="1"/>
      <ddeItem name="SNI.US-BestAsk1" advise="1"/>
      <ddeItem name="SNI.US-BestBid1" advise="1"/>
      <ddeItem name="SNI.US-PreClose" advise="1"/>
      <ddeItem name="SNI.US-Price" advise="1"/>
      <ddeItem name="SNPS.US-BestAsk1" advise="1"/>
      <ddeItem name="SNPS.US-BestBid1" advise="1"/>
      <ddeItem name="SNPS.US-PreClose" advise="1"/>
      <ddeItem name="SNPS.US-Price" advise="1"/>
      <ddeItem name="SO.US-BestAsk1">
        <values>
          <value t="str">
            <val>N/A</val>
          </value>
        </values>
      </ddeItem>
      <ddeItem name="SO.US-BestBid1">
        <values>
          <value t="str">
            <val>N/A</val>
          </value>
        </values>
      </ddeItem>
      <ddeItem name="SO.US-PreClose">
        <values>
          <value t="str">
            <val>N/A</val>
          </value>
        </values>
      </ddeItem>
      <ddeItem name="SO.US-Price">
        <values>
          <value t="str">
            <val>N/A</val>
          </value>
        </values>
      </ddeItem>
      <ddeItem name="SPG.US-BestAsk1">
        <values>
          <value t="str">
            <val>N/A</val>
          </value>
        </values>
      </ddeItem>
      <ddeItem name="SPG.US-BestBid1">
        <values>
          <value t="str">
            <val>N/A</val>
          </value>
        </values>
      </ddeItem>
      <ddeItem name="SPG.US-PreClose">
        <values>
          <value t="str">
            <val>N/A</val>
          </value>
        </values>
      </ddeItem>
      <ddeItem name="SPG.US-Price">
        <values>
          <value t="str">
            <val>N/A</val>
          </value>
        </values>
      </ddeItem>
      <ddeItem name="SPGI.US-BestAsk1" advise="1"/>
      <ddeItem name="SPGI.US-BestBid1" advise="1"/>
      <ddeItem name="SPGI.US-PreClose" advise="1"/>
      <ddeItem name="SPGI.US-Price" advise="1"/>
      <ddeItem name="SRCL.US-BestAsk1" advise="1"/>
      <ddeItem name="SRCL.US-BestBid1" advise="1"/>
      <ddeItem name="SRCL.US-PreClose" advise="1"/>
      <ddeItem name="SRCL.US-Price" advise="1"/>
      <ddeItem name="SRE.US-BestAsk1" advise="1"/>
      <ddeItem name="SRE.US-BestBid1" advise="1"/>
      <ddeItem name="SRE.US-PreClose" advise="1"/>
      <ddeItem name="SRE.US-Price" advise="1"/>
      <ddeItem name="StdDocumentName" ole="1" advise="1"/>
      <ddeItem name="STI.US-BestAsk1" advise="1"/>
      <ddeItem name="STI.US-BestBid1" advise="1"/>
      <ddeItem name="STI.US-PreClose" advise="1"/>
      <ddeItem name="STI.US-Price" advise="1"/>
      <ddeItem name="STT.US-BestAsk1" advise="1"/>
      <ddeItem name="STT.US-BestBid1" advise="1"/>
      <ddeItem name="STT.US-PreClose" advise="1"/>
      <ddeItem name="STT.US-Price" advise="1"/>
      <ddeItem name="STX.US-BestAsk1" advise="1"/>
      <ddeItem name="STX.US-BestBid1" advise="1"/>
      <ddeItem name="STX.US-PreClose" advise="1"/>
      <ddeItem name="STX.US-Price" advise="1"/>
      <ddeItem name="STZ.US-BestAsk1" advise="1"/>
      <ddeItem name="STZ.US-BestBid1" advise="1"/>
      <ddeItem name="STZ.US-PreClose" advise="1"/>
      <ddeItem name="STZ.US-Price" advise="1"/>
      <ddeItem name="SWK.US-BestAsk1" advise="1"/>
      <ddeItem name="SWK.US-BestBid1" advise="1"/>
      <ddeItem name="SWK.US-PreClose" advise="1"/>
      <ddeItem name="SWK.US-Price" advise="1"/>
      <ddeItem name="SWKS.US-BestAsk1" advise="1"/>
      <ddeItem name="SWKS.US-BestBid1" advise="1"/>
      <ddeItem name="SWKS.US-PreClose" advise="1"/>
      <ddeItem name="SWKS.US-Price" advise="1"/>
      <ddeItem name="SYF.US-BestAsk1" advise="1"/>
      <ddeItem name="SYF.US-BestBid1" advise="1"/>
      <ddeItem name="SYF.US-PreClose" advise="1"/>
      <ddeItem name="SYF.US-Price" advise="1"/>
      <ddeItem name="SYK.US-BestAsk1" advise="1"/>
      <ddeItem name="SYK.US-BestBid1" advise="1"/>
      <ddeItem name="SYK.US-PreClose" advise="1"/>
      <ddeItem name="SYK.US-Price" advise="1"/>
      <ddeItem name="SYMC.US-BestAsk1" advise="1"/>
      <ddeItem name="SYMC.US-BestBid1" advise="1"/>
      <ddeItem name="SYMC.US-PreClose" advise="1"/>
      <ddeItem name="SYMC.US-Price" advise="1"/>
      <ddeItem name="SYY.US-BestAsk1" advise="1"/>
      <ddeItem name="SYY.US-BestBid1" advise="1"/>
      <ddeItem name="SYY.US-PreClose" advise="1"/>
      <ddeItem name="SYY.US-Price" advise="1"/>
      <ddeItem name="T.US-BestAsk1">
        <values>
          <value t="str">
            <val>N/A</val>
          </value>
        </values>
      </ddeItem>
      <ddeItem name="T.US-BestBid1">
        <values>
          <value t="str">
            <val>N/A</val>
          </value>
        </values>
      </ddeItem>
      <ddeItem name="T.US-PreClose">
        <values>
          <value t="str">
            <val>N/A</val>
          </value>
        </values>
      </ddeItem>
      <ddeItem name="T.US-Price">
        <values>
          <value t="str">
            <val>N/A</val>
          </value>
        </values>
      </ddeItem>
      <ddeItem name="TAP.US-BestAsk1" advise="1"/>
      <ddeItem name="TAP.US-BestBid1" advise="1"/>
      <ddeItem name="TAP.US-PreClose" advise="1"/>
      <ddeItem name="TAP.US-Price" advise="1"/>
      <ddeItem name="TDG.US-BestAsk1" advise="1"/>
      <ddeItem name="TDG.US-BestBid1" advise="1"/>
      <ddeItem name="TDG.US-PreClose" advise="1"/>
      <ddeItem name="TDG.US-Price" advise="1"/>
      <ddeItem name="TEL.US-BestAsk1" advise="1"/>
      <ddeItem name="TEL.US-BestBid1" advise="1"/>
      <ddeItem name="TEL.US-PreClose" advise="1"/>
      <ddeItem name="TEL.US-Price" advise="1"/>
      <ddeItem name="TGT.US-BestAsk1" advise="1"/>
      <ddeItem name="TGT.US-BestBid1" advise="1"/>
      <ddeItem name="TGT.US-PreClose" advise="1"/>
      <ddeItem name="TGT.US-Price" advise="1"/>
      <ddeItem name="THB.FX-Ask" advise="1"/>
      <ddeItem name="THB.FX-AvgPrice" advise="1"/>
      <ddeItem name="THB.FX-BestAskSize" advise="1"/>
      <ddeItem name="THB.FX-BestBidSize" advise="1"/>
      <ddeItem name="THB.FX-Bid" advise="1"/>
      <ddeItem name="THB.FX-Capital" advise="1"/>
      <ddeItem name="THB.FX-InOutRatio" advise="1"/>
      <ddeItem name="THB.FX-MarketValue" advise="1"/>
      <ddeItem name="THB.FX-Name" advise="1"/>
      <ddeItem name="THB.FX-PreClose" advise="1"/>
      <ddeItem name="THB.FX-Price" advise="1"/>
      <ddeItem name="THB.FX-PriceChange" advise="1"/>
      <ddeItem name="THB.FX-PriceChangeRatio" advise="1"/>
      <ddeItem name="THB.FX-Profit" advise="1"/>
      <ddeItem name="THB.FX-TotalVolume" advise="1"/>
      <ddeItem name="THB.FX-Volume" advise="1"/>
      <ddeItem name="TIF.US-BestAsk1" advise="1"/>
      <ddeItem name="TIF.US-BestBid1" advise="1"/>
      <ddeItem name="TIF.US-PreClose" advise="1"/>
      <ddeItem name="TIF.US-Price" advise="1"/>
      <ddeItem name="TJX.US-BestAsk1" advise="1"/>
      <ddeItem name="TJX.US-BestBid1" advise="1"/>
      <ddeItem name="TJX.US-PreClose" advise="1"/>
      <ddeItem name="TJX.US-Price" advise="1"/>
      <ddeItem name="TMK.US-BestAsk1" advise="1"/>
      <ddeItem name="TMK.US-BestBid1" advise="1"/>
      <ddeItem name="TMK.US-PreClose" advise="1"/>
      <ddeItem name="TMK.US-Price" advise="1"/>
      <ddeItem name="TMO.US-BestAsk1" advise="1"/>
      <ddeItem name="TMO.US-BestBid1" advise="1"/>
      <ddeItem name="TMO.US-PreClose" advise="1"/>
      <ddeItem name="TMO.US-Price" advise="1"/>
      <ddeItem name="TRIP.US-BestAsk1" advise="1"/>
      <ddeItem name="TRIP.US-BestBid1" advise="1"/>
      <ddeItem name="TRIP.US-PreClose" advise="1"/>
      <ddeItem name="TRIP.US-Price" advise="1"/>
      <ddeItem name="TROW.US-BestAsk1">
        <values>
          <value t="str">
            <val>N/A</val>
          </value>
        </values>
      </ddeItem>
      <ddeItem name="TROW.US-BestBid1">
        <values>
          <value t="str">
            <val>N/A</val>
          </value>
        </values>
      </ddeItem>
      <ddeItem name="TROW.US-PreClose">
        <values>
          <value t="str">
            <val>N/A</val>
          </value>
        </values>
      </ddeItem>
      <ddeItem name="TROW.US-Price">
        <values>
          <value t="str">
            <val>N/A</val>
          </value>
        </values>
      </ddeItem>
      <ddeItem name="TRV.US-BestAsk1">
        <values>
          <value t="str">
            <val>N/A</val>
          </value>
        </values>
      </ddeItem>
      <ddeItem name="TRV.US-BestBid1">
        <values>
          <value t="str">
            <val>N/A</val>
          </value>
        </values>
      </ddeItem>
      <ddeItem name="TRV.US-PreClose">
        <values>
          <value t="str">
            <val>N/A</val>
          </value>
        </values>
      </ddeItem>
      <ddeItem name="TRV.US-Price">
        <values>
          <value t="str">
            <val>N/A</val>
          </value>
        </values>
      </ddeItem>
      <ddeItem name="TSCO.US-BestAsk1" advise="1"/>
      <ddeItem name="TSCO.US-BestBid1" advise="1"/>
      <ddeItem name="TSCO.US-PreClose" advise="1"/>
      <ddeItem name="TSCO.US-Price" advise="1"/>
      <ddeItem name="TSN.US-BestAsk1" advise="1"/>
      <ddeItem name="TSN.US-BestBid1" advise="1"/>
      <ddeItem name="TSN.US-PreClose" advise="1"/>
      <ddeItem name="TSN.US-Price" advise="1"/>
      <ddeItem name="TSS.US-BestAsk1" advise="1"/>
      <ddeItem name="TSS.US-BestBid1" advise="1"/>
      <ddeItem name="TSS.US-PreClose" advise="1"/>
      <ddeItem name="TSS.US-Price" advise="1"/>
      <ddeItem name="TWD.FX-Ask" advise="1"/>
      <ddeItem name="TWD.FX-AvgPrice" advise="1"/>
      <ddeItem name="TWD.FX-BestAskSize" advise="1"/>
      <ddeItem name="TWD.FX-BestBidSize" advise="1"/>
      <ddeItem name="TWD.FX-Bid" advise="1"/>
      <ddeItem name="TWD.FX-Capital" advise="1"/>
      <ddeItem name="TWD.FX-InOutRatio" advise="1"/>
      <ddeItem name="TWD.FX-MarketValue" advise="1"/>
      <ddeItem name="TWD.FX-Name" advise="1"/>
      <ddeItem name="TWD.FX-Preclose" advise="1"/>
      <ddeItem name="TWD.FX-Price" advise="1"/>
      <ddeItem name="TWD.FX-PriceChange" advise="1"/>
      <ddeItem name="TWD.FX-PriceChangeRatio" advise="1"/>
      <ddeItem name="TWD.FX-Profit" advise="1"/>
      <ddeItem name="TWD.FX-TotalVolume" advise="1"/>
      <ddeItem name="TWD.FX-Volume" advise="1"/>
      <ddeItem name="TWX.US-BestAsk1" advise="1"/>
      <ddeItem name="TWX.US-BestBid1" advise="1"/>
      <ddeItem name="TWX.US-PreClose" advise="1"/>
      <ddeItem name="TWX.US-Price" advise="1"/>
      <ddeItem name="TXN.US-BestAsk1" advise="1"/>
      <ddeItem name="TXN.US-BestBid1" advise="1"/>
      <ddeItem name="TXN.US-PreClose" advise="1"/>
      <ddeItem name="TXN.US-Price" advise="1"/>
      <ddeItem name="TXT.US-BestAsk1" advise="1"/>
      <ddeItem name="TXT.US-BestBid1" advise="1"/>
      <ddeItem name="TXT.US-PreClose" advise="1"/>
      <ddeItem name="TXT.US-Price" advise="1"/>
      <ddeItem name="UA.US-BestAsk1" advise="1"/>
      <ddeItem name="UA.US-BestBid1" advise="1"/>
      <ddeItem name="UA.US-PreClose" advise="1"/>
      <ddeItem name="UA.US-Price" advise="1"/>
      <ddeItem name="UAA.US-BestAsk1" advise="1"/>
      <ddeItem name="UAA.US-BestBid1" advise="1"/>
      <ddeItem name="UAA.US-PreClose" advise="1"/>
      <ddeItem name="UAA.US-Price" advise="1"/>
      <ddeItem name="UAL.US-BestAsk1" advise="1"/>
      <ddeItem name="UAL.US-BestBid1" advise="1"/>
      <ddeItem name="UAL.US-PreClose" advise="1"/>
      <ddeItem name="UAL.US-Price" advise="1"/>
      <ddeItem name="UDR.US-BestAsk1" advise="1"/>
      <ddeItem name="UDR.US-BestBid1" advise="1"/>
      <ddeItem name="UDR.US-PreClose" advise="1"/>
      <ddeItem name="UDR.US-Price" advise="1"/>
      <ddeItem name="UHS.US-BestAsk1" advise="1"/>
      <ddeItem name="UHS.US-BestBid1" advise="1"/>
      <ddeItem name="UHS.US-PreClose" advise="1"/>
      <ddeItem name="UHS.US-Price" advise="1"/>
      <ddeItem name="ULTA.US-BestAsk1" advise="1"/>
      <ddeItem name="ULTA.US-BestBid1" advise="1"/>
      <ddeItem name="ULTA.US-PreClose" advise="1"/>
      <ddeItem name="ULTA.US-Price" advise="1"/>
      <ddeItem name="UNH.US-BestAsk1">
        <values>
          <value t="str">
            <val>N/A</val>
          </value>
        </values>
      </ddeItem>
      <ddeItem name="UNH.US-BestBid1">
        <values>
          <value t="str">
            <val>N/A</val>
          </value>
        </values>
      </ddeItem>
      <ddeItem name="UNH.US-PreClose">
        <values>
          <value t="str">
            <val>N/A</val>
          </value>
        </values>
      </ddeItem>
      <ddeItem name="UNH.US-Price">
        <values>
          <value t="str">
            <val>N/A</val>
          </value>
        </values>
      </ddeItem>
      <ddeItem name="UNM.US-BestAsk1" advise="1"/>
      <ddeItem name="UNM.US-BestBid1" advise="1"/>
      <ddeItem name="UNM.US-PreClose" advise="1"/>
      <ddeItem name="UNM.US-Price" advise="1"/>
      <ddeItem name="UNP.US-BestAsk1" advise="1"/>
      <ddeItem name="UNP.US-BestBid1" advise="1"/>
      <ddeItem name="UNP.US-PreClose" advise="1"/>
      <ddeItem name="UNP.US-Price" advise="1"/>
      <ddeItem name="UPS.US-BestAsk1" advise="1"/>
      <ddeItem name="UPS.US-BestBid1" advise="1"/>
      <ddeItem name="UPS.US-PreClose" advise="1"/>
      <ddeItem name="UPS.US-Price" advise="1"/>
      <ddeItem name="URI.US-BestAsk1" advise="1"/>
      <ddeItem name="URI.US-BestBid1" advise="1"/>
      <ddeItem name="URI.US-PreClose" advise="1"/>
      <ddeItem name="URI.US-Price" advise="1"/>
      <ddeItem name="USB.US-BestAsk1" advise="1"/>
      <ddeItem name="USB.US-BestBid1" advise="1"/>
      <ddeItem name="USB.US-PreClose" advise="1"/>
      <ddeItem name="USB.US-Price" advise="1"/>
      <ddeItem name="UTX.US-BestAsk1">
        <values>
          <value t="str">
            <val>N/A</val>
          </value>
        </values>
      </ddeItem>
      <ddeItem name="UTX.US-BestBid1">
        <values>
          <value t="str">
            <val>N/A</val>
          </value>
        </values>
      </ddeItem>
      <ddeItem name="UTX.US-PreClose">
        <values>
          <value t="str">
            <val>N/A</val>
          </value>
        </values>
      </ddeItem>
      <ddeItem name="UTX.US-Price">
        <values>
          <value t="str">
            <val>N/A</val>
          </value>
        </values>
      </ddeItem>
      <ddeItem name="V.US-BestAsk1">
        <values>
          <value t="str">
            <val>N/A</val>
          </value>
        </values>
      </ddeItem>
      <ddeItem name="V.US-BestBid1">
        <values>
          <value t="str">
            <val>N/A</val>
          </value>
        </values>
      </ddeItem>
      <ddeItem name="V.US-PreClose">
        <values>
          <value t="str">
            <val>N/A</val>
          </value>
        </values>
      </ddeItem>
      <ddeItem name="V.US-Price">
        <values>
          <value t="str">
            <val>N/A</val>
          </value>
        </values>
      </ddeItem>
      <ddeItem name="VAR.US-BestAsk1" advise="1"/>
      <ddeItem name="VAR.US-BestBid1" advise="1"/>
      <ddeItem name="VAR.US-PreClose" advise="1"/>
      <ddeItem name="VAR.US-Price" advise="1"/>
      <ddeItem name="VFC.US-BestAsk1" advise="1"/>
      <ddeItem name="VFC.US-BestBid1" advise="1"/>
      <ddeItem name="VFC.US-PreClose" advise="1"/>
      <ddeItem name="VFC.US-Price" advise="1"/>
      <ddeItem name="VIAB.US-BestAsk1" advise="1"/>
      <ddeItem name="VIAB.US-BestBid1" advise="1"/>
      <ddeItem name="VIAB.US-PreClose" advise="1"/>
      <ddeItem name="VIAB.US-Price" advise="1"/>
      <ddeItem name="VLO.US-BestAsk1" advise="1"/>
      <ddeItem name="VLO.US-BestBid1" advise="1"/>
      <ddeItem name="VLO.US-PreClose" advise="1"/>
      <ddeItem name="VLO.US-Price" advise="1"/>
      <ddeItem name="VMC.US-BestAsk1" advise="1"/>
      <ddeItem name="VMC.US-BestBid1" advise="1"/>
      <ddeItem name="VMC.US-PreClose" advise="1"/>
      <ddeItem name="VMC.US-Price" advise="1"/>
      <ddeItem name="VNO.US-BestAsk1" advise="1"/>
      <ddeItem name="VNO.US-BestBid1" advise="1"/>
      <ddeItem name="VNO.US-PreClose" advise="1"/>
      <ddeItem name="VNO.US-Price" advise="1"/>
      <ddeItem name="VRSK.US-BestAsk1" advise="1"/>
      <ddeItem name="VRSK.US-BestBid1" advise="1"/>
      <ddeItem name="VRSK.US-PreClose" advise="1"/>
      <ddeItem name="VRSK.US-Price" advise="1"/>
      <ddeItem name="VRSN.US-BestAsk1" advise="1"/>
      <ddeItem name="VRSN.US-BestBid1" advise="1"/>
      <ddeItem name="VRSN.US-PreClose" advise="1"/>
      <ddeItem name="VRSN.US-Price" advise="1"/>
      <ddeItem name="VRTX.US-BestAsk1" advise="1"/>
      <ddeItem name="VRTX.US-BestBid1" advise="1"/>
      <ddeItem name="VRTX.US-PreClose" advise="1"/>
      <ddeItem name="VRTX.US-Price" advise="1"/>
      <ddeItem name="VTR.US-BestAsk1">
        <values>
          <value t="str">
            <val>N/A</val>
          </value>
        </values>
      </ddeItem>
      <ddeItem name="VTR.US-BestBid1">
        <values>
          <value t="str">
            <val>N/A</val>
          </value>
        </values>
      </ddeItem>
      <ddeItem name="VTR.US-PreClose">
        <values>
          <value t="str">
            <val>N/A</val>
          </value>
        </values>
      </ddeItem>
      <ddeItem name="VTR.US-Price">
        <values>
          <value t="str">
            <val>N/A</val>
          </value>
        </values>
      </ddeItem>
      <ddeItem name="VZ.US-BestAsk1">
        <values>
          <value t="str">
            <val>N/A</val>
          </value>
        </values>
      </ddeItem>
      <ddeItem name="VZ.US-BestBid1">
        <values>
          <value t="str">
            <val>N/A</val>
          </value>
        </values>
      </ddeItem>
      <ddeItem name="VZ.US-PreClose">
        <values>
          <value t="str">
            <val>N/A</val>
          </value>
        </values>
      </ddeItem>
      <ddeItem name="VZ.US-Price">
        <values>
          <value t="str">
            <val>N/A</val>
          </value>
        </values>
      </ddeItem>
      <ddeItem name="WAT.US-BestAsk1" advise="1"/>
      <ddeItem name="WAT.US-BestBid1" advise="1"/>
      <ddeItem name="WAT.US-PreClose" advise="1"/>
      <ddeItem name="WAT.US-Price" advise="1"/>
      <ddeItem name="WBA.US-BestAsk1" advise="1"/>
      <ddeItem name="WBA.US-BestBid1" advise="1"/>
      <ddeItem name="WBA.US-PreClose" advise="1"/>
      <ddeItem name="WBA.US-Price" advise="1"/>
      <ddeItem name="WDC.US-BestAsk1" advise="1"/>
      <ddeItem name="WDC.US-BestBid1" advise="1"/>
      <ddeItem name="WDC.US-PreClose" advise="1"/>
      <ddeItem name="WDC.US-Price" advise="1"/>
      <ddeItem name="WEC.US-BestAsk1" advise="1"/>
      <ddeItem name="WEC.US-BestBid1" advise="1"/>
      <ddeItem name="WEC.US-PreClose" advise="1"/>
      <ddeItem name="WEC.US-Price" advise="1"/>
      <ddeItem name="WFC.US-BestAsk1" advise="1"/>
      <ddeItem name="WFC.US-BestBid1" advise="1"/>
      <ddeItem name="WFC.US-PreClose" advise="1"/>
      <ddeItem name="WFC.US-Price" advise="1"/>
      <ddeItem name="WHR.US-BestAsk1" advise="1"/>
      <ddeItem name="WHR.US-BestBid1" advise="1"/>
      <ddeItem name="WHR.US-PreClose" advise="1"/>
      <ddeItem name="WHR.US-Price" advise="1"/>
      <ddeItem name="WLTW.US-BestAsk1" advise="1"/>
      <ddeItem name="WLTW.US-BestBid1" advise="1"/>
      <ddeItem name="WLTW.US-PreClose" advise="1"/>
      <ddeItem name="WLTW.US-Price" advise="1"/>
      <ddeItem name="WM.US-BestAsk1" advise="1"/>
      <ddeItem name="WM.US-BestBid1" advise="1"/>
      <ddeItem name="WM.US-PreClose" advise="1"/>
      <ddeItem name="WM.US-Price" advise="1"/>
      <ddeItem name="WMB.US-BestAsk1" advise="1"/>
      <ddeItem name="WMB.US-BestBid1" advise="1"/>
      <ddeItem name="WMB.US-PreClose" advise="1"/>
      <ddeItem name="WMB.US-Price" advise="1"/>
      <ddeItem name="WMT.US-BestAsk1">
        <values>
          <value t="str">
            <val>N/A</val>
          </value>
        </values>
      </ddeItem>
      <ddeItem name="WMT.US-BestBid1">
        <values>
          <value t="str">
            <val>N/A</val>
          </value>
        </values>
      </ddeItem>
      <ddeItem name="WMT.US-PreClose">
        <values>
          <value t="str">
            <val>N/A</val>
          </value>
        </values>
      </ddeItem>
      <ddeItem name="WMT.US-Price">
        <values>
          <value t="str">
            <val>N/A</val>
          </value>
        </values>
      </ddeItem>
      <ddeItem name="WRK.US-BestAsk1" advise="1"/>
      <ddeItem name="WRK.US-BestBid1" advise="1"/>
      <ddeItem name="WRK.US-PreClose" advise="1"/>
      <ddeItem name="WRK.US-Price" advise="1"/>
      <ddeItem name="WU.US-BestAsk1">
        <values>
          <value t="str">
            <val>N/A</val>
          </value>
        </values>
      </ddeItem>
      <ddeItem name="WU.US-BestBid1">
        <values>
          <value t="str">
            <val>N/A</val>
          </value>
        </values>
      </ddeItem>
      <ddeItem name="WU.US-PreClose">
        <values>
          <value t="str">
            <val>N/A</val>
          </value>
        </values>
      </ddeItem>
      <ddeItem name="WU.US-Price">
        <values>
          <value t="str">
            <val>N/A</val>
          </value>
        </values>
      </ddeItem>
      <ddeItem name="WY.US-BestAsk1" advise="1"/>
      <ddeItem name="WY.US-BestBid1" advise="1"/>
      <ddeItem name="WY.US-PreClose" advise="1"/>
      <ddeItem name="WY.US-Price" advise="1"/>
      <ddeItem name="WYN.US-BestAsk1" advise="1"/>
      <ddeItem name="WYN.US-BestBid1" advise="1"/>
      <ddeItem name="WYN.US-PreClose" advise="1"/>
      <ddeItem name="WYN.US-Price" advise="1"/>
      <ddeItem name="WYNN.US-BestAsk1" advise="1"/>
      <ddeItem name="WYNN.US-BestBid1" advise="1"/>
      <ddeItem name="WYNN.US-PreClose" advise="1"/>
      <ddeItem name="WYNN.US-Price" advise="1"/>
      <ddeItem name="XEC.US-BestAsk1" advise="1"/>
      <ddeItem name="XEC.US-BestBid1" advise="1"/>
      <ddeItem name="XEC.US-PreClose" advise="1"/>
      <ddeItem name="XEC.US-Price" advise="1"/>
      <ddeItem name="XEL.US-BestAsk1" advise="1"/>
      <ddeItem name="XEL.US-BestBid1" advise="1"/>
      <ddeItem name="XEL.US-PreClose" advise="1"/>
      <ddeItem name="XEL.US-Price" advise="1"/>
      <ddeItem name="XL.US-BestAsk1" advise="1"/>
      <ddeItem name="XL.US-BestBid1" advise="1"/>
      <ddeItem name="XL.US-PreClose" advise="1"/>
      <ddeItem name="XL.US-Price" advise="1"/>
      <ddeItem name="XLNX.US-BestAsk1" advise="1"/>
      <ddeItem name="XLNX.US-BestBid1" advise="1"/>
      <ddeItem name="XLNX.US-PreClose" advise="1"/>
      <ddeItem name="XLNX.US-Price" advise="1"/>
      <ddeItem name="XOM.US-BestAsk1">
        <values>
          <value t="str">
            <val>N/A</val>
          </value>
        </values>
      </ddeItem>
      <ddeItem name="XOM.US-BestBid1">
        <values>
          <value t="str">
            <val>N/A</val>
          </value>
        </values>
      </ddeItem>
      <ddeItem name="XOM.US-PreClose">
        <values>
          <value t="str">
            <val>N/A</val>
          </value>
        </values>
      </ddeItem>
      <ddeItem name="XOM.US-Price">
        <values>
          <value t="str">
            <val>N/A</val>
          </value>
        </values>
      </ddeItem>
      <ddeItem name="XRAY.US-BestAsk1" advise="1"/>
      <ddeItem name="XRAY.US-BestBid1" advise="1"/>
      <ddeItem name="XRAY.US-PreClose" advise="1"/>
      <ddeItem name="XRAY.US-Price" advise="1"/>
      <ddeItem name="XRX.US-BestAsk1" advise="1"/>
      <ddeItem name="XRX.US-BestBid1" advise="1"/>
      <ddeItem name="XRX.US-PreClose" advise="1"/>
      <ddeItem name="XRX.US-Price" advise="1"/>
      <ddeItem name="XYL.US-BestAsk1" advise="1"/>
      <ddeItem name="XYL.US-BestBid1" advise="1"/>
      <ddeItem name="XYL.US-PreClose" advise="1"/>
      <ddeItem name="XYL.US-Price" advise="1"/>
      <ddeItem name="YUM.US-BestAsk1" advise="1"/>
      <ddeItem name="YUM.US-BestBid1" advise="1"/>
      <ddeItem name="YUM.US-PreClose" advise="1"/>
      <ddeItem name="YUM.US-Price" advise="1"/>
      <ddeItem name="ZARTW.FX-Ask" advise="1"/>
      <ddeItem name="ZARTW.FX-AvgPrice" advise="1"/>
      <ddeItem name="ZARTW.FX-BestAskSize" advise="1"/>
      <ddeItem name="ZARTW.FX-BestBidSize" advise="1"/>
      <ddeItem name="ZARTW.FX-Bid" advise="1"/>
      <ddeItem name="ZARTW.FX-Capital" advise="1"/>
      <ddeItem name="ZARTW.FX-InOutRatio" advise="1"/>
      <ddeItem name="ZARTW.FX-MarketValue" advise="1"/>
      <ddeItem name="ZARTW.FX-Name" advise="1"/>
      <ddeItem name="ZARTW.FX-PreClose" advise="1"/>
      <ddeItem name="ZARTW.FX-Price" advise="1"/>
      <ddeItem name="ZARTW.FX-PriceChange" advise="1"/>
      <ddeItem name="ZARTW.FX-PriceChangeRatio" advise="1"/>
      <ddeItem name="ZARTW.FX-Profit" advise="1"/>
      <ddeItem name="ZARTW.FX-TotalVolume" advise="1"/>
      <ddeItem name="ZARTW.FX-Volume" advise="1"/>
      <ddeItem name="ZBH.US-BestAsk1" advise="1"/>
      <ddeItem name="ZBH.US-BestBid1" advise="1"/>
      <ddeItem name="ZBH.US-PreClose" advise="1"/>
      <ddeItem name="ZBH.US-Price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YT" ddeTopic="KS">
    <ddeItems>
      <ddeItem name="CL1908.122" advise="1">
        <values>
          <value>
            <val>20190711</val>
          </value>
        </values>
      </ddeItem>
      <ddeItem name="CL1908.123" advise="1">
        <values>
          <value>
            <val>165959</val>
          </value>
        </values>
      </ddeItem>
      <ddeItem name="CL1908.124" advise="1">
        <values>
          <value>
            <val>60.39</val>
          </value>
        </values>
      </ddeItem>
      <ddeItem name="CL1908.125" advise="1">
        <values>
          <value>
            <val>0.19</val>
          </value>
        </values>
      </ddeItem>
      <ddeItem name="CL1908.126" advise="1">
        <values>
          <value>
            <val>0.31</val>
          </value>
        </values>
      </ddeItem>
      <ddeItem name="CL1908.128" advise="1">
        <values>
          <value>
            <val>2</val>
          </value>
        </values>
      </ddeItem>
      <ddeItem name="CL1908.130" advise="1">
        <values>
          <value>
            <val>60.46</val>
          </value>
        </values>
      </ddeItem>
      <ddeItem name="CL1908.131" advise="1">
        <values>
          <value>
            <val>60.74</val>
          </value>
        </values>
      </ddeItem>
      <ddeItem name="CL1908.132" advise="1">
        <values>
          <value>
            <val>59.93</val>
          </value>
        </values>
      </ddeItem>
      <ddeItem name="CL1908.133" advise="1">
        <values>
          <value>
            <val>448113</val>
          </value>
        </values>
      </ddeItem>
      <ddeItem name="CL1908.135" advise="1">
        <values>
          <value>
            <val>60.35</val>
          </value>
        </values>
      </ddeItem>
      <ddeItem name="CL1908.136" advise="1">
        <values>
          <value>
            <val>60.4</val>
          </value>
        </values>
      </ddeItem>
      <ddeItem name="CL1908.147" advise="1">
        <values>
          <value>
            <val>210327</val>
          </value>
        </values>
      </ddeItem>
      <ddeItem name="CL1908.148" advise="1">
        <values>
          <value>
            <val>216050</val>
          </value>
        </values>
      </ddeItem>
      <ddeItem name="CL1908.170" advise="1">
        <values>
          <value t="str">
            <val>***</val>
          </value>
        </values>
      </ddeItem>
      <ddeItem name="CL1908.171" advise="1">
        <values>
          <value t="str">
            <val>***</val>
          </value>
        </values>
      </ddeItem>
      <ddeItem name="CL1908.172" advise="1">
        <values>
          <value t="str">
            <val>***</val>
          </value>
        </values>
      </ddeItem>
      <ddeItem name="CL1908.173" advise="1">
        <values>
          <value t="str">
            <val>***</val>
          </value>
        </values>
      </ddeItem>
      <ddeItem name="CL1908.201" advise="1">
        <values>
          <value>
            <val>60.35</val>
          </value>
        </values>
      </ddeItem>
      <ddeItem name="CL1908.202" advise="1">
        <values>
          <value>
            <val>60.32</val>
          </value>
        </values>
      </ddeItem>
      <ddeItem name="CL1908.203" advise="1">
        <values>
          <value>
            <val>60.28</val>
          </value>
        </values>
      </ddeItem>
      <ddeItem name="CL1908.204" advise="1">
        <values>
          <value>
            <val>60.22</val>
          </value>
        </values>
      </ddeItem>
      <ddeItem name="CL1908.205" advise="1">
        <values>
          <value>
            <val>60.18</val>
          </value>
        </values>
      </ddeItem>
      <ddeItem name="CL1908.211" advise="1">
        <values>
          <value>
            <val>60.4</val>
          </value>
        </values>
      </ddeItem>
      <ddeItem name="CL1908.212" advise="1">
        <values>
          <value>
            <val>60.42</val>
          </value>
        </values>
      </ddeItem>
      <ddeItem name="CL1908.213" advise="1">
        <values>
          <value>
            <val>60.45</val>
          </value>
        </values>
      </ddeItem>
      <ddeItem name="CL1908.214" advise="1">
        <values>
          <value>
            <val>60.47</val>
          </value>
        </values>
      </ddeItem>
      <ddeItem name="CL1908.215" advise="1">
        <values>
          <value>
            <val>60.51</val>
          </value>
        </values>
      </ddeItem>
      <ddeItem name="CL1908.221" advise="1">
        <values>
          <value>
            <val>2</val>
          </value>
        </values>
      </ddeItem>
      <ddeItem name="CL1908.222" advise="1">
        <values>
          <value>
            <val>1</val>
          </value>
        </values>
      </ddeItem>
      <ddeItem name="CL1908.223" advise="1">
        <values>
          <value>
            <val>1</val>
          </value>
        </values>
      </ddeItem>
      <ddeItem name="CL1908.224" advise="1">
        <values>
          <value>
            <val>1</val>
          </value>
        </values>
      </ddeItem>
      <ddeItem name="CL1908.225" advise="1">
        <values>
          <value>
            <val>4</val>
          </value>
        </values>
      </ddeItem>
      <ddeItem name="CL1908.231" advise="1">
        <values>
          <value>
            <val>1</val>
          </value>
        </values>
      </ddeItem>
      <ddeItem name="CL1908.232" advise="1">
        <values>
          <value>
            <val>1</val>
          </value>
        </values>
      </ddeItem>
      <ddeItem name="CL1908.233" advise="1">
        <values>
          <value>
            <val>2</val>
          </value>
        </values>
      </ddeItem>
      <ddeItem name="CL1908.234" advise="1">
        <values>
          <value>
            <val>1</val>
          </value>
        </values>
      </ddeItem>
      <ddeItem name="CL1908.235" advise="1">
        <values>
          <value>
            <val>2</val>
          </value>
        </values>
      </ddeItem>
      <ddeItem name="CL1908.402" advise="1">
        <values>
          <value t="str">
            <val>輕原油-1908</val>
          </value>
        </values>
      </ddeItem>
      <ddeItem name="CL1908.405" advise="1">
        <values>
          <value>
            <val>60.2</val>
          </value>
        </values>
      </ddeItem>
      <ddeItem name="CL1908.406" advise="1">
        <values>
          <value t="str">
            <val>***</val>
          </value>
        </values>
      </ddeItem>
      <ddeItem name="CL1908.407" advise="1">
        <values>
          <value t="str">
            <val>***</val>
          </value>
        </values>
      </ddeItem>
      <ddeItem name="CL1908.422" advise="1">
        <values>
          <value>
            <val>60.43</val>
          </value>
        </values>
      </ddeItem>
      <ddeItem name="CL1908.423" advise="1">
        <values>
          <value>
            <val>544988</val>
          </value>
        </values>
      </ddeItem>
      <ddeItem name="CL1908.431" advise="1">
        <values>
          <value>
            <val>20190722</val>
          </value>
        </values>
      </ddeItem>
      <ddeItem name="CL1908.437" advise="1">
        <values>
          <value t="str">
            <val>***</val>
          </value>
        </values>
      </ddeItem>
      <ddeItem name="CL1909.122" advise="1">
        <values>
          <value>
            <val>20190711</val>
          </value>
        </values>
      </ddeItem>
      <ddeItem name="CL1909.123" advise="1">
        <values>
          <value>
            <val>165959</val>
          </value>
        </values>
      </ddeItem>
      <ddeItem name="CL1909.124" advise="1">
        <values>
          <value>
            <val>60.47</val>
          </value>
        </values>
      </ddeItem>
      <ddeItem name="CL1909.125" advise="1">
        <values>
          <value>
            <val>0.19</val>
          </value>
        </values>
      </ddeItem>
      <ddeItem name="CL1909.126" advise="1">
        <values>
          <value>
            <val>0.31</val>
          </value>
        </values>
      </ddeItem>
      <ddeItem name="CL1909.128" advise="1">
        <values>
          <value>
            <val>2</val>
          </value>
        </values>
      </ddeItem>
      <ddeItem name="CL1909.130" advise="1">
        <values>
          <value>
            <val>60.5</val>
          </value>
        </values>
      </ddeItem>
      <ddeItem name="CL1909.131" advise="1">
        <values>
          <value>
            <val>60.82</val>
          </value>
        </values>
      </ddeItem>
      <ddeItem name="CL1909.132" advise="1">
        <values>
          <value>
            <val>60.03</val>
          </value>
        </values>
      </ddeItem>
      <ddeItem name="CL1909.133" advise="1">
        <values>
          <value>
            <val>152221</val>
          </value>
        </values>
      </ddeItem>
      <ddeItem name="CL1909.135" advise="1">
        <values>
          <value>
            <val>60.23</val>
          </value>
        </values>
      </ddeItem>
      <ddeItem name="CL1909.136" advise="1">
        <values>
          <value>
            <val>60.71</val>
          </value>
        </values>
      </ddeItem>
      <ddeItem name="CL1909.147" advise="1">
        <values>
          <value>
            <val>63327</val>
          </value>
        </values>
      </ddeItem>
      <ddeItem name="CL1909.148" advise="1">
        <values>
          <value>
            <val>67531</val>
          </value>
        </values>
      </ddeItem>
      <ddeItem name="CL1909.170" advise="1">
        <values>
          <value t="str">
            <val>***</val>
          </value>
        </values>
      </ddeItem>
      <ddeItem name="CL1909.171" advise="1">
        <values>
          <value t="str">
            <val>***</val>
          </value>
        </values>
      </ddeItem>
      <ddeItem name="CL1909.172" advise="1">
        <values>
          <value t="str">
            <val>***</val>
          </value>
        </values>
      </ddeItem>
      <ddeItem name="CL1909.173" advise="1">
        <values>
          <value t="str">
            <val>***</val>
          </value>
        </values>
      </ddeItem>
      <ddeItem name="CL1909.201" advise="1">
        <values>
          <value>
            <val>60.23</val>
          </value>
        </values>
      </ddeItem>
      <ddeItem name="CL1909.202" advise="1">
        <values>
          <value>
            <val>60.15</val>
          </value>
        </values>
      </ddeItem>
      <ddeItem name="CL1909.203" advise="1">
        <values>
          <value>
            <val>60.1</val>
          </value>
        </values>
      </ddeItem>
      <ddeItem name="CL1909.204" advise="1">
        <values>
          <value>
            <val>60.08</val>
          </value>
        </values>
      </ddeItem>
      <ddeItem name="CL1909.205" advise="1">
        <values>
          <value>
            <val>60.02</val>
          </value>
        </values>
      </ddeItem>
      <ddeItem name="CL1909.211" advise="1">
        <values>
          <value>
            <val>60.71</val>
          </value>
        </values>
      </ddeItem>
      <ddeItem name="CL1909.212" advise="1">
        <values>
          <value>
            <val>60.75</val>
          </value>
        </values>
      </ddeItem>
      <ddeItem name="CL1909.213" advise="1">
        <values>
          <value>
            <val>60.77</val>
          </value>
        </values>
      </ddeItem>
      <ddeItem name="CL1909.214" advise="1">
        <values>
          <value>
            <val>60.78</val>
          </value>
        </values>
      </ddeItem>
      <ddeItem name="CL1909.215" advise="1">
        <values>
          <value>
            <val>60.79</val>
          </value>
        </values>
      </ddeItem>
      <ddeItem name="CL1909.221" advise="1">
        <values>
          <value>
            <val>1</val>
          </value>
        </values>
      </ddeItem>
      <ddeItem name="CL1909.222" advise="1">
        <values>
          <value>
            <val>1</val>
          </value>
        </values>
      </ddeItem>
      <ddeItem name="CL1909.223" advise="1">
        <values>
          <value>
            <val>3</val>
          </value>
        </values>
      </ddeItem>
      <ddeItem name="CL1909.224" advise="1">
        <values>
          <value>
            <val>10</val>
          </value>
        </values>
      </ddeItem>
      <ddeItem name="CL1909.225" advise="1">
        <values>
          <value>
            <val>5</val>
          </value>
        </values>
      </ddeItem>
      <ddeItem name="CL1909.231" advise="1">
        <values>
          <value>
            <val>1</val>
          </value>
        </values>
      </ddeItem>
      <ddeItem name="CL1909.232" advise="1">
        <values>
          <value>
            <val>1</val>
          </value>
        </values>
      </ddeItem>
      <ddeItem name="CL1909.233" advise="1">
        <values>
          <value>
            <val>2</val>
          </value>
        </values>
      </ddeItem>
      <ddeItem name="CL1909.234" advise="1">
        <values>
          <value>
            <val>1</val>
          </value>
        </values>
      </ddeItem>
      <ddeItem name="CL1909.235" advise="1">
        <values>
          <value>
            <val>1</val>
          </value>
        </values>
      </ddeItem>
      <ddeItem name="CL1909.402" advise="1">
        <values>
          <value t="str">
            <val>輕原油-1909</val>
          </value>
        </values>
      </ddeItem>
      <ddeItem name="CL1909.405" advise="1">
        <values>
          <value>
            <val>60.28</val>
          </value>
        </values>
      </ddeItem>
      <ddeItem name="CL1909.406" advise="1">
        <values>
          <value t="str">
            <val>***</val>
          </value>
        </values>
      </ddeItem>
      <ddeItem name="CL1909.407" advise="1">
        <values>
          <value t="str">
            <val>***</val>
          </value>
        </values>
      </ddeItem>
      <ddeItem name="CL1909.422" advise="1">
        <values>
          <value>
            <val>60.5</val>
          </value>
        </values>
      </ddeItem>
      <ddeItem name="CL1909.423" advise="1">
        <values>
          <value>
            <val>164524</val>
          </value>
        </values>
      </ddeItem>
      <ddeItem name="CL1909.431" advise="1">
        <values>
          <value>
            <val>20190820</val>
          </value>
        </values>
      </ddeItem>
      <ddeItem name="CL1909.437" advise="1">
        <values>
          <value t="str">
            <val>***</val>
          </value>
        </values>
      </ddeItem>
      <ddeItem name="ES1909.122" advise="1">
        <values>
          <value>
            <val>20190711</val>
          </value>
        </values>
      </ddeItem>
      <ddeItem name="ES1909.123" advise="1">
        <values>
          <value>
            <val>160000</val>
          </value>
        </values>
      </ddeItem>
      <ddeItem name="ES1909.124" advise="1">
        <values>
          <value>
            <val>3014.25</val>
          </value>
        </values>
      </ddeItem>
      <ddeItem name="ES1909.125" advise="1">
        <values>
          <value>
            <val>10.25</val>
          </value>
        </values>
      </ddeItem>
      <ddeItem name="ES1909.126" advise="1">
        <values>
          <value>
            <val>0.34</val>
          </value>
        </values>
      </ddeItem>
      <ddeItem name="ES1909.128" advise="1">
        <values>
          <value>
            <val>1</val>
          </value>
        </values>
      </ddeItem>
      <ddeItem name="ES1909.130" advise="1">
        <values>
          <value>
            <val>3003</val>
          </value>
        </values>
      </ddeItem>
      <ddeItem name="ES1909.131" advise="1">
        <values>
          <value>
            <val>3018</val>
          </value>
        </values>
      </ddeItem>
      <ddeItem name="ES1909.132" advise="1">
        <values>
          <value>
            <val>3002.25</val>
          </value>
        </values>
      </ddeItem>
      <ddeItem name="ES1909.133" advise="1">
        <values>
          <value>
            <val>934769</val>
          </value>
        </values>
      </ddeItem>
      <ddeItem name="ES1909.135" advise="1">
        <values>
          <value>
            <val>3014</val>
          </value>
        </values>
      </ddeItem>
      <ddeItem name="ES1909.136" advise="1">
        <values>
          <value>
            <val>3014.25</val>
          </value>
        </values>
      </ddeItem>
      <ddeItem name="ES1909.147" advise="1">
        <values>
          <value>
            <val>450442</val>
          </value>
        </values>
      </ddeItem>
      <ddeItem name="ES1909.148" advise="1">
        <values>
          <value>
            <val>465344</val>
          </value>
        </values>
      </ddeItem>
      <ddeItem name="ES1909.170" advise="1">
        <values>
          <value t="str">
            <val>***</val>
          </value>
        </values>
      </ddeItem>
      <ddeItem name="ES1909.171" advise="1">
        <values>
          <value t="str">
            <val>***</val>
          </value>
        </values>
      </ddeItem>
      <ddeItem name="ES1909.172" advise="1">
        <values>
          <value t="str">
            <val>***</val>
          </value>
        </values>
      </ddeItem>
      <ddeItem name="ES1909.173" advise="1">
        <values>
          <value t="str">
            <val>***</val>
          </value>
        </values>
      </ddeItem>
      <ddeItem name="ES1909.201" advise="1">
        <values>
          <value>
            <val>3014</val>
          </value>
        </values>
      </ddeItem>
      <ddeItem name="ES1909.202" advise="1">
        <values>
          <value>
            <val>3013.75</val>
          </value>
        </values>
      </ddeItem>
      <ddeItem name="ES1909.203" advise="1">
        <values>
          <value>
            <val>3013.5</val>
          </value>
        </values>
      </ddeItem>
      <ddeItem name="ES1909.204" advise="1">
        <values>
          <value>
            <val>3013.25</val>
          </value>
        </values>
      </ddeItem>
      <ddeItem name="ES1909.205" advise="1">
        <values>
          <value>
            <val>3013</val>
          </value>
        </values>
      </ddeItem>
      <ddeItem name="ES1909.211" advise="1">
        <values>
          <value>
            <val>3014.25</val>
          </value>
        </values>
      </ddeItem>
      <ddeItem name="ES1909.212" advise="1">
        <values>
          <value>
            <val>3014.5</val>
          </value>
        </values>
      </ddeItem>
      <ddeItem name="ES1909.213" advise="1">
        <values>
          <value>
            <val>3014.75</val>
          </value>
        </values>
      </ddeItem>
      <ddeItem name="ES1909.214" advise="1">
        <values>
          <value>
            <val>3015</val>
          </value>
        </values>
      </ddeItem>
      <ddeItem name="ES1909.215" advise="1">
        <values>
          <value>
            <val>3015.25</val>
          </value>
        </values>
      </ddeItem>
      <ddeItem name="ES1909.221" advise="1">
        <values>
          <value>
            <val>35</val>
          </value>
        </values>
      </ddeItem>
      <ddeItem name="ES1909.222" advise="1">
        <values>
          <value>
            <val>15</val>
          </value>
        </values>
      </ddeItem>
      <ddeItem name="ES1909.223" advise="1">
        <values>
          <value>
            <val>19</val>
          </value>
        </values>
      </ddeItem>
      <ddeItem name="ES1909.224" advise="1">
        <values>
          <value>
            <val>20</val>
          </value>
        </values>
      </ddeItem>
      <ddeItem name="ES1909.225" advise="1">
        <values>
          <value>
            <val>34</val>
          </value>
        </values>
      </ddeItem>
      <ddeItem name="ES1909.231" advise="1">
        <values>
          <value>
            <val>5</val>
          </value>
        </values>
      </ddeItem>
      <ddeItem name="ES1909.232" advise="1">
        <values>
          <value>
            <val>18</val>
          </value>
        </values>
      </ddeItem>
      <ddeItem name="ES1909.233" advise="1">
        <values>
          <value>
            <val>17</val>
          </value>
        </values>
      </ddeItem>
      <ddeItem name="ES1909.234" advise="1">
        <values>
          <value>
            <val>26</val>
          </value>
        </values>
      </ddeItem>
      <ddeItem name="ES1909.235" advise="1">
        <values>
          <value>
            <val>31</val>
          </value>
        </values>
      </ddeItem>
      <ddeItem name="ES1909.402" advise="1">
        <values>
          <value t="str">
            <val>小SP指數-1909</val>
          </value>
        </values>
      </ddeItem>
      <ddeItem name="ES1909.405" advise="1">
        <values>
          <value>
            <val>3004</val>
          </value>
        </values>
      </ddeItem>
      <ddeItem name="ES1909.406" advise="1">
        <values>
          <value t="str">
            <val>***</val>
          </value>
        </values>
      </ddeItem>
      <ddeItem name="ES1909.407" advise="1">
        <values>
          <value t="str">
            <val>***</val>
          </value>
        </values>
      </ddeItem>
      <ddeItem name="ES1909.422" advise="1">
        <values>
          <value>
            <val>3004</val>
          </value>
        </values>
      </ddeItem>
      <ddeItem name="ES1909.423" advise="1">
        <values>
          <value>
            <val>1149273</val>
          </value>
        </values>
      </ddeItem>
      <ddeItem name="ES1909.431" advise="1">
        <values>
          <value>
            <val>20190920</val>
          </value>
        </values>
      </ddeItem>
      <ddeItem name="ES1909.437" advise="1">
        <values>
          <value t="str">
            <val>***</val>
          </value>
        </values>
      </ddeItem>
      <ddeItem name="ES1912.122" advise="1">
        <values>
          <value>
            <val>20190711</val>
          </value>
        </values>
      </ddeItem>
      <ddeItem name="ES1912.123" advise="1">
        <values>
          <value>
            <val>155859</val>
          </value>
        </values>
      </ddeItem>
      <ddeItem name="ES1912.124" advise="1">
        <values>
          <value>
            <val>3016.75</val>
          </value>
        </values>
      </ddeItem>
      <ddeItem name="ES1912.125" advise="1">
        <values>
          <value>
            <val>10.75</val>
          </value>
        </values>
      </ddeItem>
      <ddeItem name="ES1912.126" advise="1">
        <values>
          <value>
            <val>0.35</val>
          </value>
        </values>
      </ddeItem>
      <ddeItem name="ES1912.128" advise="1">
        <values>
          <value>
            <val>1</val>
          </value>
        </values>
      </ddeItem>
      <ddeItem name="ES1912.130" advise="1">
        <values>
          <value>
            <val>3005.75</val>
          </value>
        </values>
      </ddeItem>
      <ddeItem name="ES1912.131" advise="1">
        <values>
          <value>
            <val>3020</val>
          </value>
        </values>
      </ddeItem>
      <ddeItem name="ES1912.132" advise="1">
        <values>
          <value>
            <val>3005</val>
          </value>
        </values>
      </ddeItem>
      <ddeItem name="ES1912.133" advise="1">
        <values>
          <value>
            <val>3974</val>
          </value>
        </values>
      </ddeItem>
      <ddeItem name="ES1912.135" advise="1">
        <values>
          <value>
            <val>3014.5</val>
          </value>
        </values>
      </ddeItem>
      <ddeItem name="ES1912.136" advise="1">
        <values>
          <value>
            <val>3020.25</val>
          </value>
        </values>
      </ddeItem>
      <ddeItem name="ES1912.147" advise="1">
        <values>
          <value>
            <val>752</val>
          </value>
        </values>
      </ddeItem>
      <ddeItem name="ES1912.148" advise="1">
        <values>
          <value>
            <val>756</val>
          </value>
        </values>
      </ddeItem>
      <ddeItem name="ES1912.170" advise="1">
        <values>
          <value t="str">
            <val>***</val>
          </value>
        </values>
      </ddeItem>
      <ddeItem name="ES1912.171" advise="1">
        <values>
          <value t="str">
            <val>***</val>
          </value>
        </values>
      </ddeItem>
      <ddeItem name="ES1912.172" advise="1">
        <values>
          <value t="str">
            <val>***</val>
          </value>
        </values>
      </ddeItem>
      <ddeItem name="ES1912.173" advise="1">
        <values>
          <value t="str">
            <val>***</val>
          </value>
        </values>
      </ddeItem>
      <ddeItem name="ES1912.201" advise="1">
        <values>
          <value>
            <val>3014.5</val>
          </value>
        </values>
      </ddeItem>
      <ddeItem name="ES1912.202" advise="1">
        <values>
          <value>
            <val>3011.75</val>
          </value>
        </values>
      </ddeItem>
      <ddeItem name="ES1912.203" advise="1">
        <values>
          <value>
            <val>3010.75</val>
          </value>
        </values>
      </ddeItem>
      <ddeItem name="ES1912.204" advise="1">
        <values>
          <value>
            <val>3001</val>
          </value>
        </values>
      </ddeItem>
      <ddeItem name="ES1912.205" advise="1">
        <values>
          <value>
            <val>3000</val>
          </value>
        </values>
      </ddeItem>
      <ddeItem name="ES1912.211" advise="1">
        <values>
          <value>
            <val>3020.25</val>
          </value>
        </values>
      </ddeItem>
      <ddeItem name="ES1912.212" advise="1">
        <values>
          <value>
            <val>3022</val>
          </value>
        </values>
      </ddeItem>
      <ddeItem name="ES1912.213" advise="1">
        <values>
          <value>
            <val>3024</val>
          </value>
        </values>
      </ddeItem>
      <ddeItem name="ES1912.214" advise="1">
        <values>
          <value>
            <val>3024.5</val>
          </value>
        </values>
      </ddeItem>
      <ddeItem name="ES1912.215" advise="1">
        <values>
          <value>
            <val>3025</val>
          </value>
        </values>
      </ddeItem>
      <ddeItem name="ES1912.221" advise="1">
        <values>
          <value>
            <val>1</val>
          </value>
        </values>
      </ddeItem>
      <ddeItem name="ES1912.222" advise="1">
        <values>
          <value>
            <val>1</val>
          </value>
        </values>
      </ddeItem>
      <ddeItem name="ES1912.223" advise="1">
        <values>
          <value>
            <val>1</val>
          </value>
        </values>
      </ddeItem>
      <ddeItem name="ES1912.224" advise="1">
        <values>
          <value>
            <val>1</val>
          </value>
        </values>
      </ddeItem>
      <ddeItem name="ES1912.225" advise="1">
        <values>
          <value>
            <val>2</val>
          </value>
        </values>
      </ddeItem>
      <ddeItem name="ES1912.231" advise="1">
        <values>
          <value>
            <val>1</val>
          </value>
        </values>
      </ddeItem>
      <ddeItem name="ES1912.232" advise="1">
        <values>
          <value>
            <val>1</val>
          </value>
        </values>
      </ddeItem>
      <ddeItem name="ES1912.233" advise="1">
        <values>
          <value>
            <val>1</val>
          </value>
        </values>
      </ddeItem>
      <ddeItem name="ES1912.234" advise="1">
        <values>
          <value>
            <val>1</val>
          </value>
        </values>
      </ddeItem>
      <ddeItem name="ES1912.235" advise="1">
        <values>
          <value>
            <val>1</val>
          </value>
        </values>
      </ddeItem>
      <ddeItem name="ES1912.402" advise="1">
        <values>
          <value t="str">
            <val>小SP指數-1912</val>
          </value>
        </values>
      </ddeItem>
      <ddeItem name="ES1912.405" advise="1">
        <values>
          <value>
            <val>3006</val>
          </value>
        </values>
      </ddeItem>
      <ddeItem name="ES1912.406" advise="1">
        <values>
          <value t="str">
            <val>***</val>
          </value>
        </values>
      </ddeItem>
      <ddeItem name="ES1912.407" advise="1">
        <values>
          <value t="str">
            <val>***</val>
          </value>
        </values>
      </ddeItem>
      <ddeItem name="ES1912.422" advise="1">
        <values>
          <value>
            <val>3006.25</val>
          </value>
        </values>
      </ddeItem>
      <ddeItem name="ES1912.423" advise="1">
        <values>
          <value>
            <val>6069</val>
          </value>
        </values>
      </ddeItem>
      <ddeItem name="ES1912.431" advise="1">
        <values>
          <value>
            <val>20191220</val>
          </value>
        </values>
      </ddeItem>
      <ddeItem name="ES1912.437" advise="1">
        <values>
          <value t="str">
            <val>***</val>
          </value>
        </values>
      </ddeItem>
      <ddeItem name="GC1908.122" advise="1">
        <values>
          <value>
            <val>20190711</val>
          </value>
        </values>
      </ddeItem>
      <ddeItem name="GC1908.123" advise="1">
        <values>
          <value>
            <val>165958</val>
          </value>
        </values>
      </ddeItem>
      <ddeItem name="GC1908.124" advise="1">
        <values>
          <value>
            <val>1417.8</val>
          </value>
        </values>
      </ddeItem>
      <ddeItem name="GC1908.125" advise="1">
        <values>
          <value>
            <val>11.1</val>
          </value>
        </values>
      </ddeItem>
      <ddeItem name="GC1908.126" advise="1">
        <values>
          <value>
            <val>0.78</val>
          </value>
        </values>
      </ddeItem>
      <ddeItem name="GC1908.128" advise="1">
        <values>
          <value>
            <val>1</val>
          </value>
        </values>
      </ddeItem>
      <ddeItem name="GC1908.130" advise="1">
        <values>
          <value>
            <val>1406.2</val>
          </value>
        </values>
      </ddeItem>
      <ddeItem name="GC1908.131" advise="1">
        <values>
          <value>
            <val>1418.9</val>
          </value>
        </values>
      </ddeItem>
      <ddeItem name="GC1908.132" advise="1">
        <values>
          <value>
            <val>1404.5</val>
          </value>
        </values>
      </ddeItem>
      <ddeItem name="GC1908.133" advise="1">
        <values>
          <value>
            <val>272092</val>
          </value>
        </values>
      </ddeItem>
      <ddeItem name="GC1908.135" advise="1">
        <values>
          <value>
            <val>1417.1</val>
          </value>
        </values>
      </ddeItem>
      <ddeItem name="GC1908.136" advise="1">
        <values>
          <value>
            <val>1417.9</val>
          </value>
        </values>
      </ddeItem>
      <ddeItem name="GC1908.147" advise="1">
        <values>
          <value>
            <val>126761</val>
          </value>
        </values>
      </ddeItem>
      <ddeItem name="GC1908.148" advise="1">
        <values>
          <value>
            <val>127630</val>
          </value>
        </values>
      </ddeItem>
      <ddeItem name="GC1908.170" advise="1">
        <values>
          <value t="str">
            <val>***</val>
          </value>
        </values>
      </ddeItem>
      <ddeItem name="GC1908.171" advise="1">
        <values>
          <value t="str">
            <val>***</val>
          </value>
        </values>
      </ddeItem>
      <ddeItem name="GC1908.172" advise="1">
        <values>
          <value t="str">
            <val>***</val>
          </value>
        </values>
      </ddeItem>
      <ddeItem name="GC1908.173" advise="1">
        <values>
          <value t="str">
            <val>***</val>
          </value>
        </values>
      </ddeItem>
      <ddeItem name="GC1908.201" advise="1">
        <values>
          <value>
            <val>1417.1</val>
          </value>
        </values>
      </ddeItem>
      <ddeItem name="GC1908.202" advise="1">
        <values>
          <value>
            <val>1417</val>
          </value>
        </values>
      </ddeItem>
      <ddeItem name="GC1908.203" advise="1">
        <values>
          <value>
            <val>1416.9</val>
          </value>
        </values>
      </ddeItem>
      <ddeItem name="GC1908.204" advise="1">
        <values>
          <value>
            <val>1416.8</val>
          </value>
        </values>
      </ddeItem>
      <ddeItem name="GC1908.205" advise="1">
        <values>
          <value>
            <val>1416.7</val>
          </value>
        </values>
      </ddeItem>
      <ddeItem name="GC1908.211" advise="1">
        <values>
          <value>
            <val>1417.9</val>
          </value>
        </values>
      </ddeItem>
      <ddeItem name="GC1908.212" advise="1">
        <values>
          <value>
            <val>1418</val>
          </value>
        </values>
      </ddeItem>
      <ddeItem name="GC1908.213" advise="1">
        <values>
          <value>
            <val>1418.1</val>
          </value>
        </values>
      </ddeItem>
      <ddeItem name="GC1908.214" advise="1">
        <values>
          <value>
            <val>1418.2</val>
          </value>
        </values>
      </ddeItem>
      <ddeItem name="GC1908.215" advise="1">
        <values>
          <value>
            <val>1418.3</val>
          </value>
        </values>
      </ddeItem>
      <ddeItem name="GC1908.221" advise="1">
        <values>
          <value>
            <val>1</val>
          </value>
        </values>
      </ddeItem>
      <ddeItem name="GC1908.222" advise="1">
        <values>
          <value>
            <val>1</val>
          </value>
        </values>
      </ddeItem>
      <ddeItem name="GC1908.223" advise="1">
        <values>
          <value>
            <val>1</val>
          </value>
        </values>
      </ddeItem>
      <ddeItem name="GC1908.224" advise="1">
        <values>
          <value>
            <val>1</val>
          </value>
        </values>
      </ddeItem>
      <ddeItem name="GC1908.225" advise="1">
        <values>
          <value>
            <val>1</val>
          </value>
        </values>
      </ddeItem>
      <ddeItem name="GC1908.231" advise="1">
        <values>
          <value>
            <val>1</val>
          </value>
        </values>
      </ddeItem>
      <ddeItem name="GC1908.232" advise="1">
        <values>
          <value>
            <val>1</val>
          </value>
        </values>
      </ddeItem>
      <ddeItem name="GC1908.233" advise="1">
        <values>
          <value>
            <val>1</val>
          </value>
        </values>
      </ddeItem>
      <ddeItem name="GC1908.234" advise="1">
        <values>
          <value>
            <val>1</val>
          </value>
        </values>
      </ddeItem>
      <ddeItem name="GC1908.235" advise="1">
        <values>
          <value>
            <val>1</val>
          </value>
        </values>
      </ddeItem>
      <ddeItem name="GC1908.402" advise="1">
        <values>
          <value t="str">
            <val>黃金-1908</val>
          </value>
        </values>
      </ddeItem>
      <ddeItem name="GC1908.405" advise="1">
        <values>
          <value>
            <val>1406.7</val>
          </value>
        </values>
      </ddeItem>
      <ddeItem name="GC1908.406" advise="1">
        <values>
          <value t="str">
            <val>***</val>
          </value>
        </values>
      </ddeItem>
      <ddeItem name="GC1908.407" advise="1">
        <values>
          <value t="str">
            <val>***</val>
          </value>
        </values>
      </ddeItem>
      <ddeItem name="GC1908.422" advise="1">
        <values>
          <value>
            <val>1405.4</val>
          </value>
        </values>
      </ddeItem>
      <ddeItem name="GC1908.423" advise="1">
        <values>
          <value>
            <val>380765</val>
          </value>
        </values>
      </ddeItem>
      <ddeItem name="GC1908.431" advise="1">
        <values>
          <value>
            <val>20190828</val>
          </value>
        </values>
      </ddeItem>
      <ddeItem name="GC1908.437" advise="1">
        <values>
          <value t="str">
            <val>***</val>
          </value>
        </values>
      </ddeItem>
      <ddeItem name="GC1912.122" advise="1">
        <values>
          <value>
            <val>20190711</val>
          </value>
        </values>
      </ddeItem>
      <ddeItem name="GC1912.123" advise="1">
        <values>
          <value>
            <val>165957</val>
          </value>
        </values>
      </ddeItem>
      <ddeItem name="GC1912.124" advise="1">
        <values>
          <value>
            <val>1429.9</val>
          </value>
        </values>
      </ddeItem>
      <ddeItem name="GC1912.125" advise="1">
        <values>
          <value>
            <val>10.6</val>
          </value>
        </values>
      </ddeItem>
      <ddeItem name="GC1912.126" advise="1">
        <values>
          <value>
            <val>0.74</val>
          </value>
        </values>
      </ddeItem>
      <ddeItem name="GC1912.128" advise="1">
        <values>
          <value>
            <val>8</val>
          </value>
        </values>
      </ddeItem>
      <ddeItem name="GC1912.130" advise="1">
        <values>
          <value>
            <val>1418.4</val>
          </value>
        </values>
      </ddeItem>
      <ddeItem name="GC1912.131" advise="1">
        <values>
          <value>
            <val>1431.4</val>
          </value>
        </values>
      </ddeItem>
      <ddeItem name="GC1912.132" advise="1">
        <values>
          <value>
            <val>1417.2</val>
          </value>
        </values>
      </ddeItem>
      <ddeItem name="GC1912.133" advise="1">
        <values>
          <value>
            <val>25896</val>
          </value>
        </values>
      </ddeItem>
      <ddeItem name="GC1912.135" advise="1">
        <values>
          <value>
            <val>1420</val>
          </value>
        </values>
      </ddeItem>
      <ddeItem name="GC1912.136" advise="1">
        <values>
          <value>
            <val>1431.5</val>
          </value>
        </values>
      </ddeItem>
      <ddeItem name="GC1912.147" advise="1">
        <values>
          <value>
            <val>9914</val>
          </value>
        </values>
      </ddeItem>
      <ddeItem name="GC1912.148" advise="1">
        <values>
          <value>
            <val>4441</val>
          </value>
        </values>
      </ddeItem>
      <ddeItem name="GC1912.170" advise="1">
        <values>
          <value t="str">
            <val>***</val>
          </value>
        </values>
      </ddeItem>
      <ddeItem name="GC1912.171" advise="1">
        <values>
          <value t="str">
            <val>***</val>
          </value>
        </values>
      </ddeItem>
      <ddeItem name="GC1912.172" advise="1">
        <values>
          <value t="str">
            <val>***</val>
          </value>
        </values>
      </ddeItem>
      <ddeItem name="GC1912.173" advise="1">
        <values>
          <value t="str">
            <val>***</val>
          </value>
        </values>
      </ddeItem>
      <ddeItem name="GC1912.201" advise="1">
        <values>
          <value>
            <val>1420</val>
          </value>
        </values>
      </ddeItem>
      <ddeItem name="GC1912.202" advise="1">
        <values>
          <value>
            <val>1418.5</val>
          </value>
        </values>
      </ddeItem>
      <ddeItem name="GC1912.203" advise="1">
        <values>
          <value>
            <val>1415</val>
          </value>
        </values>
      </ddeItem>
      <ddeItem name="GC1912.204" advise="1">
        <values>
          <value>
            <val>1413.5</val>
          </value>
        </values>
      </ddeItem>
      <ddeItem name="GC1912.205" advise="1">
        <values>
          <value>
            <val>1412.8</val>
          </value>
        </values>
      </ddeItem>
      <ddeItem name="GC1912.211" advise="1">
        <values>
          <value>
            <val>1431.5</val>
          </value>
        </values>
      </ddeItem>
      <ddeItem name="GC1912.212" advise="1">
        <values>
          <value>
            <val>1432.4</val>
          </value>
        </values>
      </ddeItem>
      <ddeItem name="GC1912.213" advise="1">
        <values>
          <value>
            <val>1433</val>
          </value>
        </values>
      </ddeItem>
      <ddeItem name="GC1912.214" advise="1">
        <values>
          <value>
            <val>1435</val>
          </value>
        </values>
      </ddeItem>
      <ddeItem name="GC1912.215" advise="1">
        <values>
          <value>
            <val>1437.2</val>
          </value>
        </values>
      </ddeItem>
      <ddeItem name="GC1912.221" advise="1">
        <values>
          <value>
            <val>1</val>
          </value>
        </values>
      </ddeItem>
      <ddeItem name="GC1912.222" advise="1">
        <values>
          <value>
            <val>4</val>
          </value>
        </values>
      </ddeItem>
      <ddeItem name="GC1912.223" advise="1">
        <values>
          <value>
            <val>2</val>
          </value>
        </values>
      </ddeItem>
      <ddeItem name="GC1912.224" advise="1">
        <values>
          <value>
            <val>2</val>
          </value>
        </values>
      </ddeItem>
      <ddeItem name="GC1912.225" advise="1">
        <values>
          <value>
            <val>2</val>
          </value>
        </values>
      </ddeItem>
      <ddeItem name="GC1912.231" advise="1">
        <values>
          <value>
            <val>10</val>
          </value>
        </values>
      </ddeItem>
      <ddeItem name="GC1912.232" advise="1">
        <values>
          <value>
            <val>1</val>
          </value>
        </values>
      </ddeItem>
      <ddeItem name="GC1912.233" advise="1">
        <values>
          <value>
            <val>1</val>
          </value>
        </values>
      </ddeItem>
      <ddeItem name="GC1912.234" advise="1">
        <values>
          <value>
            <val>1</val>
          </value>
        </values>
      </ddeItem>
      <ddeItem name="GC1912.235" advise="1">
        <values>
          <value>
            <val>1</val>
          </value>
        </values>
      </ddeItem>
      <ddeItem name="GC1912.402" advise="1">
        <values>
          <value t="str">
            <val>黃金-1912</val>
          </value>
        </values>
      </ddeItem>
      <ddeItem name="GC1912.405" advise="1">
        <values>
          <value>
            <val>1419.3</val>
          </value>
        </values>
      </ddeItem>
      <ddeItem name="GC1912.406" advise="1">
        <values>
          <value t="str">
            <val>***</val>
          </value>
        </values>
      </ddeItem>
      <ddeItem name="GC1912.407" advise="1">
        <values>
          <value t="str">
            <val>***</val>
          </value>
        </values>
      </ddeItem>
      <ddeItem name="GC1912.422" advise="1">
        <values>
          <value>
            <val>1417.8</val>
          </value>
        </values>
      </ddeItem>
      <ddeItem name="GC1912.423" advise="1">
        <values>
          <value>
            <val>41724</val>
          </value>
        </values>
      </ddeItem>
      <ddeItem name="GC1912.431" advise="1">
        <values>
          <value>
            <val>20191227</val>
          </value>
        </values>
      </ddeItem>
      <ddeItem name="GC1912.437" advise="1">
        <values>
          <value t="str">
            <val>***</val>
          </value>
        </values>
      </ddeItem>
      <ddeItem name="NK1909.122" advise="1">
        <values>
          <value>
            <val>20190711</val>
          </value>
        </values>
      </ddeItem>
      <ddeItem name="NK1909.123" advise="1">
        <values>
          <value>
            <val>155926</val>
          </value>
        </values>
      </ddeItem>
      <ddeItem name="NK1909.124" advise="1">
        <values>
          <value>
            <val>21575</val>
          </value>
        </values>
      </ddeItem>
      <ddeItem name="NK1909.125" advise="1">
        <values>
          <value>
            <val>-35</val>
          </value>
        </values>
      </ddeItem>
      <ddeItem name="NK1909.126" advise="1">
        <values>
          <value>
            <val>-0.16</val>
          </value>
        </values>
      </ddeItem>
      <ddeItem name="NK1909.128" advise="1">
        <values>
          <value>
            <val>1</val>
          </value>
        </values>
      </ddeItem>
      <ddeItem name="NK1909.130" advise="1">
        <values>
          <value>
            <val>21615</val>
          </value>
        </values>
      </ddeItem>
      <ddeItem name="NK1909.131" advise="1">
        <values>
          <value>
            <val>21685</val>
          </value>
        </values>
      </ddeItem>
      <ddeItem name="NK1909.132" advise="1">
        <values>
          <value>
            <val>21565</val>
          </value>
        </values>
      </ddeItem>
      <ddeItem name="NK1909.133" advise="1">
        <values>
          <value>
            <val>4564</val>
          </value>
        </values>
      </ddeItem>
      <ddeItem name="NK1909.135" advise="1">
        <values>
          <value>
            <val>21575</val>
          </value>
        </values>
      </ddeItem>
      <ddeItem name="NK1909.136" advise="1">
        <values>
          <value>
            <val>21590</val>
          </value>
        </values>
      </ddeItem>
      <ddeItem name="NK1909.147" advise="1">
        <values>
          <value>
            <val>2260</val>
          </value>
        </values>
      </ddeItem>
      <ddeItem name="NK1909.148" advise="1">
        <values>
          <value>
            <val>2024</val>
          </value>
        </values>
      </ddeItem>
      <ddeItem name="NK1909.170" advise="1">
        <values>
          <value t="str">
            <val>***</val>
          </value>
        </values>
      </ddeItem>
      <ddeItem name="NK1909.171" advise="1">
        <values>
          <value t="str">
            <val>***</val>
          </value>
        </values>
      </ddeItem>
      <ddeItem name="NK1909.172" advise="1">
        <values>
          <value t="str">
            <val>***</val>
          </value>
        </values>
      </ddeItem>
      <ddeItem name="NK1909.173" advise="1">
        <values>
          <value t="str">
            <val>***</val>
          </value>
        </values>
      </ddeItem>
      <ddeItem name="NK1909.201" advise="1">
        <values>
          <value>
            <val>21575</val>
          </value>
        </values>
      </ddeItem>
      <ddeItem name="NK1909.202" advise="1">
        <values>
          <value>
            <val>21570</val>
          </value>
        </values>
      </ddeItem>
      <ddeItem name="NK1909.203" advise="1">
        <values>
          <value>
            <val>21565</val>
          </value>
        </values>
      </ddeItem>
      <ddeItem name="NK1909.204" advise="1">
        <values>
          <value>
            <val>21560</val>
          </value>
        </values>
      </ddeItem>
      <ddeItem name="NK1909.205" advise="1">
        <values>
          <value>
            <val>21555</val>
          </value>
        </values>
      </ddeItem>
      <ddeItem name="NK1909.211" advise="1">
        <values>
          <value>
            <val>21590</val>
          </value>
        </values>
      </ddeItem>
      <ddeItem name="NK1909.212" advise="1">
        <values>
          <value>
            <val>21595</val>
          </value>
        </values>
      </ddeItem>
      <ddeItem name="NK1909.213" advise="1">
        <values>
          <value>
            <val>21600</val>
          </value>
        </values>
      </ddeItem>
      <ddeItem name="NK1909.214" advise="1">
        <values>
          <value>
            <val>21605</val>
          </value>
        </values>
      </ddeItem>
      <ddeItem name="NK1909.215" advise="1">
        <values>
          <value>
            <val>21610</val>
          </value>
        </values>
      </ddeItem>
      <ddeItem name="NK1909.221" advise="1">
        <values>
          <value>
            <val>1</val>
          </value>
        </values>
      </ddeItem>
      <ddeItem name="NK1909.222" advise="1">
        <values>
          <value>
            <val>2</val>
          </value>
        </values>
      </ddeItem>
      <ddeItem name="NK1909.223" advise="1">
        <values>
          <value>
            <val>1</val>
          </value>
        </values>
      </ddeItem>
      <ddeItem name="NK1909.224" advise="1">
        <values>
          <value>
            <val>1</val>
          </value>
        </values>
      </ddeItem>
      <ddeItem name="NK1909.225" advise="1">
        <values>
          <value>
            <val>1</val>
          </value>
        </values>
      </ddeItem>
      <ddeItem name="NK1909.231" advise="1">
        <values>
          <value>
            <val>2</val>
          </value>
        </values>
      </ddeItem>
      <ddeItem name="NK1909.232" advise="1">
        <values>
          <value>
            <val>2</val>
          </value>
        </values>
      </ddeItem>
      <ddeItem name="NK1909.233" advise="1">
        <values>
          <value>
            <val>1</val>
          </value>
        </values>
      </ddeItem>
      <ddeItem name="NK1909.234" advise="1">
        <values>
          <value>
            <val>1</val>
          </value>
        </values>
      </ddeItem>
      <ddeItem name="NK1909.235" advise="1">
        <values>
          <value>
            <val>1</val>
          </value>
        </values>
      </ddeItem>
      <ddeItem name="NK1909.402" advise="1">
        <values>
          <value t="str">
            <val>美元日經-1909</val>
          </value>
        </values>
      </ddeItem>
      <ddeItem name="NK1909.405" advise="1">
        <values>
          <value>
            <val>21610</val>
          </value>
        </values>
      </ddeItem>
      <ddeItem name="NK1909.406" advise="1">
        <values>
          <value t="str">
            <val>***</val>
          </value>
        </values>
      </ddeItem>
      <ddeItem name="NK1909.407" advise="1">
        <values>
          <value t="str">
            <val>***</val>
          </value>
        </values>
      </ddeItem>
      <ddeItem name="NK1909.422" advise="1">
        <values>
          <value>
            <val>21615</val>
          </value>
        </values>
      </ddeItem>
      <ddeItem name="NK1909.423" advise="1">
        <values>
          <value>
            <val>8213</val>
          </value>
        </values>
      </ddeItem>
      <ddeItem name="NK1909.431" advise="1">
        <values>
          <value>
            <val>20190913</val>
          </value>
        </values>
      </ddeItem>
      <ddeItem name="NK1909.437" advise="1">
        <values>
          <value t="str">
            <val>***</val>
          </value>
        </values>
      </ddeItem>
      <ddeItem name="NK1912.122" advise="1">
        <values>
          <value>
            <val>20190711</val>
          </value>
        </values>
      </ddeItem>
      <ddeItem name="NK1912.123" advise="1">
        <values>
          <value>
            <val>143719</val>
          </value>
        </values>
      </ddeItem>
      <ddeItem name="NK1912.124" advise="1">
        <values>
          <value>
            <val>21440</val>
          </value>
        </values>
      </ddeItem>
      <ddeItem name="NK1912.125" advise="1">
        <values>
          <value>
            <val>-50</val>
          </value>
        </values>
      </ddeItem>
      <ddeItem name="NK1912.126" advise="1">
        <values>
          <value>
            <val>-0.23</val>
          </value>
        </values>
      </ddeItem>
      <ddeItem name="NK1912.128" advise="1">
        <values>
          <value>
            <val>8</val>
          </value>
        </values>
      </ddeItem>
      <ddeItem name="NK1912.130" advise="1">
        <values>
          <value>
            <val>21465</val>
          </value>
        </values>
      </ddeItem>
      <ddeItem name="NK1912.131" advise="1">
        <values>
          <value>
            <val>21510</val>
          </value>
        </values>
      </ddeItem>
      <ddeItem name="NK1912.132" advise="1">
        <values>
          <value>
            <val>21440</val>
          </value>
        </values>
      </ddeItem>
      <ddeItem name="NK1912.133" advise="1">
        <values>
          <value>
            <val>1115</val>
          </value>
        </values>
      </ddeItem>
      <ddeItem name="NK1912.135" advise="1">
        <values>
          <value>
            <val>20000</val>
          </value>
        </values>
      </ddeItem>
      <ddeItem name="NK1912.136" advise="1">
        <values>
          <value>
            <val>22800</val>
          </value>
        </values>
      </ddeItem>
      <ddeItem name="NK1912.147" advise="1">
        <values>
          <value>
            <val>1</val>
          </value>
        </values>
      </ddeItem>
      <ddeItem name="NK1912.148" advise="1">
        <values>
          <value>
            <val>1099</val>
          </value>
        </values>
      </ddeItem>
      <ddeItem name="NK1912.170" advise="1">
        <values>
          <value t="str">
            <val>***</val>
          </value>
        </values>
      </ddeItem>
      <ddeItem name="NK1912.171" advise="1">
        <values>
          <value t="str">
            <val>***</val>
          </value>
        </values>
      </ddeItem>
      <ddeItem name="NK1912.172" advise="1">
        <values>
          <value t="str">
            <val>***</val>
          </value>
        </values>
      </ddeItem>
      <ddeItem name="NK1912.173" advise="1">
        <values>
          <value t="str">
            <val>***</val>
          </value>
        </values>
      </ddeItem>
      <ddeItem name="NK1912.201" advise="1">
        <values>
          <value>
            <val>20000</val>
          </value>
        </values>
      </ddeItem>
      <ddeItem name="NK1912.202" advise="1">
        <values>
          <value t="str">
            <val xml:space="preserve"> </val>
          </value>
        </values>
      </ddeItem>
      <ddeItem name="NK1912.203" advise="1">
        <values>
          <value t="str">
            <val xml:space="preserve"> </val>
          </value>
        </values>
      </ddeItem>
      <ddeItem name="NK1912.204" advise="1">
        <values>
          <value t="str">
            <val xml:space="preserve"> </val>
          </value>
        </values>
      </ddeItem>
      <ddeItem name="NK1912.205" advise="1">
        <values>
          <value t="str">
            <val xml:space="preserve"> </val>
          </value>
        </values>
      </ddeItem>
      <ddeItem name="NK1912.211" advise="1">
        <values>
          <value>
            <val>22800</val>
          </value>
        </values>
      </ddeItem>
      <ddeItem name="NK1912.212" advise="1">
        <values>
          <value t="str">
            <val xml:space="preserve"> </val>
          </value>
        </values>
      </ddeItem>
      <ddeItem name="NK1912.213" advise="1">
        <values>
          <value t="str">
            <val xml:space="preserve"> </val>
          </value>
        </values>
      </ddeItem>
      <ddeItem name="NK1912.214" advise="1">
        <values>
          <value t="str">
            <val xml:space="preserve"> </val>
          </value>
        </values>
      </ddeItem>
      <ddeItem name="NK1912.215" advise="1">
        <values>
          <value t="str">
            <val xml:space="preserve"> </val>
          </value>
        </values>
      </ddeItem>
      <ddeItem name="NK1912.221" advise="1">
        <values>
          <value>
            <val>3</val>
          </value>
        </values>
      </ddeItem>
      <ddeItem name="NK1912.222" advise="1">
        <values>
          <value>
            <val>0</val>
          </value>
        </values>
      </ddeItem>
      <ddeItem name="NK1912.223" advise="1">
        <values>
          <value>
            <val>0</val>
          </value>
        </values>
      </ddeItem>
      <ddeItem name="NK1912.224" advise="1">
        <values>
          <value>
            <val>0</val>
          </value>
        </values>
      </ddeItem>
      <ddeItem name="NK1912.225" advise="1">
        <values>
          <value>
            <val>0</val>
          </value>
        </values>
      </ddeItem>
      <ddeItem name="NK1912.231" advise="1">
        <values>
          <value>
            <val>5</val>
          </value>
        </values>
      </ddeItem>
      <ddeItem name="NK1912.232" advise="1">
        <values>
          <value>
            <val>0</val>
          </value>
        </values>
      </ddeItem>
      <ddeItem name="NK1912.233" advise="1">
        <values>
          <value>
            <val>0</val>
          </value>
        </values>
      </ddeItem>
      <ddeItem name="NK1912.234" advise="1">
        <values>
          <value>
            <val>0</val>
          </value>
        </values>
      </ddeItem>
      <ddeItem name="NK1912.235" advise="1">
        <values>
          <value>
            <val>0</val>
          </value>
        </values>
      </ddeItem>
      <ddeItem name="NK1912.402" advise="1">
        <values>
          <value t="str">
            <val>美元日經-1912</val>
          </value>
        </values>
      </ddeItem>
      <ddeItem name="NK1912.405" advise="1">
        <values>
          <value>
            <val>21490</val>
          </value>
        </values>
      </ddeItem>
      <ddeItem name="NK1912.406" advise="1">
        <values>
          <value t="str">
            <val>***</val>
          </value>
        </values>
      </ddeItem>
      <ddeItem name="NK1912.407" advise="1">
        <values>
          <value t="str">
            <val>***</val>
          </value>
        </values>
      </ddeItem>
      <ddeItem name="NK1912.422" advise="1">
        <values>
          <value t="str">
            <val xml:space="preserve"> </val>
          </value>
        </values>
      </ddeItem>
      <ddeItem name="NK1912.423" advise="1">
        <values>
          <value>
            <val>0</val>
          </value>
        </values>
      </ddeItem>
      <ddeItem name="NK1912.431" advise="1">
        <values>
          <value>
            <val>20191213</val>
          </value>
        </values>
      </ddeItem>
      <ddeItem name="NK1912.437" advise="1">
        <values>
          <value t="str">
            <val>***</val>
          </value>
        </values>
      </ddeItem>
      <ddeItem name="NQ1909.122" advise="1">
        <values>
          <value>
            <val>20190711</val>
          </value>
        </values>
      </ddeItem>
      <ddeItem name="NQ1909.123" advise="1">
        <values>
          <value>
            <val>160000</val>
          </value>
        </values>
      </ddeItem>
      <ddeItem name="NQ1909.124" advise="1">
        <values>
          <value>
            <val>7958.5</val>
          </value>
        </values>
      </ddeItem>
      <ddeItem name="NQ1909.125" advise="1">
        <values>
          <value>
            <val>39.75</val>
          </value>
        </values>
      </ddeItem>
      <ddeItem name="NQ1909.126" advise="1">
        <values>
          <value>
            <val>0.5</val>
          </value>
        </values>
      </ddeItem>
      <ddeItem name="NQ1909.128" advise="1">
        <values>
          <value>
            <val>5</val>
          </value>
        </values>
      </ddeItem>
      <ddeItem name="NQ1909.130" advise="1">
        <values>
          <value>
            <val>7917.25</val>
          </value>
        </values>
      </ddeItem>
      <ddeItem name="NQ1909.131" advise="1">
        <values>
          <value>
            <val>7967.5</val>
          </value>
        </values>
      </ddeItem>
      <ddeItem name="NQ1909.132" advise="1">
        <values>
          <value>
            <val>7911.75</val>
          </value>
        </values>
      </ddeItem>
      <ddeItem name="NQ1909.133" advise="1">
        <values>
          <value>
            <val>298535</val>
          </value>
        </values>
      </ddeItem>
      <ddeItem name="NQ1909.135" advise="1">
        <values>
          <value>
            <val>7957</val>
          </value>
        </values>
      </ddeItem>
      <ddeItem name="NQ1909.136" advise="1">
        <values>
          <value>
            <val>7958.25</val>
          </value>
        </values>
      </ddeItem>
      <ddeItem name="NQ1909.147" advise="1">
        <values>
          <value>
            <val>127319</val>
          </value>
        </values>
      </ddeItem>
      <ddeItem name="NQ1909.148" advise="1">
        <values>
          <value>
            <val>129095</val>
          </value>
        </values>
      </ddeItem>
      <ddeItem name="NQ1909.170" advise="1">
        <values>
          <value t="str">
            <val>***</val>
          </value>
        </values>
      </ddeItem>
      <ddeItem name="NQ1909.171" advise="1">
        <values>
          <value t="str">
            <val>***</val>
          </value>
        </values>
      </ddeItem>
      <ddeItem name="NQ1909.172" advise="1">
        <values>
          <value t="str">
            <val>***</val>
          </value>
        </values>
      </ddeItem>
      <ddeItem name="NQ1909.173" advise="1">
        <values>
          <value t="str">
            <val>***</val>
          </value>
        </values>
      </ddeItem>
      <ddeItem name="NQ1909.201" advise="1">
        <values>
          <value>
            <val>7957</val>
          </value>
        </values>
      </ddeItem>
      <ddeItem name="NQ1909.202" advise="1">
        <values>
          <value>
            <val>7956.25</val>
          </value>
        </values>
      </ddeItem>
      <ddeItem name="NQ1909.203" advise="1">
        <values>
          <value>
            <val>7956</val>
          </value>
        </values>
      </ddeItem>
      <ddeItem name="NQ1909.204" advise="1">
        <values>
          <value>
            <val>7955.75</val>
          </value>
        </values>
      </ddeItem>
      <ddeItem name="NQ1909.205" advise="1">
        <values>
          <value>
            <val>7955.5</val>
          </value>
        </values>
      </ddeItem>
      <ddeItem name="NQ1909.211" advise="1">
        <values>
          <value>
            <val>7958.25</val>
          </value>
        </values>
      </ddeItem>
      <ddeItem name="NQ1909.212" advise="1">
        <values>
          <value>
            <val>7958.5</val>
          </value>
        </values>
      </ddeItem>
      <ddeItem name="NQ1909.213" advise="1">
        <values>
          <value>
            <val>7958.75</val>
          </value>
        </values>
      </ddeItem>
      <ddeItem name="NQ1909.214" advise="1">
        <values>
          <value>
            <val>7959</val>
          </value>
        </values>
      </ddeItem>
      <ddeItem name="NQ1909.215" advise="1">
        <values>
          <value>
            <val>7959.25</val>
          </value>
        </values>
      </ddeItem>
      <ddeItem name="NQ1909.221" advise="1">
        <values>
          <value>
            <val>1</val>
          </value>
        </values>
      </ddeItem>
      <ddeItem name="NQ1909.222" advise="1">
        <values>
          <value>
            <val>7</val>
          </value>
        </values>
      </ddeItem>
      <ddeItem name="NQ1909.223" advise="1">
        <values>
          <value>
            <val>7</val>
          </value>
        </values>
      </ddeItem>
      <ddeItem name="NQ1909.224" advise="1">
        <values>
          <value>
            <val>7</val>
          </value>
        </values>
      </ddeItem>
      <ddeItem name="NQ1909.225" advise="1">
        <values>
          <value>
            <val>8</val>
          </value>
        </values>
      </ddeItem>
      <ddeItem name="NQ1909.231" advise="1">
        <values>
          <value>
            <val>2</val>
          </value>
        </values>
      </ddeItem>
      <ddeItem name="NQ1909.232" advise="1">
        <values>
          <value>
            <val>4</val>
          </value>
        </values>
      </ddeItem>
      <ddeItem name="NQ1909.233" advise="1">
        <values>
          <value>
            <val>10</val>
          </value>
        </values>
      </ddeItem>
      <ddeItem name="NQ1909.234" advise="1">
        <values>
          <value>
            <val>10</val>
          </value>
        </values>
      </ddeItem>
      <ddeItem name="NQ1909.235" advise="1">
        <values>
          <value>
            <val>7</val>
          </value>
        </values>
      </ddeItem>
      <ddeItem name="NQ1909.402" advise="1">
        <values>
          <value t="str">
            <val>小那斯達克-1909</val>
          </value>
        </values>
      </ddeItem>
      <ddeItem name="NQ1909.405" advise="1">
        <values>
          <value>
            <val>7918.75</val>
          </value>
        </values>
      </ddeItem>
      <ddeItem name="NQ1909.406" advise="1">
        <values>
          <value t="str">
            <val>***</val>
          </value>
        </values>
      </ddeItem>
      <ddeItem name="NQ1909.407" advise="1">
        <values>
          <value t="str">
            <val>***</val>
          </value>
        </values>
      </ddeItem>
      <ddeItem name="NQ1909.422" advise="1">
        <values>
          <value>
            <val>7917.75</val>
          </value>
        </values>
      </ddeItem>
      <ddeItem name="NQ1909.423" advise="1">
        <values>
          <value>
            <val>403726</val>
          </value>
        </values>
      </ddeItem>
      <ddeItem name="NQ1909.431" advise="1">
        <values>
          <value>
            <val>20190920</val>
          </value>
        </values>
      </ddeItem>
      <ddeItem name="NQ1909.437" advise="1">
        <values>
          <value t="str">
            <val>***</val>
          </value>
        </values>
      </ddeItem>
      <ddeItem name="NQ1912.122" advise="1">
        <values>
          <value>
            <val>20190711</val>
          </value>
        </values>
      </ddeItem>
      <ddeItem name="NQ1912.123" advise="1">
        <values>
          <value>
            <val>153623</val>
          </value>
        </values>
      </ddeItem>
      <ddeItem name="NQ1912.124" advise="1">
        <values>
          <value>
            <val>7981.5</val>
          </value>
        </values>
      </ddeItem>
      <ddeItem name="NQ1912.125" advise="1">
        <values>
          <value>
            <val>41</val>
          </value>
        </values>
      </ddeItem>
      <ddeItem name="NQ1912.126" advise="1">
        <values>
          <value>
            <val>0.51</val>
          </value>
        </values>
      </ddeItem>
      <ddeItem name="NQ1912.128" advise="1">
        <values>
          <value>
            <val>1</val>
          </value>
        </values>
      </ddeItem>
      <ddeItem name="NQ1912.130" advise="1">
        <values>
          <value>
            <val>7948</val>
          </value>
        </values>
      </ddeItem>
      <ddeItem name="NQ1912.131" advise="1">
        <values>
          <value>
            <val>7989.75</val>
          </value>
        </values>
      </ddeItem>
      <ddeItem name="NQ1912.132" advise="1">
        <values>
          <value>
            <val>7941</val>
          </value>
        </values>
      </ddeItem>
      <ddeItem name="NQ1912.133" advise="1">
        <values>
          <value>
            <val>412</val>
          </value>
        </values>
      </ddeItem>
      <ddeItem name="NQ1912.135" advise="1">
        <values>
          <value>
            <val>7956.5</val>
          </value>
        </values>
      </ddeItem>
      <ddeItem name="NQ1912.136" advise="1">
        <values>
          <value>
            <val>8038.75</val>
          </value>
        </values>
      </ddeItem>
      <ddeItem name="NQ1912.147" advise="1">
        <values>
          <value>
            <val>132</val>
          </value>
        </values>
      </ddeItem>
      <ddeItem name="NQ1912.148" advise="1">
        <values>
          <value>
            <val>177</val>
          </value>
        </values>
      </ddeItem>
      <ddeItem name="NQ1912.170" advise="1">
        <values>
          <value t="str">
            <val>***</val>
          </value>
        </values>
      </ddeItem>
      <ddeItem name="NQ1912.171" advise="1">
        <values>
          <value t="str">
            <val>***</val>
          </value>
        </values>
      </ddeItem>
      <ddeItem name="NQ1912.172" advise="1">
        <values>
          <value t="str">
            <val>***</val>
          </value>
        </values>
      </ddeItem>
      <ddeItem name="NQ1912.173" advise="1">
        <values>
          <value t="str">
            <val>***</val>
          </value>
        </values>
      </ddeItem>
      <ddeItem name="NQ1912.201" advise="1">
        <values>
          <value>
            <val>7956.5</val>
          </value>
        </values>
      </ddeItem>
      <ddeItem name="NQ1912.202" advise="1">
        <values>
          <value>
            <val>7930</val>
          </value>
        </values>
      </ddeItem>
      <ddeItem name="NQ1912.203" advise="1">
        <values>
          <value>
            <val>7906.75</val>
          </value>
        </values>
      </ddeItem>
      <ddeItem name="NQ1912.204" advise="1">
        <values>
          <value>
            <val>7735</val>
          </value>
        </values>
      </ddeItem>
      <ddeItem name="NQ1912.205" advise="1">
        <values>
          <value>
            <val>7655.5</val>
          </value>
        </values>
      </ddeItem>
      <ddeItem name="NQ1912.211" advise="1">
        <values>
          <value>
            <val>8038.75</val>
          </value>
        </values>
      </ddeItem>
      <ddeItem name="NQ1912.212" advise="1">
        <values>
          <value>
            <val>8044.5</val>
          </value>
        </values>
      </ddeItem>
      <ddeItem name="NQ1912.213" advise="1">
        <values>
          <value>
            <val>8100</val>
          </value>
        </values>
      </ddeItem>
      <ddeItem name="NQ1912.214" advise="1">
        <values>
          <value>
            <val>9000</val>
          </value>
        </values>
      </ddeItem>
      <ddeItem name="NQ1912.215" advise="1">
        <values>
          <value t="str">
            <val xml:space="preserve"> </val>
          </value>
        </values>
      </ddeItem>
      <ddeItem name="NQ1912.221" advise="1">
        <values>
          <value>
            <val>1</val>
          </value>
        </values>
      </ddeItem>
      <ddeItem name="NQ1912.222" advise="1">
        <values>
          <value>
            <val>3</val>
          </value>
        </values>
      </ddeItem>
      <ddeItem name="NQ1912.223" advise="1">
        <values>
          <value>
            <val>1</val>
          </value>
        </values>
      </ddeItem>
      <ddeItem name="NQ1912.224" advise="1">
        <values>
          <value>
            <val>1</val>
          </value>
        </values>
      </ddeItem>
      <ddeItem name="NQ1912.225" advise="1">
        <values>
          <value>
            <val>1</val>
          </value>
        </values>
      </ddeItem>
      <ddeItem name="NQ1912.231" advise="1">
        <values>
          <value>
            <val>1</val>
          </value>
        </values>
      </ddeItem>
      <ddeItem name="NQ1912.232" advise="1">
        <values>
          <value>
            <val>1</val>
          </value>
        </values>
      </ddeItem>
      <ddeItem name="NQ1912.233" advise="1">
        <values>
          <value>
            <val>1</val>
          </value>
        </values>
      </ddeItem>
      <ddeItem name="NQ1912.234" advise="1">
        <values>
          <value>
            <val>1</val>
          </value>
        </values>
      </ddeItem>
      <ddeItem name="NQ1912.235" advise="1">
        <values>
          <value>
            <val>0</val>
          </value>
        </values>
      </ddeItem>
      <ddeItem name="NQ1912.402" advise="1">
        <values>
          <value t="str">
            <val>小那斯達克-1912</val>
          </value>
        </values>
      </ddeItem>
      <ddeItem name="NQ1912.405" advise="1">
        <values>
          <value>
            <val>7940.5</val>
          </value>
        </values>
      </ddeItem>
      <ddeItem name="NQ1912.406" advise="1">
        <values>
          <value t="str">
            <val>***</val>
          </value>
        </values>
      </ddeItem>
      <ddeItem name="NQ1912.407" advise="1">
        <values>
          <value t="str">
            <val>***</val>
          </value>
        </values>
      </ddeItem>
      <ddeItem name="NQ1912.422" advise="1">
        <values>
          <value>
            <val>7941.75</val>
          </value>
        </values>
      </ddeItem>
      <ddeItem name="NQ1912.423" advise="1">
        <values>
          <value>
            <val>596</val>
          </value>
        </values>
      </ddeItem>
      <ddeItem name="NQ1912.431" advise="1">
        <values>
          <value>
            <val>20191220</val>
          </value>
        </values>
      </ddeItem>
      <ddeItem name="NQ1912.437" advise="1">
        <values>
          <value t="str">
            <val>***</val>
          </value>
        </values>
      </ddeItem>
      <ddeItem name="SCN1907.122" advise="1">
        <values>
          <value>
            <val>20190713</val>
          </value>
        </values>
      </ddeItem>
      <ddeItem name="SCN1907.123" advise="1">
        <values>
          <value>
            <val>44458</val>
          </value>
        </values>
      </ddeItem>
      <ddeItem name="SCN1907.124" advise="1">
        <values>
          <value>
            <val>13512.5</val>
          </value>
        </values>
      </ddeItem>
      <ddeItem name="SCN1907.125" advise="1">
        <values>
          <value>
            <val>-40</val>
          </value>
        </values>
      </ddeItem>
      <ddeItem name="SCN1907.126" advise="1">
        <values>
          <value>
            <val>-0.28999999999999998</val>
          </value>
        </values>
      </ddeItem>
      <ddeItem name="SCN1907.128" advise="1">
        <values>
          <value>
            <val>2</val>
          </value>
        </values>
      </ddeItem>
      <ddeItem name="SCN1907.130" advise="1">
        <values>
          <value>
            <val>13557.5</val>
          </value>
        </values>
      </ddeItem>
      <ddeItem name="SCN1907.131" advise="1">
        <values>
          <value>
            <val>13567.5</val>
          </value>
        </values>
      </ddeItem>
      <ddeItem name="SCN1907.132" advise="1">
        <values>
          <value>
            <val>13462.5</val>
          </value>
        </values>
      </ddeItem>
      <ddeItem name="SCN1907.133" advise="1">
        <values>
          <value>
            <val>26834</val>
          </value>
        </values>
      </ddeItem>
      <ddeItem name="SCN1907.135" advise="1">
        <values>
          <value>
            <val>13435</val>
          </value>
        </values>
      </ddeItem>
      <ddeItem name="SCN1907.136" advise="1">
        <values>
          <value>
            <val>13550</val>
          </value>
        </values>
      </ddeItem>
      <ddeItem name="SCN1907.147" advise="1">
        <values>
          <value>
            <val>13210</val>
          </value>
        </values>
      </ddeItem>
      <ddeItem name="SCN1907.148" advise="1">
        <values>
          <value>
            <val>12656</val>
          </value>
        </values>
      </ddeItem>
      <ddeItem name="SCN1907.170" advise="1">
        <values>
          <value t="str">
            <val>***</val>
          </value>
        </values>
      </ddeItem>
      <ddeItem name="SCN1907.171" advise="1">
        <values>
          <value t="str">
            <val>***</val>
          </value>
        </values>
      </ddeItem>
      <ddeItem name="SCN1907.172" advise="1">
        <values>
          <value t="str">
            <val>***</val>
          </value>
        </values>
      </ddeItem>
      <ddeItem name="SCN1907.173" advise="1">
        <values>
          <value t="str">
            <val>***</val>
          </value>
        </values>
      </ddeItem>
      <ddeItem name="SCN1907.201" advise="1">
        <values>
          <value>
            <val>13435</val>
          </value>
        </values>
      </ddeItem>
      <ddeItem name="SCN1907.202" advise="1">
        <values>
          <value>
            <val>13410</val>
          </value>
        </values>
      </ddeItem>
      <ddeItem name="SCN1907.203" advise="1">
        <values>
          <value>
            <val>13400</val>
          </value>
        </values>
      </ddeItem>
      <ddeItem name="SCN1907.204" advise="1">
        <values>
          <value>
            <val>13390</val>
          </value>
        </values>
      </ddeItem>
      <ddeItem name="SCN1907.205" advise="1">
        <values>
          <value>
            <val>13380</val>
          </value>
        </values>
      </ddeItem>
      <ddeItem name="SCN1907.211" advise="1">
        <values>
          <value>
            <val>13550</val>
          </value>
        </values>
      </ddeItem>
      <ddeItem name="SCN1907.212" advise="1">
        <values>
          <value>
            <val>13555</val>
          </value>
        </values>
      </ddeItem>
      <ddeItem name="SCN1907.213" advise="1">
        <values>
          <value>
            <val>13585</val>
          </value>
        </values>
      </ddeItem>
      <ddeItem name="SCN1907.214" advise="1">
        <values>
          <value>
            <val>13600</val>
          </value>
        </values>
      </ddeItem>
      <ddeItem name="SCN1907.215" advise="1">
        <values>
          <value>
            <val>13615</val>
          </value>
        </values>
      </ddeItem>
      <ddeItem name="SCN1907.221" advise="1">
        <values>
          <value>
            <val>3</val>
          </value>
        </values>
      </ddeItem>
      <ddeItem name="SCN1907.222" advise="1">
        <values>
          <value>
            <val>1</val>
          </value>
        </values>
      </ddeItem>
      <ddeItem name="SCN1907.223" advise="1">
        <values>
          <value>
            <val>3</val>
          </value>
        </values>
      </ddeItem>
      <ddeItem name="SCN1907.224" advise="1">
        <values>
          <value>
            <val>1</val>
          </value>
        </values>
      </ddeItem>
      <ddeItem name="SCN1907.225" advise="1">
        <values>
          <value>
            <val>1</val>
          </value>
        </values>
      </ddeItem>
      <ddeItem name="SCN1907.231" advise="1">
        <values>
          <value>
            <val>1</val>
          </value>
        </values>
      </ddeItem>
      <ddeItem name="SCN1907.232" advise="1">
        <values>
          <value>
            <val>1</val>
          </value>
        </values>
      </ddeItem>
      <ddeItem name="SCN1907.233" advise="1">
        <values>
          <value>
            <val>1</val>
          </value>
        </values>
      </ddeItem>
      <ddeItem name="SCN1907.234" advise="1">
        <values>
          <value>
            <val>1</val>
          </value>
        </values>
      </ddeItem>
      <ddeItem name="SCN1907.235" advise="1">
        <values>
          <value>
            <val>5</val>
          </value>
        </values>
      </ddeItem>
      <ddeItem name="SCN1907.402" advise="1">
        <values>
          <value t="str">
            <val>A50指數-1907</val>
          </value>
        </values>
      </ddeItem>
      <ddeItem name="SCN1907.405" advise="1">
        <values>
          <value>
            <val>13552.5</val>
          </value>
        </values>
      </ddeItem>
      <ddeItem name="SCN1907.406" advise="1">
        <values>
          <value t="str">
            <val>***</val>
          </value>
        </values>
      </ddeItem>
      <ddeItem name="SCN1907.407" advise="1">
        <values>
          <value t="str">
            <val>***</val>
          </value>
        </values>
      </ddeItem>
      <ddeItem name="SCN1907.422" advise="1">
        <values>
          <value>
            <val>13552.5</val>
          </value>
        </values>
      </ddeItem>
      <ddeItem name="SCN1907.423" advise="1">
        <values>
          <value>
            <val>229715</val>
          </value>
        </values>
      </ddeItem>
      <ddeItem name="SCN1907.431" advise="1">
        <values>
          <value>
            <val>20190730</val>
          </value>
        </values>
      </ddeItem>
      <ddeItem name="SCN1907.437" advise="1">
        <values>
          <value t="str">
            <val>***</val>
          </value>
        </values>
      </ddeItem>
      <ddeItem name="SCN1908.122" advise="1">
        <values>
          <value>
            <val>20190713</val>
          </value>
        </values>
      </ddeItem>
      <ddeItem name="SCN1908.123" advise="1">
        <values>
          <value>
            <val>44425</val>
          </value>
        </values>
      </ddeItem>
      <ddeItem name="SCN1908.124" advise="1">
        <values>
          <value>
            <val>13492.5</val>
          </value>
        </values>
      </ddeItem>
      <ddeItem name="SCN1908.125" advise="1">
        <values>
          <value>
            <val>-50</val>
          </value>
        </values>
      </ddeItem>
      <ddeItem name="SCN1908.126" advise="1">
        <values>
          <value>
            <val>-0.36</val>
          </value>
        </values>
      </ddeItem>
      <ddeItem name="SCN1908.128" advise="1">
        <values>
          <value>
            <val>1</val>
          </value>
        </values>
      </ddeItem>
      <ddeItem name="SCN1908.130" advise="1">
        <values>
          <value>
            <val>13520</val>
          </value>
        </values>
      </ddeItem>
      <ddeItem name="SCN1908.131" advise="1">
        <values>
          <value>
            <val>13525</val>
          </value>
        </values>
      </ddeItem>
      <ddeItem name="SCN1908.132" advise="1">
        <values>
          <value>
            <val>13450</val>
          </value>
        </values>
      </ddeItem>
      <ddeItem name="SCN1908.133" advise="1">
        <values>
          <value>
            <val>595</val>
          </value>
        </values>
      </ddeItem>
      <ddeItem name="SCN1908.135" advise="1">
        <values>
          <value>
            <val>12600</val>
          </value>
        </values>
      </ddeItem>
      <ddeItem name="SCN1908.136" advise="1">
        <values>
          <value>
            <val>13660</val>
          </value>
        </values>
      </ddeItem>
      <ddeItem name="SCN1908.147" advise="1">
        <values>
          <value>
            <val>281</val>
          </value>
        </values>
      </ddeItem>
      <ddeItem name="SCN1908.148" advise="1">
        <values>
          <value>
            <val>298</val>
          </value>
        </values>
      </ddeItem>
      <ddeItem name="SCN1908.170" advise="1">
        <values>
          <value t="str">
            <val>***</val>
          </value>
        </values>
      </ddeItem>
      <ddeItem name="SCN1908.171" advise="1">
        <values>
          <value t="str">
            <val>***</val>
          </value>
        </values>
      </ddeItem>
      <ddeItem name="SCN1908.172" advise="1">
        <values>
          <value t="str">
            <val>***</val>
          </value>
        </values>
      </ddeItem>
      <ddeItem name="SCN1908.173" advise="1">
        <values>
          <value t="str">
            <val>***</val>
          </value>
        </values>
      </ddeItem>
      <ddeItem name="SCN1908.201" advise="1">
        <values>
          <value>
            <val>12600</val>
          </value>
        </values>
      </ddeItem>
      <ddeItem name="SCN1908.202" advise="1">
        <values>
          <value t="str">
            <val xml:space="preserve"> </val>
          </value>
        </values>
      </ddeItem>
      <ddeItem name="SCN1908.203" advise="1">
        <values>
          <value t="str">
            <val xml:space="preserve"> </val>
          </value>
        </values>
      </ddeItem>
      <ddeItem name="SCN1908.204" advise="1">
        <values>
          <value t="str">
            <val xml:space="preserve"> </val>
          </value>
        </values>
      </ddeItem>
      <ddeItem name="SCN1908.205" advise="1">
        <values>
          <value t="str">
            <val xml:space="preserve"> </val>
          </value>
        </values>
      </ddeItem>
      <ddeItem name="SCN1908.211" advise="1">
        <values>
          <value>
            <val>13660</val>
          </value>
        </values>
      </ddeItem>
      <ddeItem name="SCN1908.212" advise="1">
        <values>
          <value>
            <val>13980</val>
          </value>
        </values>
      </ddeItem>
      <ddeItem name="SCN1908.213" advise="1">
        <values>
          <value>
            <val>13992.5</val>
          </value>
        </values>
      </ddeItem>
      <ddeItem name="SCN1908.214" advise="1">
        <values>
          <value>
            <val>13995</val>
          </value>
        </values>
      </ddeItem>
      <ddeItem name="SCN1908.215" advise="1">
        <values>
          <value>
            <val>14000</val>
          </value>
        </values>
      </ddeItem>
      <ddeItem name="SCN1908.221" advise="1">
        <values>
          <value>
            <val>2</val>
          </value>
        </values>
      </ddeItem>
      <ddeItem name="SCN1908.222" advise="1">
        <values>
          <value>
            <val>0</val>
          </value>
        </values>
      </ddeItem>
      <ddeItem name="SCN1908.223" advise="1">
        <values>
          <value>
            <val>0</val>
          </value>
        </values>
      </ddeItem>
      <ddeItem name="SCN1908.224" advise="1">
        <values>
          <value>
            <val>0</val>
          </value>
        </values>
      </ddeItem>
      <ddeItem name="SCN1908.225" advise="1">
        <values>
          <value>
            <val>0</val>
          </value>
        </values>
      </ddeItem>
      <ddeItem name="SCN1908.231" advise="1">
        <values>
          <value>
            <val>10</val>
          </value>
        </values>
      </ddeItem>
      <ddeItem name="SCN1908.232" advise="1">
        <values>
          <value>
            <val>2</val>
          </value>
        </values>
      </ddeItem>
      <ddeItem name="SCN1908.233" advise="1">
        <values>
          <value>
            <val>2</val>
          </value>
        </values>
      </ddeItem>
      <ddeItem name="SCN1908.234" advise="1">
        <values>
          <value>
            <val>2</val>
          </value>
        </values>
      </ddeItem>
      <ddeItem name="SCN1908.235" advise="1">
        <values>
          <value>
            <val>2</val>
          </value>
        </values>
      </ddeItem>
      <ddeItem name="SCN1908.402" advise="1">
        <values>
          <value t="str">
            <val>A50指數-1908</val>
          </value>
        </values>
      </ddeItem>
      <ddeItem name="SCN1908.405" advise="1">
        <values>
          <value>
            <val>13542.5</val>
          </value>
        </values>
      </ddeItem>
      <ddeItem name="SCN1908.406" advise="1">
        <values>
          <value t="str">
            <val>***</val>
          </value>
        </values>
      </ddeItem>
      <ddeItem name="SCN1908.407" advise="1">
        <values>
          <value t="str">
            <val>***</val>
          </value>
        </values>
      </ddeItem>
      <ddeItem name="SCN1908.422" advise="1">
        <values>
          <value>
            <val>13542.5</val>
          </value>
        </values>
      </ddeItem>
      <ddeItem name="SCN1908.423" advise="1">
        <values>
          <value>
            <val>2788</val>
          </value>
        </values>
      </ddeItem>
      <ddeItem name="SCN1908.431" advise="1">
        <values>
          <value>
            <val>20190829</val>
          </value>
        </values>
      </ddeItem>
      <ddeItem name="SCN1908.437" advise="1">
        <values>
          <value t="str">
            <val>***</val>
          </value>
        </values>
      </ddeItem>
      <ddeItem name="StdDocumentName" ole="1" advise="1"/>
      <ddeItem name="UB1909.122" advise="1">
        <values>
          <value>
            <val>20190711</val>
          </value>
        </values>
      </ddeItem>
      <ddeItem name="UB1909.123" advise="1">
        <values>
          <value>
            <val>155957</val>
          </value>
        </values>
      </ddeItem>
      <ddeItem name="UB1909.124" advise="1">
        <values>
          <value>
            <val>173.28</val>
          </value>
        </values>
      </ddeItem>
      <ddeItem name="UB1909.125" advise="1">
        <values>
          <value>
            <val>-0.08</val>
          </value>
        </values>
      </ddeItem>
      <ddeItem name="UB1909.126" advise="1">
        <values>
          <value>
            <val>-0.14000000000000001</val>
          </value>
        </values>
      </ddeItem>
      <ddeItem name="UB1909.128" advise="1">
        <values>
          <value>
            <val>5</val>
          </value>
        </values>
      </ddeItem>
      <ddeItem name="UB1909.130" advise="1">
        <values>
          <value>
            <val>173.2</val>
          </value>
        </values>
      </ddeItem>
      <ddeItem name="UB1909.131" advise="1">
        <values>
          <value>
            <val>174.12</val>
          </value>
        </values>
      </ddeItem>
      <ddeItem name="UB1909.132" advise="1">
        <values>
          <value>
            <val>172.31</val>
          </value>
        </values>
      </ddeItem>
      <ddeItem name="UB1909.133" advise="1">
        <values>
          <value>
            <val>111268</val>
          </value>
        </values>
      </ddeItem>
      <ddeItem name="UB1909.135" advise="1">
        <values>
          <value>
            <val>173.26</val>
          </value>
        </values>
      </ddeItem>
      <ddeItem name="UB1909.136" advise="1">
        <values>
          <value>
            <val>173.28</val>
          </value>
        </values>
      </ddeItem>
      <ddeItem name="UB1909.147" advise="1">
        <values>
          <value>
            <val>52753</val>
          </value>
        </values>
      </ddeItem>
      <ddeItem name="UB1909.148" advise="1">
        <values>
          <value>
            <val>56289</val>
          </value>
        </values>
      </ddeItem>
      <ddeItem name="UB1909.170" advise="1">
        <values>
          <value t="str">
            <val>***</val>
          </value>
        </values>
      </ddeItem>
      <ddeItem name="UB1909.171" advise="1">
        <values>
          <value t="str">
            <val>***</val>
          </value>
        </values>
      </ddeItem>
      <ddeItem name="UB1909.172" advise="1">
        <values>
          <value t="str">
            <val>***</val>
          </value>
        </values>
      </ddeItem>
      <ddeItem name="UB1909.173" advise="1">
        <values>
          <value t="str">
            <val>***</val>
          </value>
        </values>
      </ddeItem>
      <ddeItem name="UB1909.201" advise="1">
        <values>
          <value>
            <val>173.26</val>
          </value>
        </values>
      </ddeItem>
      <ddeItem name="UB1909.202" advise="1">
        <values>
          <value>
            <val>173.25</val>
          </value>
        </values>
      </ddeItem>
      <ddeItem name="UB1909.203" advise="1">
        <values>
          <value>
            <val>173.24</val>
          </value>
        </values>
      </ddeItem>
      <ddeItem name="UB1909.204" advise="1">
        <values>
          <value>
            <val>173.23</val>
          </value>
        </values>
      </ddeItem>
      <ddeItem name="UB1909.205" advise="1">
        <values>
          <value>
            <val>173.22</val>
          </value>
        </values>
      </ddeItem>
      <ddeItem name="UB1909.211" advise="1">
        <values>
          <value>
            <val>173.28</val>
          </value>
        </values>
      </ddeItem>
      <ddeItem name="UB1909.212" advise="1">
        <values>
          <value>
            <val>173.29</val>
          </value>
        </values>
      </ddeItem>
      <ddeItem name="UB1909.213" advise="1">
        <values>
          <value>
            <val>173.3</val>
          </value>
        </values>
      </ddeItem>
      <ddeItem name="UB1909.214" advise="1">
        <values>
          <value>
            <val>173.31</val>
          </value>
        </values>
      </ddeItem>
      <ddeItem name="UB1909.215" advise="1">
        <values>
          <value>
            <val>174</val>
          </value>
        </values>
      </ddeItem>
      <ddeItem name="UB1909.221" advise="1">
        <values>
          <value>
            <val>18</val>
          </value>
        </values>
      </ddeItem>
      <ddeItem name="UB1909.222" advise="1">
        <values>
          <value>
            <val>9</val>
          </value>
        </values>
      </ddeItem>
      <ddeItem name="UB1909.223" advise="1">
        <values>
          <value>
            <val>8</val>
          </value>
        </values>
      </ddeItem>
      <ddeItem name="UB1909.224" advise="1">
        <values>
          <value>
            <val>34</val>
          </value>
        </values>
      </ddeItem>
      <ddeItem name="UB1909.225" advise="1">
        <values>
          <value>
            <val>40</val>
          </value>
        </values>
      </ddeItem>
      <ddeItem name="UB1909.231" advise="1">
        <values>
          <value>
            <val>7</val>
          </value>
        </values>
      </ddeItem>
      <ddeItem name="UB1909.232" advise="1">
        <values>
          <value>
            <val>38</val>
          </value>
        </values>
      </ddeItem>
      <ddeItem name="UB1909.233" advise="1">
        <values>
          <value>
            <val>10</val>
          </value>
        </values>
      </ddeItem>
      <ddeItem name="UB1909.234" advise="1">
        <values>
          <value>
            <val>16</val>
          </value>
        </values>
      </ddeItem>
      <ddeItem name="UB1909.235" advise="1">
        <values>
          <value>
            <val>25</val>
          </value>
        </values>
      </ddeItem>
      <ddeItem name="UB1909.402" advise="1">
        <values>
          <value t="str">
            <val>美國超長債-1909</val>
          </value>
        </values>
      </ddeItem>
      <ddeItem name="UB1909.405" advise="1">
        <values>
          <value>
            <val>174.04</val>
          </value>
        </values>
      </ddeItem>
      <ddeItem name="UB1909.406" advise="1">
        <values>
          <value t="str">
            <val>***</val>
          </value>
        </values>
      </ddeItem>
      <ddeItem name="UB1909.407" advise="1">
        <values>
          <value t="str">
            <val>***</val>
          </value>
        </values>
      </ddeItem>
      <ddeItem name="UB1909.422" advise="1">
        <values>
          <value>
            <val>173.17</val>
          </value>
        </values>
      </ddeItem>
      <ddeItem name="UB1909.423" advise="1">
        <values>
          <value>
            <val>191056</val>
          </value>
        </values>
      </ddeItem>
      <ddeItem name="UB1909.431" advise="1">
        <values>
          <value>
            <val>20190919</val>
          </value>
        </values>
      </ddeItem>
      <ddeItem name="UB1909.437" advise="1">
        <values>
          <value t="str">
            <val>***</val>
          </value>
        </values>
      </ddeItem>
      <ddeItem name="UB1912.122" advise="1">
        <values>
          <value>
            <val>20190711</val>
          </value>
        </values>
      </ddeItem>
      <ddeItem name="UB1912.123" advise="1">
        <values>
          <value>
            <val>0</val>
          </value>
        </values>
      </ddeItem>
      <ddeItem name="UB1912.124" advise="1">
        <values>
          <value t="str">
            <val xml:space="preserve"> </val>
          </value>
        </values>
      </ddeItem>
      <ddeItem name="UB1912.125" advise="1">
        <values>
          <value>
            <val>0</val>
          </value>
        </values>
      </ddeItem>
      <ddeItem name="UB1912.126" advise="1">
        <values>
          <value>
            <val>0</val>
          </value>
        </values>
      </ddeItem>
      <ddeItem name="UB1912.128" advise="1">
        <values>
          <value>
            <val>0</val>
          </value>
        </values>
      </ddeItem>
      <ddeItem name="UB1912.130" advise="1">
        <values>
          <value t="str">
            <val xml:space="preserve"> </val>
          </value>
        </values>
      </ddeItem>
      <ddeItem name="UB1912.131" advise="1">
        <values>
          <value t="str">
            <val xml:space="preserve"> </val>
          </value>
        </values>
      </ddeItem>
      <ddeItem name="UB1912.132" advise="1">
        <values>
          <value t="str">
            <val xml:space="preserve"> </val>
          </value>
        </values>
      </ddeItem>
      <ddeItem name="UB1912.133" advise="1">
        <values>
          <value>
            <val>0</val>
          </value>
        </values>
      </ddeItem>
      <ddeItem name="UB1912.135" advise="1">
        <values>
          <value>
            <val>173.13</val>
          </value>
        </values>
      </ddeItem>
      <ddeItem name="UB1912.136" advise="1">
        <values>
          <value>
            <val>182.02</val>
          </value>
        </values>
      </ddeItem>
      <ddeItem name="UB1912.147" advise="1">
        <values>
          <value>
            <val>0</val>
          </value>
        </values>
      </ddeItem>
      <ddeItem name="UB1912.148" advise="1">
        <values>
          <value>
            <val>0</val>
          </value>
        </values>
      </ddeItem>
      <ddeItem name="UB1912.170" advise="1">
        <values>
          <value t="str">
            <val>***</val>
          </value>
        </values>
      </ddeItem>
      <ddeItem name="UB1912.171" advise="1">
        <values>
          <value t="str">
            <val>***</val>
          </value>
        </values>
      </ddeItem>
      <ddeItem name="UB1912.172" advise="1">
        <values>
          <value t="str">
            <val>***</val>
          </value>
        </values>
      </ddeItem>
      <ddeItem name="UB1912.173" advise="1">
        <values>
          <value t="str">
            <val>***</val>
          </value>
        </values>
      </ddeItem>
      <ddeItem name="UB1912.201" advise="1">
        <values>
          <value>
            <val>173.13</val>
          </value>
        </values>
      </ddeItem>
      <ddeItem name="UB1912.202" advise="1">
        <values>
          <value t="str">
            <val xml:space="preserve"> </val>
          </value>
        </values>
      </ddeItem>
      <ddeItem name="UB1912.203" advise="1">
        <values>
          <value t="str">
            <val xml:space="preserve"> </val>
          </value>
        </values>
      </ddeItem>
      <ddeItem name="UB1912.204" advise="1">
        <values>
          <value t="str">
            <val xml:space="preserve"> </val>
          </value>
        </values>
      </ddeItem>
      <ddeItem name="UB1912.205" advise="1">
        <values>
          <value t="str">
            <val xml:space="preserve"> </val>
          </value>
        </values>
      </ddeItem>
      <ddeItem name="UB1912.211" advise="1">
        <values>
          <value>
            <val>182.02</val>
          </value>
        </values>
      </ddeItem>
      <ddeItem name="UB1912.212" advise="1">
        <values>
          <value t="str">
            <val xml:space="preserve"> </val>
          </value>
        </values>
      </ddeItem>
      <ddeItem name="UB1912.213" advise="1">
        <values>
          <value t="str">
            <val xml:space="preserve"> </val>
          </value>
        </values>
      </ddeItem>
      <ddeItem name="UB1912.214" advise="1">
        <values>
          <value t="str">
            <val xml:space="preserve"> </val>
          </value>
        </values>
      </ddeItem>
      <ddeItem name="UB1912.215" advise="1">
        <values>
          <value t="str">
            <val xml:space="preserve"> </val>
          </value>
        </values>
      </ddeItem>
      <ddeItem name="UB1912.221" advise="1">
        <values>
          <value>
            <val>33</val>
          </value>
        </values>
      </ddeItem>
      <ddeItem name="UB1912.222" advise="1">
        <values>
          <value>
            <val>0</val>
          </value>
        </values>
      </ddeItem>
      <ddeItem name="UB1912.223" advise="1">
        <values>
          <value>
            <val>0</val>
          </value>
        </values>
      </ddeItem>
      <ddeItem name="UB1912.224" advise="1">
        <values>
          <value>
            <val>0</val>
          </value>
        </values>
      </ddeItem>
      <ddeItem name="UB1912.225" advise="1">
        <values>
          <value>
            <val>0</val>
          </value>
        </values>
      </ddeItem>
      <ddeItem name="UB1912.231" advise="1">
        <values>
          <value>
            <val>3</val>
          </value>
        </values>
      </ddeItem>
      <ddeItem name="UB1912.232" advise="1">
        <values>
          <value>
            <val>0</val>
          </value>
        </values>
      </ddeItem>
      <ddeItem name="UB1912.233" advise="1">
        <values>
          <value>
            <val>0</val>
          </value>
        </values>
      </ddeItem>
      <ddeItem name="UB1912.234" advise="1">
        <values>
          <value>
            <val>0</val>
          </value>
        </values>
      </ddeItem>
      <ddeItem name="UB1912.235" advise="1">
        <values>
          <value>
            <val>0</val>
          </value>
        </values>
      </ddeItem>
      <ddeItem name="UB1912.402" advise="1">
        <values>
          <value t="str">
            <val>美國超長債-1912</val>
          </value>
        </values>
      </ddeItem>
      <ddeItem name="UB1912.405" advise="1">
        <values>
          <value>
            <val>174.16</val>
          </value>
        </values>
      </ddeItem>
      <ddeItem name="UB1912.406" advise="1">
        <values>
          <value t="str">
            <val>***</val>
          </value>
        </values>
      </ddeItem>
      <ddeItem name="UB1912.407" advise="1">
        <values>
          <value t="str">
            <val>***</val>
          </value>
        </values>
      </ddeItem>
      <ddeItem name="UB1912.422" advise="1">
        <values>
          <value>
            <val>174.16</val>
          </value>
        </values>
      </ddeItem>
      <ddeItem name="UB1912.423" advise="1">
        <values>
          <value>
            <val>0</val>
          </value>
        </values>
      </ddeItem>
      <ddeItem name="UB1912.431" advise="1">
        <values>
          <value>
            <val>20191219</val>
          </value>
        </values>
      </ddeItem>
      <ddeItem name="UB1912.437" advise="1">
        <values>
          <value t="str">
            <val>***</val>
          </value>
        </values>
      </ddeItem>
      <ddeItem name="UN1909.122" advise="1">
        <values>
          <value>
            <val>20190711</val>
          </value>
        </values>
      </ddeItem>
      <ddeItem name="UN1909.123" advise="1">
        <values>
          <value>
            <val>155958</val>
          </value>
        </values>
      </ddeItem>
      <ddeItem name="UN1909.124" advise="1">
        <values>
          <value>
            <val>136.22499999999999</val>
          </value>
        </values>
      </ddeItem>
      <ddeItem name="UN1909.125" advise="1">
        <values>
          <value>
            <val>-0.01</val>
          </value>
        </values>
      </ddeItem>
      <ddeItem name="UN1909.126" advise="1">
        <values>
          <value>
            <val>-0.02</val>
          </value>
        </values>
      </ddeItem>
      <ddeItem name="UN1909.128" advise="1">
        <values>
          <value>
            <val>4</val>
          </value>
        </values>
      </ddeItem>
      <ddeItem name="UN1909.130" advise="1">
        <values>
          <value>
            <val>136.18</val>
          </value>
        </values>
      </ddeItem>
      <ddeItem name="UN1909.131" advise="1">
        <values>
          <value>
            <val>136.29499999999999</val>
          </value>
        </values>
      </ddeItem>
      <ddeItem name="UN1909.132" advise="1">
        <values>
          <value>
            <val>136.13499999999999</val>
          </value>
        </values>
      </ddeItem>
      <ddeItem name="UN1909.133" advise="1">
        <values>
          <value>
            <val>147140</val>
          </value>
        </values>
      </ddeItem>
      <ddeItem name="UN1909.135" advise="1">
        <values>
          <value>
            <val>136.22</val>
          </value>
        </values>
      </ddeItem>
      <ddeItem name="UN1909.136" advise="1">
        <values>
          <value>
            <val>136.22999999999999</val>
          </value>
        </values>
      </ddeItem>
      <ddeItem name="UN1909.147" advise="1">
        <values>
          <value>
            <val>71922</val>
          </value>
        </values>
      </ddeItem>
      <ddeItem name="UN1909.148" advise="1">
        <values>
          <value>
            <val>69666</val>
          </value>
        </values>
      </ddeItem>
      <ddeItem name="UN1909.170" advise="1">
        <values>
          <value t="str">
            <val>***</val>
          </value>
        </values>
      </ddeItem>
      <ddeItem name="UN1909.171" advise="1">
        <values>
          <value t="str">
            <val>***</val>
          </value>
        </values>
      </ddeItem>
      <ddeItem name="UN1909.172" advise="1">
        <values>
          <value t="str">
            <val>***</val>
          </value>
        </values>
      </ddeItem>
      <ddeItem name="UN1909.173" advise="1">
        <values>
          <value t="str">
            <val>***</val>
          </value>
        </values>
      </ddeItem>
      <ddeItem name="UN1909.201" advise="1">
        <values>
          <value>
            <val>136.22</val>
          </value>
        </values>
      </ddeItem>
      <ddeItem name="UN1909.202" advise="1">
        <values>
          <value>
            <val>136.215</val>
          </value>
        </values>
      </ddeItem>
      <ddeItem name="UN1909.203" advise="1">
        <values>
          <value>
            <val>136.21</val>
          </value>
        </values>
      </ddeItem>
      <ddeItem name="UN1909.204" advise="1">
        <values>
          <value>
            <val>136.20500000000001</val>
          </value>
        </values>
      </ddeItem>
      <ddeItem name="UN1909.205" advise="1">
        <values>
          <value>
            <val>136.19999999999999</val>
          </value>
        </values>
      </ddeItem>
      <ddeItem name="UN1909.211" advise="1">
        <values>
          <value>
            <val>136.22999999999999</val>
          </value>
        </values>
      </ddeItem>
      <ddeItem name="UN1909.212" advise="1">
        <values>
          <value>
            <val>136.23500000000001</val>
          </value>
        </values>
      </ddeItem>
      <ddeItem name="UN1909.213" advise="1">
        <values>
          <value>
            <val>136.24</val>
          </value>
        </values>
      </ddeItem>
      <ddeItem name="UN1909.214" advise="1">
        <values>
          <value>
            <val>136.245</val>
          </value>
        </values>
      </ddeItem>
      <ddeItem name="UN1909.215" advise="1">
        <values>
          <value>
            <val>136.25</val>
          </value>
        </values>
      </ddeItem>
      <ddeItem name="UN1909.221" advise="1">
        <values>
          <value>
            <val>64</val>
          </value>
        </values>
      </ddeItem>
      <ddeItem name="UN1909.222" advise="1">
        <values>
          <value>
            <val>127</val>
          </value>
        </values>
      </ddeItem>
      <ddeItem name="UN1909.223" advise="1">
        <values>
          <value>
            <val>109</val>
          </value>
        </values>
      </ddeItem>
      <ddeItem name="UN1909.224" advise="1">
        <values>
          <value>
            <val>166</val>
          </value>
        </values>
      </ddeItem>
      <ddeItem name="UN1909.225" advise="1">
        <values>
          <value>
            <val>253</val>
          </value>
        </values>
      </ddeItem>
      <ddeItem name="UN1909.231" advise="1">
        <values>
          <value>
            <val>47</val>
          </value>
        </values>
      </ddeItem>
      <ddeItem name="UN1909.232" advise="1">
        <values>
          <value>
            <val>85</val>
          </value>
        </values>
      </ddeItem>
      <ddeItem name="UN1909.233" advise="1">
        <values>
          <value>
            <val>96</val>
          </value>
        </values>
      </ddeItem>
      <ddeItem name="UN1909.234" advise="1">
        <values>
          <value>
            <val>174</val>
          </value>
        </values>
      </ddeItem>
      <ddeItem name="UN1909.235" advise="1">
        <values>
          <value>
            <val>244</val>
          </value>
        </values>
      </ddeItem>
      <ddeItem name="UN1909.402" advise="1">
        <values>
          <value t="str">
            <val>長期十年美債-1909</val>
          </value>
        </values>
      </ddeItem>
      <ddeItem name="UN1909.405" advise="1">
        <values>
          <value>
            <val>136.23500000000001</val>
          </value>
        </values>
      </ddeItem>
      <ddeItem name="UN1909.406" advise="1">
        <values>
          <value t="str">
            <val>***</val>
          </value>
        </values>
      </ddeItem>
      <ddeItem name="UN1909.407" advise="1">
        <values>
          <value t="str">
            <val>***</val>
          </value>
        </values>
      </ddeItem>
      <ddeItem name="UN1909.422" advise="1">
        <values>
          <value>
            <val>136.16499999999999</val>
          </value>
        </values>
      </ddeItem>
      <ddeItem name="UN1909.423" advise="1">
        <values>
          <value>
            <val>241698</val>
          </value>
        </values>
      </ddeItem>
      <ddeItem name="UN1909.431" advise="1">
        <values>
          <value>
            <val>20190919</val>
          </value>
        </values>
      </ddeItem>
      <ddeItem name="UN1909.437" advise="1">
        <values>
          <value t="str">
            <val>***</val>
          </value>
        </values>
      </ddeItem>
      <ddeItem name="UN1912.122" advise="1">
        <values>
          <value>
            <val>20190711</val>
          </value>
        </values>
      </ddeItem>
      <ddeItem name="UN1912.123" advise="1">
        <values>
          <value>
            <val>0</val>
          </value>
        </values>
      </ddeItem>
      <ddeItem name="UN1912.124" advise="1">
        <values>
          <value t="str">
            <val xml:space="preserve"> </val>
          </value>
        </values>
      </ddeItem>
      <ddeItem name="UN1912.125" advise="1">
        <values>
          <value>
            <val>0</val>
          </value>
        </values>
      </ddeItem>
      <ddeItem name="UN1912.126" advise="1">
        <values>
          <value>
            <val>0</val>
          </value>
        </values>
      </ddeItem>
      <ddeItem name="UN1912.128" advise="1">
        <values>
          <value>
            <val>0</val>
          </value>
        </values>
      </ddeItem>
      <ddeItem name="UN1912.130" advise="1">
        <values>
          <value t="str">
            <val xml:space="preserve"> </val>
          </value>
        </values>
      </ddeItem>
      <ddeItem name="UN1912.131" advise="1">
        <values>
          <value t="str">
            <val xml:space="preserve"> </val>
          </value>
        </values>
      </ddeItem>
      <ddeItem name="UN1912.132" advise="1">
        <values>
          <value t="str">
            <val xml:space="preserve"> </val>
          </value>
        </values>
      </ddeItem>
      <ddeItem name="UN1912.133" advise="1">
        <values>
          <value>
            <val>0</val>
          </value>
        </values>
      </ddeItem>
      <ddeItem name="UN1912.135" advise="1">
        <values>
          <value>
            <val>136.23500000000001</val>
          </value>
        </values>
      </ddeItem>
      <ddeItem name="UN1912.136" advise="1">
        <values>
          <value>
            <val>137.185</val>
          </value>
        </values>
      </ddeItem>
      <ddeItem name="UN1912.147" advise="1">
        <values>
          <value>
            <val>0</val>
          </value>
        </values>
      </ddeItem>
      <ddeItem name="UN1912.148" advise="1">
        <values>
          <value>
            <val>0</val>
          </value>
        </values>
      </ddeItem>
      <ddeItem name="UN1912.170" advise="1">
        <values>
          <value t="str">
            <val>***</val>
          </value>
        </values>
      </ddeItem>
      <ddeItem name="UN1912.171" advise="1">
        <values>
          <value t="str">
            <val>***</val>
          </value>
        </values>
      </ddeItem>
      <ddeItem name="UN1912.172" advise="1">
        <values>
          <value t="str">
            <val>***</val>
          </value>
        </values>
      </ddeItem>
      <ddeItem name="UN1912.173" advise="1">
        <values>
          <value t="str">
            <val>***</val>
          </value>
        </values>
      </ddeItem>
      <ddeItem name="UN1912.201" advise="1">
        <values>
          <value>
            <val>136.23500000000001</val>
          </value>
        </values>
      </ddeItem>
      <ddeItem name="UN1912.202" advise="1">
        <values>
          <value t="str">
            <val xml:space="preserve"> </val>
          </value>
        </values>
      </ddeItem>
      <ddeItem name="UN1912.203" advise="1">
        <values>
          <value t="str">
            <val xml:space="preserve"> </val>
          </value>
        </values>
      </ddeItem>
      <ddeItem name="UN1912.204" advise="1">
        <values>
          <value t="str">
            <val xml:space="preserve"> </val>
          </value>
        </values>
      </ddeItem>
      <ddeItem name="UN1912.205" advise="1">
        <values>
          <value t="str">
            <val xml:space="preserve"> </val>
          </value>
        </values>
      </ddeItem>
      <ddeItem name="UN1912.211" advise="1">
        <values>
          <value>
            <val>137.185</val>
          </value>
        </values>
      </ddeItem>
      <ddeItem name="UN1912.212" advise="1">
        <values>
          <value t="str">
            <val xml:space="preserve"> </val>
          </value>
        </values>
      </ddeItem>
      <ddeItem name="UN1912.213" advise="1">
        <values>
          <value t="str">
            <val xml:space="preserve"> </val>
          </value>
        </values>
      </ddeItem>
      <ddeItem name="UN1912.214" advise="1">
        <values>
          <value t="str">
            <val xml:space="preserve"> </val>
          </value>
        </values>
      </ddeItem>
      <ddeItem name="UN1912.215" advise="1">
        <values>
          <value t="str">
            <val xml:space="preserve"> </val>
          </value>
        </values>
      </ddeItem>
      <ddeItem name="UN1912.221" advise="1">
        <values>
          <value>
            <val>33</val>
          </value>
        </values>
      </ddeItem>
      <ddeItem name="UN1912.222" advise="1">
        <values>
          <value>
            <val>0</val>
          </value>
        </values>
      </ddeItem>
      <ddeItem name="UN1912.223" advise="1">
        <values>
          <value>
            <val>0</val>
          </value>
        </values>
      </ddeItem>
      <ddeItem name="UN1912.224" advise="1">
        <values>
          <value>
            <val>0</val>
          </value>
        </values>
      </ddeItem>
      <ddeItem name="UN1912.225" advise="1">
        <values>
          <value>
            <val>0</val>
          </value>
        </values>
      </ddeItem>
      <ddeItem name="UN1912.231" advise="1">
        <values>
          <value>
            <val>30</val>
          </value>
        </values>
      </ddeItem>
      <ddeItem name="UN1912.232" advise="1">
        <values>
          <value>
            <val>0</val>
          </value>
        </values>
      </ddeItem>
      <ddeItem name="UN1912.233" advise="1">
        <values>
          <value>
            <val>0</val>
          </value>
        </values>
      </ddeItem>
      <ddeItem name="UN1912.234" advise="1">
        <values>
          <value>
            <val>0</val>
          </value>
        </values>
      </ddeItem>
      <ddeItem name="UN1912.235" advise="1">
        <values>
          <value>
            <val>0</val>
          </value>
        </values>
      </ddeItem>
      <ddeItem name="UN1912.402" advise="1">
        <values>
          <value t="str">
            <val>長期十年美債-1912</val>
          </value>
        </values>
      </ddeItem>
      <ddeItem name="UN1912.405" advise="1">
        <values>
          <value>
            <val>136.31</val>
          </value>
        </values>
      </ddeItem>
      <ddeItem name="UN1912.406" advise="1">
        <values>
          <value t="str">
            <val>***</val>
          </value>
        </values>
      </ddeItem>
      <ddeItem name="UN1912.407" advise="1">
        <values>
          <value t="str">
            <val>***</val>
          </value>
        </values>
      </ddeItem>
      <ddeItem name="UN1912.422" advise="1">
        <values>
          <value>
            <val>136.31</val>
          </value>
        </values>
      </ddeItem>
      <ddeItem name="UN1912.423" advise="1">
        <values>
          <value>
            <val>0</val>
          </value>
        </values>
      </ddeItem>
      <ddeItem name="UN1912.431" advise="1">
        <values>
          <value>
            <val>20191219</val>
          </value>
        </values>
      </ddeItem>
      <ddeItem name="UN1912.437" advise="1">
        <values>
          <value t="str">
            <val>***</val>
          </value>
        </values>
      </ddeItem>
      <ddeItem name="VX1907.122" advise="1">
        <values>
          <value>
            <val>20190711</val>
          </value>
        </values>
      </ddeItem>
      <ddeItem name="VX1907.123" advise="1">
        <values>
          <value>
            <val>155959</val>
          </value>
        </values>
      </ddeItem>
      <ddeItem name="VX1907.124" advise="1">
        <values>
          <value>
            <val>13.12</val>
          </value>
        </values>
      </ddeItem>
      <ddeItem name="VX1907.125" advise="1">
        <values>
          <value>
            <val>-5.0000000000000001E-3</val>
          </value>
        </values>
      </ddeItem>
      <ddeItem name="VX1907.126" advise="1">
        <values>
          <value>
            <val>-0.03</val>
          </value>
        </values>
      </ddeItem>
      <ddeItem name="VX1907.128" advise="1">
        <values>
          <value>
            <val>1</val>
          </value>
        </values>
      </ddeItem>
      <ddeItem name="VX1907.130" advise="1">
        <values>
          <value>
            <val>13.7</val>
          </value>
        </values>
      </ddeItem>
      <ddeItem name="VX1907.131" advise="1">
        <values>
          <value>
            <val>13.7</val>
          </value>
        </values>
      </ddeItem>
      <ddeItem name="VX1907.132" advise="1">
        <values>
          <value>
            <val>13.05</val>
          </value>
        </values>
      </ddeItem>
      <ddeItem name="VX1907.133" advise="1">
        <values>
          <value>
            <val>57922</val>
          </value>
        </values>
      </ddeItem>
      <ddeItem name="VX1907.135" advise="1">
        <values>
          <value>
            <val>13.1</val>
          </value>
        </values>
      </ddeItem>
      <ddeItem name="VX1907.136" advise="1">
        <values>
          <value>
            <val>13.15</val>
          </value>
        </values>
      </ddeItem>
      <ddeItem name="VX1907.147" advise="1">
        <values>
          <value>
            <val>24480</val>
          </value>
        </values>
      </ddeItem>
      <ddeItem name="VX1907.148" advise="1">
        <values>
          <value>
            <val>21878</val>
          </value>
        </values>
      </ddeItem>
      <ddeItem name="VX1907.170" advise="1">
        <values>
          <value t="str">
            <val>***</val>
          </value>
        </values>
      </ddeItem>
      <ddeItem name="VX1907.171" advise="1">
        <values>
          <value t="str">
            <val>***</val>
          </value>
        </values>
      </ddeItem>
      <ddeItem name="VX1907.172" advise="1">
        <values>
          <value t="str">
            <val>***</val>
          </value>
        </values>
      </ddeItem>
      <ddeItem name="VX1907.173" advise="1">
        <values>
          <value t="str">
            <val>***</val>
          </value>
        </values>
      </ddeItem>
      <ddeItem name="VX1907.201" advise="1">
        <values>
          <value>
            <val>13.1</val>
          </value>
        </values>
      </ddeItem>
      <ddeItem name="VX1907.202" advise="1">
        <values>
          <value>
            <val>13.05</val>
          </value>
        </values>
      </ddeItem>
      <ddeItem name="VX1907.203" advise="1">
        <values>
          <value>
            <val>13</val>
          </value>
        </values>
      </ddeItem>
      <ddeItem name="VX1907.204" advise="1">
        <values>
          <value>
            <val>12.95</val>
          </value>
        </values>
      </ddeItem>
      <ddeItem name="VX1907.205" advise="1">
        <values>
          <value>
            <val>8.1</val>
          </value>
        </values>
      </ddeItem>
      <ddeItem name="VX1907.211" advise="1">
        <values>
          <value>
            <val>13.15</val>
          </value>
        </values>
      </ddeItem>
      <ddeItem name="VX1907.212" advise="1">
        <values>
          <value>
            <val>13.2</val>
          </value>
        </values>
      </ddeItem>
      <ddeItem name="VX1907.213" advise="1">
        <values>
          <value>
            <val>13.25</val>
          </value>
        </values>
      </ddeItem>
      <ddeItem name="VX1907.214" advise="1">
        <values>
          <value>
            <val>14.65</val>
          </value>
        </values>
      </ddeItem>
      <ddeItem name="VX1907.215" advise="1">
        <values>
          <value>
            <val>13.35</val>
          </value>
        </values>
      </ddeItem>
      <ddeItem name="VX1907.221" advise="1">
        <values>
          <value>
            <val>89</val>
          </value>
        </values>
      </ddeItem>
      <ddeItem name="VX1907.222" advise="1">
        <values>
          <value>
            <val>6</val>
          </value>
        </values>
      </ddeItem>
      <ddeItem name="VX1907.223" advise="1">
        <values>
          <value>
            <val>42</val>
          </value>
        </values>
      </ddeItem>
      <ddeItem name="VX1907.224" advise="1">
        <values>
          <value>
            <val>56</val>
          </value>
        </values>
      </ddeItem>
      <ddeItem name="VX1907.225" advise="1">
        <values>
          <value>
            <val>20</val>
          </value>
        </values>
      </ddeItem>
      <ddeItem name="VX1907.231" advise="1">
        <values>
          <value>
            <val>222</val>
          </value>
        </values>
      </ddeItem>
      <ddeItem name="VX1907.232" advise="1">
        <values>
          <value>
            <val>113</val>
          </value>
        </values>
      </ddeItem>
      <ddeItem name="VX1907.233" advise="1">
        <values>
          <value>
            <val>77</val>
          </value>
        </values>
      </ddeItem>
      <ddeItem name="VX1907.234" advise="1">
        <values>
          <value>
            <val>90</val>
          </value>
        </values>
      </ddeItem>
      <ddeItem name="VX1907.235" advise="1">
        <values>
          <value>
            <val>2</val>
          </value>
        </values>
      </ddeItem>
      <ddeItem name="VX1907.402" advise="1">
        <values>
          <value t="str">
            <val>VIX指數-1907</val>
          </value>
        </values>
      </ddeItem>
      <ddeItem name="VX1907.405" advise="1">
        <values>
          <value>
            <val>13.125</val>
          </value>
        </values>
      </ddeItem>
      <ddeItem name="VX1907.406" advise="1">
        <values>
          <value t="str">
            <val>***</val>
          </value>
        </values>
      </ddeItem>
      <ddeItem name="VX1907.407" advise="1">
        <values>
          <value t="str">
            <val>***</val>
          </value>
        </values>
      </ddeItem>
      <ddeItem name="VX1907.422" advise="1">
        <values>
          <value>
            <val>13.69</val>
          </value>
        </values>
      </ddeItem>
      <ddeItem name="VX1907.423" advise="1">
        <values>
          <value>
            <val>72978</val>
          </value>
        </values>
      </ddeItem>
      <ddeItem name="VX1907.431" advise="1">
        <values>
          <value>
            <val>20190717</val>
          </value>
        </values>
      </ddeItem>
      <ddeItem name="VX1907.437" advise="1">
        <values>
          <value t="str">
            <val>***</val>
          </value>
        </values>
      </ddeItem>
      <ddeItem name="VX1908.122" advise="1">
        <values>
          <value>
            <val>20190711</val>
          </value>
        </values>
      </ddeItem>
      <ddeItem name="VX1908.123" advise="1">
        <values>
          <value>
            <val>155959</val>
          </value>
        </values>
      </ddeItem>
      <ddeItem name="VX1908.124" advise="1">
        <values>
          <value>
            <val>15.19</val>
          </value>
        </values>
      </ddeItem>
      <ddeItem name="VX1908.125" advise="1">
        <values>
          <value>
            <val>-3.5000000000000003E-2</val>
          </value>
        </values>
      </ddeItem>
      <ddeItem name="VX1908.126" advise="1">
        <values>
          <value>
            <val>-0.22</val>
          </value>
        </values>
      </ddeItem>
      <ddeItem name="VX1908.128" advise="1">
        <values>
          <value>
            <val>6</val>
          </value>
        </values>
      </ddeItem>
      <ddeItem name="VX1908.130" advise="1">
        <values>
          <value>
            <val>15.45</val>
          </value>
        </values>
      </ddeItem>
      <ddeItem name="VX1908.131" advise="1">
        <values>
          <value>
            <val>15.5</val>
          </value>
        </values>
      </ddeItem>
      <ddeItem name="VX1908.132" advise="1">
        <values>
          <value>
            <val>15.15</val>
          </value>
        </values>
      </ddeItem>
      <ddeItem name="VX1908.133" advise="1">
        <values>
          <value>
            <val>70044</val>
          </value>
        </values>
      </ddeItem>
      <ddeItem name="VX1908.135" advise="1">
        <values>
          <value>
            <val>15.15</val>
          </value>
        </values>
      </ddeItem>
      <ddeItem name="VX1908.136" advise="1">
        <values>
          <value>
            <val>15.2</val>
          </value>
        </values>
      </ddeItem>
      <ddeItem name="VX1908.147" advise="1">
        <values>
          <value>
            <val>29698</val>
          </value>
        </values>
      </ddeItem>
      <ddeItem name="VX1908.148" advise="1">
        <values>
          <value>
            <val>24350</val>
          </value>
        </values>
      </ddeItem>
      <ddeItem name="VX1908.170" advise="1">
        <values>
          <value t="str">
            <val>***</val>
          </value>
        </values>
      </ddeItem>
      <ddeItem name="VX1908.171" advise="1">
        <values>
          <value t="str">
            <val>***</val>
          </value>
        </values>
      </ddeItem>
      <ddeItem name="VX1908.172" advise="1">
        <values>
          <value t="str">
            <val>***</val>
          </value>
        </values>
      </ddeItem>
      <ddeItem name="VX1908.173" advise="1">
        <values>
          <value t="str">
            <val>***</val>
          </value>
        </values>
      </ddeItem>
      <ddeItem name="VX1908.201" advise="1">
        <values>
          <value>
            <val>15.15</val>
          </value>
        </values>
      </ddeItem>
      <ddeItem name="VX1908.202" advise="1">
        <values>
          <value>
            <val>14.9</val>
          </value>
        </values>
      </ddeItem>
      <ddeItem name="VX1908.203" advise="1">
        <values>
          <value>
            <val>8.65</val>
          </value>
        </values>
      </ddeItem>
      <ddeItem name="VX1908.204" advise="1">
        <values>
          <value>
            <val>8.6</val>
          </value>
        </values>
      </ddeItem>
      <ddeItem name="VX1908.205" advise="1">
        <values>
          <value t="str">
            <val xml:space="preserve"> </val>
          </value>
        </values>
      </ddeItem>
      <ddeItem name="VX1908.211" advise="1">
        <values>
          <value>
            <val>15.2</val>
          </value>
        </values>
      </ddeItem>
      <ddeItem name="VX1908.212" advise="1">
        <values>
          <value>
            <val>15.25</val>
          </value>
        </values>
      </ddeItem>
      <ddeItem name="VX1908.213" advise="1">
        <values>
          <value>
            <val>15.3</val>
          </value>
        </values>
      </ddeItem>
      <ddeItem name="VX1908.214" advise="1">
        <values>
          <value>
            <val>15.4</val>
          </value>
        </values>
      </ddeItem>
      <ddeItem name="VX1908.215" advise="1">
        <values>
          <value>
            <val>15.55</val>
          </value>
        </values>
      </ddeItem>
      <ddeItem name="VX1908.221" advise="1">
        <values>
          <value>
            <val>59</val>
          </value>
        </values>
      </ddeItem>
      <ddeItem name="VX1908.222" advise="1">
        <values>
          <value>
            <val>1</val>
          </value>
        </values>
      </ddeItem>
      <ddeItem name="VX1908.223" advise="1">
        <values>
          <value>
            <val>35</val>
          </value>
        </values>
      </ddeItem>
      <ddeItem name="VX1908.224" advise="1">
        <values>
          <value>
            <val>35</val>
          </value>
        </values>
      </ddeItem>
      <ddeItem name="VX1908.225" advise="1">
        <values>
          <value>
            <val>0</val>
          </value>
        </values>
      </ddeItem>
      <ddeItem name="VX1908.231" advise="1">
        <values>
          <value>
            <val>19</val>
          </value>
        </values>
      </ddeItem>
      <ddeItem name="VX1908.232" advise="1">
        <values>
          <value>
            <val>220</val>
          </value>
        </values>
      </ddeItem>
      <ddeItem name="VX1908.233" advise="1">
        <values>
          <value>
            <val>250</val>
          </value>
        </values>
      </ddeItem>
      <ddeItem name="VX1908.234" advise="1">
        <values>
          <value>
            <val>2</val>
          </value>
        </values>
      </ddeItem>
      <ddeItem name="VX1908.235" advise="1">
        <values>
          <value>
            <val>2</val>
          </value>
        </values>
      </ddeItem>
      <ddeItem name="VX1908.402" advise="1">
        <values>
          <value t="str">
            <val>VIX指數-1908</val>
          </value>
        </values>
      </ddeItem>
      <ddeItem name="VX1908.405" advise="1">
        <values>
          <value>
            <val>15.225</val>
          </value>
        </values>
      </ddeItem>
      <ddeItem name="VX1908.406" advise="1">
        <values>
          <value t="str">
            <val>***</val>
          </value>
        </values>
      </ddeItem>
      <ddeItem name="VX1908.407" advise="1">
        <values>
          <value t="str">
            <val>***</val>
          </value>
        </values>
      </ddeItem>
      <ddeItem name="VX1908.422" advise="1">
        <values>
          <value>
            <val>15.45</val>
          </value>
        </values>
      </ddeItem>
      <ddeItem name="VX1908.423" advise="1">
        <values>
          <value>
            <val>75235</val>
          </value>
        </values>
      </ddeItem>
      <ddeItem name="VX1908.431" advise="1">
        <values>
          <value>
            <val>20190821</val>
          </value>
        </values>
      </ddeItem>
      <ddeItem name="VX1908.437" advise="1">
        <values>
          <value t="str">
            <val>***</val>
          </value>
        </values>
      </ddeItem>
      <ddeItem name="VX1909.122" advise="1">
        <values>
          <value>
            <val>20190711</val>
          </value>
        </values>
      </ddeItem>
      <ddeItem name="VX1909.123" advise="1">
        <values>
          <value>
            <val>155959</val>
          </value>
        </values>
      </ddeItem>
      <ddeItem name="VX1909.124" advise="1">
        <values>
          <value>
            <val>15.96</val>
          </value>
        </values>
      </ddeItem>
      <ddeItem name="VX1909.125" advise="1">
        <values>
          <value>
            <val>-6.5000000000000002E-2</val>
          </value>
        </values>
      </ddeItem>
      <ddeItem name="VX1909.126" advise="1">
        <values>
          <value>
            <val>-0.4</val>
          </value>
        </values>
      </ddeItem>
      <ddeItem name="VX1909.128" advise="1">
        <values>
          <value>
            <val>6</val>
          </value>
        </values>
      </ddeItem>
      <ddeItem name="VX1909.130" advise="1">
        <values>
          <value>
            <val>16.100000000000001</val>
          </value>
        </values>
      </ddeItem>
      <ddeItem name="VX1909.131" advise="1">
        <values>
          <value>
            <val>16.149999999999999</val>
          </value>
        </values>
      </ddeItem>
      <ddeItem name="VX1909.132" advise="1">
        <values>
          <value>
            <val>15.95</val>
          </value>
        </values>
      </ddeItem>
      <ddeItem name="VX1909.133" advise="1">
        <values>
          <value>
            <val>25618</val>
          </value>
        </values>
      </ddeItem>
      <ddeItem name="VX1909.135" advise="1">
        <values>
          <value>
            <val>15.95</val>
          </value>
        </values>
      </ddeItem>
      <ddeItem name="VX1909.136" advise="1">
        <values>
          <value>
            <val>16</val>
          </value>
        </values>
      </ddeItem>
      <ddeItem name="VX1909.147" advise="1">
        <values>
          <value>
            <val>8164</val>
          </value>
        </values>
      </ddeItem>
      <ddeItem name="VX1909.148" advise="1">
        <values>
          <value>
            <val>7446</val>
          </value>
        </values>
      </ddeItem>
      <ddeItem name="VX1909.170" advise="1">
        <values>
          <value t="str">
            <val>***</val>
          </value>
        </values>
      </ddeItem>
      <ddeItem name="VX1909.171" advise="1">
        <values>
          <value t="str">
            <val>***</val>
          </value>
        </values>
      </ddeItem>
      <ddeItem name="VX1909.172" advise="1">
        <values>
          <value t="str">
            <val>***</val>
          </value>
        </values>
      </ddeItem>
      <ddeItem name="VX1909.173" advise="1">
        <values>
          <value t="str">
            <val>***</val>
          </value>
        </values>
      </ddeItem>
      <ddeItem name="VX1909.201" advise="1">
        <values>
          <value>
            <val>15.95</val>
          </value>
        </values>
      </ddeItem>
      <ddeItem name="VX1909.202" advise="1">
        <values>
          <value>
            <val>15.75</val>
          </value>
        </values>
      </ddeItem>
      <ddeItem name="VX1909.203" advise="1">
        <values>
          <value>
            <val>15.55</val>
          </value>
        </values>
      </ddeItem>
      <ddeItem name="VX1909.204" advise="1">
        <values>
          <value>
            <val>14.75</val>
          </value>
        </values>
      </ddeItem>
      <ddeItem name="VX1909.205" advise="1">
        <values>
          <value t="str">
            <val xml:space="preserve"> </val>
          </value>
        </values>
      </ddeItem>
      <ddeItem name="VX1909.211" advise="1">
        <values>
          <value>
            <val>16</val>
          </value>
        </values>
      </ddeItem>
      <ddeItem name="VX1909.212" advise="1">
        <values>
          <value>
            <val>16.05</val>
          </value>
        </values>
      </ddeItem>
      <ddeItem name="VX1909.213" advise="1">
        <values>
          <value>
            <val>16.399999999999999</val>
          </value>
        </values>
      </ddeItem>
      <ddeItem name="VX1909.214" advise="1">
        <values>
          <value>
            <val>21.05</val>
          </value>
        </values>
      </ddeItem>
      <ddeItem name="VX1909.215" advise="1">
        <values>
          <value t="str">
            <val xml:space="preserve"> </val>
          </value>
        </values>
      </ddeItem>
      <ddeItem name="VX1909.221" advise="1">
        <values>
          <value>
            <val>91</val>
          </value>
        </values>
      </ddeItem>
      <ddeItem name="VX1909.222" advise="1">
        <values>
          <value>
            <val>5</val>
          </value>
        </values>
      </ddeItem>
      <ddeItem name="VX1909.223" advise="1">
        <values>
          <value>
            <val>3</val>
          </value>
        </values>
      </ddeItem>
      <ddeItem name="VX1909.224" advise="1">
        <values>
          <value>
            <val>6</val>
          </value>
        </values>
      </ddeItem>
      <ddeItem name="VX1909.225" advise="1">
        <values>
          <value>
            <val>0</val>
          </value>
        </values>
      </ddeItem>
      <ddeItem name="VX1909.231" advise="1">
        <values>
          <value>
            <val>17</val>
          </value>
        </values>
      </ddeItem>
      <ddeItem name="VX1909.232" advise="1">
        <values>
          <value>
            <val>8</val>
          </value>
        </values>
      </ddeItem>
      <ddeItem name="VX1909.233" advise="1">
        <values>
          <value>
            <val>3</val>
          </value>
        </values>
      </ddeItem>
      <ddeItem name="VX1909.234" advise="1">
        <values>
          <value>
            <val>20</val>
          </value>
        </values>
      </ddeItem>
      <ddeItem name="VX1909.235" advise="1">
        <values>
          <value>
            <val>0</val>
          </value>
        </values>
      </ddeItem>
      <ddeItem name="VX1909.402" advise="1">
        <values>
          <value t="str">
            <val>VIX指數-1909</val>
          </value>
        </values>
      </ddeItem>
      <ddeItem name="VX1909.405" advise="1">
        <values>
          <value>
            <val>16.024999999999999</val>
          </value>
        </values>
      </ddeItem>
      <ddeItem name="VX1909.406" advise="1">
        <values>
          <value t="str">
            <val>***</val>
          </value>
        </values>
      </ddeItem>
      <ddeItem name="VX1909.407" advise="1">
        <values>
          <value t="str">
            <val>***</val>
          </value>
        </values>
      </ddeItem>
      <ddeItem name="VX1909.422" advise="1">
        <values>
          <value>
            <val>16.09</val>
          </value>
        </values>
      </ddeItem>
      <ddeItem name="VX1909.423" advise="1">
        <values>
          <value>
            <val>23611</val>
          </value>
        </values>
      </ddeItem>
      <ddeItem name="VX1909.431" advise="1">
        <values>
          <value>
            <val>20190918</val>
          </value>
        </values>
      </ddeItem>
      <ddeItem name="VX1909.437" advise="1">
        <values>
          <value t="str">
            <val>***</val>
          </value>
        </values>
      </ddeItem>
      <ddeItem name="VX1910.122" advise="1">
        <values>
          <value>
            <val>20190711</val>
          </value>
        </values>
      </ddeItem>
      <ddeItem name="VX1910.123" advise="1">
        <values>
          <value>
            <val>155904</val>
          </value>
        </values>
      </ddeItem>
      <ddeItem name="VX1910.124" advise="1">
        <values>
          <value>
            <val>16.34</val>
          </value>
        </values>
      </ddeItem>
      <ddeItem name="VX1910.125" advise="1">
        <values>
          <value>
            <val>-3.5000000000000003E-2</val>
          </value>
        </values>
      </ddeItem>
      <ddeItem name="VX1910.126" advise="1">
        <values>
          <value>
            <val>-0.21</val>
          </value>
        </values>
      </ddeItem>
      <ddeItem name="VX1910.128" advise="1">
        <values>
          <value>
            <val>5</val>
          </value>
        </values>
      </ddeItem>
      <ddeItem name="VX1910.130" advise="1">
        <values>
          <value>
            <val>16.41</val>
          </value>
        </values>
      </ddeItem>
      <ddeItem name="VX1910.131" advise="1">
        <values>
          <value>
            <val>16.47</val>
          </value>
        </values>
      </ddeItem>
      <ddeItem name="VX1910.132" advise="1">
        <values>
          <value>
            <val>16.3</val>
          </value>
        </values>
      </ddeItem>
      <ddeItem name="VX1910.133" advise="1">
        <values>
          <value>
            <val>11685</val>
          </value>
        </values>
      </ddeItem>
      <ddeItem name="VX1910.135" advise="1">
        <values>
          <value>
            <val>16.350000000000001</val>
          </value>
        </values>
      </ddeItem>
      <ddeItem name="VX1910.136" advise="1">
        <values>
          <value>
            <val>16.5</val>
          </value>
        </values>
      </ddeItem>
      <ddeItem name="VX1910.147" advise="1">
        <values>
          <value>
            <val>4174</val>
          </value>
        </values>
      </ddeItem>
      <ddeItem name="VX1910.148" advise="1">
        <values>
          <value>
            <val>3427</val>
          </value>
        </values>
      </ddeItem>
      <ddeItem name="VX1910.170" advise="1">
        <values>
          <value t="str">
            <val>***</val>
          </value>
        </values>
      </ddeItem>
      <ddeItem name="VX1910.171" advise="1">
        <values>
          <value t="str">
            <val>***</val>
          </value>
        </values>
      </ddeItem>
      <ddeItem name="VX1910.172" advise="1">
        <values>
          <value t="str">
            <val>***</val>
          </value>
        </values>
      </ddeItem>
      <ddeItem name="VX1910.173" advise="1">
        <values>
          <value t="str">
            <val>***</val>
          </value>
        </values>
      </ddeItem>
      <ddeItem name="VX1910.201" advise="1">
        <values>
          <value>
            <val>16.350000000000001</val>
          </value>
        </values>
      </ddeItem>
      <ddeItem name="VX1910.202" advise="1">
        <values>
          <value>
            <val>16.25</val>
          </value>
        </values>
      </ddeItem>
      <ddeItem name="VX1910.203" advise="1">
        <values>
          <value>
            <val>15.95</val>
          </value>
        </values>
      </ddeItem>
      <ddeItem name="VX1910.204" advise="1">
        <values>
          <value t="str">
            <val xml:space="preserve"> </val>
          </value>
        </values>
      </ddeItem>
      <ddeItem name="VX1910.205" advise="1">
        <values>
          <value t="str">
            <val xml:space="preserve"> </val>
          </value>
        </values>
      </ddeItem>
      <ddeItem name="VX1910.211" advise="1">
        <values>
          <value>
            <val>16.5</val>
          </value>
        </values>
      </ddeItem>
      <ddeItem name="VX1910.212" advise="1">
        <values>
          <value>
            <val>16.649999999999999</val>
          </value>
        </values>
      </ddeItem>
      <ddeItem name="VX1910.213" advise="1">
        <values>
          <value>
            <val>19.149999999999999</val>
          </value>
        </values>
      </ddeItem>
      <ddeItem name="VX1910.214" advise="1">
        <values>
          <value>
            <val>19.850000000000001</val>
          </value>
        </values>
      </ddeItem>
      <ddeItem name="VX1910.215" advise="1">
        <values>
          <value>
            <val>21.35</val>
          </value>
        </values>
      </ddeItem>
      <ddeItem name="VX1910.221" advise="1">
        <values>
          <value>
            <val>43</val>
          </value>
        </values>
      </ddeItem>
      <ddeItem name="VX1910.222" advise="1">
        <values>
          <value>
            <val>30</val>
          </value>
        </values>
      </ddeItem>
      <ddeItem name="VX1910.223" advise="1">
        <values>
          <value>
            <val>6</val>
          </value>
        </values>
      </ddeItem>
      <ddeItem name="VX1910.224" advise="1">
        <values>
          <value>
            <val>0</val>
          </value>
        </values>
      </ddeItem>
      <ddeItem name="VX1910.225" advise="1">
        <values>
          <value>
            <val>0</val>
          </value>
        </values>
      </ddeItem>
      <ddeItem name="VX1910.231" advise="1">
        <values>
          <value>
            <val>30</val>
          </value>
        </values>
      </ddeItem>
      <ddeItem name="VX1910.232" advise="1">
        <values>
          <value>
            <val>100</val>
          </value>
        </values>
      </ddeItem>
      <ddeItem name="VX1910.233" advise="1">
        <values>
          <value>
            <val>28</val>
          </value>
        </values>
      </ddeItem>
      <ddeItem name="VX1910.234" advise="1">
        <values>
          <value>
            <val>20</val>
          </value>
        </values>
      </ddeItem>
      <ddeItem name="VX1910.235" advise="1">
        <values>
          <value>
            <val>11</val>
          </value>
        </values>
      </ddeItem>
      <ddeItem name="VX1910.402" advise="1">
        <values>
          <value t="str">
            <val>VIX指數-1910</val>
          </value>
        </values>
      </ddeItem>
      <ddeItem name="VX1910.405" advise="1">
        <values>
          <value>
            <val>16.375</val>
          </value>
        </values>
      </ddeItem>
      <ddeItem name="VX1910.406" advise="1">
        <values>
          <value t="str">
            <val>***</val>
          </value>
        </values>
      </ddeItem>
      <ddeItem name="VX1910.407" advise="1">
        <values>
          <value t="str">
            <val>***</val>
          </value>
        </values>
      </ddeItem>
      <ddeItem name="VX1910.422" advise="1">
        <values>
          <value>
            <val>16.45</val>
          </value>
        </values>
      </ddeItem>
      <ddeItem name="VX1910.423" advise="1">
        <values>
          <value>
            <val>14350</val>
          </value>
        </values>
      </ddeItem>
      <ddeItem name="VX1910.431" advise="1">
        <values>
          <value>
            <val>20191016</val>
          </value>
        </values>
      </ddeItem>
      <ddeItem name="VX1910.437" advise="1">
        <values>
          <value t="str">
            <val>***</val>
          </value>
        </values>
      </ddeItem>
      <ddeItem name="VX1911.122" advise="1">
        <values>
          <value>
            <val>20190711</val>
          </value>
        </values>
      </ddeItem>
      <ddeItem name="VX1911.123" advise="1">
        <values>
          <value>
            <val>155904</val>
          </value>
        </values>
      </ddeItem>
      <ddeItem name="VX1911.124" advise="1">
        <values>
          <value>
            <val>16.52</val>
          </value>
        </values>
      </ddeItem>
      <ddeItem name="VX1911.125" advise="1">
        <values>
          <value>
            <val>-5.0000000000000001E-3</val>
          </value>
        </values>
      </ddeItem>
      <ddeItem name="VX1911.126" advise="1">
        <values>
          <value>
            <val>-0.03</val>
          </value>
        </values>
      </ddeItem>
      <ddeItem name="VX1911.128" advise="1">
        <values>
          <value>
            <val>5</val>
          </value>
        </values>
      </ddeItem>
      <ddeItem name="VX1911.130" advise="1">
        <values>
          <value>
            <val>16.57</val>
          </value>
        </values>
      </ddeItem>
      <ddeItem name="VX1911.131" advise="1">
        <values>
          <value>
            <val>16.62</val>
          </value>
        </values>
      </ddeItem>
      <ddeItem name="VX1911.132" advise="1">
        <values>
          <value>
            <val>16.45</val>
          </value>
        </values>
      </ddeItem>
      <ddeItem name="VX1911.133" advise="1">
        <values>
          <value>
            <val>6613</val>
          </value>
        </values>
      </ddeItem>
      <ddeItem name="VX1911.135" advise="1">
        <values>
          <value>
            <val>16.5</val>
          </value>
        </values>
      </ddeItem>
      <ddeItem name="VX1911.136" advise="1">
        <values>
          <value>
            <val>16.600000000000001</val>
          </value>
        </values>
      </ddeItem>
      <ddeItem name="VX1911.147" advise="1">
        <values>
          <value>
            <val>2316</val>
          </value>
        </values>
      </ddeItem>
      <ddeItem name="VX1911.148" advise="1">
        <values>
          <value>
            <val>1514</val>
          </value>
        </values>
      </ddeItem>
      <ddeItem name="VX1911.170" advise="1">
        <values>
          <value t="str">
            <val>***</val>
          </value>
        </values>
      </ddeItem>
      <ddeItem name="VX1911.171" advise="1">
        <values>
          <value t="str">
            <val>***</val>
          </value>
        </values>
      </ddeItem>
      <ddeItem name="VX1911.172" advise="1">
        <values>
          <value t="str">
            <val>***</val>
          </value>
        </values>
      </ddeItem>
      <ddeItem name="VX1911.173" advise="1">
        <values>
          <value t="str">
            <val>***</val>
          </value>
        </values>
      </ddeItem>
      <ddeItem name="VX1911.201" advise="1">
        <values>
          <value>
            <val>16.5</val>
          </value>
        </values>
      </ddeItem>
      <ddeItem name="VX1911.202" advise="1">
        <values>
          <value>
            <val>16.45</val>
          </value>
        </values>
      </ddeItem>
      <ddeItem name="VX1911.203" advise="1">
        <values>
          <value>
            <val>13.3</val>
          </value>
        </values>
      </ddeItem>
      <ddeItem name="VX1911.204" advise="1">
        <values>
          <value>
            <val>11.35</val>
          </value>
        </values>
      </ddeItem>
      <ddeItem name="VX1911.205" advise="1">
        <values>
          <value>
            <val>10.55</val>
          </value>
        </values>
      </ddeItem>
      <ddeItem name="VX1911.211" advise="1">
        <values>
          <value>
            <val>16.600000000000001</val>
          </value>
        </values>
      </ddeItem>
      <ddeItem name="VX1911.212" advise="1">
        <values>
          <value>
            <val>16.649999999999999</val>
          </value>
        </values>
      </ddeItem>
      <ddeItem name="VX1911.213" advise="1">
        <values>
          <value>
            <val>16.850000000000001</val>
          </value>
        </values>
      </ddeItem>
      <ddeItem name="VX1911.214" advise="1">
        <values>
          <value>
            <val>16.95</val>
          </value>
        </values>
      </ddeItem>
      <ddeItem name="VX1911.215" advise="1">
        <values>
          <value>
            <val>19.149999999999999</val>
          </value>
        </values>
      </ddeItem>
      <ddeItem name="VX1911.221" advise="1">
        <values>
          <value>
            <val>53</val>
          </value>
        </values>
      </ddeItem>
      <ddeItem name="VX1911.222" advise="1">
        <values>
          <value>
            <val>175</val>
          </value>
        </values>
      </ddeItem>
      <ddeItem name="VX1911.223" advise="1">
        <values>
          <value>
            <val>20</val>
          </value>
        </values>
      </ddeItem>
      <ddeItem name="VX1911.224" advise="1">
        <values>
          <value>
            <val>100</val>
          </value>
        </values>
      </ddeItem>
      <ddeItem name="VX1911.225" advise="1">
        <values>
          <value>
            <val>10</val>
          </value>
        </values>
      </ddeItem>
      <ddeItem name="VX1911.231" advise="1">
        <values>
          <value>
            <val>53</val>
          </value>
        </values>
      </ddeItem>
      <ddeItem name="VX1911.232" advise="1">
        <values>
          <value>
            <val>101</val>
          </value>
        </values>
      </ddeItem>
      <ddeItem name="VX1911.233" advise="1">
        <values>
          <value>
            <val>100</val>
          </value>
        </values>
      </ddeItem>
      <ddeItem name="VX1911.234" advise="1">
        <values>
          <value>
            <val>3</val>
          </value>
        </values>
      </ddeItem>
      <ddeItem name="VX1911.235" advise="1">
        <values>
          <value>
            <val>2</val>
          </value>
        </values>
      </ddeItem>
      <ddeItem name="VX1911.402" advise="1">
        <values>
          <value t="str">
            <val>VIX指數-1911</val>
          </value>
        </values>
      </ddeItem>
      <ddeItem name="VX1911.405" advise="1">
        <values>
          <value>
            <val>16.524999999999999</val>
          </value>
        </values>
      </ddeItem>
      <ddeItem name="VX1911.406" advise="1">
        <values>
          <value t="str">
            <val>***</val>
          </value>
        </values>
      </ddeItem>
      <ddeItem name="VX1911.407" advise="1">
        <values>
          <value t="str">
            <val>***</val>
          </value>
        </values>
      </ddeItem>
      <ddeItem name="VX1911.422" advise="1">
        <values>
          <value>
            <val>16.57</val>
          </value>
        </values>
      </ddeItem>
      <ddeItem name="VX1911.423" advise="1">
        <values>
          <value>
            <val>9417</val>
          </value>
        </values>
      </ddeItem>
      <ddeItem name="VX1911.431" advise="1">
        <values>
          <value>
            <val>20191120</val>
          </value>
        </values>
      </ddeItem>
      <ddeItem name="VX1911.437" advise="1">
        <values>
          <value t="str">
            <val>***</val>
          </value>
        </values>
      </ddeItem>
      <ddeItem name="VX1912.122" advise="1">
        <values>
          <value>
            <val>20190711</val>
          </value>
        </values>
      </ddeItem>
      <ddeItem name="VX1912.123" advise="1">
        <values>
          <value>
            <val>155326</val>
          </value>
        </values>
      </ddeItem>
      <ddeItem name="VX1912.124" advise="1">
        <values>
          <value>
            <val>16.38</val>
          </value>
        </values>
      </ddeItem>
      <ddeItem name="VX1912.125" advise="1">
        <values>
          <value>
            <val>5.0000000000000001E-3</val>
          </value>
        </values>
      </ddeItem>
      <ddeItem name="VX1912.126" advise="1">
        <values>
          <value>
            <val>0.03</val>
          </value>
        </values>
      </ddeItem>
      <ddeItem name="VX1912.128" advise="1">
        <values>
          <value>
            <val>1</val>
          </value>
        </values>
      </ddeItem>
      <ddeItem name="VX1912.130" advise="1">
        <values>
          <value>
            <val>16.420000000000002</val>
          </value>
        </values>
      </ddeItem>
      <ddeItem name="VX1912.131" advise="1">
        <values>
          <value>
            <val>16.45</val>
          </value>
        </values>
      </ddeItem>
      <ddeItem name="VX1912.132" advise="1">
        <values>
          <value>
            <val>16.329999999999998</val>
          </value>
        </values>
      </ddeItem>
      <ddeItem name="VX1912.133" advise="1">
        <values>
          <value>
            <val>2511</val>
          </value>
        </values>
      </ddeItem>
      <ddeItem name="VX1912.135" advise="1">
        <values>
          <value>
            <val>16.350000000000001</val>
          </value>
        </values>
      </ddeItem>
      <ddeItem name="VX1912.136" advise="1">
        <values>
          <value>
            <val>16.45</val>
          </value>
        </values>
      </ddeItem>
      <ddeItem name="VX1912.147" advise="1">
        <values>
          <value>
            <val>1299</val>
          </value>
        </values>
      </ddeItem>
      <ddeItem name="VX1912.148" advise="1">
        <values>
          <value>
            <val>643</val>
          </value>
        </values>
      </ddeItem>
      <ddeItem name="VX1912.170" advise="1">
        <values>
          <value t="str">
            <val>***</val>
          </value>
        </values>
      </ddeItem>
      <ddeItem name="VX1912.171" advise="1">
        <values>
          <value t="str">
            <val>***</val>
          </value>
        </values>
      </ddeItem>
      <ddeItem name="VX1912.172" advise="1">
        <values>
          <value t="str">
            <val>***</val>
          </value>
        </values>
      </ddeItem>
      <ddeItem name="VX1912.173" advise="1">
        <values>
          <value t="str">
            <val>***</val>
          </value>
        </values>
      </ddeItem>
      <ddeItem name="VX1912.201" advise="1">
        <values>
          <value>
            <val>16.350000000000001</val>
          </value>
        </values>
      </ddeItem>
      <ddeItem name="VX1912.202" advise="1">
        <values>
          <value>
            <val>16.25</val>
          </value>
        </values>
      </ddeItem>
      <ddeItem name="VX1912.203" advise="1">
        <values>
          <value>
            <val>13.15</val>
          </value>
        </values>
      </ddeItem>
      <ddeItem name="VX1912.204" advise="1">
        <values>
          <value>
            <val>11.2</val>
          </value>
        </values>
      </ddeItem>
      <ddeItem name="VX1912.205" advise="1">
        <values>
          <value>
            <val>10.4</val>
          </value>
        </values>
      </ddeItem>
      <ddeItem name="VX1912.211" advise="1">
        <values>
          <value>
            <val>16.45</val>
          </value>
        </values>
      </ddeItem>
      <ddeItem name="VX1912.212" advise="1">
        <values>
          <value>
            <val>16.5</val>
          </value>
        </values>
      </ddeItem>
      <ddeItem name="VX1912.213" advise="1">
        <values>
          <value>
            <val>16.7</val>
          </value>
        </values>
      </ddeItem>
      <ddeItem name="VX1912.214" advise="1">
        <values>
          <value>
            <val>19</val>
          </value>
        </values>
      </ddeItem>
      <ddeItem name="VX1912.215" advise="1">
        <values>
          <value>
            <val>19.2</val>
          </value>
        </values>
      </ddeItem>
      <ddeItem name="VX1912.221" advise="1">
        <values>
          <value>
            <val>54</val>
          </value>
        </values>
      </ddeItem>
      <ddeItem name="VX1912.222" advise="1">
        <values>
          <value>
            <val>20</val>
          </value>
        </values>
      </ddeItem>
      <ddeItem name="VX1912.223" advise="1">
        <values>
          <value>
            <val>20</val>
          </value>
        </values>
      </ddeItem>
      <ddeItem name="VX1912.224" advise="1">
        <values>
          <value>
            <val>100</val>
          </value>
        </values>
      </ddeItem>
      <ddeItem name="VX1912.225" advise="1">
        <values>
          <value>
            <val>10</val>
          </value>
        </values>
      </ddeItem>
      <ddeItem name="VX1912.231" advise="1">
        <values>
          <value>
            <val>10</val>
          </value>
        </values>
      </ddeItem>
      <ddeItem name="VX1912.232" advise="1">
        <values>
          <value>
            <val>82</val>
          </value>
        </values>
      </ddeItem>
      <ddeItem name="VX1912.233" advise="1">
        <values>
          <value>
            <val>100</val>
          </value>
        </values>
      </ddeItem>
      <ddeItem name="VX1912.234" advise="1">
        <values>
          <value>
            <val>2</val>
          </value>
        </values>
      </ddeItem>
      <ddeItem name="VX1912.235" advise="1">
        <values>
          <value>
            <val>26</val>
          </value>
        </values>
      </ddeItem>
      <ddeItem name="VX1912.402" advise="1">
        <values>
          <value t="str">
            <val>VIX指數-1912</val>
          </value>
        </values>
      </ddeItem>
      <ddeItem name="VX1912.405" advise="1">
        <values>
          <value>
            <val>16.375</val>
          </value>
        </values>
      </ddeItem>
      <ddeItem name="VX1912.406" advise="1">
        <values>
          <value t="str">
            <val>***</val>
          </value>
        </values>
      </ddeItem>
      <ddeItem name="VX1912.407" advise="1">
        <values>
          <value t="str">
            <val>***</val>
          </value>
        </values>
      </ddeItem>
      <ddeItem name="VX1912.422" advise="1">
        <values>
          <value>
            <val>16.41</val>
          </value>
        </values>
      </ddeItem>
      <ddeItem name="VX1912.423" advise="1">
        <values>
          <value>
            <val>3923</val>
          </value>
        </values>
      </ddeItem>
      <ddeItem name="VX1912.431" advise="1">
        <values>
          <value>
            <val>20191218</val>
          </value>
        </values>
      </ddeItem>
      <ddeItem name="VX1912.437" advise="1">
        <values>
          <value t="str">
            <val>***</val>
          </value>
        </values>
      </ddeItem>
      <ddeItem name="VX2001.122" advise="1">
        <values>
          <value>
            <val>20190711</val>
          </value>
        </values>
      </ddeItem>
      <ddeItem name="VX2001.123" advise="1">
        <values>
          <value>
            <val>155221</val>
          </value>
        </values>
      </ddeItem>
      <ddeItem name="VX2001.124" advise="1">
        <values>
          <value>
            <val>16.920000000000002</val>
          </value>
        </values>
      </ddeItem>
      <ddeItem name="VX2001.125" advise="1">
        <values>
          <value>
            <val>-5.0000000000000001E-3</val>
          </value>
        </values>
      </ddeItem>
      <ddeItem name="VX2001.126" advise="1">
        <values>
          <value>
            <val>-0.02</val>
          </value>
        </values>
      </ddeItem>
      <ddeItem name="VX2001.128" advise="1">
        <values>
          <value>
            <val>1</val>
          </value>
        </values>
      </ddeItem>
      <ddeItem name="VX2001.130" advise="1">
        <values>
          <value>
            <val>16.95</val>
          </value>
        </values>
      </ddeItem>
      <ddeItem name="VX2001.131" advise="1">
        <values>
          <value>
            <val>17</val>
          </value>
        </values>
      </ddeItem>
      <ddeItem name="VX2001.132" advise="1">
        <values>
          <value>
            <val>16.87</val>
          </value>
        </values>
      </ddeItem>
      <ddeItem name="VX2001.133" advise="1">
        <values>
          <value>
            <val>711</val>
          </value>
        </values>
      </ddeItem>
      <ddeItem name="VX2001.135" advise="1">
        <values>
          <value>
            <val>16.899999999999999</val>
          </value>
        </values>
      </ddeItem>
      <ddeItem name="VX2001.136" advise="1">
        <values>
          <value>
            <val>16.95</val>
          </value>
        </values>
      </ddeItem>
      <ddeItem name="VX2001.147" advise="1">
        <values>
          <value>
            <val>324</val>
          </value>
        </values>
      </ddeItem>
      <ddeItem name="VX2001.148" advise="1">
        <values>
          <value>
            <val>175</val>
          </value>
        </values>
      </ddeItem>
      <ddeItem name="VX2001.170" advise="1">
        <values>
          <value t="str">
            <val>***</val>
          </value>
        </values>
      </ddeItem>
      <ddeItem name="VX2001.171" advise="1">
        <values>
          <value t="str">
            <val>***</val>
          </value>
        </values>
      </ddeItem>
      <ddeItem name="VX2001.172" advise="1">
        <values>
          <value t="str">
            <val>***</val>
          </value>
        </values>
      </ddeItem>
      <ddeItem name="VX2001.173" advise="1">
        <values>
          <value t="str">
            <val>***</val>
          </value>
        </values>
      </ddeItem>
      <ddeItem name="VX2001.201" advise="1">
        <values>
          <value>
            <val>16.899999999999999</val>
          </value>
        </values>
      </ddeItem>
      <ddeItem name="VX2001.202" advise="1">
        <values>
          <value>
            <val>16.850000000000001</val>
          </value>
        </values>
      </ddeItem>
      <ddeItem name="VX2001.203" advise="1">
        <values>
          <value>
            <val>16.8</val>
          </value>
        </values>
      </ddeItem>
      <ddeItem name="VX2001.204" advise="1">
        <values>
          <value>
            <val>16.55</val>
          </value>
        </values>
      </ddeItem>
      <ddeItem name="VX2001.205" advise="1">
        <values>
          <value t="str">
            <val xml:space="preserve"> </val>
          </value>
        </values>
      </ddeItem>
      <ddeItem name="VX2001.211" advise="1">
        <values>
          <value>
            <val>16.95</val>
          </value>
        </values>
      </ddeItem>
      <ddeItem name="VX2001.212" advise="1">
        <values>
          <value>
            <val>17</val>
          </value>
        </values>
      </ddeItem>
      <ddeItem name="VX2001.213" advise="1">
        <values>
          <value>
            <val>17.05</val>
          </value>
        </values>
      </ddeItem>
      <ddeItem name="VX2001.214" advise="1">
        <values>
          <value>
            <val>17.100000000000001</val>
          </value>
        </values>
      </ddeItem>
      <ddeItem name="VX2001.215" advise="1">
        <values>
          <value>
            <val>17.350000000000001</val>
          </value>
        </values>
      </ddeItem>
      <ddeItem name="VX2001.221" advise="1">
        <values>
          <value>
            <val>39</val>
          </value>
        </values>
      </ddeItem>
      <ddeItem name="VX2001.222" advise="1">
        <values>
          <value>
            <val>23</val>
          </value>
        </values>
      </ddeItem>
      <ddeItem name="VX2001.223" advise="1">
        <values>
          <value>
            <val>20</val>
          </value>
        </values>
      </ddeItem>
      <ddeItem name="VX2001.224" advise="1">
        <values>
          <value>
            <val>6</val>
          </value>
        </values>
      </ddeItem>
      <ddeItem name="VX2001.225" advise="1">
        <values>
          <value>
            <val>0</val>
          </value>
        </values>
      </ddeItem>
      <ddeItem name="VX2001.231" advise="1">
        <values>
          <value>
            <val>10</val>
          </value>
        </values>
      </ddeItem>
      <ddeItem name="VX2001.232" advise="1">
        <values>
          <value>
            <val>21</val>
          </value>
        </values>
      </ddeItem>
      <ddeItem name="VX2001.233" advise="1">
        <values>
          <value>
            <val>21</val>
          </value>
        </values>
      </ddeItem>
      <ddeItem name="VX2001.234" advise="1">
        <values>
          <value>
            <val>16</val>
          </value>
        </values>
      </ddeItem>
      <ddeItem name="VX2001.235" advise="1">
        <values>
          <value>
            <val>6</val>
          </value>
        </values>
      </ddeItem>
      <ddeItem name="VX2001.402" advise="1">
        <values>
          <value t="str">
            <val>VIX指數-2001</val>
          </value>
        </values>
      </ddeItem>
      <ddeItem name="VX2001.405" advise="1">
        <values>
          <value>
            <val>16.925000000000001</val>
          </value>
        </values>
      </ddeItem>
      <ddeItem name="VX2001.406" advise="1">
        <values>
          <value t="str">
            <val>***</val>
          </value>
        </values>
      </ddeItem>
      <ddeItem name="VX2001.407" advise="1">
        <values>
          <value t="str">
            <val>***</val>
          </value>
        </values>
      </ddeItem>
      <ddeItem name="VX2001.422" advise="1">
        <values>
          <value>
            <val>16.93</val>
          </value>
        </values>
      </ddeItem>
      <ddeItem name="VX2001.423" advise="1">
        <values>
          <value>
            <val>987</val>
          </value>
        </values>
      </ddeItem>
      <ddeItem name="VX2001.431" advise="1">
        <values>
          <value>
            <val>20200122</val>
          </value>
        </values>
      </ddeItem>
      <ddeItem name="VX2001.437" advise="1">
        <values>
          <value t="str">
            <val>***</val>
          </value>
        </values>
      </ddeItem>
      <ddeItem name="VX2002.122" advise="1">
        <values>
          <value>
            <val>20190711</val>
          </value>
        </values>
      </ddeItem>
      <ddeItem name="VX2002.123" advise="1">
        <values>
          <value>
            <val>155326</val>
          </value>
        </values>
      </ddeItem>
      <ddeItem name="VX2002.124" advise="1">
        <values>
          <value>
            <val>17.12</val>
          </value>
        </values>
      </ddeItem>
      <ddeItem name="VX2002.125" advise="1">
        <values>
          <value>
            <val>-0.03</val>
          </value>
        </values>
      </ddeItem>
      <ddeItem name="VX2002.126" advise="1">
        <values>
          <value>
            <val>-0.17</val>
          </value>
        </values>
      </ddeItem>
      <ddeItem name="VX2002.128" advise="1">
        <values>
          <value>
            <val>1</val>
          </value>
        </values>
      </ddeItem>
      <ddeItem name="VX2002.130" advise="1">
        <values>
          <value>
            <val>17.100000000000001</val>
          </value>
        </values>
      </ddeItem>
      <ddeItem name="VX2002.131" advise="1">
        <values>
          <value>
            <val>17.2</val>
          </value>
        </values>
      </ddeItem>
      <ddeItem name="VX2002.132" advise="1">
        <values>
          <value>
            <val>17.09</val>
          </value>
        </values>
      </ddeItem>
      <ddeItem name="VX2002.133" advise="1">
        <values>
          <value>
            <val>195</val>
          </value>
        </values>
      </ddeItem>
      <ddeItem name="VX2002.135" advise="1">
        <values>
          <value>
            <val>17.100000000000001</val>
          </value>
        </values>
      </ddeItem>
      <ddeItem name="VX2002.136" advise="1">
        <values>
          <value>
            <val>17.2</val>
          </value>
        </values>
      </ddeItem>
      <ddeItem name="VX2002.147" advise="1">
        <values>
          <value>
            <val>53</val>
          </value>
        </values>
      </ddeItem>
      <ddeItem name="VX2002.148" advise="1">
        <values>
          <value>
            <val>71</val>
          </value>
        </values>
      </ddeItem>
      <ddeItem name="VX2002.170" advise="1">
        <values>
          <value t="str">
            <val>***</val>
          </value>
        </values>
      </ddeItem>
      <ddeItem name="VX2002.171" advise="1">
        <values>
          <value t="str">
            <val>***</val>
          </value>
        </values>
      </ddeItem>
      <ddeItem name="VX2002.172" advise="1">
        <values>
          <value t="str">
            <val>***</val>
          </value>
        </values>
      </ddeItem>
      <ddeItem name="VX2002.173" advise="1">
        <values>
          <value t="str">
            <val>***</val>
          </value>
        </values>
      </ddeItem>
      <ddeItem name="VX2002.201" advise="1">
        <values>
          <value>
            <val>17.100000000000001</val>
          </value>
        </values>
      </ddeItem>
      <ddeItem name="VX2002.202" advise="1">
        <values>
          <value>
            <val>17.05</val>
          </value>
        </values>
      </ddeItem>
      <ddeItem name="VX2002.203" advise="1">
        <values>
          <value>
            <val>17</val>
          </value>
        </values>
      </ddeItem>
      <ddeItem name="VX2002.204" advise="1">
        <values>
          <value>
            <val>16.95</val>
          </value>
        </values>
      </ddeItem>
      <ddeItem name="VX2002.205" advise="1">
        <values>
          <value>
            <val>16.899999999999999</val>
          </value>
        </values>
      </ddeItem>
      <ddeItem name="VX2002.211" advise="1">
        <values>
          <value>
            <val>17.2</val>
          </value>
        </values>
      </ddeItem>
      <ddeItem name="VX2002.212" advise="1">
        <values>
          <value>
            <val>17.25</val>
          </value>
        </values>
      </ddeItem>
      <ddeItem name="VX2002.213" advise="1">
        <values>
          <value>
            <val>17.55</val>
          </value>
        </values>
      </ddeItem>
      <ddeItem name="VX2002.214" advise="1">
        <values>
          <value t="str">
            <val xml:space="preserve"> </val>
          </value>
        </values>
      </ddeItem>
      <ddeItem name="VX2002.215" advise="1">
        <values>
          <value t="str">
            <val xml:space="preserve"> </val>
          </value>
        </values>
      </ddeItem>
      <ddeItem name="VX2002.221" advise="1">
        <values>
          <value>
            <val>24</val>
          </value>
        </values>
      </ddeItem>
      <ddeItem name="VX2002.222" advise="1">
        <values>
          <value>
            <val>25</val>
          </value>
        </values>
      </ddeItem>
      <ddeItem name="VX2002.223" advise="1">
        <values>
          <value>
            <val>31</val>
          </value>
        </values>
      </ddeItem>
      <ddeItem name="VX2002.224" advise="1">
        <values>
          <value>
            <val>20</val>
          </value>
        </values>
      </ddeItem>
      <ddeItem name="VX2002.225" advise="1">
        <values>
          <value>
            <val>25</val>
          </value>
        </values>
      </ddeItem>
      <ddeItem name="VX2002.231" advise="1">
        <values>
          <value>
            <val>47</val>
          </value>
        </values>
      </ddeItem>
      <ddeItem name="VX2002.232" advise="1">
        <values>
          <value>
            <val>20</val>
          </value>
        </values>
      </ddeItem>
      <ddeItem name="VX2002.233" advise="1">
        <values>
          <value>
            <val>3</val>
          </value>
        </values>
      </ddeItem>
      <ddeItem name="VX2002.234" advise="1">
        <values>
          <value>
            <val>0</val>
          </value>
        </values>
      </ddeItem>
      <ddeItem name="VX2002.235" advise="1">
        <values>
          <value>
            <val>0</val>
          </value>
        </values>
      </ddeItem>
      <ddeItem name="VX2002.402" advise="1">
        <values>
          <value t="str">
            <val>VIX指數-2002</val>
          </value>
        </values>
      </ddeItem>
      <ddeItem name="VX2002.405" advise="1">
        <values>
          <value>
            <val>17.149999999999999</val>
          </value>
        </values>
      </ddeItem>
      <ddeItem name="VX2002.406" advise="1">
        <values>
          <value t="str">
            <val>***</val>
          </value>
        </values>
      </ddeItem>
      <ddeItem name="VX2002.407" advise="1">
        <values>
          <value t="str">
            <val>***</val>
          </value>
        </values>
      </ddeItem>
      <ddeItem name="VX2002.422" advise="1">
        <values>
          <value>
            <val>17.149999999999999</val>
          </value>
        </values>
      </ddeItem>
      <ddeItem name="VX2002.423" advise="1">
        <values>
          <value>
            <val>369</val>
          </value>
        </values>
      </ddeItem>
      <ddeItem name="VX2002.431" advise="1">
        <values>
          <value>
            <val>20200219</val>
          </value>
        </values>
      </ddeItem>
      <ddeItem name="VX2002.437" advise="1">
        <values>
          <value t="str">
            <val>***</val>
          </value>
        </values>
      </ddeItem>
      <ddeItem name="YM1909.122" advise="1">
        <values>
          <value>
            <val>20190711</val>
          </value>
        </values>
      </ddeItem>
      <ddeItem name="YM1909.123" advise="1">
        <values>
          <value>
            <val>155958</val>
          </value>
        </values>
      </ddeItem>
      <ddeItem name="YM1909.124" advise="1">
        <values>
          <value>
            <val>27311</val>
          </value>
        </values>
      </ddeItem>
      <ddeItem name="YM1909.125" advise="1">
        <values>
          <value>
            <val>234</val>
          </value>
        </values>
      </ddeItem>
      <ddeItem name="YM1909.126" advise="1">
        <values>
          <value>
            <val>0.86</val>
          </value>
        </values>
      </ddeItem>
      <ddeItem name="YM1909.128" advise="1">
        <values>
          <value>
            <val>1</val>
          </value>
        </values>
      </ddeItem>
      <ddeItem name="YM1909.130" advise="1">
        <values>
          <value>
            <val>27072</val>
          </value>
        </values>
      </ddeItem>
      <ddeItem name="YM1909.131" advise="1">
        <values>
          <value>
            <val>27330</val>
          </value>
        </values>
      </ddeItem>
      <ddeItem name="YM1909.132" advise="1">
        <values>
          <value>
            <val>27070</val>
          </value>
        </values>
      </ddeItem>
      <ddeItem name="YM1909.133" advise="1">
        <values>
          <value>
            <val>146896</val>
          </value>
        </values>
      </ddeItem>
      <ddeItem name="YM1909.135" advise="1">
        <values>
          <value>
            <val>27309</val>
          </value>
        </values>
      </ddeItem>
      <ddeItem name="YM1909.136" advise="1">
        <values>
          <value>
            <val>27311</val>
          </value>
        </values>
      </ddeItem>
      <ddeItem name="YM1909.147" advise="1">
        <values>
          <value>
            <val>64893</val>
          </value>
        </values>
      </ddeItem>
      <ddeItem name="YM1909.148" advise="1">
        <values>
          <value>
            <val>66930</val>
          </value>
        </values>
      </ddeItem>
      <ddeItem name="YM1909.170" advise="1">
        <values>
          <value t="str">
            <val>***</val>
          </value>
        </values>
      </ddeItem>
      <ddeItem name="YM1909.171" advise="1">
        <values>
          <value t="str">
            <val>***</val>
          </value>
        </values>
      </ddeItem>
      <ddeItem name="YM1909.172" advise="1">
        <values>
          <value t="str">
            <val>***</val>
          </value>
        </values>
      </ddeItem>
      <ddeItem name="YM1909.173" advise="1">
        <values>
          <value t="str">
            <val>***</val>
          </value>
        </values>
      </ddeItem>
      <ddeItem name="YM1909.201" advise="1">
        <values>
          <value>
            <val>27309</val>
          </value>
        </values>
      </ddeItem>
      <ddeItem name="YM1909.202" advise="1">
        <values>
          <value>
            <val>27308</val>
          </value>
        </values>
      </ddeItem>
      <ddeItem name="YM1909.203" advise="1">
        <values>
          <value>
            <val>27307</val>
          </value>
        </values>
      </ddeItem>
      <ddeItem name="YM1909.204" advise="1">
        <values>
          <value>
            <val>27306</val>
          </value>
        </values>
      </ddeItem>
      <ddeItem name="YM1909.205" advise="1">
        <values>
          <value>
            <val>27305</val>
          </value>
        </values>
      </ddeItem>
      <ddeItem name="YM1909.211" advise="1">
        <values>
          <value>
            <val>27311</val>
          </value>
        </values>
      </ddeItem>
      <ddeItem name="YM1909.212" advise="1">
        <values>
          <value>
            <val>27312</val>
          </value>
        </values>
      </ddeItem>
      <ddeItem name="YM1909.213" advise="1">
        <values>
          <value>
            <val>27313</val>
          </value>
        </values>
      </ddeItem>
      <ddeItem name="YM1909.214" advise="1">
        <values>
          <value>
            <val>27314</val>
          </value>
        </values>
      </ddeItem>
      <ddeItem name="YM1909.215" advise="1">
        <values>
          <value>
            <val>27315</val>
          </value>
        </values>
      </ddeItem>
      <ddeItem name="YM1909.221" advise="1">
        <values>
          <value>
            <val>1</val>
          </value>
        </values>
      </ddeItem>
      <ddeItem name="YM1909.222" advise="1">
        <values>
          <value>
            <val>1</val>
          </value>
        </values>
      </ddeItem>
      <ddeItem name="YM1909.223" advise="1">
        <values>
          <value>
            <val>3</val>
          </value>
        </values>
      </ddeItem>
      <ddeItem name="YM1909.224" advise="1">
        <values>
          <value>
            <val>3</val>
          </value>
        </values>
      </ddeItem>
      <ddeItem name="YM1909.225" advise="1">
        <values>
          <value>
            <val>3</val>
          </value>
        </values>
      </ddeItem>
      <ddeItem name="YM1909.231" advise="1">
        <values>
          <value>
            <val>1</val>
          </value>
        </values>
      </ddeItem>
      <ddeItem name="YM1909.232" advise="1">
        <values>
          <value>
            <val>1</val>
          </value>
        </values>
      </ddeItem>
      <ddeItem name="YM1909.233" advise="1">
        <values>
          <value>
            <val>3</val>
          </value>
        </values>
      </ddeItem>
      <ddeItem name="YM1909.234" advise="1">
        <values>
          <value>
            <val>3</val>
          </value>
        </values>
      </ddeItem>
      <ddeItem name="YM1909.235" advise="1">
        <values>
          <value>
            <val>3</val>
          </value>
        </values>
      </ddeItem>
      <ddeItem name="YM1909.402" advise="1">
        <values>
          <value t="str">
            <val>小道瓊指數-1909</val>
          </value>
        </values>
      </ddeItem>
      <ddeItem name="YM1909.405" advise="1">
        <values>
          <value>
            <val>27077</val>
          </value>
        </values>
      </ddeItem>
      <ddeItem name="YM1909.406" advise="1">
        <values>
          <value t="str">
            <val>***</val>
          </value>
        </values>
      </ddeItem>
      <ddeItem name="YM1909.407" advise="1">
        <values>
          <value t="str">
            <val>***</val>
          </value>
        </values>
      </ddeItem>
      <ddeItem name="YM1909.422" advise="1">
        <values>
          <value>
            <val>27082</val>
          </value>
        </values>
      </ddeItem>
      <ddeItem name="YM1909.423" advise="1">
        <values>
          <value>
            <val>184591</val>
          </value>
        </values>
      </ddeItem>
      <ddeItem name="YM1909.431" advise="1">
        <values>
          <value>
            <val>20190920</val>
          </value>
        </values>
      </ddeItem>
      <ddeItem name="YM1909.437" advise="1">
        <values>
          <value t="str">
            <val>***</val>
          </value>
        </values>
      </ddeItem>
      <ddeItem name="YM1912.122" advise="1">
        <values>
          <value>
            <val>20190711</val>
          </value>
        </values>
      </ddeItem>
      <ddeItem name="YM1912.123" advise="1">
        <values>
          <value>
            <val>150355</val>
          </value>
        </values>
      </ddeItem>
      <ddeItem name="YM1912.124" advise="1">
        <values>
          <value>
            <val>27297</val>
          </value>
        </values>
      </ddeItem>
      <ddeItem name="YM1912.125" advise="1">
        <values>
          <value>
            <val>238</val>
          </value>
        </values>
      </ddeItem>
      <ddeItem name="YM1912.126" advise="1">
        <values>
          <value>
            <val>0.87</val>
          </value>
        </values>
      </ddeItem>
      <ddeItem name="YM1912.128" advise="1">
        <values>
          <value>
            <val>1</val>
          </value>
        </values>
      </ddeItem>
      <ddeItem name="YM1912.130" advise="1">
        <values>
          <value>
            <val>27090</val>
          </value>
        </values>
      </ddeItem>
      <ddeItem name="YM1912.131" advise="1">
        <values>
          <value>
            <val>27316</val>
          </value>
        </values>
      </ddeItem>
      <ddeItem name="YM1912.132" advise="1">
        <values>
          <value>
            <val>27090</val>
          </value>
        </values>
      </ddeItem>
      <ddeItem name="YM1912.133" advise="1">
        <values>
          <value>
            <val>150</val>
          </value>
        </values>
      </ddeItem>
      <ddeItem name="YM1912.135" advise="1">
        <values>
          <value>
            <val>27111</val>
          </value>
        </values>
      </ddeItem>
      <ddeItem name="YM1912.136" advise="1">
        <values>
          <value>
            <val>27333</val>
          </value>
        </values>
      </ddeItem>
      <ddeItem name="YM1912.147" advise="1">
        <values>
          <value>
            <val>15</val>
          </value>
        </values>
      </ddeItem>
      <ddeItem name="YM1912.148" advise="1">
        <values>
          <value>
            <val>104</val>
          </value>
        </values>
      </ddeItem>
      <ddeItem name="YM1912.170" advise="1">
        <values>
          <value t="str">
            <val>***</val>
          </value>
        </values>
      </ddeItem>
      <ddeItem name="YM1912.171" advise="1">
        <values>
          <value t="str">
            <val>***</val>
          </value>
        </values>
      </ddeItem>
      <ddeItem name="YM1912.172" advise="1">
        <values>
          <value t="str">
            <val>***</val>
          </value>
        </values>
      </ddeItem>
      <ddeItem name="YM1912.173" advise="1">
        <values>
          <value t="str">
            <val>***</val>
          </value>
        </values>
      </ddeItem>
      <ddeItem name="YM1912.201" advise="1">
        <values>
          <value>
            <val>27111</val>
          </value>
        </values>
      </ddeItem>
      <ddeItem name="YM1912.202" advise="1">
        <values>
          <value>
            <val>27100</val>
          </value>
        </values>
      </ddeItem>
      <ddeItem name="YM1912.203" advise="1">
        <values>
          <value>
            <val>26837</val>
          </value>
        </values>
      </ddeItem>
      <ddeItem name="YM1912.204" advise="1">
        <values>
          <value>
            <val>26765</val>
          </value>
        </values>
      </ddeItem>
      <ddeItem name="YM1912.205" advise="1">
        <values>
          <value>
            <val>26628</val>
          </value>
        </values>
      </ddeItem>
      <ddeItem name="YM1912.211" advise="1">
        <values>
          <value>
            <val>27333</val>
          </value>
        </values>
      </ddeItem>
      <ddeItem name="YM1912.212" advise="1">
        <values>
          <value>
            <val>27364</val>
          </value>
        </values>
      </ddeItem>
      <ddeItem name="YM1912.213" advise="1">
        <values>
          <value>
            <val>27369</val>
          </value>
        </values>
      </ddeItem>
      <ddeItem name="YM1912.214" advise="1">
        <values>
          <value>
            <val>27400</val>
          </value>
        </values>
      </ddeItem>
      <ddeItem name="YM1912.215" advise="1">
        <values>
          <value>
            <val>27444</val>
          </value>
        </values>
      </ddeItem>
      <ddeItem name="YM1912.221" advise="1">
        <values>
          <value>
            <val>1</val>
          </value>
        </values>
      </ddeItem>
      <ddeItem name="YM1912.222" advise="1">
        <values>
          <value>
            <val>1</val>
          </value>
        </values>
      </ddeItem>
      <ddeItem name="YM1912.223" advise="1">
        <values>
          <value>
            <val>7</val>
          </value>
        </values>
      </ddeItem>
      <ddeItem name="YM1912.224" advise="1">
        <values>
          <value>
            <val>1</val>
          </value>
        </values>
      </ddeItem>
      <ddeItem name="YM1912.225" advise="1">
        <values>
          <value>
            <val>1</val>
          </value>
        </values>
      </ddeItem>
      <ddeItem name="YM1912.231" advise="1">
        <values>
          <value>
            <val>1</val>
          </value>
        </values>
      </ddeItem>
      <ddeItem name="YM1912.232" advise="1">
        <values>
          <value>
            <val>1</val>
          </value>
        </values>
      </ddeItem>
      <ddeItem name="YM1912.233" advise="1">
        <values>
          <value>
            <val>1</val>
          </value>
        </values>
      </ddeItem>
      <ddeItem name="YM1912.234" advise="1">
        <values>
          <value>
            <val>2</val>
          </value>
        </values>
      </ddeItem>
      <ddeItem name="YM1912.235" advise="1">
        <values>
          <value>
            <val>1</val>
          </value>
        </values>
      </ddeItem>
      <ddeItem name="YM1912.402" advise="1">
        <values>
          <value t="str">
            <val>小道瓊指數-1912</val>
          </value>
        </values>
      </ddeItem>
      <ddeItem name="YM1912.405" advise="1">
        <values>
          <value>
            <val>27059</val>
          </value>
        </values>
      </ddeItem>
      <ddeItem name="YM1912.406" advise="1">
        <values>
          <value t="str">
            <val>***</val>
          </value>
        </values>
      </ddeItem>
      <ddeItem name="YM1912.407" advise="1">
        <values>
          <value t="str">
            <val>***</val>
          </value>
        </values>
      </ddeItem>
      <ddeItem name="YM1912.422" advise="1">
        <values>
          <value>
            <val>27065</val>
          </value>
        </values>
      </ddeItem>
      <ddeItem name="YM1912.423" advise="1">
        <values>
          <value>
            <val>148</val>
          </value>
        </values>
      </ddeItem>
      <ddeItem name="YM1912.431" advise="1">
        <values>
          <value>
            <val>20191220</val>
          </value>
        </values>
      </ddeItem>
      <ddeItem name="YM1912.437" advise="1">
        <values>
          <value t="str">
            <val>***</val>
          </value>
        </values>
      </ddeItem>
    </ddeItems>
  </ddeLin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yuantaetfs.com/api/Orders?" TargetMode="External"/><Relationship Id="rId2" Type="http://schemas.openxmlformats.org/officeDocument/2006/relationships/hyperlink" Target="http://www.yuantaetfs.com/api/TodayPcf?etfid=00642U" TargetMode="External"/><Relationship Id="rId1" Type="http://schemas.openxmlformats.org/officeDocument/2006/relationships/hyperlink" Target="http://www.yuantaetfs.com/api/Orders?fundid=1116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apitalfund.com.tw/ETFAPI/pcf?etfcode=00685L&amp;qdate=2017/09/27" TargetMode="External"/><Relationship Id="rId18" Type="http://schemas.openxmlformats.org/officeDocument/2006/relationships/hyperlink" Target="http://websys.fsit.com.tw/FubonETF/Trade/FundInvestJson.aspx?stkId=00692&amp;checkSum=37815" TargetMode="External"/><Relationship Id="rId26" Type="http://schemas.openxmlformats.org/officeDocument/2006/relationships/hyperlink" Target="http://www.fhtrust.com.tw/funds/fund_intro_ETF_pcf.asp?QueryFund=ETF01" TargetMode="External"/><Relationship Id="rId3" Type="http://schemas.openxmlformats.org/officeDocument/2006/relationships/hyperlink" Target="http://websys.fsit.com.tw/FubonETF/Trade/FundInvestJson.aspx?stkId=006208&amp;checkSum=37815" TargetMode="External"/><Relationship Id="rId21" Type="http://schemas.openxmlformats.org/officeDocument/2006/relationships/hyperlink" Target="https://www.cathaysite.com.tw/funds/etf/etf_ws.asmx/GetFundAssetsByStock?_stock_code=00655L" TargetMode="External"/><Relationship Id="rId34" Type="http://schemas.openxmlformats.org/officeDocument/2006/relationships/hyperlink" Target="https://www.cathaysite.com.tw/funds/etf/etf_ws.asmx/GetFundAssetsByStock?_stock_code=00668" TargetMode="External"/><Relationship Id="rId7" Type="http://schemas.openxmlformats.org/officeDocument/2006/relationships/hyperlink" Target="https://www.capitalfund.com.tw/ETFAPI/pcf?etfcode=00643&amp;qdate=2017/09/27" TargetMode="External"/><Relationship Id="rId12" Type="http://schemas.openxmlformats.org/officeDocument/2006/relationships/hyperlink" Target="http://www.tsit.com.tw/api/pcf?etfcode=00703&amp;date=2017/09/27" TargetMode="External"/><Relationship Id="rId17" Type="http://schemas.openxmlformats.org/officeDocument/2006/relationships/hyperlink" Target="https://www.cathaysite.com.tw/funds/etf/etf_ws.asmx/GetFundAssetsByStock?_stock_code=00689R" TargetMode="External"/><Relationship Id="rId25" Type="http://schemas.openxmlformats.org/officeDocument/2006/relationships/hyperlink" Target="http://www.yuantaetfs.com/api/Orders?fundid=1078" TargetMode="External"/><Relationship Id="rId33" Type="http://schemas.openxmlformats.org/officeDocument/2006/relationships/hyperlink" Target="https://www.cathaysite.com.tw/funds/etf/etf_ws.asmx/GetFundAssetsByStock?_stock_code=00669R" TargetMode="External"/><Relationship Id="rId2" Type="http://schemas.openxmlformats.org/officeDocument/2006/relationships/hyperlink" Target="http://www.yuantaetfs.com/api/Orders?fundid=1066" TargetMode="External"/><Relationship Id="rId16" Type="http://schemas.openxmlformats.org/officeDocument/2006/relationships/hyperlink" Target="https://www.cathaysite.com.tw/funds/etf/etf_ws.asmx/GetFundAssetsByStock?_stock_code=00688L" TargetMode="External"/><Relationship Id="rId20" Type="http://schemas.openxmlformats.org/officeDocument/2006/relationships/hyperlink" Target="http://websys.fsit.com.tw/FubonETF/Trade/FundInvestJson.aspx?stkId=00639&amp;checkSum=37815" TargetMode="External"/><Relationship Id="rId29" Type="http://schemas.openxmlformats.org/officeDocument/2006/relationships/hyperlink" Target="http://websys.fsit.com.tw/FubonETF/Trade/FundInvestJson.aspx?stkId=00676R&amp;checkSum=37815" TargetMode="External"/><Relationship Id="rId1" Type="http://schemas.openxmlformats.org/officeDocument/2006/relationships/hyperlink" Target="http://websys.fsit.com.tw/FubonETF/Trade/FundInvestJson.aspx?stkId=00653L&amp;checkSum=37815" TargetMode="External"/><Relationship Id="rId6" Type="http://schemas.openxmlformats.org/officeDocument/2006/relationships/hyperlink" Target="http://www.yuantaetfs.com/api/Orders?fundid=2006" TargetMode="External"/><Relationship Id="rId11" Type="http://schemas.openxmlformats.org/officeDocument/2006/relationships/hyperlink" Target="http://www.tsit.com.tw/api/pcf?etfcode=00705R&amp;date=2017/09/27" TargetMode="External"/><Relationship Id="rId24" Type="http://schemas.openxmlformats.org/officeDocument/2006/relationships/hyperlink" Target="http://websys.fsit.com.tw/FubonETF/Trade/FundInvestJson.aspx?stkId=00645&amp;checkSum=37815" TargetMode="External"/><Relationship Id="rId32" Type="http://schemas.openxmlformats.org/officeDocument/2006/relationships/hyperlink" Target="http://www.megafunds.com.tw/ETF/api/Orders/X001" TargetMode="External"/><Relationship Id="rId5" Type="http://schemas.openxmlformats.org/officeDocument/2006/relationships/hyperlink" Target="https://www.capitalfund.com.tw/ETFAPI/pcf?etfcode=00686R&amp;qdate=2017/09/27" TargetMode="External"/><Relationship Id="rId15" Type="http://schemas.openxmlformats.org/officeDocument/2006/relationships/hyperlink" Target="https://www.cathaysite.com.tw/funds/etf/etf_ws.asmx/GetFundAssetsByStock?_stock_code=00687B" TargetMode="External"/><Relationship Id="rId23" Type="http://schemas.openxmlformats.org/officeDocument/2006/relationships/hyperlink" Target="http://websys.fsit.com.tw/FubonETF/Trade/FundInvestJson.aspx?stkId=00640L&amp;checkSum=37815" TargetMode="External"/><Relationship Id="rId28" Type="http://schemas.openxmlformats.org/officeDocument/2006/relationships/hyperlink" Target="http://websys.fsit.com.tw/FubonETF/Trade/FundInvestJson.aspx?stkId=00675L&amp;checkSum=37815" TargetMode="External"/><Relationship Id="rId36" Type="http://schemas.openxmlformats.org/officeDocument/2006/relationships/hyperlink" Target="http://sitc.sinopac.com/newweb/sitcFundUnitPurchase/getTradeinfo.do?stock_id=37" TargetMode="External"/><Relationship Id="rId10" Type="http://schemas.openxmlformats.org/officeDocument/2006/relationships/hyperlink" Target="http://www.tsit.com.tw/api/pcf?etfcode=00704L&amp;date=2017/09/27" TargetMode="External"/><Relationship Id="rId19" Type="http://schemas.openxmlformats.org/officeDocument/2006/relationships/hyperlink" Target="http://websys.fsit.com.tw/FubonETF/Trade/FundInvestJson.aspx?stkId=00625K&amp;checkSum=37815" TargetMode="External"/><Relationship Id="rId31" Type="http://schemas.openxmlformats.org/officeDocument/2006/relationships/hyperlink" Target="http://www.megafunds.com.tw/ETF/api/Orders/X001" TargetMode="External"/><Relationship Id="rId4" Type="http://schemas.openxmlformats.org/officeDocument/2006/relationships/hyperlink" Target="https://www.cathaysite.com.tw/funds/etf/etf_ws.asmx/GetFundAssetsByStock?_stock_code=00636" TargetMode="External"/><Relationship Id="rId9" Type="http://schemas.openxmlformats.org/officeDocument/2006/relationships/hyperlink" Target="http://www.yuantaetfs.com/api/Orders?fundid=1081" TargetMode="External"/><Relationship Id="rId14" Type="http://schemas.openxmlformats.org/officeDocument/2006/relationships/hyperlink" Target="http://www.megafunds.com.tw/ETF/api/Orders/X002" TargetMode="External"/><Relationship Id="rId22" Type="http://schemas.openxmlformats.org/officeDocument/2006/relationships/hyperlink" Target="https://www.cathaysite.com.tw/funds/etf/etf_ws.asmx/GetFundAssetsByStock?_stock_code=00656R" TargetMode="External"/><Relationship Id="rId27" Type="http://schemas.openxmlformats.org/officeDocument/2006/relationships/hyperlink" Target="http://www.fhtrust.com.tw/funds/fund_intro_ETF_pcf.asp?QueryFund=ETF02" TargetMode="External"/><Relationship Id="rId30" Type="http://schemas.openxmlformats.org/officeDocument/2006/relationships/hyperlink" Target="http://websys.fsit.com.tw/FubonETF/Trade/FundInvestJson.aspx?stkId=00677U&amp;checkSum=37815" TargetMode="External"/><Relationship Id="rId35" Type="http://schemas.openxmlformats.org/officeDocument/2006/relationships/hyperlink" Target="http://www.paradigm-fund.com/ETF/PDLP.ashx?fundID=34" TargetMode="External"/><Relationship Id="rId8" Type="http://schemas.openxmlformats.org/officeDocument/2006/relationships/hyperlink" Target="http://websys.fsit.com.tw/FubonETF/Trade/FundInvestJson.aspx?stkId=006205&amp;checkSum=3781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K48"/>
  <sheetViews>
    <sheetView view="pageBreakPreview" zoomScaleSheetLayoutView="100" workbookViewId="0">
      <selection activeCell="F3" sqref="F3"/>
    </sheetView>
  </sheetViews>
  <sheetFormatPr defaultRowHeight="16.2"/>
  <cols>
    <col min="1" max="1" width="18.33203125" customWidth="1"/>
    <col min="2" max="2" width="9.33203125" style="7" customWidth="1"/>
    <col min="3" max="3" width="13.6640625" customWidth="1"/>
    <col min="4" max="4" width="13.21875" customWidth="1"/>
    <col min="5" max="5" width="11.88671875" customWidth="1"/>
    <col min="6" max="6" width="9.44140625" customWidth="1"/>
    <col min="7" max="7" width="9.88671875" customWidth="1"/>
    <col min="8" max="8" width="9.109375" customWidth="1"/>
    <col min="9" max="9" width="10.88671875" customWidth="1"/>
    <col min="10" max="10" width="10.109375" customWidth="1"/>
    <col min="11" max="11" width="12.21875" customWidth="1"/>
    <col min="12" max="13" width="6.77734375" customWidth="1"/>
    <col min="14" max="14" width="4.21875" customWidth="1"/>
  </cols>
  <sheetData>
    <row r="1" spans="1:11" ht="17.25" customHeight="1">
      <c r="A1" s="71"/>
      <c r="B1" s="72"/>
      <c r="C1" s="514" t="s">
        <v>153</v>
      </c>
      <c r="D1" s="514"/>
      <c r="E1" s="514"/>
      <c r="F1" s="514" t="s">
        <v>152</v>
      </c>
      <c r="G1" s="514"/>
      <c r="H1" s="514"/>
      <c r="I1" s="514" t="s">
        <v>26</v>
      </c>
      <c r="J1" s="514"/>
      <c r="K1" s="514"/>
    </row>
    <row r="2" spans="1:11" ht="18" customHeight="1">
      <c r="A2" s="83" t="s">
        <v>54</v>
      </c>
      <c r="B2" s="84" t="s">
        <v>156</v>
      </c>
      <c r="C2" s="83" t="s">
        <v>319</v>
      </c>
      <c r="D2" s="83" t="s">
        <v>52</v>
      </c>
      <c r="E2" s="83" t="s">
        <v>53</v>
      </c>
      <c r="F2" s="83" t="s">
        <v>319</v>
      </c>
      <c r="G2" s="83" t="s">
        <v>52</v>
      </c>
      <c r="H2" s="83" t="s">
        <v>53</v>
      </c>
      <c r="I2" s="83" t="s">
        <v>319</v>
      </c>
      <c r="J2" s="83" t="s">
        <v>52</v>
      </c>
      <c r="K2" s="83" t="s">
        <v>53</v>
      </c>
    </row>
    <row r="3" spans="1:11" ht="18" customHeight="1">
      <c r="A3" s="89" t="s">
        <v>363</v>
      </c>
      <c r="B3" s="21" t="s">
        <v>397</v>
      </c>
      <c r="C3" s="74">
        <f>'50台灣50系列即時淨值'!G6</f>
        <v>82.899090219131352</v>
      </c>
      <c r="D3" s="74">
        <f>'50台灣50系列即時淨值'!H6</f>
        <v>82.828241068731828</v>
      </c>
      <c r="E3" s="74">
        <f>'50台灣50系列即時淨值'!I6</f>
        <v>83.004232514218671</v>
      </c>
      <c r="F3" s="19">
        <f xml:space="preserve"> [1]!'0050.TW-Price'</f>
        <v>82.75</v>
      </c>
      <c r="G3" s="19">
        <f xml:space="preserve"> [1]!'0050.TW-BestBid1'</f>
        <v>82.75</v>
      </c>
      <c r="H3" s="19">
        <f xml:space="preserve"> [1]!'0050.TW-BestAsk1'</f>
        <v>82.8</v>
      </c>
      <c r="I3" s="20">
        <f t="shared" ref="I3:I39" si="0">F3/C3-1</f>
        <v>-1.7984542259420477E-3</v>
      </c>
      <c r="J3" s="20">
        <f t="shared" ref="J3:J39" si="1">G3/D3-1</f>
        <v>-9.4461825727898407E-4</v>
      </c>
      <c r="K3" s="20">
        <f t="shared" ref="K3:K39" si="2">H3/E3-1</f>
        <v>-2.460507229961939E-3</v>
      </c>
    </row>
    <row r="4" spans="1:11" s="56" customFormat="1" ht="18" customHeight="1">
      <c r="A4" s="89" t="s">
        <v>372</v>
      </c>
      <c r="B4" s="21" t="s">
        <v>398</v>
      </c>
      <c r="C4" s="74">
        <f>'50台灣50系列即時淨值'!G2</f>
        <v>40.565886754856393</v>
      </c>
      <c r="D4" s="74">
        <f>'50台灣50系列即時淨值'!H2</f>
        <v>40.565904867517148</v>
      </c>
      <c r="E4" s="74">
        <f>'50台灣50系列即時淨值'!I2</f>
        <v>40.593454251686687</v>
      </c>
      <c r="F4" s="19">
        <f xml:space="preserve"> [1]!'00631L.TW-Price'</f>
        <v>40.43</v>
      </c>
      <c r="G4" s="19">
        <f xml:space="preserve"> [1]!'00631L.TW-BestBid1'</f>
        <v>40.43</v>
      </c>
      <c r="H4" s="19">
        <f xml:space="preserve"> [1]!'00631L.TW-BestAsk1'</f>
        <v>40.47</v>
      </c>
      <c r="I4" s="20">
        <f t="shared" si="0"/>
        <v>-3.3497789824630253E-3</v>
      </c>
      <c r="J4" s="20">
        <f t="shared" si="1"/>
        <v>-3.3502239863992811E-3</v>
      </c>
      <c r="K4" s="20">
        <f t="shared" si="2"/>
        <v>-3.0412354396166519E-3</v>
      </c>
    </row>
    <row r="5" spans="1:11" s="56" customFormat="1" ht="18" customHeight="1" thickBot="1">
      <c r="A5" s="89" t="s">
        <v>373</v>
      </c>
      <c r="B5" s="21" t="s">
        <v>399</v>
      </c>
      <c r="C5" s="181">
        <f>'50台灣50系列即時淨值'!G4</f>
        <v>11.492056131233223</v>
      </c>
      <c r="D5" s="181">
        <f>'50台灣50系列即時淨值'!H4</f>
        <v>11.489531251076638</v>
      </c>
      <c r="E5" s="181">
        <f>'50台灣50系列即時淨值'!I4</f>
        <v>11.492056131233223</v>
      </c>
      <c r="F5" s="19">
        <f xml:space="preserve"> [1]!'00632R.TW-Price'</f>
        <v>11.49</v>
      </c>
      <c r="G5" s="19">
        <f xml:space="preserve"> [1]!'00632R.TW-BestBid1'</f>
        <v>11.49</v>
      </c>
      <c r="H5" s="19">
        <f xml:space="preserve"> [1]!'00632R.TW-BestAsk1'</f>
        <v>11.5</v>
      </c>
      <c r="I5" s="20">
        <f t="shared" si="0"/>
        <v>-1.7891761141286544E-4</v>
      </c>
      <c r="J5" s="20">
        <f t="shared" si="1"/>
        <v>4.0797915347390301E-5</v>
      </c>
      <c r="K5" s="20">
        <f t="shared" si="2"/>
        <v>6.912486917973748E-4</v>
      </c>
    </row>
    <row r="6" spans="1:11" ht="18" customHeight="1">
      <c r="A6" s="89" t="s">
        <v>364</v>
      </c>
      <c r="B6" s="179" t="s">
        <v>400</v>
      </c>
      <c r="C6" s="184"/>
      <c r="D6" s="185"/>
      <c r="E6" s="186"/>
      <c r="F6" s="180">
        <f xml:space="preserve"> [1]!'0051.TW-Price'</f>
        <v>32.950000000000003</v>
      </c>
      <c r="G6" s="19">
        <f xml:space="preserve"> [1]!'0051.TW-BestBid1'</f>
        <v>32.92</v>
      </c>
      <c r="H6" s="19">
        <f xml:space="preserve"> [1]!'0051.TW-BestAsk1'</f>
        <v>32.96</v>
      </c>
      <c r="I6" s="20" t="e">
        <f t="shared" si="0"/>
        <v>#DIV/0!</v>
      </c>
      <c r="J6" s="20" t="e">
        <f t="shared" si="1"/>
        <v>#DIV/0!</v>
      </c>
      <c r="K6" s="20" t="e">
        <f t="shared" si="2"/>
        <v>#DIV/0!</v>
      </c>
    </row>
    <row r="7" spans="1:11" ht="18" customHeight="1">
      <c r="A7" s="89" t="s">
        <v>365</v>
      </c>
      <c r="B7" s="179" t="s">
        <v>401</v>
      </c>
      <c r="C7" s="187"/>
      <c r="D7" s="188"/>
      <c r="E7" s="189"/>
      <c r="F7" s="180">
        <f xml:space="preserve"> [1]!'0053.TW-Price'</f>
        <v>35.380000000000003</v>
      </c>
      <c r="G7" s="19">
        <f xml:space="preserve"> [1]!'0053.TW-BestBid1'</f>
        <v>35.31</v>
      </c>
      <c r="H7" s="19">
        <f xml:space="preserve"> [1]!'0053.TW-BestAsk1'</f>
        <v>35.520000000000003</v>
      </c>
      <c r="I7" s="20" t="e">
        <f t="shared" si="0"/>
        <v>#DIV/0!</v>
      </c>
      <c r="J7" s="20" t="e">
        <f t="shared" si="1"/>
        <v>#DIV/0!</v>
      </c>
      <c r="K7" s="20" t="e">
        <f t="shared" si="2"/>
        <v>#DIV/0!</v>
      </c>
    </row>
    <row r="8" spans="1:11" ht="18" customHeight="1" thickBot="1">
      <c r="A8" s="89" t="s">
        <v>366</v>
      </c>
      <c r="B8" s="179" t="s">
        <v>402</v>
      </c>
      <c r="C8" s="190"/>
      <c r="D8" s="191"/>
      <c r="E8" s="192"/>
      <c r="F8" s="180">
        <f xml:space="preserve"> [1]!'0054.TW-Price'</f>
        <v>22.72</v>
      </c>
      <c r="G8" s="19">
        <f xml:space="preserve"> [1]!'0054.TW-BestBid1'</f>
        <v>22.51</v>
      </c>
      <c r="H8" s="19">
        <f xml:space="preserve"> [1]!'0054.TW-BestAsk1'</f>
        <v>22.63</v>
      </c>
      <c r="I8" s="20" t="e">
        <f t="shared" si="0"/>
        <v>#DIV/0!</v>
      </c>
      <c r="J8" s="20" t="e">
        <f t="shared" si="1"/>
        <v>#DIV/0!</v>
      </c>
      <c r="K8" s="20" t="e">
        <f t="shared" si="2"/>
        <v>#DIV/0!</v>
      </c>
    </row>
    <row r="9" spans="1:11" ht="18" customHeight="1" thickBot="1">
      <c r="A9" s="89" t="s">
        <v>367</v>
      </c>
      <c r="B9" s="21" t="s">
        <v>403</v>
      </c>
      <c r="C9" s="183">
        <f>'0055元大金融即時淨值'!G2</f>
        <v>18.592882902985579</v>
      </c>
      <c r="D9" s="183">
        <f>'0055元大金融即時淨值'!H2</f>
        <v>18.583547904047887</v>
      </c>
      <c r="E9" s="183">
        <f>'0055元大金融即時淨值'!I2</f>
        <v>18.623430228369337</v>
      </c>
      <c r="F9" s="19">
        <f xml:space="preserve"> [1]!'0055.TW-Price'</f>
        <v>18.579999999999998</v>
      </c>
      <c r="G9" s="19">
        <f xml:space="preserve"> [1]!'0055.TW-BestBid1'</f>
        <v>18.53</v>
      </c>
      <c r="H9" s="19">
        <f xml:space="preserve"> [1]!'0055.TW-BestAsk1'</f>
        <v>18.59</v>
      </c>
      <c r="I9" s="20">
        <f t="shared" si="0"/>
        <v>-6.9289432159613806E-4</v>
      </c>
      <c r="J9" s="20">
        <f t="shared" si="1"/>
        <v>-2.8814682925116797E-3</v>
      </c>
      <c r="K9" s="20">
        <f t="shared" si="2"/>
        <v>-1.7950628836578275E-3</v>
      </c>
    </row>
    <row r="10" spans="1:11" ht="18" customHeight="1">
      <c r="A10" s="89" t="s">
        <v>368</v>
      </c>
      <c r="B10" s="179" t="s">
        <v>404</v>
      </c>
      <c r="C10" s="184"/>
      <c r="D10" s="185"/>
      <c r="E10" s="186"/>
      <c r="F10" s="180">
        <f xml:space="preserve"> [1]!'0056.TW-Price'</f>
        <v>27.16</v>
      </c>
      <c r="G10" s="19">
        <f xml:space="preserve"> [1]!'0056.TW-BestBid1'</f>
        <v>27.16</v>
      </c>
      <c r="H10" s="19">
        <f xml:space="preserve"> [1]!'0056.TW-BestAsk1'</f>
        <v>27.17</v>
      </c>
      <c r="I10" s="20" t="e">
        <f t="shared" si="0"/>
        <v>#DIV/0!</v>
      </c>
      <c r="J10" s="20" t="e">
        <f t="shared" si="1"/>
        <v>#DIV/0!</v>
      </c>
      <c r="K10" s="20" t="e">
        <f t="shared" si="2"/>
        <v>#DIV/0!</v>
      </c>
    </row>
    <row r="11" spans="1:11" ht="18" customHeight="1">
      <c r="A11" s="89" t="s">
        <v>370</v>
      </c>
      <c r="B11" s="179" t="s">
        <v>405</v>
      </c>
      <c r="C11" s="187"/>
      <c r="D11" s="188"/>
      <c r="E11" s="189"/>
      <c r="F11" s="180">
        <f xml:space="preserve"> [1]!'006201.TW-Price'</f>
        <v>12.82</v>
      </c>
      <c r="G11" s="19">
        <f xml:space="preserve"> [1]!'006201.TW-BestBid1'</f>
        <v>12.82</v>
      </c>
      <c r="H11" s="19">
        <f xml:space="preserve"> [1]!'006201.TW-BestAsk1'</f>
        <v>12.9</v>
      </c>
      <c r="I11" s="20" t="e">
        <f t="shared" si="0"/>
        <v>#DIV/0!</v>
      </c>
      <c r="J11" s="20" t="e">
        <f t="shared" si="1"/>
        <v>#DIV/0!</v>
      </c>
      <c r="K11" s="20" t="e">
        <f t="shared" si="2"/>
        <v>#DIV/0!</v>
      </c>
    </row>
    <row r="12" spans="1:11" ht="18" customHeight="1" thickBot="1">
      <c r="A12" s="89" t="s">
        <v>371</v>
      </c>
      <c r="B12" s="179" t="s">
        <v>406</v>
      </c>
      <c r="C12" s="190"/>
      <c r="D12" s="191"/>
      <c r="E12" s="192"/>
      <c r="F12" s="180" t="str">
        <f xml:space="preserve"> [1]!'006203.TW-Price'</f>
        <v>--</v>
      </c>
      <c r="G12" s="19">
        <f xml:space="preserve"> [1]!'006203.TW-BestBid1'</f>
        <v>38.75</v>
      </c>
      <c r="H12" s="19">
        <f xml:space="preserve"> [1]!'006203.TW-BestAsk1'</f>
        <v>38.92</v>
      </c>
      <c r="I12" s="20" t="e">
        <f t="shared" si="0"/>
        <v>#VALUE!</v>
      </c>
      <c r="J12" s="20" t="e">
        <f t="shared" si="1"/>
        <v>#DIV/0!</v>
      </c>
      <c r="K12" s="20" t="e">
        <f t="shared" si="2"/>
        <v>#DIV/0!</v>
      </c>
    </row>
    <row r="13" spans="1:11" ht="18" customHeight="1">
      <c r="A13" s="89" t="s">
        <v>374</v>
      </c>
      <c r="B13" s="21" t="s">
        <v>407</v>
      </c>
      <c r="C13" s="182" t="e">
        <f>'6206上證50即時淨值'!G2</f>
        <v>#REF!</v>
      </c>
      <c r="D13" s="182" t="e">
        <f>'6206上證50即時淨值'!H2</f>
        <v>#REF!</v>
      </c>
      <c r="E13" s="182" t="e">
        <f>'6206上證50即時淨值'!I2</f>
        <v>#REF!</v>
      </c>
      <c r="F13" s="19">
        <f xml:space="preserve"> [1]!'006206.TW-Price'</f>
        <v>33.409999999999997</v>
      </c>
      <c r="G13" s="19">
        <f xml:space="preserve"> [1]!'006206.TW-BestBid1'</f>
        <v>33.409999999999997</v>
      </c>
      <c r="H13" s="19">
        <f xml:space="preserve"> [1]!'006206.TW-BestAsk1'</f>
        <v>33.42</v>
      </c>
      <c r="I13" s="20" t="e">
        <f t="shared" si="0"/>
        <v>#REF!</v>
      </c>
      <c r="J13" s="20" t="e">
        <f t="shared" si="1"/>
        <v>#REF!</v>
      </c>
      <c r="K13" s="20" t="e">
        <f t="shared" si="2"/>
        <v>#REF!</v>
      </c>
    </row>
    <row r="14" spans="1:11" s="56" customFormat="1" ht="18" customHeight="1">
      <c r="A14" s="89" t="s">
        <v>369</v>
      </c>
      <c r="B14" s="21" t="s">
        <v>408</v>
      </c>
      <c r="C14" s="74">
        <f>'61滬深300系列即時淨值'!G6</f>
        <v>18.315318030678121</v>
      </c>
      <c r="D14" s="74">
        <f>'61滬深300系列即時淨值'!H6</f>
        <v>18.315318030678121</v>
      </c>
      <c r="E14" s="74">
        <f>'61滬深300系列即時淨值'!I6</f>
        <v>18.315318030678121</v>
      </c>
      <c r="F14" s="19">
        <f xml:space="preserve"> [1]!'0061.TW-Price'</f>
        <v>18.16</v>
      </c>
      <c r="G14" s="19">
        <f xml:space="preserve"> [1]!'0061.TW-BestBid1'</f>
        <v>18.16</v>
      </c>
      <c r="H14" s="19">
        <f xml:space="preserve"> [1]!'0061.TW-BestAsk1'</f>
        <v>18.18</v>
      </c>
      <c r="I14" s="20">
        <f t="shared" si="0"/>
        <v>-8.4802257005837101E-3</v>
      </c>
      <c r="J14" s="20">
        <f t="shared" si="1"/>
        <v>-8.4802257005837101E-3</v>
      </c>
      <c r="K14" s="20">
        <f t="shared" si="2"/>
        <v>-7.3882435702979921E-3</v>
      </c>
    </row>
    <row r="15" spans="1:11" ht="18" customHeight="1">
      <c r="A15" s="89" t="s">
        <v>375</v>
      </c>
      <c r="B15" s="21" t="s">
        <v>409</v>
      </c>
      <c r="C15" s="74">
        <f>'61滬深300系列即時淨值'!G2</f>
        <v>17.951852955933255</v>
      </c>
      <c r="D15" s="74">
        <f>'61滬深300系列即時淨值'!H2</f>
        <v>17.951852955933255</v>
      </c>
      <c r="E15" s="74">
        <f>'61滬深300系列即時淨值'!I2</f>
        <v>17.951852955933255</v>
      </c>
      <c r="F15" s="19">
        <f xml:space="preserve"> [1]!'00637L.TW-Price'</f>
        <v>18.059999999999999</v>
      </c>
      <c r="G15" s="19">
        <f xml:space="preserve"> [1]!'00637L.TW-BestBid1'</f>
        <v>18.05</v>
      </c>
      <c r="H15" s="19">
        <f xml:space="preserve"> [1]!'00637L.TW-BestAsk1'</f>
        <v>18.059999999999999</v>
      </c>
      <c r="I15" s="20">
        <f t="shared" si="0"/>
        <v>6.0242830827665905E-3</v>
      </c>
      <c r="J15" s="20">
        <f t="shared" si="1"/>
        <v>5.4672375218127733E-3</v>
      </c>
      <c r="K15" s="20">
        <f t="shared" si="2"/>
        <v>6.0242830827665905E-3</v>
      </c>
    </row>
    <row r="16" spans="1:11" ht="18" customHeight="1">
      <c r="A16" s="89" t="s">
        <v>376</v>
      </c>
      <c r="B16" s="21" t="s">
        <v>410</v>
      </c>
      <c r="C16" s="74">
        <f>'61滬深300系列即時淨值'!G4</f>
        <v>12.335118800130846</v>
      </c>
      <c r="D16" s="74">
        <f>'61滬深300系列即時淨值'!H4</f>
        <v>12.335118800130846</v>
      </c>
      <c r="E16" s="74">
        <f>'61滬深300系列即時淨值'!I4</f>
        <v>12.335118800130846</v>
      </c>
      <c r="F16" s="19">
        <f xml:space="preserve"> [1]!'00638R.TW-Price'</f>
        <v>12.29</v>
      </c>
      <c r="G16" s="19">
        <f xml:space="preserve"> [1]!'00638R.TW-BestBid1'</f>
        <v>12.29</v>
      </c>
      <c r="H16" s="19">
        <f xml:space="preserve"> [1]!'00638R.TW-BestAsk1'</f>
        <v>12.3</v>
      </c>
      <c r="I16" s="20">
        <f t="shared" si="0"/>
        <v>-3.657751567854306E-3</v>
      </c>
      <c r="J16" s="20">
        <f t="shared" si="1"/>
        <v>-3.657751567854306E-3</v>
      </c>
      <c r="K16" s="20">
        <f t="shared" si="2"/>
        <v>-2.8470581191705202E-3</v>
      </c>
    </row>
    <row r="17" spans="1:11" ht="18" customHeight="1">
      <c r="A17" s="89" t="s">
        <v>378</v>
      </c>
      <c r="B17" s="21" t="s">
        <v>411</v>
      </c>
      <c r="C17" s="74">
        <f>石油ETF即時淨值!G2</f>
        <v>17.751937434103816</v>
      </c>
      <c r="D17" s="74">
        <f>石油ETF即時淨值!H2</f>
        <v>17.740469007752402</v>
      </c>
      <c r="E17" s="74">
        <f>石油ETF即時淨值!I2</f>
        <v>17.754804540691669</v>
      </c>
      <c r="F17" s="19">
        <f xml:space="preserve"> [1]!'00642U.TW-Price'</f>
        <v>17.829999999999998</v>
      </c>
      <c r="G17" s="19">
        <f xml:space="preserve"> [1]!'00642U.TW-BestBid1'</f>
        <v>17.829999999999998</v>
      </c>
      <c r="H17" s="19">
        <f xml:space="preserve"> [1]!'00642U.TW-BestAsk1'</f>
        <v>17.84</v>
      </c>
      <c r="I17" s="20">
        <f t="shared" si="0"/>
        <v>4.3974110536360023E-3</v>
      </c>
      <c r="J17" s="20">
        <f t="shared" si="1"/>
        <v>5.0467094307637961E-3</v>
      </c>
      <c r="K17" s="20">
        <f t="shared" si="2"/>
        <v>4.798445351120284E-3</v>
      </c>
    </row>
    <row r="18" spans="1:11" s="56" customFormat="1" ht="18" customHeight="1">
      <c r="A18" s="89" t="s">
        <v>385</v>
      </c>
      <c r="B18" s="21" t="s">
        <v>412</v>
      </c>
      <c r="C18" s="74">
        <f>石油ETF即時淨值!G4</f>
        <v>17.560421380537626</v>
      </c>
      <c r="D18" s="74">
        <f>石油ETF即時淨值!H4</f>
        <v>17.573695497715146</v>
      </c>
      <c r="E18" s="74">
        <f>石油ETF即時淨值!I4</f>
        <v>17.575243532476136</v>
      </c>
      <c r="F18" s="19">
        <f xml:space="preserve"> [1]!'00672L.TW-Price'</f>
        <v>17.79</v>
      </c>
      <c r="G18" s="19">
        <f xml:space="preserve"> [1]!'00672L.TW-BestBid1'</f>
        <v>17.78</v>
      </c>
      <c r="H18" s="19">
        <f xml:space="preserve"> [1]!'00672L.TW-BestAsk1'</f>
        <v>17.79</v>
      </c>
      <c r="I18" s="20">
        <f t="shared" si="0"/>
        <v>1.3073639549266103E-2</v>
      </c>
      <c r="J18" s="20">
        <f t="shared" si="1"/>
        <v>1.1739392110878377E-2</v>
      </c>
      <c r="K18" s="20">
        <f t="shared" si="2"/>
        <v>1.2219259842802588E-2</v>
      </c>
    </row>
    <row r="19" spans="1:11" s="56" customFormat="1" ht="18" customHeight="1">
      <c r="A19" s="89" t="s">
        <v>386</v>
      </c>
      <c r="B19" s="21" t="s">
        <v>413</v>
      </c>
      <c r="C19" s="74">
        <f>石油ETF即時淨值!G6</f>
        <v>14.388629145472351</v>
      </c>
      <c r="D19" s="74">
        <f>石油ETF即時淨值!H6</f>
        <v>14.388170054063783</v>
      </c>
      <c r="E19" s="74">
        <f>石油ETF即時淨值!I6</f>
        <v>14.390465511106623</v>
      </c>
      <c r="F19" s="19">
        <f xml:space="preserve"> [1]!'00673R.TW-Price'</f>
        <v>14.36</v>
      </c>
      <c r="G19" s="19">
        <f xml:space="preserve"> [1]!'00673R.TW-BestBid1'</f>
        <v>14.35</v>
      </c>
      <c r="H19" s="19">
        <f xml:space="preserve"> [1]!'00673R.TW-BestAsk1'</f>
        <v>14.36</v>
      </c>
      <c r="I19" s="20">
        <f t="shared" si="0"/>
        <v>-1.9897062592206805E-3</v>
      </c>
      <c r="J19" s="20">
        <f t="shared" si="1"/>
        <v>-2.6528776015545263E-3</v>
      </c>
      <c r="K19" s="20">
        <f t="shared" si="2"/>
        <v>-2.1170622370144665E-3</v>
      </c>
    </row>
    <row r="20" spans="1:11" s="56" customFormat="1" ht="18" customHeight="1">
      <c r="A20" s="89" t="s">
        <v>377</v>
      </c>
      <c r="B20" s="21" t="s">
        <v>414</v>
      </c>
      <c r="C20" s="74">
        <f>黃金ETF即時淨值!G2</f>
        <v>20.739104957250266</v>
      </c>
      <c r="D20" s="74">
        <f>黃金ETF即時淨值!H2</f>
        <v>20.625291612868669</v>
      </c>
      <c r="E20" s="74">
        <f>黃金ETF即時淨值!I2</f>
        <v>20.757461948279555</v>
      </c>
      <c r="F20" s="19">
        <f xml:space="preserve"> [1]!'00635U.TW-Price'</f>
        <v>20.65</v>
      </c>
      <c r="G20" s="19">
        <f xml:space="preserve"> [1]!'00635U.TW-BestBid1'</f>
        <v>20.64</v>
      </c>
      <c r="H20" s="19">
        <f xml:space="preserve"> [1]!'00635U.TW-BestAsk1'</f>
        <v>20.65</v>
      </c>
      <c r="I20" s="20">
        <f t="shared" si="0"/>
        <v>-4.2964707220460863E-3</v>
      </c>
      <c r="J20" s="20">
        <f t="shared" si="1"/>
        <v>7.1312383879962304E-4</v>
      </c>
      <c r="K20" s="20">
        <f t="shared" si="2"/>
        <v>-5.1770273527329547E-3</v>
      </c>
    </row>
    <row r="21" spans="1:11" s="56" customFormat="1" ht="18" customHeight="1">
      <c r="A21" s="89" t="s">
        <v>415</v>
      </c>
      <c r="B21" s="21" t="s">
        <v>435</v>
      </c>
      <c r="C21" s="74">
        <f>黃金ETF即時淨值!G4</f>
        <v>20.436352838732972</v>
      </c>
      <c r="D21" s="74">
        <f>黃金ETF即時淨值!H4</f>
        <v>20.123165709677224</v>
      </c>
      <c r="E21" s="74">
        <f>黃金ETF即時淨值!I4</f>
        <v>20.169319753767834</v>
      </c>
      <c r="F21" s="19">
        <f xml:space="preserve"> [1]!'00708L.TW-Price'</f>
        <v>20.239999999999998</v>
      </c>
      <c r="G21" s="19">
        <f xml:space="preserve"> [1]!'00708L.TW-BestBid1'</f>
        <v>20.23</v>
      </c>
      <c r="H21" s="19">
        <f xml:space="preserve"> [1]!'00708L.TW-BestAsk1'</f>
        <v>20.239999999999998</v>
      </c>
      <c r="I21" s="20">
        <f t="shared" si="0"/>
        <v>-9.6080176478861024E-3</v>
      </c>
      <c r="J21" s="20">
        <f t="shared" si="1"/>
        <v>5.3090200550005573E-3</v>
      </c>
      <c r="K21" s="20">
        <f t="shared" si="2"/>
        <v>3.5043445735922774E-3</v>
      </c>
    </row>
    <row r="22" spans="1:11" s="56" customFormat="1" ht="18" customHeight="1">
      <c r="A22" s="89" t="s">
        <v>387</v>
      </c>
      <c r="B22" s="21" t="s">
        <v>416</v>
      </c>
      <c r="C22" s="74">
        <f>黃金ETF即時淨值!G6</f>
        <v>17.7915960310382</v>
      </c>
      <c r="D22" s="74">
        <f>黃金ETF即時淨值!H6</f>
        <v>17.912893209168711</v>
      </c>
      <c r="E22" s="74">
        <f>黃金ETF即時淨值!I6</f>
        <v>17.914783861726033</v>
      </c>
      <c r="F22" s="19">
        <f xml:space="preserve"> [1]!'00674R.TW-Price'</f>
        <v>17.899999999999999</v>
      </c>
      <c r="G22" s="19">
        <f xml:space="preserve"> [1]!'00674R.TW-BestBid1'</f>
        <v>17.88</v>
      </c>
      <c r="H22" s="19">
        <f xml:space="preserve"> [1]!'00674R.TW-BestAsk1'</f>
        <v>17.91</v>
      </c>
      <c r="I22" s="20">
        <f t="shared" si="0"/>
        <v>6.0929873167467896E-3</v>
      </c>
      <c r="J22" s="20">
        <f t="shared" si="1"/>
        <v>-1.8362867898903401E-3</v>
      </c>
      <c r="K22" s="20">
        <f t="shared" si="2"/>
        <v>-2.6703429764807218E-4</v>
      </c>
    </row>
    <row r="23" spans="1:11" ht="18" customHeight="1">
      <c r="A23" s="89" t="s">
        <v>379</v>
      </c>
      <c r="B23" s="21" t="s">
        <v>417</v>
      </c>
      <c r="C23" s="74" t="e">
        <f>'S&amp;P500系列即時淨值'!G6</f>
        <v>#REF!</v>
      </c>
      <c r="D23" s="74" t="e">
        <f>'S&amp;P500系列即時淨值'!H6</f>
        <v>#REF!</v>
      </c>
      <c r="E23" s="74" t="e">
        <f>'S&amp;P500系列即時淨值'!I6</f>
        <v>#REF!</v>
      </c>
      <c r="F23" s="19">
        <f xml:space="preserve"> [1]!'00646.TW-Price'</f>
        <v>28.3</v>
      </c>
      <c r="G23" s="19">
        <f xml:space="preserve"> [1]!'00646.TW-BestBid1'</f>
        <v>28.3</v>
      </c>
      <c r="H23" s="19">
        <f xml:space="preserve"> [1]!'00646.TW-BestAsk1'</f>
        <v>28.35</v>
      </c>
      <c r="I23" s="20" t="e">
        <f t="shared" si="0"/>
        <v>#REF!</v>
      </c>
      <c r="J23" s="20" t="e">
        <f t="shared" si="1"/>
        <v>#REF!</v>
      </c>
      <c r="K23" s="20" t="e">
        <f t="shared" si="2"/>
        <v>#REF!</v>
      </c>
    </row>
    <row r="24" spans="1:11" ht="18" customHeight="1">
      <c r="A24" s="89" t="s">
        <v>380</v>
      </c>
      <c r="B24" s="21" t="s">
        <v>418</v>
      </c>
      <c r="C24" s="74" t="e">
        <f>'S&amp;P500系列即時淨值'!G2</f>
        <v>#REF!</v>
      </c>
      <c r="D24" s="74" t="e">
        <f>'S&amp;P500系列即時淨值'!H2</f>
        <v>#REF!</v>
      </c>
      <c r="E24" s="74" t="e">
        <f>'S&amp;P500系列即時淨值'!I2</f>
        <v>#REF!</v>
      </c>
      <c r="F24" s="19">
        <f xml:space="preserve"> [1]!'00647L.TW-Price'</f>
        <v>37.76</v>
      </c>
      <c r="G24" s="19">
        <f xml:space="preserve"> [1]!'00647L.TW-BestBid1'</f>
        <v>37.799999999999997</v>
      </c>
      <c r="H24" s="19">
        <f xml:space="preserve"> [1]!'00647L.TW-BestAsk1'</f>
        <v>37.85</v>
      </c>
      <c r="I24" s="20" t="e">
        <f t="shared" si="0"/>
        <v>#REF!</v>
      </c>
      <c r="J24" s="20" t="e">
        <f t="shared" si="1"/>
        <v>#REF!</v>
      </c>
      <c r="K24" s="20" t="e">
        <f t="shared" si="2"/>
        <v>#REF!</v>
      </c>
    </row>
    <row r="25" spans="1:11" ht="18" customHeight="1">
      <c r="A25" s="89" t="s">
        <v>381</v>
      </c>
      <c r="B25" s="21" t="s">
        <v>419</v>
      </c>
      <c r="C25" s="74" t="e">
        <f>'S&amp;P500系列即時淨值'!G4</f>
        <v>#REF!</v>
      </c>
      <c r="D25" s="74" t="e">
        <f>'S&amp;P500系列即時淨值'!H4</f>
        <v>#REF!</v>
      </c>
      <c r="E25" s="74" t="e">
        <f>'S&amp;P500系列即時淨值'!I4</f>
        <v>#REF!</v>
      </c>
      <c r="F25" s="19">
        <f xml:space="preserve"> [1]!'00648R.TW-Price'</f>
        <v>12.01</v>
      </c>
      <c r="G25" s="19">
        <f xml:space="preserve"> [1]!'00648R.TW-BestBid1'</f>
        <v>12.01</v>
      </c>
      <c r="H25" s="19">
        <f xml:space="preserve"> [1]!'00648R.TW-BestAsk1'</f>
        <v>12.02</v>
      </c>
      <c r="I25" s="20" t="e">
        <f t="shared" si="0"/>
        <v>#REF!</v>
      </c>
      <c r="J25" s="20" t="e">
        <f t="shared" si="1"/>
        <v>#REF!</v>
      </c>
      <c r="K25" s="20" t="e">
        <f t="shared" si="2"/>
        <v>#REF!</v>
      </c>
    </row>
    <row r="26" spans="1:11" s="56" customFormat="1" ht="18" customHeight="1">
      <c r="A26" s="89" t="s">
        <v>391</v>
      </c>
      <c r="B26" s="21" t="s">
        <v>420</v>
      </c>
      <c r="C26" s="74" t="e">
        <f>美元指數ETF即時淨值!G2</f>
        <v>#REF!</v>
      </c>
      <c r="D26" s="74" t="e">
        <f>美元指數ETF即時淨值!H2</f>
        <v>#REF!</v>
      </c>
      <c r="E26" s="74" t="e">
        <f>美元指數ETF即時淨值!I2</f>
        <v>#REF!</v>
      </c>
      <c r="F26" s="19">
        <f xml:space="preserve"> [1]!'00682U.TW-Price'</f>
        <v>19.21</v>
      </c>
      <c r="G26" s="19">
        <f xml:space="preserve"> [1]!'00682U.TW-BestBid1'</f>
        <v>19.18</v>
      </c>
      <c r="H26" s="19">
        <f xml:space="preserve"> [1]!'00682U.TW-BestAsk1'</f>
        <v>19.25</v>
      </c>
      <c r="I26" s="20" t="e">
        <f t="shared" si="0"/>
        <v>#REF!</v>
      </c>
      <c r="J26" s="20" t="e">
        <f t="shared" si="1"/>
        <v>#REF!</v>
      </c>
      <c r="K26" s="20" t="e">
        <f t="shared" si="2"/>
        <v>#REF!</v>
      </c>
    </row>
    <row r="27" spans="1:11" s="56" customFormat="1" ht="18" customHeight="1">
      <c r="A27" s="89" t="s">
        <v>392</v>
      </c>
      <c r="B27" s="21" t="s">
        <v>421</v>
      </c>
      <c r="C27" s="74" t="e">
        <f>美元指數ETF即時淨值!G4</f>
        <v>#REF!</v>
      </c>
      <c r="D27" s="74" t="e">
        <f>美元指數ETF即時淨值!H4</f>
        <v>#REF!</v>
      </c>
      <c r="E27" s="74" t="e">
        <f>美元指數ETF即時淨值!I4</f>
        <v>#REF!</v>
      </c>
      <c r="F27" s="19">
        <f xml:space="preserve"> [1]!'00683L.TW-Price'</f>
        <v>19.02</v>
      </c>
      <c r="G27" s="19">
        <f xml:space="preserve"> [1]!'00683L.TW-BestBid1'</f>
        <v>19.010000000000002</v>
      </c>
      <c r="H27" s="19">
        <f xml:space="preserve"> [1]!'00683L.TW-BestAsk1'</f>
        <v>19.04</v>
      </c>
      <c r="I27" s="20" t="e">
        <f t="shared" si="0"/>
        <v>#REF!</v>
      </c>
      <c r="J27" s="20" t="e">
        <f t="shared" si="1"/>
        <v>#REF!</v>
      </c>
      <c r="K27" s="20" t="e">
        <f t="shared" si="2"/>
        <v>#REF!</v>
      </c>
    </row>
    <row r="28" spans="1:11" s="56" customFormat="1" ht="18" customHeight="1">
      <c r="A28" s="89" t="s">
        <v>393</v>
      </c>
      <c r="B28" s="21" t="s">
        <v>422</v>
      </c>
      <c r="C28" s="74" t="e">
        <f>美元指數ETF即時淨值!G6</f>
        <v>#REF!</v>
      </c>
      <c r="D28" s="74" t="e">
        <f>美元指數ETF即時淨值!H6</f>
        <v>#REF!</v>
      </c>
      <c r="E28" s="74" t="e">
        <f>美元指數ETF即時淨值!I6</f>
        <v>#REF!</v>
      </c>
      <c r="F28" s="19">
        <f xml:space="preserve"> [1]!'00684R.TW-Price'</f>
        <v>19.21</v>
      </c>
      <c r="G28" s="19">
        <f xml:space="preserve"> [1]!'00684R.TW-BestBid1'</f>
        <v>19.149999999999999</v>
      </c>
      <c r="H28" s="19">
        <f xml:space="preserve"> [1]!'00684R.TW-BestAsk1'</f>
        <v>19.21</v>
      </c>
      <c r="I28" s="20" t="e">
        <f t="shared" si="0"/>
        <v>#REF!</v>
      </c>
      <c r="J28" s="20" t="e">
        <f t="shared" si="1"/>
        <v>#REF!</v>
      </c>
      <c r="K28" s="20" t="e">
        <f t="shared" si="2"/>
        <v>#REF!</v>
      </c>
    </row>
    <row r="29" spans="1:11" s="56" customFormat="1" ht="18" customHeight="1">
      <c r="A29" s="89" t="s">
        <v>423</v>
      </c>
      <c r="B29" s="21" t="s">
        <v>436</v>
      </c>
      <c r="C29" s="74" t="e">
        <f>日圓ETF即時淨值!G4</f>
        <v>#REF!</v>
      </c>
      <c r="D29" s="74" t="e">
        <f>日圓ETF即時淨值!H4</f>
        <v>#REF!</v>
      </c>
      <c r="E29" s="74" t="e">
        <f>日圓ETF即時淨值!I4</f>
        <v>#REF!</v>
      </c>
      <c r="F29" s="19">
        <f xml:space="preserve"> [1]!'00706L.TW-Price'</f>
        <v>18.100000000000001</v>
      </c>
      <c r="G29" s="19">
        <f xml:space="preserve"> [1]!'00706L.TW-BestBid1'</f>
        <v>18.03</v>
      </c>
      <c r="H29" s="19">
        <f xml:space="preserve"> [1]!'00706L.TW-BestAsk1'</f>
        <v>18.100000000000001</v>
      </c>
      <c r="I29" s="20" t="e">
        <f t="shared" si="0"/>
        <v>#REF!</v>
      </c>
      <c r="J29" s="20" t="e">
        <f t="shared" si="1"/>
        <v>#REF!</v>
      </c>
      <c r="K29" s="20" t="e">
        <f t="shared" si="2"/>
        <v>#REF!</v>
      </c>
    </row>
    <row r="30" spans="1:11" s="56" customFormat="1" ht="18" customHeight="1" thickBot="1">
      <c r="A30" s="89" t="s">
        <v>424</v>
      </c>
      <c r="B30" s="21" t="s">
        <v>437</v>
      </c>
      <c r="C30" s="181" t="e">
        <f>日圓ETF即時淨值!G6</f>
        <v>#REF!</v>
      </c>
      <c r="D30" s="181" t="e">
        <f>日圓ETF即時淨值!H6</f>
        <v>#REF!</v>
      </c>
      <c r="E30" s="181" t="e">
        <f>日圓ETF即時淨值!I6</f>
        <v>#REF!</v>
      </c>
      <c r="F30" s="19" t="str">
        <f xml:space="preserve"> [1]!'00707R.TW-Price'</f>
        <v>--</v>
      </c>
      <c r="G30" s="19">
        <f xml:space="preserve"> [1]!'00707R.TW-BestBid1'</f>
        <v>19.71</v>
      </c>
      <c r="H30" s="19">
        <f xml:space="preserve"> [1]!'00707R.TW-BestAsk1'</f>
        <v>19.77</v>
      </c>
      <c r="I30" s="20" t="e">
        <f t="shared" si="0"/>
        <v>#VALUE!</v>
      </c>
      <c r="J30" s="20" t="e">
        <f t="shared" si="1"/>
        <v>#REF!</v>
      </c>
      <c r="K30" s="20" t="e">
        <f t="shared" si="2"/>
        <v>#REF!</v>
      </c>
    </row>
    <row r="31" spans="1:11" ht="18" customHeight="1">
      <c r="A31" s="89" t="s">
        <v>382</v>
      </c>
      <c r="B31" s="179" t="s">
        <v>425</v>
      </c>
      <c r="C31" s="184"/>
      <c r="D31" s="185"/>
      <c r="E31" s="186"/>
      <c r="F31" s="180">
        <f xml:space="preserve"> [1]!'00660.TW-Price'</f>
        <v>25.61</v>
      </c>
      <c r="G31" s="19">
        <f xml:space="preserve"> [1]!'00660.TW-BestBid1'</f>
        <v>25.59</v>
      </c>
      <c r="H31" s="19">
        <f xml:space="preserve"> [1]!'00660.TW-BestAsk1'</f>
        <v>25.67</v>
      </c>
      <c r="I31" s="20" t="e">
        <f t="shared" si="0"/>
        <v>#DIV/0!</v>
      </c>
      <c r="J31" s="20" t="e">
        <f t="shared" si="1"/>
        <v>#DIV/0!</v>
      </c>
      <c r="K31" s="20" t="e">
        <f t="shared" si="2"/>
        <v>#DIV/0!</v>
      </c>
    </row>
    <row r="32" spans="1:11" ht="18" customHeight="1">
      <c r="A32" s="89" t="s">
        <v>383</v>
      </c>
      <c r="B32" s="179" t="s">
        <v>426</v>
      </c>
      <c r="C32" s="187"/>
      <c r="D32" s="188"/>
      <c r="E32" s="189"/>
      <c r="F32" s="180">
        <f xml:space="preserve"> [1]!'00661.TW-Price'</f>
        <v>27.4</v>
      </c>
      <c r="G32" s="19">
        <f xml:space="preserve"> [1]!'00661.TW-BestBid1'</f>
        <v>27.39</v>
      </c>
      <c r="H32" s="19">
        <f xml:space="preserve"> [1]!'00661.TW-BestAsk1'</f>
        <v>27.46</v>
      </c>
      <c r="I32" s="20" t="e">
        <f t="shared" si="0"/>
        <v>#DIV/0!</v>
      </c>
      <c r="J32" s="20" t="e">
        <f t="shared" si="1"/>
        <v>#DIV/0!</v>
      </c>
      <c r="K32" s="20" t="e">
        <f t="shared" si="2"/>
        <v>#DIV/0!</v>
      </c>
    </row>
    <row r="33" spans="1:11" ht="18" customHeight="1" thickBot="1">
      <c r="A33" s="89" t="s">
        <v>384</v>
      </c>
      <c r="B33" s="179" t="s">
        <v>427</v>
      </c>
      <c r="C33" s="190"/>
      <c r="D33" s="191"/>
      <c r="E33" s="192"/>
      <c r="F33" s="180" t="e">
        <f xml:space="preserve"> [1]!'00667.TW-Price'</f>
        <v>#N/A</v>
      </c>
      <c r="G33" s="19" t="e">
        <f xml:space="preserve"> [1]!'00667.TW-BestBid1'</f>
        <v>#N/A</v>
      </c>
      <c r="H33" s="19" t="e">
        <f xml:space="preserve"> [1]!'00667.TW-BestAsk1'</f>
        <v>#N/A</v>
      </c>
      <c r="I33" s="20" t="e">
        <f t="shared" si="0"/>
        <v>#N/A</v>
      </c>
      <c r="J33" s="20" t="e">
        <f t="shared" si="1"/>
        <v>#N/A</v>
      </c>
      <c r="K33" s="20" t="e">
        <f t="shared" si="2"/>
        <v>#N/A</v>
      </c>
    </row>
    <row r="34" spans="1:11" ht="18" customHeight="1" thickBot="1">
      <c r="A34" s="89" t="s">
        <v>388</v>
      </c>
      <c r="B34" s="179" t="s">
        <v>428</v>
      </c>
      <c r="C34" s="193"/>
      <c r="D34" s="194"/>
      <c r="E34" s="195"/>
      <c r="F34" s="180">
        <f xml:space="preserve"> [1]!'00679B.TW-Price'</f>
        <v>41.63</v>
      </c>
      <c r="G34" s="19">
        <f xml:space="preserve"> [1]!'00679B.TW-BestBid1'</f>
        <v>41.62</v>
      </c>
      <c r="H34" s="19">
        <f xml:space="preserve"> [1]!'00679B.TW-BestAsk1'</f>
        <v>41.63</v>
      </c>
      <c r="I34" s="20" t="e">
        <f t="shared" si="0"/>
        <v>#DIV/0!</v>
      </c>
      <c r="J34" s="20" t="e">
        <f t="shared" si="1"/>
        <v>#DIV/0!</v>
      </c>
      <c r="K34" s="20" t="e">
        <f t="shared" si="2"/>
        <v>#DIV/0!</v>
      </c>
    </row>
    <row r="35" spans="1:11" ht="18" customHeight="1">
      <c r="A35" s="89" t="s">
        <v>389</v>
      </c>
      <c r="B35" s="21" t="s">
        <v>429</v>
      </c>
      <c r="C35" s="182" t="e">
        <f>'20年美債ETF即時淨值'!G2</f>
        <v>#REF!</v>
      </c>
      <c r="D35" s="182" t="e">
        <f>'20年美債ETF即時淨值'!H2</f>
        <v>#REF!</v>
      </c>
      <c r="E35" s="182" t="e">
        <f>'20年美債ETF即時淨值'!I2</f>
        <v>#REF!</v>
      </c>
      <c r="F35" s="19">
        <f xml:space="preserve"> [1]!'00680L.TW-Price'</f>
        <v>21.86</v>
      </c>
      <c r="G35" s="19">
        <f xml:space="preserve"> [1]!'00680L.TW-BestBid1'</f>
        <v>21.82</v>
      </c>
      <c r="H35" s="19">
        <f xml:space="preserve"> [1]!'00680L.TW-BestAsk1'</f>
        <v>21.86</v>
      </c>
      <c r="I35" s="20" t="e">
        <f t="shared" si="0"/>
        <v>#REF!</v>
      </c>
      <c r="J35" s="20" t="e">
        <f t="shared" si="1"/>
        <v>#REF!</v>
      </c>
      <c r="K35" s="20" t="e">
        <f t="shared" si="2"/>
        <v>#REF!</v>
      </c>
    </row>
    <row r="36" spans="1:11" ht="18" customHeight="1" thickBot="1">
      <c r="A36" s="89" t="s">
        <v>390</v>
      </c>
      <c r="B36" s="21" t="s">
        <v>430</v>
      </c>
      <c r="C36" s="181" t="e">
        <f>'20年美債ETF即時淨值'!G4</f>
        <v>#REF!</v>
      </c>
      <c r="D36" s="181" t="e">
        <f>'20年美債ETF即時淨值'!H4</f>
        <v>#REF!</v>
      </c>
      <c r="E36" s="181" t="e">
        <f>'20年美債ETF即時淨值'!I4</f>
        <v>#REF!</v>
      </c>
      <c r="F36" s="19">
        <f xml:space="preserve"> [1]!'00681R.TW-Price'</f>
        <v>17.18</v>
      </c>
      <c r="G36" s="19">
        <f xml:space="preserve"> [1]!'00681R.TW-BestBid1'</f>
        <v>17.170000000000002</v>
      </c>
      <c r="H36" s="19">
        <f xml:space="preserve"> [1]!'00681R.TW-BestAsk1'</f>
        <v>17.2</v>
      </c>
      <c r="I36" s="20" t="e">
        <f t="shared" si="0"/>
        <v>#REF!</v>
      </c>
      <c r="J36" s="20" t="e">
        <f t="shared" si="1"/>
        <v>#REF!</v>
      </c>
      <c r="K36" s="20" t="e">
        <f t="shared" si="2"/>
        <v>#REF!</v>
      </c>
    </row>
    <row r="37" spans="1:11" ht="18" customHeight="1" thickBot="1">
      <c r="A37" s="89" t="s">
        <v>394</v>
      </c>
      <c r="B37" s="179" t="s">
        <v>431</v>
      </c>
      <c r="C37" s="193"/>
      <c r="D37" s="194"/>
      <c r="E37" s="195"/>
      <c r="F37" s="180">
        <f xml:space="preserve"> [1]!'00697B.TW-Price'</f>
        <v>41.85</v>
      </c>
      <c r="G37" s="19">
        <f xml:space="preserve"> [1]!'00697B.TW-BestBid1'</f>
        <v>41.84</v>
      </c>
      <c r="H37" s="19">
        <f xml:space="preserve"> [1]!'00697B.TW-BestAsk1'</f>
        <v>41.86</v>
      </c>
      <c r="I37" s="20" t="e">
        <f t="shared" si="0"/>
        <v>#DIV/0!</v>
      </c>
      <c r="J37" s="20" t="e">
        <f t="shared" si="1"/>
        <v>#DIV/0!</v>
      </c>
      <c r="K37" s="20" t="e">
        <f t="shared" si="2"/>
        <v>#DIV/0!</v>
      </c>
    </row>
    <row r="38" spans="1:11" ht="18" customHeight="1">
      <c r="A38" s="89" t="s">
        <v>395</v>
      </c>
      <c r="B38" s="21" t="s">
        <v>432</v>
      </c>
      <c r="C38" s="182" t="e">
        <f>'10年美債ETF即時淨值'!G2</f>
        <v>#REF!</v>
      </c>
      <c r="D38" s="182" t="e">
        <f>'10年美債ETF即時淨值'!H2</f>
        <v>#REF!</v>
      </c>
      <c r="E38" s="182" t="e">
        <f>'10年美債ETF即時淨值'!I2</f>
        <v>#REF!</v>
      </c>
      <c r="F38" s="19" t="e">
        <f xml:space="preserve"> [1]!'00698L.TW-Price'</f>
        <v>#N/A</v>
      </c>
      <c r="G38" s="19" t="e">
        <f xml:space="preserve"> [1]!'00698L.TW-BestBid1'</f>
        <v>#N/A</v>
      </c>
      <c r="H38" s="19" t="e">
        <f xml:space="preserve"> [1]!'00698L.TW-BestAsk1'</f>
        <v>#N/A</v>
      </c>
      <c r="I38" s="20" t="e">
        <f t="shared" si="0"/>
        <v>#N/A</v>
      </c>
      <c r="J38" s="20" t="e">
        <f t="shared" si="1"/>
        <v>#N/A</v>
      </c>
      <c r="K38" s="20" t="e">
        <f t="shared" si="2"/>
        <v>#N/A</v>
      </c>
    </row>
    <row r="39" spans="1:11" ht="18" customHeight="1">
      <c r="A39" s="89" t="s">
        <v>396</v>
      </c>
      <c r="B39" s="21" t="s">
        <v>433</v>
      </c>
      <c r="C39" s="74" t="e">
        <f>'10年美債ETF即時淨值'!G4</f>
        <v>#REF!</v>
      </c>
      <c r="D39" s="74" t="e">
        <f>'10年美債ETF即時淨值'!H4</f>
        <v>#REF!</v>
      </c>
      <c r="E39" s="74" t="e">
        <f>'10年美債ETF即時淨值'!I4</f>
        <v>#REF!</v>
      </c>
      <c r="F39" s="19" t="e">
        <f xml:space="preserve"> [1]!'00699R.TW-Price'</f>
        <v>#N/A</v>
      </c>
      <c r="G39" s="19" t="e">
        <f xml:space="preserve"> [1]!'00699R.TW-BestBid1'</f>
        <v>#N/A</v>
      </c>
      <c r="H39" s="19" t="e">
        <f xml:space="preserve"> [1]!'00699R.TW-BestAsk1'</f>
        <v>#N/A</v>
      </c>
      <c r="I39" s="20" t="e">
        <f t="shared" si="0"/>
        <v>#N/A</v>
      </c>
      <c r="J39" s="20" t="e">
        <f t="shared" si="1"/>
        <v>#N/A</v>
      </c>
      <c r="K39" s="20" t="e">
        <f t="shared" si="2"/>
        <v>#N/A</v>
      </c>
    </row>
    <row r="40" spans="1:11" ht="18" customHeight="1"/>
    <row r="41" spans="1:11" ht="18" customHeight="1"/>
    <row r="42" spans="1:11" ht="18" customHeight="1">
      <c r="C42" s="338"/>
      <c r="D42" s="338"/>
      <c r="E42" s="338"/>
      <c r="F42" s="338"/>
      <c r="G42" s="338"/>
    </row>
    <row r="43" spans="1:11" ht="18" customHeight="1">
      <c r="C43" s="338"/>
      <c r="D43" s="338"/>
      <c r="E43" s="338"/>
      <c r="F43" s="338"/>
      <c r="G43" s="338"/>
    </row>
    <row r="44" spans="1:11" ht="18" customHeight="1">
      <c r="C44" s="338"/>
      <c r="D44" s="338"/>
      <c r="E44" s="338"/>
      <c r="F44" s="338"/>
      <c r="G44" s="338"/>
    </row>
    <row r="45" spans="1:11" ht="18" customHeight="1">
      <c r="C45" s="338"/>
      <c r="D45" s="338"/>
      <c r="E45" s="338"/>
      <c r="F45" s="338"/>
      <c r="G45" s="338"/>
    </row>
    <row r="46" spans="1:11">
      <c r="C46" s="338"/>
      <c r="D46" s="338"/>
      <c r="E46" s="338"/>
      <c r="F46" s="338"/>
      <c r="G46" s="338"/>
    </row>
    <row r="47" spans="1:11">
      <c r="C47" s="338"/>
      <c r="D47" s="338"/>
      <c r="E47" s="338"/>
      <c r="F47" s="338"/>
      <c r="G47" s="338"/>
    </row>
    <row r="48" spans="1:11">
      <c r="C48" s="338"/>
      <c r="D48" s="338"/>
      <c r="E48" s="338"/>
      <c r="F48" s="338"/>
      <c r="G48" s="338"/>
    </row>
  </sheetData>
  <mergeCells count="3">
    <mergeCell ref="F1:H1"/>
    <mergeCell ref="I1:K1"/>
    <mergeCell ref="C1:E1"/>
  </mergeCells>
  <phoneticPr fontId="0" type="noConversion"/>
  <conditionalFormatting sqref="I3:K39">
    <cfRule type="cellIs" dxfId="89" priority="1" operator="lessThan">
      <formula>0</formula>
    </cfRule>
    <cfRule type="cellIs" dxfId="88" priority="2" operator="greaterThan">
      <formula>0</formula>
    </cfRule>
  </conditionalFormatting>
  <pageMargins left="0.7" right="0.7" top="0.75" bottom="0.75" header="0.3" footer="0.3"/>
  <pageSetup paperSize="9" scale="49" orientation="portrait" r:id="rId1"/>
  <drawing r:id="rId2"/>
  <legacyDrawing r:id="rId3"/>
  <controls>
    <mc:AlternateContent xmlns:mc="http://schemas.openxmlformats.org/markup-compatibility/2006">
      <mc:Choice Requires="x14">
        <control shapeId="34671616" r:id="rId4" name="CommandButton1">
          <controlPr defaultSize="0" autoLine="0" r:id="rId5">
            <anchor moveWithCells="1">
              <from>
                <xdr:col>11</xdr:col>
                <xdr:colOff>99060</xdr:colOff>
                <xdr:row>0</xdr:row>
                <xdr:rowOff>121920</xdr:rowOff>
              </from>
              <to>
                <xdr:col>14</xdr:col>
                <xdr:colOff>167640</xdr:colOff>
                <xdr:row>2</xdr:row>
                <xdr:rowOff>175260</xdr:rowOff>
              </to>
            </anchor>
          </controlPr>
        </control>
      </mc:Choice>
      <mc:Fallback>
        <control shapeId="34671616" r:id="rId4" name="CommandButton1"/>
      </mc:Fallback>
    </mc:AlternateContent>
    <mc:AlternateContent xmlns:mc="http://schemas.openxmlformats.org/markup-compatibility/2006">
      <mc:Choice Requires="x14">
        <control shapeId="34671617" r:id="rId6" name="Button 1025">
          <controlPr defaultSize="0" print="0" autoFill="0" autoPict="0" macro="[0]!getXQKGIDDE2">
            <anchor moveWithCells="1" sizeWithCells="1">
              <from>
                <xdr:col>11</xdr:col>
                <xdr:colOff>335280</xdr:colOff>
                <xdr:row>3</xdr:row>
                <xdr:rowOff>129540</xdr:rowOff>
              </from>
              <to>
                <xdr:col>13</xdr:col>
                <xdr:colOff>68580</xdr:colOff>
                <xdr:row>5</xdr:row>
                <xdr:rowOff>15240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55"/>
  <sheetViews>
    <sheetView zoomScaleNormal="100" workbookViewId="0">
      <pane xSplit="1" ySplit="1" topLeftCell="B32" activePane="bottomRight" state="frozen"/>
      <selection pane="topRight" activeCell="B1" sqref="B1"/>
      <selection pane="bottomLeft" activeCell="A2" sqref="A2"/>
      <selection pane="bottomRight" activeCell="D12" sqref="D12"/>
    </sheetView>
  </sheetViews>
  <sheetFormatPr defaultColWidth="9" defaultRowHeight="16.2"/>
  <cols>
    <col min="1" max="1" width="23.44140625" style="334" customWidth="1"/>
    <col min="2" max="2" width="12.77734375" style="332" customWidth="1"/>
    <col min="3" max="3" width="9" style="332" customWidth="1"/>
    <col min="4" max="4" width="41.44140625" style="369" customWidth="1"/>
    <col min="5" max="5" width="34.88671875" style="369" customWidth="1"/>
    <col min="6" max="6" width="12.33203125" style="332" customWidth="1"/>
    <col min="7" max="7" width="10.77734375" style="332" customWidth="1"/>
    <col min="8" max="8" width="21.109375" style="332" customWidth="1"/>
    <col min="9" max="9" width="19.21875" style="332" customWidth="1"/>
    <col min="10" max="10" width="10.33203125" style="332" customWidth="1"/>
    <col min="11" max="11" width="13.44140625" style="332" customWidth="1"/>
    <col min="12" max="12" width="63.21875" style="332" customWidth="1"/>
    <col min="13" max="13" width="96.6640625" style="332" bestFit="1" customWidth="1"/>
    <col min="14" max="14" width="25.21875" style="332" customWidth="1"/>
    <col min="15" max="15" width="17.33203125" style="332" customWidth="1"/>
    <col min="16" max="16" width="20.88671875" style="332" customWidth="1"/>
    <col min="17" max="16384" width="9" style="332"/>
  </cols>
  <sheetData>
    <row r="1" spans="1:18">
      <c r="A1" s="334" t="s">
        <v>1682</v>
      </c>
      <c r="B1" s="332" t="s">
        <v>1691</v>
      </c>
      <c r="C1" s="332" t="s">
        <v>1692</v>
      </c>
      <c r="D1" s="369" t="s">
        <v>1732</v>
      </c>
      <c r="E1" s="369" t="s">
        <v>1704</v>
      </c>
      <c r="F1" s="332" t="s">
        <v>1693</v>
      </c>
      <c r="G1" s="332" t="s">
        <v>1694</v>
      </c>
      <c r="H1" s="332" t="s">
        <v>1690</v>
      </c>
      <c r="I1" s="332" t="s">
        <v>1695</v>
      </c>
      <c r="J1" s="332" t="s">
        <v>1696</v>
      </c>
      <c r="K1" s="332" t="s">
        <v>1689</v>
      </c>
      <c r="M1" s="332" t="s">
        <v>1688</v>
      </c>
      <c r="N1" s="332" t="s">
        <v>1697</v>
      </c>
      <c r="O1" s="335"/>
    </row>
    <row r="2" spans="1:18">
      <c r="A2" s="334" t="s">
        <v>1687</v>
      </c>
      <c r="B2" s="332" t="s">
        <v>1680</v>
      </c>
      <c r="C2" s="371" t="s">
        <v>1836</v>
      </c>
      <c r="D2" s="369" t="e">
        <f>RTD("kgi.tw.der.pricertdserver.2014.1",,A2 &amp; "_Reference" &amp; ":" &amp; B2 &amp; "@" &amp; C2)</f>
        <v>#N/A</v>
      </c>
      <c r="E2" s="369" t="e">
        <f>RTD("kgi.tw.der.pricertdserver.2014.1",,A2 &amp;":"&amp; B2&amp;"@" &amp; C2)</f>
        <v>#N/A</v>
      </c>
      <c r="F2" s="333" t="e">
        <f>RTD("kgi.tw.der.pricertdserver.2014.1",,A2 &amp; "_BidPrice1" &amp; ":" &amp; B2 &amp; "@" &amp; C2)</f>
        <v>#N/A</v>
      </c>
      <c r="G2" s="333" t="e">
        <f>RTD("kgi.tw.der.pricertdserver.2014.1",,A2 &amp; "_AskPrice1" &amp; ":" &amp; B2 &amp; "@" &amp; C2)</f>
        <v>#N/A</v>
      </c>
      <c r="H2" s="332" t="e">
        <f>RTD("kgi.tw.der.pricertdserver.2014.1",,A2 &amp; "_Time" &amp; ":" &amp; B2 &amp; "@" &amp; C2)</f>
        <v>#N/A</v>
      </c>
      <c r="I2" s="332" t="e">
        <f t="shared" ref="I2:I6" si="0">LEFT(H2,FIND("_",H2)-1) &amp; RIGHT(H2,FIND("_",H2))</f>
        <v>#N/A</v>
      </c>
      <c r="J2" s="336" t="e">
        <f t="shared" ref="J2:J6" ca="1" si="1">I2-$L$2+100000</f>
        <v>#N/A</v>
      </c>
      <c r="K2" s="332" t="s">
        <v>1682</v>
      </c>
      <c r="L2" s="337" t="str">
        <f ca="1">TEXT(NOW(),"yyyymmddhhmm") &amp; "00000"</f>
        <v>20190713142200000</v>
      </c>
      <c r="M2" s="332" t="s">
        <v>1681</v>
      </c>
      <c r="N2" s="333"/>
      <c r="R2" s="333"/>
    </row>
    <row r="3" spans="1:18">
      <c r="A3" s="334" t="s">
        <v>1686</v>
      </c>
      <c r="B3" s="332" t="s">
        <v>1680</v>
      </c>
      <c r="C3" s="370" t="s">
        <v>1836</v>
      </c>
      <c r="D3" s="369" t="e">
        <f>RTD("kgi.tw.der.pricertdserver.2014.1",,A3 &amp; "_Reference" &amp; ":" &amp; B3 &amp; "@" &amp; C3)</f>
        <v>#N/A</v>
      </c>
      <c r="E3" s="369" t="e">
        <f>RTD("kgi.tw.der.pricertdserver.2014.1",,A3 &amp;":"&amp; B3&amp;"@" &amp; C3)</f>
        <v>#N/A</v>
      </c>
      <c r="F3" s="333" t="e">
        <f>RTD("kgi.tw.der.pricertdserver.2014.1",,A3 &amp; "_BidPrice1" &amp; ":" &amp; B3 &amp; "@" &amp; C3)</f>
        <v>#N/A</v>
      </c>
      <c r="G3" s="333" t="e">
        <f>RTD("kgi.tw.der.pricertdserver.2014.1",,A3 &amp; "_AskPrice1" &amp; ":" &amp; B3 &amp; "@" &amp; C3)</f>
        <v>#N/A</v>
      </c>
      <c r="H3" s="332" t="e">
        <f>RTD("kgi.tw.der.pricertdserver.2014.1",,A3 &amp; "_Time" &amp; ":" &amp; B3 &amp; "@" &amp; C3)</f>
        <v>#N/A</v>
      </c>
      <c r="I3" s="332" t="e">
        <f t="shared" si="0"/>
        <v>#N/A</v>
      </c>
      <c r="J3" s="336" t="e">
        <f t="shared" ca="1" si="1"/>
        <v>#N/A</v>
      </c>
      <c r="K3" s="332" t="s">
        <v>1682</v>
      </c>
      <c r="L3" s="336"/>
      <c r="M3" s="332" t="s">
        <v>1681</v>
      </c>
      <c r="N3" s="333"/>
    </row>
    <row r="4" spans="1:18">
      <c r="A4" s="334" t="s">
        <v>1685</v>
      </c>
      <c r="B4" s="332" t="s">
        <v>1680</v>
      </c>
      <c r="C4" s="370" t="s">
        <v>1836</v>
      </c>
      <c r="D4" s="369" t="e">
        <f>RTD("kgi.tw.der.pricertdserver.2014.1",,A4 &amp; "_Reference" &amp; ":" &amp; B4 &amp; "@" &amp; C4)</f>
        <v>#N/A</v>
      </c>
      <c r="E4" s="369" t="e">
        <f>RTD("kgi.tw.der.pricertdserver.2014.1",,A4 &amp;":"&amp; B4&amp;"@" &amp; C4)</f>
        <v>#N/A</v>
      </c>
      <c r="F4" s="333" t="e">
        <f>RTD("kgi.tw.der.pricertdserver.2014.1",,A4 &amp; "_BidPrice1" &amp; ":" &amp; B4 &amp; "@" &amp; C4)</f>
        <v>#N/A</v>
      </c>
      <c r="G4" s="333" t="e">
        <f>RTD("kgi.tw.der.pricertdserver.2014.1",,A4 &amp; "_AskPrice1" &amp; ":" &amp; B4 &amp; "@" &amp; C4)</f>
        <v>#N/A</v>
      </c>
      <c r="H4" s="332" t="e">
        <f>RTD("kgi.tw.der.pricertdserver.2014.1",,A4 &amp; "_Time" &amp; ":" &amp; B4 &amp; "@" &amp; C4)</f>
        <v>#N/A</v>
      </c>
      <c r="I4" s="332" t="e">
        <f t="shared" si="0"/>
        <v>#N/A</v>
      </c>
      <c r="J4" s="336" t="e">
        <f t="shared" ca="1" si="1"/>
        <v>#N/A</v>
      </c>
      <c r="K4" s="332" t="s">
        <v>1682</v>
      </c>
      <c r="M4" s="332" t="s">
        <v>1681</v>
      </c>
      <c r="N4" s="333"/>
    </row>
    <row r="5" spans="1:18">
      <c r="A5" s="334" t="s">
        <v>1684</v>
      </c>
      <c r="B5" s="332" t="s">
        <v>1680</v>
      </c>
      <c r="C5" s="370" t="s">
        <v>1836</v>
      </c>
      <c r="D5" s="369" t="e">
        <f>RTD("kgi.tw.der.pricertdserver.2014.1",,A5 &amp; "_Reference" &amp; ":" &amp; B5 &amp; "@" &amp; C5)</f>
        <v>#N/A</v>
      </c>
      <c r="E5" s="369" t="e">
        <f>RTD("kgi.tw.der.pricertdserver.2014.1",,A5 &amp;":"&amp; B5&amp;"@" &amp; C5)</f>
        <v>#N/A</v>
      </c>
      <c r="F5" s="333" t="e">
        <f>RTD("kgi.tw.der.pricertdserver.2014.1",,A5 &amp; "_BidPrice1" &amp; ":" &amp; B5 &amp; "@" &amp; C5)</f>
        <v>#N/A</v>
      </c>
      <c r="G5" s="333" t="e">
        <f>RTD("kgi.tw.der.pricertdserver.2014.1",,A5 &amp; "_AskPrice1" &amp; ":" &amp; B5 &amp; "@" &amp; C5)</f>
        <v>#N/A</v>
      </c>
      <c r="H5" s="332" t="e">
        <f>RTD("kgi.tw.der.pricertdserver.2014.1",,A5 &amp; "_Time" &amp; ":" &amp; B5 &amp; "@" &amp; C5)</f>
        <v>#N/A</v>
      </c>
      <c r="I5" s="332" t="e">
        <f t="shared" si="0"/>
        <v>#N/A</v>
      </c>
      <c r="J5" s="336" t="e">
        <f t="shared" ca="1" si="1"/>
        <v>#N/A</v>
      </c>
      <c r="K5" s="332" t="s">
        <v>1682</v>
      </c>
      <c r="M5" s="332" t="s">
        <v>1681</v>
      </c>
      <c r="N5" s="333"/>
    </row>
    <row r="6" spans="1:18">
      <c r="A6" s="334" t="s">
        <v>1683</v>
      </c>
      <c r="B6" s="332" t="s">
        <v>1680</v>
      </c>
      <c r="C6" s="370" t="s">
        <v>1836</v>
      </c>
      <c r="D6" s="369" t="e">
        <f>RTD("kgi.tw.der.pricertdserver.2014.1",,A6 &amp; "_Reference" &amp; ":" &amp; B6 &amp; "@" &amp; C6)</f>
        <v>#N/A</v>
      </c>
      <c r="E6" s="369" t="e">
        <f>RTD("kgi.tw.der.pricertdserver.2014.1",,A6 &amp;":"&amp; B6&amp;"@" &amp; C6)</f>
        <v>#N/A</v>
      </c>
      <c r="F6" s="333" t="e">
        <f>RTD("kgi.tw.der.pricertdserver.2014.1",,A6 &amp; "_BidPrice1" &amp; ":" &amp; B6 &amp; "@" &amp; C6)</f>
        <v>#N/A</v>
      </c>
      <c r="G6" s="333" t="e">
        <f>RTD("kgi.tw.der.pricertdserver.2014.1",,A6 &amp; "_AskPrice1" &amp; ":" &amp; B6 &amp; "@" &amp; C6)</f>
        <v>#N/A</v>
      </c>
      <c r="H6" s="332" t="e">
        <f>RTD("kgi.tw.der.pricertdserver.2014.1",,A6 &amp; "_Time" &amp; ":" &amp; B6 &amp; "@" &amp; C6)</f>
        <v>#N/A</v>
      </c>
      <c r="I6" s="332" t="e">
        <f t="shared" si="0"/>
        <v>#N/A</v>
      </c>
      <c r="J6" s="336" t="e">
        <f t="shared" ca="1" si="1"/>
        <v>#N/A</v>
      </c>
      <c r="K6" s="332" t="s">
        <v>1682</v>
      </c>
      <c r="M6" s="332" t="s">
        <v>1681</v>
      </c>
      <c r="N6" s="333"/>
    </row>
    <row r="7" spans="1:18">
      <c r="A7" s="334" t="s">
        <v>1837</v>
      </c>
      <c r="B7" s="332" t="s">
        <v>1698</v>
      </c>
      <c r="C7" s="371" t="s">
        <v>1836</v>
      </c>
      <c r="D7" s="369" t="e">
        <f>RTD("kgi.tw.der.pricertdserver.2014.1",,A7 &amp; "_Reference" &amp; ":" &amp; B7 &amp; "@" &amp; C7)</f>
        <v>#N/A</v>
      </c>
      <c r="E7" s="369" t="e">
        <f>RTD("kgi.tw.der.pricertdserver.2014.1",,A7 &amp;":"&amp; B7&amp;"@" &amp; C7)</f>
        <v>#N/A</v>
      </c>
      <c r="F7" s="333" t="e">
        <f>RTD("kgi.tw.der.pricertdserver.2014.1",,A7 &amp; "_BidPrice1" &amp; ":" &amp; B7 &amp; "@" &amp; C7)</f>
        <v>#N/A</v>
      </c>
      <c r="G7" s="333" t="e">
        <f>RTD("kgi.tw.der.pricertdserver.2014.1",,A7 &amp; "_AskPrice1" &amp; ":" &amp; B7 &amp; "@" &amp; C7)</f>
        <v>#N/A</v>
      </c>
      <c r="H7" s="332" t="e">
        <f>RTD("kgi.tw.der.pricertdserver.2014.1",,A7 &amp; "_Time" &amp; ":" &amp; B7 &amp; "@" &amp; C7)</f>
        <v>#N/A</v>
      </c>
      <c r="I7" s="332" t="e">
        <f t="shared" ref="I7:I8" si="2">LEFT(H7,FIND("_",H7)-1) &amp; RIGHT(H7,FIND("_",H7))</f>
        <v>#N/A</v>
      </c>
      <c r="J7" s="336" t="e">
        <f t="shared" ref="J7:J8" ca="1" si="3">I7-$L$2+100000</f>
        <v>#N/A</v>
      </c>
      <c r="K7" s="332" t="s">
        <v>1699</v>
      </c>
      <c r="M7" s="332" t="s">
        <v>1700</v>
      </c>
      <c r="N7" s="333"/>
    </row>
    <row r="8" spans="1:18">
      <c r="A8" s="334" t="s">
        <v>1838</v>
      </c>
      <c r="B8" s="332" t="s">
        <v>1698</v>
      </c>
      <c r="C8" s="371" t="s">
        <v>1836</v>
      </c>
      <c r="D8" s="369" t="e">
        <f>RTD("kgi.tw.der.pricertdserver.2014.1",,A8 &amp; "_Reference" &amp; ":" &amp; B8 &amp; "@" &amp; C8)</f>
        <v>#N/A</v>
      </c>
      <c r="E8" s="369" t="e">
        <f>RTD("kgi.tw.der.pricertdserver.2014.1",,A8 &amp;":"&amp; B8&amp;"@" &amp; C8)</f>
        <v>#N/A</v>
      </c>
      <c r="F8" s="333" t="e">
        <f>RTD("kgi.tw.der.pricertdserver.2014.1",,A8 &amp; "_BidPrice1" &amp; ":" &amp; B8 &amp; "@" &amp; C8)</f>
        <v>#N/A</v>
      </c>
      <c r="G8" s="333" t="e">
        <f>RTD("kgi.tw.der.pricertdserver.2014.1",,A8 &amp; "_AskPrice1" &amp; ":" &amp; B8 &amp; "@" &amp; C8)</f>
        <v>#N/A</v>
      </c>
      <c r="H8" s="332" t="e">
        <f>RTD("kgi.tw.der.pricertdserver.2014.1",,A8 &amp; "_Time" &amp; ":" &amp; B8 &amp; "@" &amp; C8)</f>
        <v>#N/A</v>
      </c>
      <c r="I8" s="332" t="e">
        <f t="shared" si="2"/>
        <v>#N/A</v>
      </c>
      <c r="J8" s="336" t="e">
        <f t="shared" ca="1" si="3"/>
        <v>#N/A</v>
      </c>
      <c r="K8" s="332" t="s">
        <v>1699</v>
      </c>
      <c r="M8" s="332" t="s">
        <v>1701</v>
      </c>
      <c r="N8" s="333"/>
    </row>
    <row r="9" spans="1:18">
      <c r="A9" s="334" t="s">
        <v>1839</v>
      </c>
      <c r="B9" s="332" t="s">
        <v>1698</v>
      </c>
      <c r="C9" s="370" t="s">
        <v>1836</v>
      </c>
      <c r="D9" s="369" t="e">
        <f>RTD("kgi.tw.der.pricertdserver.2014.1",,A9 &amp; "_Reference" &amp; ":" &amp; B9 &amp; "@" &amp; C9)</f>
        <v>#N/A</v>
      </c>
      <c r="E9" s="369" t="e">
        <f>RTD("kgi.tw.der.pricertdserver.2014.1",,A9 &amp;":"&amp; B9&amp;"@" &amp; C9)</f>
        <v>#N/A</v>
      </c>
      <c r="F9" s="333" t="e">
        <f>RTD("kgi.tw.der.pricertdserver.2014.1",,A9 &amp; "_BidPrice1" &amp; ":" &amp; B9 &amp; "@" &amp; C9)</f>
        <v>#N/A</v>
      </c>
      <c r="G9" s="333" t="e">
        <f>RTD("kgi.tw.der.pricertdserver.2014.1",,A9 &amp; "_AskPrice1" &amp; ":" &amp; B9 &amp; "@" &amp; C9)</f>
        <v>#N/A</v>
      </c>
      <c r="H9" s="332" t="e">
        <f>RTD("kgi.tw.der.pricertdserver.2014.1",,A9 &amp; "_Time" &amp; ":" &amp; B9 &amp; "@" &amp; C9)</f>
        <v>#N/A</v>
      </c>
      <c r="I9" s="332" t="e">
        <f t="shared" ref="I9:I48" si="4">LEFT(H9,FIND("_",H9)-1) &amp; RIGHT(H9,FIND("_",H9))</f>
        <v>#N/A</v>
      </c>
      <c r="J9" s="336" t="e">
        <f t="shared" ref="J9:J48" ca="1" si="5">I9-$L$2+100000</f>
        <v>#N/A</v>
      </c>
      <c r="K9" s="332" t="s">
        <v>1699</v>
      </c>
      <c r="N9" s="333"/>
    </row>
    <row r="10" spans="1:18">
      <c r="A10" s="334" t="s">
        <v>1840</v>
      </c>
      <c r="B10" s="332" t="s">
        <v>1698</v>
      </c>
      <c r="C10" s="370" t="s">
        <v>1836</v>
      </c>
      <c r="D10" s="369" t="e">
        <f>RTD("kgi.tw.der.pricertdserver.2014.1",,A10 &amp; "_Reference" &amp; ":" &amp; B10 &amp; "@" &amp; C10)</f>
        <v>#N/A</v>
      </c>
      <c r="E10" s="369" t="e">
        <f>RTD("kgi.tw.der.pricertdserver.2014.1",,A10 &amp;":"&amp; B10&amp;"@" &amp; C10)</f>
        <v>#N/A</v>
      </c>
      <c r="F10" s="333" t="e">
        <f>RTD("kgi.tw.der.pricertdserver.2014.1",,A10 &amp; "_BidPrice1" &amp; ":" &amp; B10 &amp; "@" &amp; C10)</f>
        <v>#N/A</v>
      </c>
      <c r="G10" s="333" t="e">
        <f>RTD("kgi.tw.der.pricertdserver.2014.1",,A10 &amp; "_AskPrice1" &amp; ":" &amp; B10 &amp; "@" &amp; C10)</f>
        <v>#N/A</v>
      </c>
      <c r="H10" s="332" t="e">
        <f>RTD("kgi.tw.der.pricertdserver.2014.1",,A10 &amp; "_Time" &amp; ":" &amp; B10 &amp; "@" &amp; C10)</f>
        <v>#N/A</v>
      </c>
      <c r="I10" s="332" t="e">
        <f t="shared" si="4"/>
        <v>#N/A</v>
      </c>
      <c r="J10" s="336" t="e">
        <f t="shared" ca="1" si="5"/>
        <v>#N/A</v>
      </c>
      <c r="K10" s="332" t="s">
        <v>1699</v>
      </c>
    </row>
    <row r="11" spans="1:18">
      <c r="A11" s="334" t="s">
        <v>1841</v>
      </c>
      <c r="B11" s="332" t="s">
        <v>1698</v>
      </c>
      <c r="C11" s="370" t="s">
        <v>1836</v>
      </c>
      <c r="D11" s="369" t="e">
        <f>RTD("kgi.tw.der.pricertdserver.2014.1",,A11 &amp; "_Reference" &amp; ":" &amp; B11 &amp; "@" &amp; C11)</f>
        <v>#N/A</v>
      </c>
      <c r="E11" s="369" t="e">
        <f>RTD("kgi.tw.der.pricertdserver.2014.1",,A11 &amp;":"&amp; B11&amp;"@" &amp; C11)</f>
        <v>#N/A</v>
      </c>
      <c r="F11" s="333" t="e">
        <f>RTD("kgi.tw.der.pricertdserver.2014.1",,A11 &amp; "_BidPrice1" &amp; ":" &amp; B11 &amp; "@" &amp; C11)</f>
        <v>#N/A</v>
      </c>
      <c r="G11" s="333" t="e">
        <f>RTD("kgi.tw.der.pricertdserver.2014.1",,A11 &amp; "_AskPrice1" &amp; ":" &amp; B11 &amp; "@" &amp; C11)</f>
        <v>#N/A</v>
      </c>
      <c r="H11" s="332" t="e">
        <f>RTD("kgi.tw.der.pricertdserver.2014.1",,A11 &amp; "_Time" &amp; ":" &amp; B11 &amp; "@" &amp; C11)</f>
        <v>#N/A</v>
      </c>
      <c r="I11" s="332" t="e">
        <f t="shared" si="4"/>
        <v>#N/A</v>
      </c>
      <c r="J11" s="336" t="e">
        <f t="shared" ca="1" si="5"/>
        <v>#N/A</v>
      </c>
      <c r="K11" s="332" t="s">
        <v>1699</v>
      </c>
    </row>
    <row r="12" spans="1:18">
      <c r="A12" s="334" t="s">
        <v>1842</v>
      </c>
      <c r="B12" s="332" t="s">
        <v>1698</v>
      </c>
      <c r="C12" s="370" t="s">
        <v>1836</v>
      </c>
      <c r="D12" s="369" t="e">
        <f>RTD("kgi.tw.der.pricertdserver.2014.1",,A12 &amp; "_Reference" &amp; ":" &amp; B12 &amp; "@" &amp; C12)</f>
        <v>#N/A</v>
      </c>
      <c r="E12" s="369" t="e">
        <f>RTD("kgi.tw.der.pricertdserver.2014.1",,A12 &amp;":"&amp; B12&amp;"@" &amp; C12)</f>
        <v>#N/A</v>
      </c>
      <c r="F12" s="333" t="e">
        <f>RTD("kgi.tw.der.pricertdserver.2014.1",,A12 &amp; "_BidPrice1" &amp; ":" &amp; B12 &amp; "@" &amp; C12)</f>
        <v>#N/A</v>
      </c>
      <c r="G12" s="333" t="e">
        <f>RTD("kgi.tw.der.pricertdserver.2014.1",,A12 &amp; "_AskPrice1" &amp; ":" &amp; B12 &amp; "@" &amp; C12)</f>
        <v>#N/A</v>
      </c>
      <c r="H12" s="332" t="e">
        <f>RTD("kgi.tw.der.pricertdserver.2014.1",,A12 &amp; "_Time" &amp; ":" &amp; B12 &amp; "@" &amp; C12)</f>
        <v>#N/A</v>
      </c>
      <c r="I12" s="332" t="e">
        <f t="shared" si="4"/>
        <v>#N/A</v>
      </c>
      <c r="J12" s="336" t="e">
        <f t="shared" ca="1" si="5"/>
        <v>#N/A</v>
      </c>
      <c r="K12" s="332" t="s">
        <v>1699</v>
      </c>
      <c r="N12" s="333"/>
    </row>
    <row r="13" spans="1:18">
      <c r="A13" s="340" t="s">
        <v>1843</v>
      </c>
      <c r="B13" s="332" t="s">
        <v>1698</v>
      </c>
      <c r="C13" s="370" t="s">
        <v>1836</v>
      </c>
      <c r="D13" s="369" t="e">
        <f>RTD("kgi.tw.der.pricertdserver.2014.1",,A13 &amp; "_Reference" &amp; ":" &amp; B13 &amp; "@" &amp; C13)</f>
        <v>#N/A</v>
      </c>
      <c r="E13" s="369" t="e">
        <f>RTD("kgi.tw.der.pricertdserver.2014.1",,A13 &amp;":"&amp; B13&amp;"@" &amp; C13)</f>
        <v>#N/A</v>
      </c>
      <c r="F13" s="333" t="e">
        <f>RTD("kgi.tw.der.pricertdserver.2014.1",,A13 &amp; "_BidPrice1" &amp; ":" &amp; B13 &amp; "@" &amp; C13)</f>
        <v>#N/A</v>
      </c>
      <c r="G13" s="333" t="e">
        <f>RTD("kgi.tw.der.pricertdserver.2014.1",,A13 &amp; "_AskPrice1" &amp; ":" &amp; B13 &amp; "@" &amp; C13)</f>
        <v>#N/A</v>
      </c>
      <c r="H13" s="332" t="e">
        <f>RTD("kgi.tw.der.pricertdserver.2014.1",,A13 &amp; "_Time" &amp; ":" &amp; B13 &amp; "@" &amp; C13)</f>
        <v>#N/A</v>
      </c>
      <c r="I13" s="332" t="e">
        <f t="shared" si="4"/>
        <v>#N/A</v>
      </c>
      <c r="J13" s="336" t="e">
        <f t="shared" ca="1" si="5"/>
        <v>#N/A</v>
      </c>
      <c r="K13" s="332" t="s">
        <v>1699</v>
      </c>
    </row>
    <row r="14" spans="1:18">
      <c r="A14" s="340" t="s">
        <v>1844</v>
      </c>
      <c r="B14" s="332" t="s">
        <v>1698</v>
      </c>
      <c r="C14" s="370" t="s">
        <v>1836</v>
      </c>
      <c r="D14" s="369" t="e">
        <f>RTD("kgi.tw.der.pricertdserver.2014.1",,A14 &amp; "_Reference" &amp; ":" &amp; B14 &amp; "@" &amp; C14)</f>
        <v>#N/A</v>
      </c>
      <c r="E14" s="369" t="e">
        <f>RTD("kgi.tw.der.pricertdserver.2014.1",,A14 &amp;":"&amp; B14&amp;"@" &amp; C14)</f>
        <v>#N/A</v>
      </c>
      <c r="F14" s="333" t="e">
        <f>RTD("kgi.tw.der.pricertdserver.2014.1",,A14 &amp; "_BidPrice1" &amp; ":" &amp; B14 &amp; "@" &amp; C14)</f>
        <v>#N/A</v>
      </c>
      <c r="G14" s="333" t="e">
        <f>RTD("kgi.tw.der.pricertdserver.2014.1",,A14 &amp; "_AskPrice1" &amp; ":" &amp; B14 &amp; "@" &amp; C14)</f>
        <v>#N/A</v>
      </c>
      <c r="H14" s="332" t="e">
        <f>RTD("kgi.tw.der.pricertdserver.2014.1",,A14 &amp; "_Time" &amp; ":" &amp; B14 &amp; "@" &amp; C14)</f>
        <v>#N/A</v>
      </c>
      <c r="I14" s="332" t="e">
        <f t="shared" si="4"/>
        <v>#N/A</v>
      </c>
      <c r="J14" s="336" t="e">
        <f t="shared" ca="1" si="5"/>
        <v>#N/A</v>
      </c>
      <c r="K14" s="332" t="s">
        <v>1699</v>
      </c>
    </row>
    <row r="15" spans="1:18">
      <c r="A15" s="340" t="s">
        <v>1845</v>
      </c>
      <c r="B15" s="332" t="s">
        <v>1698</v>
      </c>
      <c r="C15" s="370" t="s">
        <v>1836</v>
      </c>
      <c r="D15" s="369" t="e">
        <f>RTD("kgi.tw.der.pricertdserver.2014.1",,A15 &amp; "_Reference" &amp; ":" &amp; B15 &amp; "@" &amp; C15)</f>
        <v>#N/A</v>
      </c>
      <c r="E15" s="369" t="e">
        <f>RTD("kgi.tw.der.pricertdserver.2014.1",,A15 &amp;":"&amp; B15&amp;"@" &amp; C15)</f>
        <v>#N/A</v>
      </c>
      <c r="F15" s="333" t="e">
        <f>RTD("kgi.tw.der.pricertdserver.2014.1",,A15 &amp; "_BidPrice1" &amp; ":" &amp; B15 &amp; "@" &amp; C15)</f>
        <v>#N/A</v>
      </c>
      <c r="G15" s="333" t="e">
        <f>RTD("kgi.tw.der.pricertdserver.2014.1",,A15 &amp; "_AskPrice1" &amp; ":" &amp; B15 &amp; "@" &amp; C15)</f>
        <v>#N/A</v>
      </c>
      <c r="H15" s="332" t="e">
        <f>RTD("kgi.tw.der.pricertdserver.2014.1",,A15 &amp; "_Time" &amp; ":" &amp; B15 &amp; "@" &amp; C15)</f>
        <v>#N/A</v>
      </c>
      <c r="I15" s="332" t="e">
        <f t="shared" si="4"/>
        <v>#N/A</v>
      </c>
      <c r="J15" s="336" t="e">
        <f t="shared" ca="1" si="5"/>
        <v>#N/A</v>
      </c>
      <c r="K15" s="332" t="s">
        <v>1699</v>
      </c>
      <c r="N15" s="333"/>
    </row>
    <row r="16" spans="1:18">
      <c r="A16" s="340" t="s">
        <v>1846</v>
      </c>
      <c r="B16" s="332" t="s">
        <v>1698</v>
      </c>
      <c r="C16" s="370" t="s">
        <v>1836</v>
      </c>
      <c r="D16" s="369" t="e">
        <f>RTD("kgi.tw.der.pricertdserver.2014.1",,A16 &amp; "_Reference" &amp; ":" &amp; B16 &amp; "@" &amp; C16)</f>
        <v>#N/A</v>
      </c>
      <c r="E16" s="369" t="e">
        <f>RTD("kgi.tw.der.pricertdserver.2014.1",,A16 &amp;":"&amp; B16&amp;"@" &amp; C16)</f>
        <v>#N/A</v>
      </c>
      <c r="F16" s="333" t="e">
        <f>RTD("kgi.tw.der.pricertdserver.2014.1",,A16 &amp; "_BidPrice1" &amp; ":" &amp; B16 &amp; "@" &amp; C16)</f>
        <v>#N/A</v>
      </c>
      <c r="G16" s="333" t="e">
        <f>RTD("kgi.tw.der.pricertdserver.2014.1",,A16 &amp; "_AskPrice1" &amp; ":" &amp; B16 &amp; "@" &amp; C16)</f>
        <v>#N/A</v>
      </c>
      <c r="H16" s="332" t="e">
        <f>RTD("kgi.tw.der.pricertdserver.2014.1",,A16 &amp; "_Time" &amp; ":" &amp; B16 &amp; "@" &amp; C16)</f>
        <v>#N/A</v>
      </c>
      <c r="I16" s="332" t="e">
        <f t="shared" si="4"/>
        <v>#N/A</v>
      </c>
      <c r="J16" s="336" t="e">
        <f t="shared" ca="1" si="5"/>
        <v>#N/A</v>
      </c>
      <c r="K16" s="332" t="s">
        <v>1699</v>
      </c>
    </row>
    <row r="17" spans="1:14">
      <c r="A17" s="340" t="s">
        <v>1847</v>
      </c>
      <c r="B17" s="332" t="s">
        <v>1698</v>
      </c>
      <c r="C17" s="370" t="s">
        <v>1836</v>
      </c>
      <c r="D17" s="369" t="e">
        <f>RTD("kgi.tw.der.pricertdserver.2014.1",,A17 &amp; "_Reference" &amp; ":" &amp; B17 &amp; "@" &amp; C17)</f>
        <v>#N/A</v>
      </c>
      <c r="E17" s="369" t="e">
        <f>RTD("kgi.tw.der.pricertdserver.2014.1",,A17 &amp;":"&amp; B17&amp;"@" &amp; C17)</f>
        <v>#N/A</v>
      </c>
      <c r="F17" s="333" t="e">
        <f>RTD("kgi.tw.der.pricertdserver.2014.1",,A17 &amp; "_BidPrice1" &amp; ":" &amp; B17 &amp; "@" &amp; C17)</f>
        <v>#N/A</v>
      </c>
      <c r="G17" s="333" t="e">
        <f>RTD("kgi.tw.der.pricertdserver.2014.1",,A17 &amp; "_AskPrice1" &amp; ":" &amp; B17 &amp; "@" &amp; C17)</f>
        <v>#N/A</v>
      </c>
      <c r="H17" s="332" t="e">
        <f>RTD("kgi.tw.der.pricertdserver.2014.1",,A17 &amp; "_Time" &amp; ":" &amp; B17 &amp; "@" &amp; C17)</f>
        <v>#N/A</v>
      </c>
      <c r="I17" s="332" t="e">
        <f t="shared" si="4"/>
        <v>#N/A</v>
      </c>
      <c r="J17" s="336" t="e">
        <f t="shared" ca="1" si="5"/>
        <v>#N/A</v>
      </c>
      <c r="K17" s="332" t="s">
        <v>1699</v>
      </c>
    </row>
    <row r="18" spans="1:14">
      <c r="A18" s="340" t="s">
        <v>1848</v>
      </c>
      <c r="B18" s="332" t="s">
        <v>1698</v>
      </c>
      <c r="C18" s="370" t="s">
        <v>1836</v>
      </c>
      <c r="D18" s="369" t="e">
        <f>RTD("kgi.tw.der.pricertdserver.2014.1",,A18 &amp; "_Reference" &amp; ":" &amp; B18 &amp; "@" &amp; C18)</f>
        <v>#N/A</v>
      </c>
      <c r="E18" s="369" t="e">
        <f>RTD("kgi.tw.der.pricertdserver.2014.1",,A18 &amp;":"&amp; B18&amp;"@" &amp; C18)</f>
        <v>#N/A</v>
      </c>
      <c r="F18" s="333" t="e">
        <f>RTD("kgi.tw.der.pricertdserver.2014.1",,A18 &amp; "_BidPrice1" &amp; ":" &amp; B18 &amp; "@" &amp; C18)</f>
        <v>#N/A</v>
      </c>
      <c r="G18" s="333" t="e">
        <f>RTD("kgi.tw.der.pricertdserver.2014.1",,A18 &amp; "_AskPrice1" &amp; ":" &amp; B18 &amp; "@" &amp; C18)</f>
        <v>#N/A</v>
      </c>
      <c r="H18" s="332" t="e">
        <f>RTD("kgi.tw.der.pricertdserver.2014.1",,A18 &amp; "_Time" &amp; ":" &amp; B18 &amp; "@" &amp; C18)</f>
        <v>#N/A</v>
      </c>
      <c r="I18" s="332" t="e">
        <f t="shared" si="4"/>
        <v>#N/A</v>
      </c>
      <c r="J18" s="336" t="e">
        <f t="shared" ca="1" si="5"/>
        <v>#N/A</v>
      </c>
      <c r="K18" s="332" t="s">
        <v>1699</v>
      </c>
      <c r="N18" s="333"/>
    </row>
    <row r="19" spans="1:14">
      <c r="A19" s="340" t="s">
        <v>1849</v>
      </c>
      <c r="B19" s="332" t="s">
        <v>1731</v>
      </c>
      <c r="C19" s="370" t="s">
        <v>1836</v>
      </c>
      <c r="D19" s="369" t="e">
        <f>RTD("kgi.tw.der.pricertdserver.2014.1",,A19 &amp; "_Reference" &amp; ":" &amp; B19 &amp; "@" &amp; C19)</f>
        <v>#N/A</v>
      </c>
      <c r="E19" s="369" t="e">
        <f>RTD("kgi.tw.der.pricertdserver.2014.1",,A19 &amp;":"&amp; B19&amp;"@" &amp; C19)</f>
        <v>#N/A</v>
      </c>
      <c r="F19" s="333" t="e">
        <f>RTD("kgi.tw.der.pricertdserver.2014.1",,A19 &amp; "_BidPrice1" &amp; ":" &amp; B19 &amp; "@" &amp; C19)</f>
        <v>#N/A</v>
      </c>
      <c r="G19" s="333" t="e">
        <f>RTD("kgi.tw.der.pricertdserver.2014.1",,A19 &amp; "_AskPrice1" &amp; ":" &amp; B19 &amp; "@" &amp; C19)</f>
        <v>#N/A</v>
      </c>
      <c r="H19" s="346" t="e">
        <f>RTD("kgi.tw.der.pricertdserver.2014.1",,A19 &amp; "_Time" &amp; ":" &amp; B19 &amp; "@" &amp; C19)</f>
        <v>#N/A</v>
      </c>
      <c r="I19" s="332" t="e">
        <f t="shared" si="4"/>
        <v>#N/A</v>
      </c>
      <c r="J19" s="336" t="e">
        <f t="shared" ca="1" si="5"/>
        <v>#N/A</v>
      </c>
      <c r="K19" s="332" t="s">
        <v>1699</v>
      </c>
    </row>
    <row r="20" spans="1:14">
      <c r="A20" s="340" t="s">
        <v>1850</v>
      </c>
      <c r="B20" s="332" t="s">
        <v>1731</v>
      </c>
      <c r="C20" s="370" t="s">
        <v>1836</v>
      </c>
      <c r="D20" s="369" t="e">
        <f>RTD("kgi.tw.der.pricertdserver.2014.1",,A20 &amp; "_Reference" &amp; ":" &amp; B20 &amp; "@" &amp; C20)</f>
        <v>#N/A</v>
      </c>
      <c r="E20" s="369" t="e">
        <f>RTD("kgi.tw.der.pricertdserver.2014.1",,A20 &amp;":"&amp; B20&amp;"@" &amp; C20)</f>
        <v>#N/A</v>
      </c>
      <c r="F20" s="333" t="e">
        <f>RTD("kgi.tw.der.pricertdserver.2014.1",,A20 &amp; "_BidPrice1" &amp; ":" &amp; B20 &amp; "@" &amp; C20)</f>
        <v>#N/A</v>
      </c>
      <c r="G20" s="333" t="e">
        <f>RTD("kgi.tw.der.pricertdserver.2014.1",,A20 &amp; "_AskPrice1" &amp; ":" &amp; B20 &amp; "@" &amp; C20)</f>
        <v>#N/A</v>
      </c>
      <c r="H20" s="346" t="e">
        <f>RTD("kgi.tw.der.pricertdserver.2014.1",,A20 &amp; "_Time" &amp; ":" &amp; B20 &amp; "@" &amp; C20)</f>
        <v>#N/A</v>
      </c>
      <c r="I20" s="332" t="e">
        <f t="shared" si="4"/>
        <v>#N/A</v>
      </c>
      <c r="J20" s="336" t="e">
        <f t="shared" ca="1" si="5"/>
        <v>#N/A</v>
      </c>
      <c r="K20" s="332" t="s">
        <v>1699</v>
      </c>
    </row>
    <row r="21" spans="1:14">
      <c r="A21" s="340" t="s">
        <v>1851</v>
      </c>
      <c r="B21" s="332" t="s">
        <v>1731</v>
      </c>
      <c r="C21" s="370" t="s">
        <v>1836</v>
      </c>
      <c r="D21" s="369" t="e">
        <f>RTD("kgi.tw.der.pricertdserver.2014.1",,A21 &amp; "_Reference" &amp; ":" &amp; B21 &amp; "@" &amp; C21)</f>
        <v>#N/A</v>
      </c>
      <c r="E21" s="369" t="e">
        <f>RTD("kgi.tw.der.pricertdserver.2014.1",,A21 &amp;":"&amp; B21&amp;"@" &amp; C21)</f>
        <v>#N/A</v>
      </c>
      <c r="F21" s="333" t="e">
        <f>RTD("kgi.tw.der.pricertdserver.2014.1",,A21 &amp; "_BidPrice1" &amp; ":" &amp; B21 &amp; "@" &amp; C21)</f>
        <v>#N/A</v>
      </c>
      <c r="G21" s="333" t="e">
        <f>RTD("kgi.tw.der.pricertdserver.2014.1",,A21 &amp; "_AskPrice1" &amp; ":" &amp; B21 &amp; "@" &amp; C21)</f>
        <v>#N/A</v>
      </c>
      <c r="H21" s="346" t="e">
        <f>RTD("kgi.tw.der.pricertdserver.2014.1",,A21 &amp; "_Time" &amp; ":" &amp; B21 &amp; "@" &amp; C21)</f>
        <v>#N/A</v>
      </c>
      <c r="I21" s="332" t="e">
        <f t="shared" si="4"/>
        <v>#N/A</v>
      </c>
      <c r="J21" s="336" t="e">
        <f t="shared" ca="1" si="5"/>
        <v>#N/A</v>
      </c>
      <c r="K21" s="332" t="s">
        <v>1699</v>
      </c>
      <c r="N21" s="333"/>
    </row>
    <row r="22" spans="1:14">
      <c r="A22" s="341" t="s">
        <v>1852</v>
      </c>
      <c r="B22" s="332" t="s">
        <v>1731</v>
      </c>
      <c r="C22" s="370" t="s">
        <v>1836</v>
      </c>
      <c r="D22" s="369" t="e">
        <f>RTD("kgi.tw.der.pricertdserver.2014.1",,A22 &amp; "_Reference" &amp; ":" &amp; B22 &amp; "@" &amp; C22)</f>
        <v>#N/A</v>
      </c>
      <c r="E22" s="369" t="e">
        <f>RTD("kgi.tw.der.pricertdserver.2014.1",,A22 &amp;":"&amp; B22&amp;"@" &amp; C22)</f>
        <v>#N/A</v>
      </c>
      <c r="F22" s="333" t="e">
        <f>RTD("kgi.tw.der.pricertdserver.2014.1",,A22 &amp; "_BidPrice1" &amp; ":" &amp; B22 &amp; "@" &amp; C22)</f>
        <v>#N/A</v>
      </c>
      <c r="G22" s="333" t="e">
        <f>RTD("kgi.tw.der.pricertdserver.2014.1",,A22 &amp; "_AskPrice1" &amp; ":" &amp; B22 &amp; "@" &amp; C22)</f>
        <v>#N/A</v>
      </c>
      <c r="H22" s="346" t="e">
        <f>RTD("kgi.tw.der.pricertdserver.2014.1",,A22 &amp; "_Time" &amp; ":" &amp; B22 &amp; "@" &amp; C22)</f>
        <v>#N/A</v>
      </c>
      <c r="I22" s="332" t="e">
        <f t="shared" si="4"/>
        <v>#N/A</v>
      </c>
      <c r="J22" s="336" t="e">
        <f t="shared" ca="1" si="5"/>
        <v>#N/A</v>
      </c>
      <c r="K22" s="332" t="s">
        <v>1699</v>
      </c>
    </row>
    <row r="23" spans="1:14">
      <c r="A23" s="340" t="s">
        <v>1853</v>
      </c>
      <c r="B23" s="332" t="s">
        <v>1731</v>
      </c>
      <c r="C23" s="370" t="s">
        <v>1836</v>
      </c>
      <c r="D23" s="369" t="e">
        <f>RTD("kgi.tw.der.pricertdserver.2014.1",,A23 &amp; "_Reference" &amp; ":" &amp; B23 &amp; "@" &amp; C23)</f>
        <v>#N/A</v>
      </c>
      <c r="E23" s="369" t="e">
        <f>RTD("kgi.tw.der.pricertdserver.2014.1",,A23 &amp;":"&amp; B23&amp;"@" &amp; C23)</f>
        <v>#N/A</v>
      </c>
      <c r="F23" s="333" t="e">
        <f>RTD("kgi.tw.der.pricertdserver.2014.1",,A23 &amp; "_BidPrice1" &amp; ":" &amp; B23 &amp; "@" &amp; C23)</f>
        <v>#N/A</v>
      </c>
      <c r="G23" s="333" t="e">
        <f>RTD("kgi.tw.der.pricertdserver.2014.1",,A23 &amp; "_AskPrice1" &amp; ":" &amp; B23 &amp; "@" &amp; C23)</f>
        <v>#N/A</v>
      </c>
      <c r="H23" s="346" t="e">
        <f>RTD("kgi.tw.der.pricertdserver.2014.1",,A23 &amp; "_Time" &amp; ":" &amp; B23 &amp; "@" &amp; C23)</f>
        <v>#N/A</v>
      </c>
      <c r="I23" s="332" t="e">
        <f t="shared" si="4"/>
        <v>#N/A</v>
      </c>
      <c r="J23" s="336" t="e">
        <f t="shared" ca="1" si="5"/>
        <v>#N/A</v>
      </c>
      <c r="K23" s="332" t="s">
        <v>1699</v>
      </c>
    </row>
    <row r="24" spans="1:14">
      <c r="A24" s="340" t="s">
        <v>1854</v>
      </c>
      <c r="B24" s="332" t="s">
        <v>1731</v>
      </c>
      <c r="C24" s="370" t="s">
        <v>1836</v>
      </c>
      <c r="D24" s="369" t="e">
        <f>RTD("kgi.tw.der.pricertdserver.2014.1",,A24 &amp; "_Reference" &amp; ":" &amp; B24 &amp; "@" &amp; C24)</f>
        <v>#N/A</v>
      </c>
      <c r="E24" s="369" t="e">
        <f>RTD("kgi.tw.der.pricertdserver.2014.1",,A24 &amp;":"&amp; B24&amp;"@" &amp; C24)</f>
        <v>#N/A</v>
      </c>
      <c r="F24" s="333" t="e">
        <f>RTD("kgi.tw.der.pricertdserver.2014.1",,A24 &amp; "_BidPrice1" &amp; ":" &amp; B24 &amp; "@" &amp; C24)</f>
        <v>#N/A</v>
      </c>
      <c r="G24" s="333" t="e">
        <f>RTD("kgi.tw.der.pricertdserver.2014.1",,A24 &amp; "_AskPrice1" &amp; ":" &amp; B24 &amp; "@" &amp; C24)</f>
        <v>#N/A</v>
      </c>
      <c r="H24" s="346" t="e">
        <f>RTD("kgi.tw.der.pricertdserver.2014.1",,A24 &amp; "_Time" &amp; ":" &amp; B24 &amp; "@" &amp; C24)</f>
        <v>#N/A</v>
      </c>
      <c r="I24" s="332" t="e">
        <f t="shared" si="4"/>
        <v>#N/A</v>
      </c>
      <c r="J24" s="336" t="e">
        <f t="shared" ca="1" si="5"/>
        <v>#N/A</v>
      </c>
      <c r="K24" s="332" t="s">
        <v>1699</v>
      </c>
      <c r="N24" s="333"/>
    </row>
    <row r="25" spans="1:14">
      <c r="A25" s="340" t="s">
        <v>1855</v>
      </c>
      <c r="B25" s="332" t="s">
        <v>1733</v>
      </c>
      <c r="C25" s="370" t="s">
        <v>1836</v>
      </c>
      <c r="D25" s="369" t="e">
        <f>RTD("kgi.tw.der.pricertdserver.2014.1",,A25 &amp; "_Reference" &amp; ":" &amp; B25 &amp; "@" &amp; C25)</f>
        <v>#N/A</v>
      </c>
      <c r="E25" s="369" t="e">
        <f>RTD("kgi.tw.der.pricertdserver.2014.1",,A25 &amp;":"&amp; B25&amp;"@" &amp; C25)</f>
        <v>#N/A</v>
      </c>
      <c r="F25" s="333" t="e">
        <f>RTD("kgi.tw.der.pricertdserver.2014.1",,A25 &amp; "_BidPrice1" &amp; ":" &amp; B25 &amp; "@" &amp; C25)</f>
        <v>#N/A</v>
      </c>
      <c r="G25" s="333" t="e">
        <f>RTD("kgi.tw.der.pricertdserver.2014.1",,A25 &amp; "_AskPrice1" &amp; ":" &amp; B25 &amp; "@" &amp; C25)</f>
        <v>#N/A</v>
      </c>
      <c r="H25" s="332" t="e">
        <f>RTD("kgi.tw.der.pricertdserver.2014.1",,A25 &amp; "_Time" &amp; ":" &amp; B25 &amp; "@" &amp; C25)</f>
        <v>#N/A</v>
      </c>
      <c r="I25" s="332" t="e">
        <f t="shared" si="4"/>
        <v>#N/A</v>
      </c>
      <c r="J25" s="336" t="e">
        <f t="shared" ca="1" si="5"/>
        <v>#N/A</v>
      </c>
      <c r="K25" s="332" t="s">
        <v>1699</v>
      </c>
      <c r="L25" s="332" t="s">
        <v>1734</v>
      </c>
    </row>
    <row r="26" spans="1:14">
      <c r="A26" s="340" t="s">
        <v>1872</v>
      </c>
      <c r="B26" s="332" t="s">
        <v>1733</v>
      </c>
      <c r="C26" s="370" t="s">
        <v>1836</v>
      </c>
      <c r="D26" s="369" t="e">
        <f>RTD("kgi.tw.der.pricertdserver.2014.1",,A26 &amp; "_Reference" &amp; ":" &amp; B26 &amp; "@" &amp; C26)</f>
        <v>#N/A</v>
      </c>
      <c r="E26" s="369" t="e">
        <f>RTD("kgi.tw.der.pricertdserver.2014.1",,A26 &amp;":"&amp; B26&amp;"@" &amp; C26)</f>
        <v>#N/A</v>
      </c>
      <c r="F26" s="333" t="e">
        <f>RTD("kgi.tw.der.pricertdserver.2014.1",,A26 &amp; "_BidPrice1" &amp; ":" &amp; B26 &amp; "@" &amp; C26)</f>
        <v>#N/A</v>
      </c>
      <c r="G26" s="333" t="e">
        <f>RTD("kgi.tw.der.pricertdserver.2014.1",,A26 &amp; "_AskPrice1" &amp; ":" &amp; B26 &amp; "@" &amp; C26)</f>
        <v>#N/A</v>
      </c>
      <c r="H26" s="332" t="e">
        <f>RTD("kgi.tw.der.pricertdserver.2014.1",,A26 &amp; "_Time" &amp; ":" &amp; B26 &amp; "@" &amp; C26)</f>
        <v>#N/A</v>
      </c>
      <c r="I26" s="332" t="e">
        <f t="shared" si="4"/>
        <v>#N/A</v>
      </c>
      <c r="J26" s="336" t="e">
        <f t="shared" ca="1" si="5"/>
        <v>#N/A</v>
      </c>
      <c r="K26" s="332" t="s">
        <v>1699</v>
      </c>
      <c r="L26" s="332" t="s">
        <v>1734</v>
      </c>
    </row>
    <row r="27" spans="1:14">
      <c r="A27" s="340" t="s">
        <v>1855</v>
      </c>
      <c r="B27" s="332" t="s">
        <v>1733</v>
      </c>
      <c r="C27" s="370" t="s">
        <v>1836</v>
      </c>
      <c r="D27" s="369" t="e">
        <f>RTD("kgi.tw.der.pricertdserver.2014.1",,A27 &amp; "_Reference" &amp; ":" &amp; B27 &amp; "@" &amp; C27)</f>
        <v>#N/A</v>
      </c>
      <c r="E27" s="369" t="e">
        <f>RTD("kgi.tw.der.pricertdserver.2014.1",,A27 &amp;":"&amp; B27&amp;"@" &amp; C27)</f>
        <v>#N/A</v>
      </c>
      <c r="F27" s="333" t="e">
        <f>RTD("kgi.tw.der.pricertdserver.2014.1",,A27 &amp; "_BidPrice1" &amp; ":" &amp; B27 &amp; "@" &amp; C27)</f>
        <v>#N/A</v>
      </c>
      <c r="G27" s="333" t="e">
        <f>RTD("kgi.tw.der.pricertdserver.2014.1",,A27 &amp; "_AskPrice1" &amp; ":" &amp; B27 &amp; "@" &amp; C27)</f>
        <v>#N/A</v>
      </c>
      <c r="H27" s="332" t="e">
        <f>RTD("kgi.tw.der.pricertdserver.2014.1",,A27 &amp; "_Time" &amp; ":" &amp; B27 &amp; "@" &amp; C27)</f>
        <v>#N/A</v>
      </c>
      <c r="I27" s="332" t="e">
        <f t="shared" si="4"/>
        <v>#N/A</v>
      </c>
      <c r="J27" s="336" t="e">
        <f t="shared" ca="1" si="5"/>
        <v>#N/A</v>
      </c>
      <c r="K27" s="332" t="s">
        <v>1699</v>
      </c>
      <c r="L27" s="332" t="s">
        <v>1735</v>
      </c>
    </row>
    <row r="28" spans="1:14">
      <c r="A28" s="340" t="s">
        <v>1856</v>
      </c>
      <c r="B28" s="332" t="s">
        <v>1733</v>
      </c>
      <c r="C28" s="370" t="s">
        <v>1836</v>
      </c>
      <c r="D28" s="369" t="e">
        <f>RTD("kgi.tw.der.pricertdserver.2014.1",,A28 &amp; "_Reference" &amp; ":" &amp; B28 &amp; "@" &amp; C28)</f>
        <v>#N/A</v>
      </c>
      <c r="E28" s="369" t="e">
        <f>RTD("kgi.tw.der.pricertdserver.2014.1",,A28 &amp;":"&amp; B28&amp;"@" &amp; C28)</f>
        <v>#N/A</v>
      </c>
      <c r="F28" s="333" t="e">
        <f>RTD("kgi.tw.der.pricertdserver.2014.1",,A28 &amp; "_BidPrice1" &amp; ":" &amp; B28 &amp; "@" &amp; C28)</f>
        <v>#N/A</v>
      </c>
      <c r="G28" s="333" t="e">
        <f>RTD("kgi.tw.der.pricertdserver.2014.1",,A28 &amp; "_AskPrice1" &amp; ":" &amp; B28 &amp; "@" &amp; C28)</f>
        <v>#N/A</v>
      </c>
      <c r="H28" s="332" t="e">
        <f>RTD("kgi.tw.der.pricertdserver.2014.1",,A28 &amp; "_Time" &amp; ":" &amp; B28 &amp; "@" &amp; C28)</f>
        <v>#N/A</v>
      </c>
      <c r="I28" s="332" t="e">
        <f t="shared" si="4"/>
        <v>#N/A</v>
      </c>
      <c r="J28" s="336" t="e">
        <f t="shared" ca="1" si="5"/>
        <v>#N/A</v>
      </c>
      <c r="K28" s="332" t="s">
        <v>1699</v>
      </c>
      <c r="L28" s="332" t="s">
        <v>1736</v>
      </c>
    </row>
    <row r="29" spans="1:14">
      <c r="A29" s="341" t="s">
        <v>1873</v>
      </c>
      <c r="B29" s="332" t="s">
        <v>1733</v>
      </c>
      <c r="C29" s="370" t="s">
        <v>1836</v>
      </c>
      <c r="D29" s="369" t="e">
        <f>RTD("kgi.tw.der.pricertdserver.2014.1",,A29 &amp; "_Reference" &amp; ":" &amp; B29 &amp; "@" &amp; C29)</f>
        <v>#N/A</v>
      </c>
      <c r="E29" s="369" t="e">
        <f>RTD("kgi.tw.der.pricertdserver.2014.1",,A29 &amp;":"&amp; B29&amp;"@" &amp; C29)</f>
        <v>#N/A</v>
      </c>
      <c r="F29" s="333" t="e">
        <f>RTD("kgi.tw.der.pricertdserver.2014.1",,A29 &amp; "_BidPrice1" &amp; ":" &amp; B29 &amp; "@" &amp; C29)</f>
        <v>#N/A</v>
      </c>
      <c r="G29" s="333" t="e">
        <f>RTD("kgi.tw.der.pricertdserver.2014.1",,A29 &amp; "_AskPrice1" &amp; ":" &amp; B29 &amp; "@" &amp; C29)</f>
        <v>#N/A</v>
      </c>
      <c r="H29" s="332" t="e">
        <f>RTD("kgi.tw.der.pricertdserver.2014.1",,A29 &amp; "_Time" &amp; ":" &amp; B29 &amp; "@" &amp; C29)</f>
        <v>#N/A</v>
      </c>
      <c r="I29" s="332" t="e">
        <f t="shared" si="4"/>
        <v>#N/A</v>
      </c>
      <c r="J29" s="336" t="e">
        <f t="shared" ca="1" si="5"/>
        <v>#N/A</v>
      </c>
      <c r="K29" s="332" t="s">
        <v>1699</v>
      </c>
    </row>
    <row r="30" spans="1:14">
      <c r="A30" s="340" t="s">
        <v>1857</v>
      </c>
      <c r="B30" s="332" t="s">
        <v>1738</v>
      </c>
      <c r="C30" s="370" t="s">
        <v>1836</v>
      </c>
      <c r="D30" s="369" t="e">
        <f>RTD("kgi.tw.der.pricertdserver.2014.1",,A30 &amp; "_Reference" &amp; ":" &amp; B30 &amp; "@" &amp; C30)</f>
        <v>#N/A</v>
      </c>
      <c r="E30" s="369" t="e">
        <f>RTD("kgi.tw.der.pricertdserver.2014.1",,A30 &amp;":"&amp; B30&amp;"@" &amp; C30)</f>
        <v>#N/A</v>
      </c>
      <c r="F30" s="333" t="e">
        <f>RTD("kgi.tw.der.pricertdserver.2014.1",,A30 &amp; "_BidPrice1" &amp; ":" &amp; B30 &amp; "@" &amp; C30)</f>
        <v>#N/A</v>
      </c>
      <c r="G30" s="333" t="e">
        <f>RTD("kgi.tw.der.pricertdserver.2014.1",,A30 &amp; "_AskPrice1" &amp; ":" &amp; B30 &amp; "@" &amp; C30)</f>
        <v>#N/A</v>
      </c>
      <c r="H30" s="332" t="e">
        <f>RTD("kgi.tw.der.pricertdserver.2014.1",,A30 &amp; "_Time" &amp; ":" &amp; B30 &amp; "@" &amp; C30)</f>
        <v>#N/A</v>
      </c>
      <c r="I30" s="332" t="e">
        <f t="shared" si="4"/>
        <v>#N/A</v>
      </c>
      <c r="J30" s="336" t="e">
        <f t="shared" ca="1" si="5"/>
        <v>#N/A</v>
      </c>
      <c r="K30" s="332" t="s">
        <v>1699</v>
      </c>
    </row>
    <row r="31" spans="1:14">
      <c r="A31" s="340" t="s">
        <v>1874</v>
      </c>
      <c r="B31" s="332" t="s">
        <v>1737</v>
      </c>
      <c r="C31" s="370" t="s">
        <v>1836</v>
      </c>
      <c r="D31" s="369" t="e">
        <f>RTD("kgi.tw.der.pricertdserver.2014.1",,A31 &amp; "_Reference" &amp; ":" &amp; B31 &amp; "@" &amp; C31)</f>
        <v>#N/A</v>
      </c>
      <c r="E31" s="369" t="e">
        <f>RTD("kgi.tw.der.pricertdserver.2014.1",,A31 &amp;":"&amp; B31&amp;"@" &amp; C31)</f>
        <v>#N/A</v>
      </c>
      <c r="F31" s="333" t="e">
        <f>RTD("kgi.tw.der.pricertdserver.2014.1",,A31 &amp; "_BidPrice1" &amp; ":" &amp; B31 &amp; "@" &amp; C31)</f>
        <v>#N/A</v>
      </c>
      <c r="G31" s="333" t="e">
        <f>RTD("kgi.tw.der.pricertdserver.2014.1",,A31 &amp; "_AskPrice1" &amp; ":" &amp; B31 &amp; "@" &amp; C31)</f>
        <v>#N/A</v>
      </c>
      <c r="H31" s="332" t="e">
        <f>RTD("kgi.tw.der.pricertdserver.2014.1",,A31 &amp; "_Time" &amp; ":" &amp; B31 &amp; "@" &amp; C31)</f>
        <v>#N/A</v>
      </c>
      <c r="I31" s="332" t="e">
        <f t="shared" si="4"/>
        <v>#N/A</v>
      </c>
      <c r="J31" s="336" t="e">
        <f t="shared" ca="1" si="5"/>
        <v>#N/A</v>
      </c>
      <c r="K31" s="332" t="s">
        <v>1699</v>
      </c>
    </row>
    <row r="32" spans="1:14">
      <c r="A32" s="340" t="s">
        <v>1858</v>
      </c>
      <c r="B32" s="332" t="s">
        <v>1737</v>
      </c>
      <c r="C32" s="370" t="s">
        <v>1836</v>
      </c>
      <c r="D32" s="369" t="e">
        <f>RTD("kgi.tw.der.pricertdserver.2014.1",,A32 &amp; "_Reference" &amp; ":" &amp; B32 &amp; "@" &amp; C32)</f>
        <v>#N/A</v>
      </c>
      <c r="E32" s="369" t="e">
        <f>RTD("kgi.tw.der.pricertdserver.2014.1",,A32 &amp;":"&amp; B32&amp;"@" &amp; C32)</f>
        <v>#N/A</v>
      </c>
      <c r="F32" s="333" t="e">
        <f>RTD("kgi.tw.der.pricertdserver.2014.1",,A32 &amp; "_BidPrice1" &amp; ":" &amp; B32 &amp; "@" &amp; C32)</f>
        <v>#N/A</v>
      </c>
      <c r="G32" s="333" t="e">
        <f>RTD("kgi.tw.der.pricertdserver.2014.1",,A32 &amp; "_AskPrice1" &amp; ":" &amp; B32 &amp; "@" &amp; C32)</f>
        <v>#N/A</v>
      </c>
      <c r="H32" s="332" t="e">
        <f>RTD("kgi.tw.der.pricertdserver.2014.1",,A32 &amp; "_Time" &amp; ":" &amp; B32 &amp; "@" &amp; C32)</f>
        <v>#N/A</v>
      </c>
      <c r="I32" s="332" t="e">
        <f t="shared" si="4"/>
        <v>#N/A</v>
      </c>
      <c r="J32" s="336" t="e">
        <f t="shared" ca="1" si="5"/>
        <v>#N/A</v>
      </c>
      <c r="K32" s="332" t="s">
        <v>1699</v>
      </c>
    </row>
    <row r="33" spans="1:12">
      <c r="A33" s="340" t="s">
        <v>1875</v>
      </c>
      <c r="B33" s="332" t="s">
        <v>1737</v>
      </c>
      <c r="C33" s="370" t="s">
        <v>1836</v>
      </c>
      <c r="D33" s="369" t="e">
        <f>RTD("kgi.tw.der.pricertdserver.2014.1",,A33 &amp; "_Reference" &amp; ":" &amp; B33 &amp; "@" &amp; C33)</f>
        <v>#N/A</v>
      </c>
      <c r="E33" s="369" t="e">
        <f>RTD("kgi.tw.der.pricertdserver.2014.1",,A33 &amp;":"&amp; B33&amp;"@" &amp; C33)</f>
        <v>#N/A</v>
      </c>
      <c r="F33" s="333" t="e">
        <f>RTD("kgi.tw.der.pricertdserver.2014.1",,A33 &amp; "_BidPrice1" &amp; ":" &amp; B33 &amp; "@" &amp; C33)</f>
        <v>#N/A</v>
      </c>
      <c r="G33" s="333" t="e">
        <f>RTD("kgi.tw.der.pricertdserver.2014.1",,A33 &amp; "_AskPrice1" &amp; ":" &amp; B33 &amp; "@" &amp; C33)</f>
        <v>#N/A</v>
      </c>
      <c r="H33" s="332" t="e">
        <f>RTD("kgi.tw.der.pricertdserver.2014.1",,A33 &amp; "_Time" &amp; ":" &amp; B33 &amp; "@" &amp; C33)</f>
        <v>#N/A</v>
      </c>
      <c r="I33" s="332" t="e">
        <f t="shared" si="4"/>
        <v>#N/A</v>
      </c>
      <c r="J33" s="336" t="e">
        <f t="shared" ca="1" si="5"/>
        <v>#N/A</v>
      </c>
      <c r="K33" s="332" t="s">
        <v>1699</v>
      </c>
    </row>
    <row r="34" spans="1:12">
      <c r="A34" s="345" t="s">
        <v>1859</v>
      </c>
      <c r="B34" s="346" t="s">
        <v>1739</v>
      </c>
      <c r="C34" s="370" t="s">
        <v>1836</v>
      </c>
      <c r="D34" s="369" t="e">
        <f>RTD("kgi.tw.der.pricertdserver.2014.1",,A34 &amp; "_Reference" &amp; ":" &amp; B34 &amp; "@" &amp; C34)*1000000</f>
        <v>#N/A</v>
      </c>
      <c r="E34" s="369" t="e">
        <f>RTD("kgi.tw.der.pricertdserver.2014.1",,A34 &amp;":"&amp; B34&amp;"@" &amp; C34)*1000000</f>
        <v>#N/A</v>
      </c>
      <c r="F34" s="333" t="e">
        <f>RTD("kgi.tw.der.pricertdserver.2014.1",,A34 &amp; "_BidPrice1" &amp; ":" &amp; B34 &amp; "@" &amp; C34)*1000000</f>
        <v>#N/A</v>
      </c>
      <c r="G34" s="333" t="e">
        <f>RTD("kgi.tw.der.pricertdserver.2014.1",,A34 &amp; "_AskPrice1" &amp; ":" &amp; B34 &amp; "@" &amp; C34)</f>
        <v>#N/A</v>
      </c>
      <c r="H34" s="332" t="e">
        <f>RTD("kgi.tw.der.pricertdserver.2014.1",,A34 &amp; "_Time" &amp; ":" &amp; B34 &amp; "@" &amp; C34)</f>
        <v>#N/A</v>
      </c>
      <c r="I34" s="332" t="e">
        <f t="shared" si="4"/>
        <v>#N/A</v>
      </c>
      <c r="J34" s="336" t="e">
        <f t="shared" ca="1" si="5"/>
        <v>#N/A</v>
      </c>
      <c r="K34" s="332" t="s">
        <v>1699</v>
      </c>
      <c r="L34" s="332" t="s">
        <v>1743</v>
      </c>
    </row>
    <row r="35" spans="1:12">
      <c r="A35" s="345" t="s">
        <v>1860</v>
      </c>
      <c r="B35" s="346" t="s">
        <v>1737</v>
      </c>
      <c r="C35" s="370" t="s">
        <v>1836</v>
      </c>
      <c r="D35" s="369" t="e">
        <f>RTD("kgi.tw.der.pricertdserver.2014.1",,A35 &amp; "_Reference" &amp; ":" &amp; B35 &amp; "@" &amp; C35)*1000000</f>
        <v>#N/A</v>
      </c>
      <c r="E35" s="369" t="e">
        <f>RTD("kgi.tw.der.pricertdserver.2014.1",,A35 &amp;":"&amp; B35&amp;"@" &amp; C35)*1000000</f>
        <v>#N/A</v>
      </c>
      <c r="F35" s="344" t="e">
        <f>RTD("kgi.tw.der.pricertdserver.2014.1",,A35 &amp; "_BidPrice1" &amp; ":" &amp; B35 &amp; "@" &amp; C35)*1000000</f>
        <v>#N/A</v>
      </c>
      <c r="G35" s="333" t="e">
        <f>RTD("kgi.tw.der.pricertdserver.2014.1",,A35 &amp; "_AskPrice1" &amp; ":" &amp; B35 &amp; "@" &amp; C35)</f>
        <v>#N/A</v>
      </c>
      <c r="H35" s="332" t="e">
        <f>RTD("kgi.tw.der.pricertdserver.2014.1",,A35 &amp; "_Time" &amp; ":" &amp; B35 &amp; "@" &amp; C35)</f>
        <v>#N/A</v>
      </c>
      <c r="I35" s="332" t="e">
        <f t="shared" si="4"/>
        <v>#N/A</v>
      </c>
      <c r="J35" s="336" t="e">
        <f t="shared" ca="1" si="5"/>
        <v>#N/A</v>
      </c>
      <c r="K35" s="332" t="s">
        <v>1699</v>
      </c>
      <c r="L35" s="332" t="s">
        <v>1743</v>
      </c>
    </row>
    <row r="36" spans="1:12">
      <c r="A36" s="345" t="s">
        <v>1861</v>
      </c>
      <c r="B36" s="346" t="s">
        <v>1737</v>
      </c>
      <c r="C36" s="370" t="s">
        <v>1836</v>
      </c>
      <c r="D36" s="369" t="e">
        <f>RTD("kgi.tw.der.pricertdserver.2014.1",,A36 &amp; "_Reference" &amp; ":" &amp; B36 &amp; "@" &amp; C36)*1000000</f>
        <v>#N/A</v>
      </c>
      <c r="E36" s="369" t="e">
        <f>RTD("kgi.tw.der.pricertdserver.2014.1",,A36 &amp;":"&amp; B36&amp;"@" &amp; C36)*1000000</f>
        <v>#N/A</v>
      </c>
      <c r="F36" s="344" t="e">
        <f>RTD("kgi.tw.der.pricertdserver.2014.1",,A36 &amp; "_BidPrice1" &amp; ":" &amp; B36 &amp; "@" &amp; C36)*1000000</f>
        <v>#N/A</v>
      </c>
      <c r="G36" s="333" t="e">
        <f>RTD("kgi.tw.der.pricertdserver.2014.1",,A36 &amp; "_AskPrice1" &amp; ":" &amp; B36 &amp; "@" &amp; C36)</f>
        <v>#N/A</v>
      </c>
      <c r="H36" s="332" t="e">
        <f>RTD("kgi.tw.der.pricertdserver.2014.1",,A36 &amp; "_Time" &amp; ":" &amp; B36 &amp; "@" &amp; C36)</f>
        <v>#N/A</v>
      </c>
      <c r="I36" s="332" t="e">
        <f t="shared" si="4"/>
        <v>#N/A</v>
      </c>
      <c r="J36" s="336" t="e">
        <f t="shared" ca="1" si="5"/>
        <v>#N/A</v>
      </c>
      <c r="K36" s="332" t="s">
        <v>1699</v>
      </c>
      <c r="L36" s="332" t="s">
        <v>1743</v>
      </c>
    </row>
    <row r="37" spans="1:12">
      <c r="A37" s="340" t="s">
        <v>1862</v>
      </c>
      <c r="B37" s="332" t="s">
        <v>1740</v>
      </c>
      <c r="C37" s="370" t="s">
        <v>1836</v>
      </c>
      <c r="D37" s="369" t="e">
        <f>RTD("kgi.tw.der.pricertdserver.2014.1",,A37 &amp; "_Reference" &amp; ":" &amp; B37 &amp; "@" &amp; C37)</f>
        <v>#N/A</v>
      </c>
      <c r="E37" s="369" t="e">
        <f>RTD("kgi.tw.der.pricertdserver.2014.1",,A37 &amp;":"&amp; B37&amp;"@" &amp; C37)</f>
        <v>#N/A</v>
      </c>
      <c r="F37" s="333" t="e">
        <f>RTD("kgi.tw.der.pricertdserver.2014.1",,A37 &amp; "_BidPrice1" &amp; ":" &amp; B37 &amp; "@" &amp; C37)</f>
        <v>#N/A</v>
      </c>
      <c r="G37" s="333" t="e">
        <f>RTD("kgi.tw.der.pricertdserver.2014.1",,A37 &amp; "_AskPrice1" &amp; ":" &amp; B37 &amp; "@" &amp; C37)</f>
        <v>#N/A</v>
      </c>
      <c r="H37" s="332" t="e">
        <f>RTD("kgi.tw.der.pricertdserver.2014.1",,A37 &amp; "_Time" &amp; ":" &amp; B37 &amp; "@" &amp; C37)</f>
        <v>#N/A</v>
      </c>
      <c r="I37" s="332" t="e">
        <f t="shared" si="4"/>
        <v>#N/A</v>
      </c>
      <c r="J37" s="336" t="e">
        <f t="shared" ca="1" si="5"/>
        <v>#N/A</v>
      </c>
      <c r="K37" s="332" t="s">
        <v>1699</v>
      </c>
    </row>
    <row r="38" spans="1:12">
      <c r="A38" s="340" t="s">
        <v>1876</v>
      </c>
      <c r="B38" s="332" t="s">
        <v>1740</v>
      </c>
      <c r="C38" s="370" t="s">
        <v>1836</v>
      </c>
      <c r="D38" s="369" t="e">
        <f>RTD("kgi.tw.der.pricertdserver.2014.1",,A38 &amp; "_Reference" &amp; ":" &amp; B38 &amp; "@" &amp; C38)</f>
        <v>#N/A</v>
      </c>
      <c r="E38" s="369" t="e">
        <f>RTD("kgi.tw.der.pricertdserver.2014.1",,A38 &amp;":"&amp; B38&amp;"@" &amp; C38)</f>
        <v>#N/A</v>
      </c>
      <c r="F38" s="333" t="e">
        <f>RTD("kgi.tw.der.pricertdserver.2014.1",,A38 &amp; "_BidPrice1" &amp; ":" &amp; B38 &amp; "@" &amp; C38)</f>
        <v>#N/A</v>
      </c>
      <c r="G38" s="333" t="e">
        <f>RTD("kgi.tw.der.pricertdserver.2014.1",,A38 &amp; "_AskPrice1" &amp; ":" &amp; B38 &amp; "@" &amp; C38)</f>
        <v>#N/A</v>
      </c>
      <c r="H38" s="332" t="e">
        <f>RTD("kgi.tw.der.pricertdserver.2014.1",,A38 &amp; "_Time" &amp; ":" &amp; B38 &amp; "@" &amp; C38)</f>
        <v>#N/A</v>
      </c>
      <c r="I38" s="332" t="e">
        <f t="shared" si="4"/>
        <v>#N/A</v>
      </c>
      <c r="J38" s="336" t="e">
        <f t="shared" ca="1" si="5"/>
        <v>#N/A</v>
      </c>
      <c r="K38" s="332" t="s">
        <v>1699</v>
      </c>
    </row>
    <row r="39" spans="1:12">
      <c r="A39" s="340" t="s">
        <v>1863</v>
      </c>
      <c r="B39" s="332" t="s">
        <v>1703</v>
      </c>
      <c r="C39" s="370" t="s">
        <v>1836</v>
      </c>
      <c r="D39" s="369" t="e">
        <f>RTD("kgi.tw.der.pricertdserver.2014.1",,A39 &amp; "_Reference" &amp; ":" &amp; B39 &amp; "@" &amp; C39)</f>
        <v>#N/A</v>
      </c>
      <c r="E39" s="369" t="e">
        <f>RTD("kgi.tw.der.pricertdserver.2014.1",,A39 &amp;":"&amp; B39&amp;"@" &amp; C39)</f>
        <v>#N/A</v>
      </c>
      <c r="F39" s="333" t="e">
        <f>RTD("kgi.tw.der.pricertdserver.2014.1",,A39 &amp; "_BidPrice1" &amp; ":" &amp; B39 &amp; "@" &amp; C39)</f>
        <v>#N/A</v>
      </c>
      <c r="G39" s="333" t="e">
        <f>RTD("kgi.tw.der.pricertdserver.2014.1",,A39 &amp; "_AskPrice1" &amp; ":" &amp; B39 &amp; "@" &amp; C39)</f>
        <v>#N/A</v>
      </c>
      <c r="H39" s="332" t="e">
        <f>RTD("kgi.tw.der.pricertdserver.2014.1",,A39 &amp; "_Time" &amp; ":" &amp; B39 &amp; "@" &amp; C39)</f>
        <v>#N/A</v>
      </c>
      <c r="I39" s="332" t="e">
        <f t="shared" si="4"/>
        <v>#N/A</v>
      </c>
      <c r="J39" s="336" t="e">
        <f t="shared" ca="1" si="5"/>
        <v>#N/A</v>
      </c>
      <c r="K39" s="332" t="s">
        <v>1699</v>
      </c>
    </row>
    <row r="40" spans="1:12">
      <c r="A40" s="340" t="s">
        <v>1864</v>
      </c>
      <c r="B40" s="332" t="s">
        <v>1703</v>
      </c>
      <c r="C40" s="370" t="s">
        <v>1836</v>
      </c>
      <c r="D40" s="369" t="e">
        <f>RTD("kgi.tw.der.pricertdserver.2014.1",,A40 &amp; "_Reference" &amp; ":" &amp; B40 &amp; "@" &amp; C40)</f>
        <v>#N/A</v>
      </c>
      <c r="E40" s="369" t="e">
        <f>RTD("kgi.tw.der.pricertdserver.2014.1",,A40 &amp;":"&amp; B40&amp;"@" &amp; C40)</f>
        <v>#N/A</v>
      </c>
      <c r="F40" s="333" t="e">
        <f>RTD("kgi.tw.der.pricertdserver.2014.1",,A40 &amp; "_BidPrice1" &amp; ":" &amp; B40 &amp; "@" &amp; C40)</f>
        <v>#N/A</v>
      </c>
      <c r="G40" s="333" t="e">
        <f>RTD("kgi.tw.der.pricertdserver.2014.1",,A40 &amp; "_AskPrice1" &amp; ":" &amp; B40 &amp; "@" &amp; C40)</f>
        <v>#N/A</v>
      </c>
      <c r="H40" s="332" t="e">
        <f>RTD("kgi.tw.der.pricertdserver.2014.1",,A40 &amp; "_Time" &amp; ":" &amp; B40 &amp; "@" &amp; C40)</f>
        <v>#N/A</v>
      </c>
      <c r="I40" s="332" t="e">
        <f t="shared" si="4"/>
        <v>#N/A</v>
      </c>
      <c r="J40" s="336" t="e">
        <f t="shared" ca="1" si="5"/>
        <v>#N/A</v>
      </c>
      <c r="K40" s="332" t="s">
        <v>1699</v>
      </c>
    </row>
    <row r="41" spans="1:12">
      <c r="A41" s="340" t="s">
        <v>1877</v>
      </c>
      <c r="B41" s="332" t="s">
        <v>1703</v>
      </c>
      <c r="C41" s="370" t="s">
        <v>1836</v>
      </c>
      <c r="D41" s="369" t="e">
        <f>RTD("kgi.tw.der.pricertdserver.2014.1",,A41 &amp; "_Reference" &amp; ":" &amp; B41 &amp; "@" &amp; C41)</f>
        <v>#N/A</v>
      </c>
      <c r="E41" s="369" t="e">
        <f>RTD("kgi.tw.der.pricertdserver.2014.1",,A41 &amp;":"&amp; B41&amp;"@" &amp; C41)</f>
        <v>#N/A</v>
      </c>
      <c r="F41" s="333" t="e">
        <f>RTD("kgi.tw.der.pricertdserver.2014.1",,A41 &amp; "_BidPrice1" &amp; ":" &amp; B41 &amp; "@" &amp; C41)</f>
        <v>#N/A</v>
      </c>
      <c r="G41" s="333" t="e">
        <f>RTD("kgi.tw.der.pricertdserver.2014.1",,A41 &amp; "_AskPrice1" &amp; ":" &amp; B41 &amp; "@" &amp; C41)</f>
        <v>#N/A</v>
      </c>
      <c r="H41" s="332" t="e">
        <f>RTD("kgi.tw.der.pricertdserver.2014.1",,A41 &amp; "_Time" &amp; ":" &amp; B41 &amp; "@" &amp; C41)</f>
        <v>#N/A</v>
      </c>
      <c r="I41" s="332" t="e">
        <f t="shared" si="4"/>
        <v>#N/A</v>
      </c>
      <c r="J41" s="336" t="e">
        <f t="shared" ca="1" si="5"/>
        <v>#N/A</v>
      </c>
      <c r="K41" s="332" t="s">
        <v>1699</v>
      </c>
    </row>
    <row r="42" spans="1:12">
      <c r="A42" s="342" t="s">
        <v>1864</v>
      </c>
      <c r="B42" s="343" t="s">
        <v>1703</v>
      </c>
      <c r="C42" s="370" t="s">
        <v>1836</v>
      </c>
      <c r="D42" s="369" t="e">
        <f>RTD("kgi.tw.der.pricertdserver.2014.1",,A42 &amp; "_Reference" &amp; ":" &amp; B42 &amp; "@" &amp; C42)</f>
        <v>#N/A</v>
      </c>
      <c r="E42" s="369" t="e">
        <f>RTD("kgi.tw.der.pricertdserver.2014.1",,A42 &amp;":"&amp; B42&amp;"@" &amp; C42)</f>
        <v>#N/A</v>
      </c>
      <c r="F42" s="333" t="e">
        <f>RTD("kgi.tw.der.pricertdserver.2014.1",,A42 &amp; "_BidPrice1" &amp; ":" &amp; B42 &amp; "@" &amp; C42)</f>
        <v>#N/A</v>
      </c>
      <c r="G42" s="333" t="e">
        <f>RTD("kgi.tw.der.pricertdserver.2014.1",,A42 &amp; "_AskPrice1" &amp; ":" &amp; B42 &amp; "@" &amp; C42)</f>
        <v>#N/A</v>
      </c>
      <c r="H42" s="332" t="e">
        <f>RTD("kgi.tw.der.pricertdserver.2014.1",,A42 &amp; "_Time" &amp; ":" &amp; B42 &amp; "@" &amp; C42)</f>
        <v>#N/A</v>
      </c>
      <c r="I42" s="332" t="e">
        <f t="shared" si="4"/>
        <v>#N/A</v>
      </c>
      <c r="J42" s="336" t="e">
        <f t="shared" ca="1" si="5"/>
        <v>#N/A</v>
      </c>
      <c r="K42" s="332" t="s">
        <v>1699</v>
      </c>
      <c r="L42" s="332" t="s">
        <v>1741</v>
      </c>
    </row>
    <row r="43" spans="1:12">
      <c r="A43" s="340" t="s">
        <v>1865</v>
      </c>
      <c r="B43" s="332" t="s">
        <v>1703</v>
      </c>
      <c r="C43" s="370" t="s">
        <v>1836</v>
      </c>
      <c r="D43" s="369" t="e">
        <f>RTD("kgi.tw.der.pricertdserver.2014.1",,A43 &amp; "_Reference" &amp; ":" &amp; B43 &amp; "@" &amp; C43)</f>
        <v>#N/A</v>
      </c>
      <c r="E43" s="369" t="e">
        <f>RTD("kgi.tw.der.pricertdserver.2014.1",,A43 &amp;":"&amp; B43&amp;"@" &amp; C43)</f>
        <v>#N/A</v>
      </c>
      <c r="F43" s="333" t="e">
        <f>RTD("kgi.tw.der.pricertdserver.2014.1",,A43 &amp; "_BidPrice1" &amp; ":" &amp; B43 &amp; "@" &amp; C43)</f>
        <v>#N/A</v>
      </c>
      <c r="G43" s="333" t="e">
        <f>RTD("kgi.tw.der.pricertdserver.2014.1",,A43 &amp; "_AskPrice1" &amp; ":" &amp; B43 &amp; "@" &amp; C43)</f>
        <v>#N/A</v>
      </c>
      <c r="H43" s="332" t="e">
        <f>RTD("kgi.tw.der.pricertdserver.2014.1",,A43 &amp; "_Time" &amp; ":" &amp; B43 &amp; "@" &amp; C43)</f>
        <v>#N/A</v>
      </c>
      <c r="I43" s="332" t="e">
        <f t="shared" si="4"/>
        <v>#N/A</v>
      </c>
      <c r="J43" s="336" t="e">
        <f t="shared" ca="1" si="5"/>
        <v>#N/A</v>
      </c>
      <c r="K43" s="332" t="s">
        <v>1699</v>
      </c>
    </row>
    <row r="44" spans="1:12">
      <c r="A44" s="340" t="s">
        <v>1866</v>
      </c>
      <c r="B44" s="332" t="s">
        <v>1703</v>
      </c>
      <c r="C44" s="370" t="s">
        <v>1836</v>
      </c>
      <c r="D44" s="369" t="e">
        <f>RTD("kgi.tw.der.pricertdserver.2014.1",,A44 &amp; "_Reference" &amp; ":" &amp; B44 &amp; "@" &amp; C44)</f>
        <v>#N/A</v>
      </c>
      <c r="E44" s="369" t="e">
        <f>RTD("kgi.tw.der.pricertdserver.2014.1",,A44 &amp;":"&amp; B44&amp;"@" &amp; C44)</f>
        <v>#N/A</v>
      </c>
      <c r="F44" s="333" t="e">
        <f>RTD("kgi.tw.der.pricertdserver.2014.1",,A44 &amp; "_BidPrice1" &amp; ":" &amp; B44 &amp; "@" &amp; C44)</f>
        <v>#N/A</v>
      </c>
      <c r="G44" s="333" t="e">
        <f>RTD("kgi.tw.der.pricertdserver.2014.1",,A44 &amp; "_AskPrice1" &amp; ":" &amp; B44 &amp; "@" &amp; C44)</f>
        <v>#N/A</v>
      </c>
      <c r="H44" s="332" t="e">
        <f>RTD("kgi.tw.der.pricertdserver.2014.1",,A44 &amp; "_Time" &amp; ":" &amp; B44 &amp; "@" &amp; C44)</f>
        <v>#N/A</v>
      </c>
      <c r="I44" s="332" t="e">
        <f t="shared" si="4"/>
        <v>#N/A</v>
      </c>
      <c r="J44" s="336" t="e">
        <f t="shared" ca="1" si="5"/>
        <v>#N/A</v>
      </c>
      <c r="K44" s="332" t="s">
        <v>1699</v>
      </c>
    </row>
    <row r="45" spans="1:12">
      <c r="A45" s="340" t="s">
        <v>1878</v>
      </c>
      <c r="B45" s="332" t="s">
        <v>1703</v>
      </c>
      <c r="C45" s="370" t="s">
        <v>1836</v>
      </c>
      <c r="D45" s="369" t="e">
        <f>RTD("kgi.tw.der.pricertdserver.2014.1",,A45 &amp; "_Reference" &amp; ":" &amp; B45 &amp; "@" &amp; C45)</f>
        <v>#N/A</v>
      </c>
      <c r="E45" s="369" t="e">
        <f>RTD("kgi.tw.der.pricertdserver.2014.1",,A45 &amp;":"&amp; B45&amp;"@" &amp; C45)</f>
        <v>#N/A</v>
      </c>
      <c r="F45" s="333" t="e">
        <f>RTD("kgi.tw.der.pricertdserver.2014.1",,A45 &amp; "_BidPrice1" &amp; ":" &amp; B45 &amp; "@" &amp; C45)</f>
        <v>#N/A</v>
      </c>
      <c r="G45" s="333" t="e">
        <f>RTD("kgi.tw.der.pricertdserver.2014.1",,A45 &amp; "_AskPrice1" &amp; ":" &amp; B45 &amp; "@" &amp; C45)</f>
        <v>#N/A</v>
      </c>
      <c r="H45" s="332" t="e">
        <f>RTD("kgi.tw.der.pricertdserver.2014.1",,A45 &amp; "_Time" &amp; ":" &amp; B45 &amp; "@" &amp; C45)</f>
        <v>#N/A</v>
      </c>
      <c r="I45" s="332" t="e">
        <f t="shared" si="4"/>
        <v>#N/A</v>
      </c>
      <c r="J45" s="336" t="e">
        <f t="shared" ca="1" si="5"/>
        <v>#N/A</v>
      </c>
      <c r="K45" s="332" t="s">
        <v>1699</v>
      </c>
    </row>
    <row r="46" spans="1:12">
      <c r="A46" s="340" t="s">
        <v>1867</v>
      </c>
      <c r="B46" s="332" t="s">
        <v>1742</v>
      </c>
      <c r="C46" s="370" t="s">
        <v>1836</v>
      </c>
      <c r="D46" s="369" t="e">
        <f>RTD("kgi.tw.der.pricertdserver.2014.1",,A46 &amp; "_Reference" &amp; ":" &amp; B46 &amp; "@" &amp; C46)</f>
        <v>#N/A</v>
      </c>
      <c r="E46" s="369" t="e">
        <f>RTD("kgi.tw.der.pricertdserver.2014.1",,A46 &amp;":"&amp; B46&amp;"@" &amp; C46)</f>
        <v>#N/A</v>
      </c>
      <c r="F46" s="333" t="e">
        <f>RTD("kgi.tw.der.pricertdserver.2014.1",,A46 &amp; "_BidPrice1" &amp; ":" &amp; B46 &amp; "@" &amp; C46)</f>
        <v>#N/A</v>
      </c>
      <c r="G46" s="333" t="e">
        <f>RTD("kgi.tw.der.pricertdserver.2014.1",,A46 &amp; "_AskPrice1" &amp; ":" &amp; B46 &amp; "@" &amp; C46)</f>
        <v>#N/A</v>
      </c>
      <c r="H46" s="332" t="e">
        <f>RTD("kgi.tw.der.pricertdserver.2014.1",,A46 &amp; "_Time" &amp; ":" &amp; B46 &amp; "@" &amp; C46)</f>
        <v>#N/A</v>
      </c>
      <c r="I46" s="332" t="e">
        <f t="shared" si="4"/>
        <v>#N/A</v>
      </c>
      <c r="J46" s="336" t="e">
        <f t="shared" ca="1" si="5"/>
        <v>#N/A</v>
      </c>
      <c r="K46" s="332" t="s">
        <v>1699</v>
      </c>
    </row>
    <row r="47" spans="1:12">
      <c r="A47" s="340" t="s">
        <v>1868</v>
      </c>
      <c r="B47" s="332" t="s">
        <v>1742</v>
      </c>
      <c r="C47" s="370" t="s">
        <v>1836</v>
      </c>
      <c r="D47" s="369" t="e">
        <f>RTD("kgi.tw.der.pricertdserver.2014.1",,A47 &amp; "_Reference" &amp; ":" &amp; B47 &amp; "@" &amp; C47)</f>
        <v>#N/A</v>
      </c>
      <c r="E47" s="369" t="e">
        <f>RTD("kgi.tw.der.pricertdserver.2014.1",,A47 &amp;":"&amp; B47&amp;"@" &amp; C47)</f>
        <v>#N/A</v>
      </c>
      <c r="F47" s="333" t="e">
        <f>RTD("kgi.tw.der.pricertdserver.2014.1",,A47 &amp; "_BidPrice1" &amp; ":" &amp; B47 &amp; "@" &amp; C47)</f>
        <v>#N/A</v>
      </c>
      <c r="G47" s="333" t="e">
        <f>RTD("kgi.tw.der.pricertdserver.2014.1",,A47 &amp; "_AskPrice1" &amp; ":" &amp; B47 &amp; "@" &amp; C47)</f>
        <v>#N/A</v>
      </c>
      <c r="H47" s="332" t="e">
        <f>RTD("kgi.tw.der.pricertdserver.2014.1",,A47 &amp; "_Time" &amp; ":" &amp; B47 &amp; "@" &amp; C47)</f>
        <v>#N/A</v>
      </c>
      <c r="I47" s="332" t="e">
        <f t="shared" si="4"/>
        <v>#N/A</v>
      </c>
      <c r="J47" s="336" t="e">
        <f t="shared" ca="1" si="5"/>
        <v>#N/A</v>
      </c>
      <c r="K47" s="332" t="s">
        <v>1699</v>
      </c>
    </row>
    <row r="48" spans="1:12">
      <c r="A48" s="340" t="s">
        <v>1869</v>
      </c>
      <c r="B48" s="332" t="s">
        <v>1742</v>
      </c>
      <c r="C48" s="370" t="s">
        <v>1836</v>
      </c>
      <c r="D48" s="369" t="e">
        <f>RTD("kgi.tw.der.pricertdserver.2014.1",,A48 &amp; "_Reference" &amp; ":" &amp; B48 &amp; "@" &amp; C48)</f>
        <v>#N/A</v>
      </c>
      <c r="E48" s="369" t="e">
        <f>RTD("kgi.tw.der.pricertdserver.2014.1",,A48 &amp;":"&amp; B48&amp;"@" &amp; C48)</f>
        <v>#N/A</v>
      </c>
      <c r="F48" s="333" t="e">
        <f>RTD("kgi.tw.der.pricertdserver.2014.1",,A48 &amp; "_BidPrice1" &amp; ":" &amp; B48 &amp; "@" &amp; C48)</f>
        <v>#N/A</v>
      </c>
      <c r="G48" s="333" t="e">
        <f>RTD("kgi.tw.der.pricertdserver.2014.1",,A48 &amp; "_AskPrice1" &amp; ":" &amp; B48 &amp; "@" &amp; C48)</f>
        <v>#N/A</v>
      </c>
      <c r="H48" s="332" t="e">
        <f>RTD("kgi.tw.der.pricertdserver.2014.1",,A48 &amp; "_Time" &amp; ":" &amp; B48 &amp; "@" &amp; C48)</f>
        <v>#N/A</v>
      </c>
      <c r="I48" s="332" t="e">
        <f t="shared" si="4"/>
        <v>#N/A</v>
      </c>
      <c r="J48" s="336" t="e">
        <f t="shared" ca="1" si="5"/>
        <v>#N/A</v>
      </c>
      <c r="K48" s="332" t="s">
        <v>1699</v>
      </c>
    </row>
    <row r="49" spans="1:14">
      <c r="A49" s="340" t="s">
        <v>1870</v>
      </c>
      <c r="B49" s="332" t="s">
        <v>1702</v>
      </c>
      <c r="C49" s="370" t="s">
        <v>1836</v>
      </c>
      <c r="D49" s="369" t="e">
        <f>RTD("kgi.tw.der.pricertdserver.2014.1",,A49 &amp; "_Reference" &amp; ":" &amp; B49 &amp; "@" &amp; C49)</f>
        <v>#N/A</v>
      </c>
      <c r="E49" s="369" t="e">
        <f>RTD("kgi.tw.der.pricertdserver.2014.1",,A49 &amp;":"&amp; B49&amp;"@" &amp; C49)</f>
        <v>#N/A</v>
      </c>
      <c r="F49" s="333" t="e">
        <f>RTD("kgi.tw.der.pricertdserver.2014.1",,A49 &amp; "_BidPrice1" &amp; ":" &amp; B49 &amp; "@" &amp; C49)</f>
        <v>#N/A</v>
      </c>
      <c r="G49" s="333" t="e">
        <f>RTD("kgi.tw.der.pricertdserver.2014.1",,A49 &amp; "_AskPrice1" &amp; ":" &amp; B49 &amp; "@" &amp; C49)</f>
        <v>#N/A</v>
      </c>
      <c r="H49" s="332" t="e">
        <f>RTD("kgi.tw.der.pricertdserver.2014.1",,A49 &amp; "_Time" &amp; ":" &amp; B49 &amp; "@" &amp; C49)</f>
        <v>#N/A</v>
      </c>
      <c r="I49" s="332" t="e">
        <f>LEFT(H49,FIND("_",H49)-1) &amp; RIGHT(H49,FIND("_",H49))</f>
        <v>#N/A</v>
      </c>
      <c r="J49" s="336" t="e">
        <f ca="1">I49-$L$2+100000</f>
        <v>#N/A</v>
      </c>
      <c r="K49" s="332" t="s">
        <v>1699</v>
      </c>
      <c r="L49" s="332" t="s">
        <v>1744</v>
      </c>
      <c r="N49" s="333"/>
    </row>
    <row r="50" spans="1:14">
      <c r="A50" s="340" t="s">
        <v>1879</v>
      </c>
      <c r="B50" s="332" t="s">
        <v>1702</v>
      </c>
      <c r="C50" s="370" t="s">
        <v>1836</v>
      </c>
      <c r="D50" s="369" t="e">
        <f>RTD("kgi.tw.der.pricertdserver.2014.1",,A50 &amp; "_Reference" &amp; ":" &amp; B50 &amp; "@" &amp; C50)</f>
        <v>#N/A</v>
      </c>
      <c r="E50" s="369" t="e">
        <f>RTD("kgi.tw.der.pricertdserver.2014.1",,A50 &amp;":"&amp; B50&amp;"@" &amp; C50)</f>
        <v>#N/A</v>
      </c>
      <c r="F50" s="333" t="e">
        <f>RTD("kgi.tw.der.pricertdserver.2014.1",,A50 &amp; "_BidPrice1" &amp; ":" &amp; B50 &amp; "@" &amp; C50)</f>
        <v>#N/A</v>
      </c>
      <c r="G50" s="333" t="e">
        <f>RTD("kgi.tw.der.pricertdserver.2014.1",,A50 &amp; "_AskPrice1" &amp; ":" &amp; B50 &amp; "@" &amp; C50)</f>
        <v>#N/A</v>
      </c>
      <c r="H50" s="332" t="e">
        <f>RTD("kgi.tw.der.pricertdserver.2014.1",,A50 &amp; "_Time" &amp; ":" &amp; B50 &amp; "@" &amp; C50)</f>
        <v>#N/A</v>
      </c>
      <c r="I50" s="332" t="e">
        <f>LEFT(H50,FIND("_",H50)-1) &amp; RIGHT(H50,FIND("_",H50))</f>
        <v>#N/A</v>
      </c>
      <c r="J50" s="336" t="e">
        <f ca="1">I50-$L$2+100000</f>
        <v>#N/A</v>
      </c>
      <c r="K50" s="332" t="s">
        <v>1699</v>
      </c>
      <c r="L50" s="332" t="s">
        <v>1745</v>
      </c>
      <c r="N50" s="333"/>
    </row>
    <row r="51" spans="1:14">
      <c r="A51" s="340" t="s">
        <v>1871</v>
      </c>
      <c r="B51" s="332" t="s">
        <v>1702</v>
      </c>
      <c r="C51" s="370" t="s">
        <v>1836</v>
      </c>
      <c r="D51" s="369" t="e">
        <f>RTD("kgi.tw.der.pricertdserver.2014.1",,A51 &amp; "_Reference" &amp; ":" &amp; B51 &amp; "@" &amp; C51)</f>
        <v>#N/A</v>
      </c>
      <c r="E51" s="369" t="e">
        <f>RTD("kgi.tw.der.pricertdserver.2014.1",,A51 &amp;":"&amp; B51&amp;"@" &amp; C51)</f>
        <v>#N/A</v>
      </c>
      <c r="F51" s="333" t="e">
        <f>RTD("kgi.tw.der.pricertdserver.2014.1",,A51 &amp; "_BidPrice1" &amp; ":" &amp; B51 &amp; "@" &amp; C51)</f>
        <v>#N/A</v>
      </c>
      <c r="G51" s="333" t="e">
        <f>RTD("kgi.tw.der.pricertdserver.2014.1",,A51 &amp; "_AskPrice1" &amp; ":" &amp; B51 &amp; "@" &amp; C51)</f>
        <v>#N/A</v>
      </c>
      <c r="H51" s="332" t="e">
        <f>RTD("kgi.tw.der.pricertdserver.2014.1",,A51 &amp; "_Time" &amp; ":" &amp; B51 &amp; "@" &amp; C51)</f>
        <v>#N/A</v>
      </c>
      <c r="I51" s="332" t="e">
        <f>LEFT(H51,FIND("_",H51)-1) &amp; RIGHT(H51,FIND("_",H51))</f>
        <v>#N/A</v>
      </c>
      <c r="J51" s="336" t="e">
        <f ca="1">I51-$L$2+100000</f>
        <v>#N/A</v>
      </c>
      <c r="K51" s="332" t="s">
        <v>1699</v>
      </c>
      <c r="L51" s="332" t="s">
        <v>1746</v>
      </c>
      <c r="N51" s="333"/>
    </row>
    <row r="52" spans="1:14">
      <c r="A52" s="340" t="s">
        <v>1880</v>
      </c>
      <c r="B52" s="332" t="s">
        <v>1702</v>
      </c>
      <c r="C52" s="370" t="s">
        <v>1836</v>
      </c>
      <c r="D52" s="369" t="e">
        <f>RTD("kgi.tw.der.pricertdserver.2014.1",,A52 &amp; "_Reference" &amp; ":" &amp; B52 &amp; "@" &amp; C52)</f>
        <v>#N/A</v>
      </c>
      <c r="E52" s="369" t="e">
        <f>RTD("kgi.tw.der.pricertdserver.2014.1",,A52 &amp;":"&amp; B52&amp;"@" &amp; C52)</f>
        <v>#N/A</v>
      </c>
      <c r="F52" s="333" t="e">
        <f>RTD("kgi.tw.der.pricertdserver.2014.1",,A52 &amp; "_BidPrice1" &amp; ":" &amp; B52 &amp; "@" &amp; C52)</f>
        <v>#N/A</v>
      </c>
      <c r="G52" s="333" t="e">
        <f>RTD("kgi.tw.der.pricertdserver.2014.1",,A52 &amp; "_AskPrice1" &amp; ":" &amp; B52 &amp; "@" &amp; C52)</f>
        <v>#N/A</v>
      </c>
      <c r="H52" s="332" t="e">
        <f>RTD("kgi.tw.der.pricertdserver.2014.1",,A52 &amp; "_Time" &amp; ":" &amp; B52 &amp; "@" &amp; C52)</f>
        <v>#N/A</v>
      </c>
      <c r="I52" s="332" t="e">
        <f>LEFT(H52,FIND("_",H52)-1) &amp; RIGHT(H52,FIND("_",H52))</f>
        <v>#N/A</v>
      </c>
      <c r="J52" s="336" t="e">
        <f ca="1">I52-$L$2+100000</f>
        <v>#N/A</v>
      </c>
      <c r="K52" s="332" t="s">
        <v>1699</v>
      </c>
      <c r="L52" s="332" t="s">
        <v>1747</v>
      </c>
      <c r="N52" s="333"/>
    </row>
    <row r="53" spans="1:14">
      <c r="F53" s="333"/>
      <c r="G53" s="333"/>
      <c r="J53" s="336"/>
      <c r="N53" s="333"/>
    </row>
    <row r="54" spans="1:14">
      <c r="F54" s="333"/>
      <c r="G54" s="333"/>
      <c r="J54" s="336"/>
    </row>
    <row r="55" spans="1:14">
      <c r="F55" s="333"/>
      <c r="G55" s="333"/>
      <c r="J55" s="336"/>
    </row>
  </sheetData>
  <phoneticPr fontId="8" type="noConversion"/>
  <conditionalFormatting sqref="J12 J2:J10 J49:J50 J28:J29 J53:J55">
    <cfRule type="cellIs" dxfId="87" priority="204" operator="lessThan">
      <formula>0</formula>
    </cfRule>
    <cfRule type="cellIs" dxfId="86" priority="205" operator="lessThan">
      <formula>0</formula>
    </cfRule>
  </conditionalFormatting>
  <conditionalFormatting sqref="H12 H2:H10 H49:H50 H28:H29 H53:H55">
    <cfRule type="expression" dxfId="85" priority="203">
      <formula>J2 &lt; 0</formula>
    </cfRule>
  </conditionalFormatting>
  <conditionalFormatting sqref="J15 J13">
    <cfRule type="cellIs" dxfId="84" priority="119" operator="lessThan">
      <formula>0</formula>
    </cfRule>
    <cfRule type="cellIs" dxfId="83" priority="120" operator="lessThan">
      <formula>0</formula>
    </cfRule>
  </conditionalFormatting>
  <conditionalFormatting sqref="H15 H13">
    <cfRule type="expression" dxfId="82" priority="118">
      <formula>J13 &lt; 0</formula>
    </cfRule>
  </conditionalFormatting>
  <conditionalFormatting sqref="J11">
    <cfRule type="cellIs" dxfId="81" priority="140" operator="lessThan">
      <formula>0</formula>
    </cfRule>
    <cfRule type="cellIs" dxfId="80" priority="141" operator="lessThan">
      <formula>0</formula>
    </cfRule>
  </conditionalFormatting>
  <conditionalFormatting sqref="H11">
    <cfRule type="expression" dxfId="79" priority="139">
      <formula>J11 &lt; 0</formula>
    </cfRule>
  </conditionalFormatting>
  <conditionalFormatting sqref="J18 J16">
    <cfRule type="cellIs" dxfId="78" priority="113" operator="lessThan">
      <formula>0</formula>
    </cfRule>
    <cfRule type="cellIs" dxfId="77" priority="114" operator="lessThan">
      <formula>0</formula>
    </cfRule>
  </conditionalFormatting>
  <conditionalFormatting sqref="H18 H16">
    <cfRule type="expression" dxfId="76" priority="112">
      <formula>J16 &lt; 0</formula>
    </cfRule>
  </conditionalFormatting>
  <conditionalFormatting sqref="J14">
    <cfRule type="cellIs" dxfId="75" priority="116" operator="lessThan">
      <formula>0</formula>
    </cfRule>
    <cfRule type="cellIs" dxfId="74" priority="117" operator="lessThan">
      <formula>0</formula>
    </cfRule>
  </conditionalFormatting>
  <conditionalFormatting sqref="H14">
    <cfRule type="expression" dxfId="73" priority="115">
      <formula>J14 &lt; 0</formula>
    </cfRule>
  </conditionalFormatting>
  <conditionalFormatting sqref="J17">
    <cfRule type="cellIs" dxfId="72" priority="110" operator="lessThan">
      <formula>0</formula>
    </cfRule>
    <cfRule type="cellIs" dxfId="71" priority="111" operator="lessThan">
      <formula>0</formula>
    </cfRule>
  </conditionalFormatting>
  <conditionalFormatting sqref="H17">
    <cfRule type="expression" dxfId="70" priority="109">
      <formula>J17 &lt; 0</formula>
    </cfRule>
  </conditionalFormatting>
  <conditionalFormatting sqref="J21 J19">
    <cfRule type="cellIs" dxfId="69" priority="107" operator="lessThan">
      <formula>0</formula>
    </cfRule>
    <cfRule type="cellIs" dxfId="68" priority="108" operator="lessThan">
      <formula>0</formula>
    </cfRule>
  </conditionalFormatting>
  <conditionalFormatting sqref="H21 H19">
    <cfRule type="expression" dxfId="67" priority="106">
      <formula>J19 &lt; 0</formula>
    </cfRule>
  </conditionalFormatting>
  <conditionalFormatting sqref="J20">
    <cfRule type="cellIs" dxfId="66" priority="104" operator="lessThan">
      <formula>0</formula>
    </cfRule>
    <cfRule type="cellIs" dxfId="65" priority="105" operator="lessThan">
      <formula>0</formula>
    </cfRule>
  </conditionalFormatting>
  <conditionalFormatting sqref="H20">
    <cfRule type="expression" dxfId="64" priority="103">
      <formula>J20 &lt; 0</formula>
    </cfRule>
  </conditionalFormatting>
  <conditionalFormatting sqref="J24 J22">
    <cfRule type="cellIs" dxfId="63" priority="101" operator="lessThan">
      <formula>0</formula>
    </cfRule>
    <cfRule type="cellIs" dxfId="62" priority="102" operator="lessThan">
      <formula>0</formula>
    </cfRule>
  </conditionalFormatting>
  <conditionalFormatting sqref="H24 H22">
    <cfRule type="expression" dxfId="61" priority="100">
      <formula>J22 &lt; 0</formula>
    </cfRule>
  </conditionalFormatting>
  <conditionalFormatting sqref="J23">
    <cfRule type="cellIs" dxfId="60" priority="98" operator="lessThan">
      <formula>0</formula>
    </cfRule>
    <cfRule type="cellIs" dxfId="59" priority="99" operator="lessThan">
      <formula>0</formula>
    </cfRule>
  </conditionalFormatting>
  <conditionalFormatting sqref="H23">
    <cfRule type="expression" dxfId="58" priority="97">
      <formula>J23 &lt; 0</formula>
    </cfRule>
  </conditionalFormatting>
  <conditionalFormatting sqref="J25">
    <cfRule type="cellIs" dxfId="57" priority="95" operator="lessThan">
      <formula>0</formula>
    </cfRule>
    <cfRule type="cellIs" dxfId="56" priority="96" operator="lessThan">
      <formula>0</formula>
    </cfRule>
  </conditionalFormatting>
  <conditionalFormatting sqref="H25">
    <cfRule type="expression" dxfId="55" priority="94">
      <formula>J25 &lt; 0</formula>
    </cfRule>
  </conditionalFormatting>
  <conditionalFormatting sqref="J26">
    <cfRule type="cellIs" dxfId="54" priority="92" operator="lessThan">
      <formula>0</formula>
    </cfRule>
    <cfRule type="cellIs" dxfId="53" priority="93" operator="lessThan">
      <formula>0</formula>
    </cfRule>
  </conditionalFormatting>
  <conditionalFormatting sqref="H26">
    <cfRule type="expression" dxfId="52" priority="91">
      <formula>J26 &lt; 0</formula>
    </cfRule>
  </conditionalFormatting>
  <conditionalFormatting sqref="J27">
    <cfRule type="cellIs" dxfId="51" priority="89" operator="lessThan">
      <formula>0</formula>
    </cfRule>
    <cfRule type="cellIs" dxfId="50" priority="90" operator="lessThan">
      <formula>0</formula>
    </cfRule>
  </conditionalFormatting>
  <conditionalFormatting sqref="H27">
    <cfRule type="expression" dxfId="49" priority="88">
      <formula>J27 &lt; 0</formula>
    </cfRule>
  </conditionalFormatting>
  <conditionalFormatting sqref="J32">
    <cfRule type="cellIs" dxfId="48" priority="47" operator="lessThan">
      <formula>0</formula>
    </cfRule>
    <cfRule type="cellIs" dxfId="47" priority="48" operator="lessThan">
      <formula>0</formula>
    </cfRule>
  </conditionalFormatting>
  <conditionalFormatting sqref="H32">
    <cfRule type="expression" dxfId="46" priority="46">
      <formula>J32 &lt; 0</formula>
    </cfRule>
  </conditionalFormatting>
  <conditionalFormatting sqref="J31">
    <cfRule type="cellIs" dxfId="45" priority="53" operator="lessThan">
      <formula>0</formula>
    </cfRule>
    <cfRule type="cellIs" dxfId="44" priority="54" operator="lessThan">
      <formula>0</formula>
    </cfRule>
  </conditionalFormatting>
  <conditionalFormatting sqref="H31">
    <cfRule type="expression" dxfId="43" priority="52">
      <formula>J31 &lt; 0</formula>
    </cfRule>
  </conditionalFormatting>
  <conditionalFormatting sqref="J30">
    <cfRule type="cellIs" dxfId="42" priority="56" operator="lessThan">
      <formula>0</formula>
    </cfRule>
    <cfRule type="cellIs" dxfId="41" priority="57" operator="lessThan">
      <formula>0</formula>
    </cfRule>
  </conditionalFormatting>
  <conditionalFormatting sqref="H30">
    <cfRule type="expression" dxfId="40" priority="55">
      <formula>J30 &lt; 0</formula>
    </cfRule>
  </conditionalFormatting>
  <conditionalFormatting sqref="J33">
    <cfRule type="cellIs" dxfId="39" priority="44" operator="lessThan">
      <formula>0</formula>
    </cfRule>
    <cfRule type="cellIs" dxfId="38" priority="45" operator="lessThan">
      <formula>0</formula>
    </cfRule>
  </conditionalFormatting>
  <conditionalFormatting sqref="H33">
    <cfRule type="expression" dxfId="37" priority="43">
      <formula>J33 &lt; 0</formula>
    </cfRule>
  </conditionalFormatting>
  <conditionalFormatting sqref="J34">
    <cfRule type="cellIs" dxfId="36" priority="41" operator="lessThan">
      <formula>0</formula>
    </cfRule>
    <cfRule type="cellIs" dxfId="35" priority="42" operator="lessThan">
      <formula>0</formula>
    </cfRule>
  </conditionalFormatting>
  <conditionalFormatting sqref="H34">
    <cfRule type="expression" dxfId="34" priority="40">
      <formula>J34 &lt; 0</formula>
    </cfRule>
  </conditionalFormatting>
  <conditionalFormatting sqref="J35">
    <cfRule type="cellIs" dxfId="33" priority="38" operator="lessThan">
      <formula>0</formula>
    </cfRule>
    <cfRule type="cellIs" dxfId="32" priority="39" operator="lessThan">
      <formula>0</formula>
    </cfRule>
  </conditionalFormatting>
  <conditionalFormatting sqref="H35">
    <cfRule type="expression" dxfId="31" priority="37">
      <formula>J35 &lt; 0</formula>
    </cfRule>
  </conditionalFormatting>
  <conditionalFormatting sqref="J36:J38">
    <cfRule type="cellIs" dxfId="30" priority="35" operator="lessThan">
      <formula>0</formula>
    </cfRule>
    <cfRule type="cellIs" dxfId="29" priority="36" operator="lessThan">
      <formula>0</formula>
    </cfRule>
  </conditionalFormatting>
  <conditionalFormatting sqref="H36:H38">
    <cfRule type="expression" dxfId="28" priority="34">
      <formula>J36 &lt; 0</formula>
    </cfRule>
  </conditionalFormatting>
  <conditionalFormatting sqref="J41">
    <cfRule type="cellIs" dxfId="27" priority="20" operator="lessThan">
      <formula>0</formula>
    </cfRule>
    <cfRule type="cellIs" dxfId="26" priority="21" operator="lessThan">
      <formula>0</formula>
    </cfRule>
  </conditionalFormatting>
  <conditionalFormatting sqref="H41">
    <cfRule type="expression" dxfId="25" priority="19">
      <formula>J41 &lt; 0</formula>
    </cfRule>
  </conditionalFormatting>
  <conditionalFormatting sqref="J39">
    <cfRule type="cellIs" dxfId="24" priority="29" operator="lessThan">
      <formula>0</formula>
    </cfRule>
    <cfRule type="cellIs" dxfId="23" priority="30" operator="lessThan">
      <formula>0</formula>
    </cfRule>
  </conditionalFormatting>
  <conditionalFormatting sqref="H39">
    <cfRule type="expression" dxfId="22" priority="28">
      <formula>J39 &lt; 0</formula>
    </cfRule>
  </conditionalFormatting>
  <conditionalFormatting sqref="J40">
    <cfRule type="cellIs" dxfId="21" priority="26" operator="lessThan">
      <formula>0</formula>
    </cfRule>
    <cfRule type="cellIs" dxfId="20" priority="27" operator="lessThan">
      <formula>0</formula>
    </cfRule>
  </conditionalFormatting>
  <conditionalFormatting sqref="H40">
    <cfRule type="expression" dxfId="19" priority="25">
      <formula>J40 &lt; 0</formula>
    </cfRule>
  </conditionalFormatting>
  <conditionalFormatting sqref="J45:J48">
    <cfRule type="cellIs" dxfId="18" priority="8" operator="lessThan">
      <formula>0</formula>
    </cfRule>
    <cfRule type="cellIs" dxfId="17" priority="9" operator="lessThan">
      <formula>0</formula>
    </cfRule>
  </conditionalFormatting>
  <conditionalFormatting sqref="H45:H48">
    <cfRule type="expression" dxfId="16" priority="7">
      <formula>J45 &lt; 0</formula>
    </cfRule>
  </conditionalFormatting>
  <conditionalFormatting sqref="J42">
    <cfRule type="cellIs" dxfId="15" priority="17" operator="lessThan">
      <formula>0</formula>
    </cfRule>
    <cfRule type="cellIs" dxfId="14" priority="18" operator="lessThan">
      <formula>0</formula>
    </cfRule>
  </conditionalFormatting>
  <conditionalFormatting sqref="H42">
    <cfRule type="expression" dxfId="13" priority="16">
      <formula>J42 &lt; 0</formula>
    </cfRule>
  </conditionalFormatting>
  <conditionalFormatting sqref="J43">
    <cfRule type="cellIs" dxfId="12" priority="14" operator="lessThan">
      <formula>0</formula>
    </cfRule>
    <cfRule type="cellIs" dxfId="11" priority="15" operator="lessThan">
      <formula>0</formula>
    </cfRule>
  </conditionalFormatting>
  <conditionalFormatting sqref="H43">
    <cfRule type="expression" dxfId="10" priority="13">
      <formula>J43 &lt; 0</formula>
    </cfRule>
  </conditionalFormatting>
  <conditionalFormatting sqref="J44">
    <cfRule type="cellIs" dxfId="9" priority="11" operator="lessThan">
      <formula>0</formula>
    </cfRule>
    <cfRule type="cellIs" dxfId="8" priority="12" operator="lessThan">
      <formula>0</formula>
    </cfRule>
  </conditionalFormatting>
  <conditionalFormatting sqref="H44">
    <cfRule type="expression" dxfId="7" priority="10">
      <formula>J44 &lt; 0</formula>
    </cfRule>
  </conditionalFormatting>
  <conditionalFormatting sqref="J51:J52">
    <cfRule type="cellIs" dxfId="6" priority="5" operator="lessThan">
      <formula>0</formula>
    </cfRule>
    <cfRule type="cellIs" dxfId="5" priority="6" operator="lessThan">
      <formula>0</formula>
    </cfRule>
  </conditionalFormatting>
  <conditionalFormatting sqref="H51:H52">
    <cfRule type="expression" dxfId="4" priority="4">
      <formula>J51 &lt; 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S30"/>
  <sheetViews>
    <sheetView workbookViewId="0">
      <selection activeCell="C21" sqref="C21"/>
    </sheetView>
  </sheetViews>
  <sheetFormatPr defaultColWidth="9" defaultRowHeight="16.2"/>
  <cols>
    <col min="1" max="1" width="14.6640625" style="90" customWidth="1"/>
    <col min="2" max="2" width="22.33203125" style="90" customWidth="1"/>
    <col min="3" max="3" width="16.44140625" style="90" customWidth="1"/>
    <col min="4" max="4" width="16.88671875" style="90" customWidth="1"/>
    <col min="5" max="5" width="12.88671875" style="90" customWidth="1"/>
    <col min="6" max="6" width="13" style="90" customWidth="1"/>
    <col min="7" max="7" width="16.88671875" style="90" customWidth="1"/>
    <col min="8" max="8" width="11.44140625" style="90" customWidth="1"/>
    <col min="9" max="9" width="10.88671875" style="90" customWidth="1"/>
    <col min="10" max="10" width="9.88671875" style="90" customWidth="1"/>
    <col min="11" max="11" width="13.77734375" style="90" customWidth="1"/>
    <col min="12" max="13" width="9" style="90"/>
    <col min="14" max="14" width="10.109375" style="90" customWidth="1"/>
    <col min="15" max="15" width="9" style="90"/>
    <col min="16" max="16" width="13.33203125" style="90" customWidth="1"/>
    <col min="17" max="16384" width="9" style="90"/>
  </cols>
  <sheetData>
    <row r="1" spans="1:19" ht="18.75" customHeight="1">
      <c r="E1" s="91" t="s">
        <v>343</v>
      </c>
      <c r="G1" s="339" t="s">
        <v>1705</v>
      </c>
      <c r="H1" s="339" t="s">
        <v>1707</v>
      </c>
      <c r="I1" s="339" t="s">
        <v>1708</v>
      </c>
      <c r="J1" s="339" t="s">
        <v>1709</v>
      </c>
      <c r="K1" s="339" t="s">
        <v>1710</v>
      </c>
      <c r="L1" s="339" t="s">
        <v>1711</v>
      </c>
      <c r="M1" s="339" t="s">
        <v>1712</v>
      </c>
      <c r="N1" s="339" t="s">
        <v>1713</v>
      </c>
      <c r="O1" s="339" t="s">
        <v>1714</v>
      </c>
      <c r="P1" s="339" t="s">
        <v>1715</v>
      </c>
      <c r="Q1" s="339" t="s">
        <v>1716</v>
      </c>
      <c r="R1" s="339" t="s">
        <v>1717</v>
      </c>
      <c r="S1" s="339" t="s">
        <v>1718</v>
      </c>
    </row>
    <row r="2" spans="1:19">
      <c r="A2" s="92"/>
      <c r="E2" s="93" t="s">
        <v>442</v>
      </c>
      <c r="G2" s="339" t="s">
        <v>1706</v>
      </c>
      <c r="H2" s="339" t="s">
        <v>1719</v>
      </c>
      <c r="I2" s="339" t="s">
        <v>1720</v>
      </c>
      <c r="J2" s="339" t="s">
        <v>1721</v>
      </c>
      <c r="K2" s="339" t="s">
        <v>1722</v>
      </c>
      <c r="L2" s="339" t="s">
        <v>1723</v>
      </c>
      <c r="M2" s="339" t="s">
        <v>1724</v>
      </c>
      <c r="N2" s="339" t="s">
        <v>1725</v>
      </c>
      <c r="O2" s="339" t="s">
        <v>1726</v>
      </c>
      <c r="P2" s="339" t="s">
        <v>1727</v>
      </c>
      <c r="Q2" s="339" t="s">
        <v>1728</v>
      </c>
      <c r="R2" s="339" t="s">
        <v>1729</v>
      </c>
      <c r="S2" s="339" t="s">
        <v>1730</v>
      </c>
    </row>
    <row r="3" spans="1:19">
      <c r="A3" s="90" t="s">
        <v>344</v>
      </c>
      <c r="B3" s="90" t="s">
        <v>344</v>
      </c>
    </row>
    <row r="4" spans="1:19">
      <c r="A4" s="90">
        <v>167</v>
      </c>
    </row>
    <row r="5" spans="1:19" s="96" customFormat="1" ht="16.8" thickBot="1">
      <c r="A5" s="94" t="s">
        <v>345</v>
      </c>
      <c r="B5" s="95" t="s">
        <v>346</v>
      </c>
      <c r="C5" s="94" t="s">
        <v>347</v>
      </c>
      <c r="D5" s="104" t="s">
        <v>348</v>
      </c>
      <c r="E5" s="104" t="s">
        <v>349</v>
      </c>
      <c r="F5" s="104" t="s">
        <v>350</v>
      </c>
      <c r="G5" s="104" t="s">
        <v>351</v>
      </c>
      <c r="H5" s="104" t="s">
        <v>352</v>
      </c>
      <c r="I5" s="104" t="s">
        <v>353</v>
      </c>
      <c r="J5" s="104" t="s">
        <v>224</v>
      </c>
      <c r="K5" s="104" t="s">
        <v>354</v>
      </c>
      <c r="L5" s="104" t="s">
        <v>355</v>
      </c>
      <c r="M5" s="104" t="s">
        <v>356</v>
      </c>
      <c r="N5" s="104" t="s">
        <v>357</v>
      </c>
      <c r="O5" s="104" t="s">
        <v>358</v>
      </c>
      <c r="P5" s="104" t="s">
        <v>359</v>
      </c>
    </row>
    <row r="6" spans="1:19" ht="16.8" thickBot="1">
      <c r="A6" s="97" t="s">
        <v>360</v>
      </c>
      <c r="B6" s="98" t="s">
        <v>517</v>
      </c>
      <c r="C6" s="99" t="s">
        <v>361</v>
      </c>
      <c r="D6" s="98" t="s">
        <v>516</v>
      </c>
      <c r="E6" s="100">
        <v>12029.86</v>
      </c>
      <c r="F6" s="101">
        <v>12077.41</v>
      </c>
      <c r="G6" s="102">
        <v>11977.84</v>
      </c>
      <c r="H6" s="102">
        <v>12007.03</v>
      </c>
      <c r="I6" s="100">
        <v>1202986</v>
      </c>
      <c r="J6" s="103">
        <v>1</v>
      </c>
      <c r="K6" s="100">
        <v>12029.86</v>
      </c>
      <c r="L6" s="102">
        <v>0</v>
      </c>
      <c r="M6" s="101">
        <v>0</v>
      </c>
      <c r="N6" s="102">
        <v>0</v>
      </c>
      <c r="O6" s="102">
        <v>0</v>
      </c>
      <c r="P6" s="103">
        <v>0</v>
      </c>
    </row>
    <row r="7" spans="1:19" ht="16.8" thickBot="1">
      <c r="A7" s="97" t="s">
        <v>440</v>
      </c>
      <c r="B7" s="98" t="s">
        <v>517</v>
      </c>
      <c r="C7" s="99" t="s">
        <v>447</v>
      </c>
      <c r="D7" s="98" t="s">
        <v>518</v>
      </c>
      <c r="E7" s="100">
        <v>19297.96</v>
      </c>
      <c r="F7" s="102">
        <v>19357.490000000002</v>
      </c>
      <c r="G7" s="102">
        <v>19239.52</v>
      </c>
      <c r="H7" s="102">
        <v>19274.82</v>
      </c>
      <c r="I7" s="100">
        <v>1939652</v>
      </c>
      <c r="J7" s="103">
        <v>6911</v>
      </c>
      <c r="K7" s="100">
        <v>19396.52</v>
      </c>
      <c r="L7" s="102">
        <v>0</v>
      </c>
      <c r="M7" s="101">
        <v>0</v>
      </c>
      <c r="N7" s="102">
        <v>0</v>
      </c>
      <c r="O7" s="102">
        <v>0</v>
      </c>
      <c r="P7" s="103">
        <v>109920</v>
      </c>
    </row>
    <row r="8" spans="1:19" ht="16.8" thickBot="1">
      <c r="A8" s="97" t="s">
        <v>446</v>
      </c>
      <c r="B8" s="98" t="s">
        <v>519</v>
      </c>
      <c r="C8" s="99" t="s">
        <v>448</v>
      </c>
      <c r="D8" s="98" t="s">
        <v>520</v>
      </c>
      <c r="E8" s="100">
        <v>3835.6</v>
      </c>
      <c r="F8" s="101">
        <v>3847</v>
      </c>
      <c r="G8" s="102">
        <v>3808</v>
      </c>
      <c r="H8" s="102">
        <v>3820.8</v>
      </c>
      <c r="I8" s="100">
        <v>381900</v>
      </c>
      <c r="J8" s="103">
        <v>1</v>
      </c>
      <c r="K8" s="100">
        <v>3836.2</v>
      </c>
      <c r="L8" s="102">
        <v>3820.6</v>
      </c>
      <c r="M8" s="101">
        <v>2</v>
      </c>
      <c r="N8" s="102">
        <v>3822.6</v>
      </c>
      <c r="O8" s="102">
        <v>1</v>
      </c>
      <c r="P8" s="103">
        <v>12189</v>
      </c>
    </row>
    <row r="9" spans="1:19" ht="16.8" thickBot="1">
      <c r="A9" s="97" t="s">
        <v>446</v>
      </c>
      <c r="B9" s="98" t="s">
        <v>519</v>
      </c>
      <c r="C9" s="99" t="s">
        <v>449</v>
      </c>
      <c r="D9" s="98" t="s">
        <v>521</v>
      </c>
      <c r="E9" s="100">
        <v>3818.2</v>
      </c>
      <c r="F9" s="101">
        <v>3835.8</v>
      </c>
      <c r="G9" s="102">
        <v>3796</v>
      </c>
      <c r="H9" s="102">
        <v>3811.6</v>
      </c>
      <c r="I9" s="100">
        <v>380740</v>
      </c>
      <c r="J9" s="103">
        <v>1</v>
      </c>
      <c r="K9" s="100">
        <v>3825.4</v>
      </c>
      <c r="L9" s="102">
        <v>3811</v>
      </c>
      <c r="M9" s="101">
        <v>2</v>
      </c>
      <c r="N9" s="102">
        <v>3812.8</v>
      </c>
      <c r="O9" s="102">
        <v>1</v>
      </c>
      <c r="P9" s="103">
        <v>1807</v>
      </c>
    </row>
    <row r="10" spans="1:19" ht="16.8" thickBot="1">
      <c r="A10" s="97" t="s">
        <v>360</v>
      </c>
      <c r="B10" s="98" t="s">
        <v>513</v>
      </c>
      <c r="C10" s="99" t="s">
        <v>450</v>
      </c>
      <c r="D10" s="98" t="s">
        <v>514</v>
      </c>
      <c r="E10" s="100">
        <v>19460</v>
      </c>
      <c r="F10" s="101">
        <v>19485</v>
      </c>
      <c r="G10" s="101">
        <v>19435</v>
      </c>
      <c r="H10" s="101">
        <v>19435</v>
      </c>
      <c r="I10" s="100">
        <v>19350</v>
      </c>
      <c r="J10" s="103">
        <v>8</v>
      </c>
      <c r="K10" s="100">
        <v>19350</v>
      </c>
      <c r="L10" s="101">
        <v>19435</v>
      </c>
      <c r="M10" s="101">
        <v>5</v>
      </c>
      <c r="N10" s="101">
        <v>19440</v>
      </c>
      <c r="O10" s="102">
        <v>39</v>
      </c>
      <c r="P10" s="103">
        <v>740</v>
      </c>
    </row>
    <row r="11" spans="1:19" ht="16.8" thickBot="1">
      <c r="A11" s="97" t="s">
        <v>360</v>
      </c>
      <c r="B11" s="98" t="s">
        <v>513</v>
      </c>
      <c r="C11" s="99" t="s">
        <v>451</v>
      </c>
      <c r="D11" s="98" t="s">
        <v>515</v>
      </c>
      <c r="E11" s="100">
        <v>9927</v>
      </c>
      <c r="F11" s="101">
        <v>9958</v>
      </c>
      <c r="G11" s="102">
        <v>9916</v>
      </c>
      <c r="H11" s="102">
        <v>9927.5</v>
      </c>
      <c r="I11" s="100">
        <v>99380</v>
      </c>
      <c r="J11" s="103">
        <v>2</v>
      </c>
      <c r="K11" s="100">
        <v>9938</v>
      </c>
      <c r="L11" s="102">
        <v>9926</v>
      </c>
      <c r="M11" s="101">
        <v>3</v>
      </c>
      <c r="N11" s="102">
        <v>9927.5</v>
      </c>
      <c r="O11" s="102">
        <v>5</v>
      </c>
      <c r="P11" s="103">
        <v>6357</v>
      </c>
    </row>
    <row r="12" spans="1:19" ht="16.8" thickBot="1">
      <c r="A12" s="97" t="s">
        <v>360</v>
      </c>
      <c r="B12" s="98" t="s">
        <v>517</v>
      </c>
      <c r="C12" s="99" t="s">
        <v>452</v>
      </c>
      <c r="D12" s="98" t="s">
        <v>522</v>
      </c>
      <c r="E12" s="100">
        <v>12040</v>
      </c>
      <c r="F12" s="101">
        <v>12090</v>
      </c>
      <c r="G12" s="102">
        <v>11980</v>
      </c>
      <c r="H12" s="101">
        <v>12042.5</v>
      </c>
      <c r="I12" s="100">
        <v>120350</v>
      </c>
      <c r="J12" s="103">
        <v>10</v>
      </c>
      <c r="K12" s="100">
        <v>12035</v>
      </c>
      <c r="L12" s="101">
        <v>12042.5</v>
      </c>
      <c r="M12" s="101">
        <v>30</v>
      </c>
      <c r="N12" s="101">
        <v>12045</v>
      </c>
      <c r="O12" s="102">
        <v>124</v>
      </c>
      <c r="P12" s="103">
        <v>103794</v>
      </c>
    </row>
    <row r="13" spans="1:19" ht="16.8" thickBot="1">
      <c r="A13" s="97" t="s">
        <v>360</v>
      </c>
      <c r="B13" s="98" t="s">
        <v>517</v>
      </c>
      <c r="C13" s="99" t="s">
        <v>453</v>
      </c>
      <c r="D13" s="98" t="s">
        <v>523</v>
      </c>
      <c r="E13" s="100">
        <v>12085</v>
      </c>
      <c r="F13" s="101">
        <v>12120</v>
      </c>
      <c r="G13" s="102">
        <v>12012.5</v>
      </c>
      <c r="H13" s="102">
        <v>12070</v>
      </c>
      <c r="I13" s="100">
        <v>120725</v>
      </c>
      <c r="J13" s="103">
        <v>1</v>
      </c>
      <c r="K13" s="100">
        <v>12072.5</v>
      </c>
      <c r="L13" s="101">
        <v>12072.5</v>
      </c>
      <c r="M13" s="101">
        <v>55</v>
      </c>
      <c r="N13" s="101">
        <v>12075</v>
      </c>
      <c r="O13" s="102">
        <v>15</v>
      </c>
      <c r="P13" s="103">
        <v>1318</v>
      </c>
    </row>
    <row r="14" spans="1:19" ht="16.8" thickBot="1">
      <c r="A14" s="97" t="s">
        <v>362</v>
      </c>
      <c r="B14" s="98" t="s">
        <v>524</v>
      </c>
      <c r="C14" s="99" t="s">
        <v>454</v>
      </c>
      <c r="D14" s="98" t="s">
        <v>525</v>
      </c>
      <c r="E14" s="100">
        <v>9227.5</v>
      </c>
      <c r="F14" s="101">
        <v>9299</v>
      </c>
      <c r="G14" s="101">
        <v>9221</v>
      </c>
      <c r="H14" s="101">
        <v>9282</v>
      </c>
      <c r="I14" s="100">
        <v>92055</v>
      </c>
      <c r="J14" s="103">
        <v>1</v>
      </c>
      <c r="K14" s="100">
        <v>9205.5</v>
      </c>
      <c r="L14" s="101">
        <v>9282</v>
      </c>
      <c r="M14" s="101">
        <v>23</v>
      </c>
      <c r="N14" s="101">
        <v>9282.5</v>
      </c>
      <c r="O14" s="102">
        <v>5</v>
      </c>
      <c r="P14" s="103">
        <v>109286</v>
      </c>
    </row>
    <row r="15" spans="1:19" ht="16.8" thickBot="1">
      <c r="A15" s="97" t="s">
        <v>362</v>
      </c>
      <c r="B15" s="98" t="s">
        <v>524</v>
      </c>
      <c r="C15" s="99" t="s">
        <v>455</v>
      </c>
      <c r="D15" s="98" t="s">
        <v>526</v>
      </c>
      <c r="E15" s="100">
        <v>9265</v>
      </c>
      <c r="F15" s="101">
        <v>9337</v>
      </c>
      <c r="G15" s="101">
        <v>9260</v>
      </c>
      <c r="H15" s="101">
        <v>9320.5</v>
      </c>
      <c r="I15" s="100">
        <v>92445</v>
      </c>
      <c r="J15" s="103">
        <v>3</v>
      </c>
      <c r="K15" s="100">
        <v>9244.5</v>
      </c>
      <c r="L15" s="101">
        <v>9320</v>
      </c>
      <c r="M15" s="101">
        <v>19</v>
      </c>
      <c r="N15" s="101">
        <v>9321.5</v>
      </c>
      <c r="O15" s="102">
        <v>21</v>
      </c>
      <c r="P15" s="103">
        <v>3070</v>
      </c>
    </row>
    <row r="16" spans="1:19" ht="16.8" thickBot="1">
      <c r="A16" s="97" t="s">
        <v>362</v>
      </c>
      <c r="B16" s="98" t="s">
        <v>524</v>
      </c>
      <c r="C16" s="99" t="s">
        <v>456</v>
      </c>
      <c r="D16" s="98" t="s">
        <v>527</v>
      </c>
      <c r="E16" s="100">
        <v>2466.5</v>
      </c>
      <c r="F16" s="101">
        <v>2467.5</v>
      </c>
      <c r="G16" s="102">
        <v>2458.5</v>
      </c>
      <c r="H16" s="102">
        <v>2460.25</v>
      </c>
      <c r="I16" s="100">
        <v>246650</v>
      </c>
      <c r="J16" s="103">
        <v>37</v>
      </c>
      <c r="K16" s="100">
        <v>2466.5</v>
      </c>
      <c r="L16" s="102">
        <v>2460</v>
      </c>
      <c r="M16" s="101">
        <v>126</v>
      </c>
      <c r="N16" s="102">
        <v>2460.25</v>
      </c>
      <c r="O16" s="102">
        <v>16</v>
      </c>
      <c r="P16" s="103">
        <v>60610</v>
      </c>
    </row>
    <row r="17" spans="1:16" ht="16.8" thickBot="1">
      <c r="A17" s="97" t="s">
        <v>362</v>
      </c>
      <c r="B17" s="98" t="s">
        <v>524</v>
      </c>
      <c r="C17" s="99" t="s">
        <v>457</v>
      </c>
      <c r="D17" s="98" t="s">
        <v>528</v>
      </c>
      <c r="E17" s="100">
        <v>2464.75</v>
      </c>
      <c r="F17" s="101">
        <v>2465.75</v>
      </c>
      <c r="G17" s="102">
        <v>2456.75</v>
      </c>
      <c r="H17" s="102">
        <v>2458.5</v>
      </c>
      <c r="I17" s="100">
        <v>246475</v>
      </c>
      <c r="J17" s="103">
        <v>5</v>
      </c>
      <c r="K17" s="100">
        <v>2464.75</v>
      </c>
      <c r="L17" s="102">
        <v>2458.25</v>
      </c>
      <c r="M17" s="101">
        <v>128</v>
      </c>
      <c r="N17" s="102">
        <v>2458.5</v>
      </c>
      <c r="O17" s="102">
        <v>80</v>
      </c>
      <c r="P17" s="103">
        <v>72622</v>
      </c>
    </row>
    <row r="18" spans="1:16" ht="16.8" thickBot="1">
      <c r="A18" s="97" t="s">
        <v>444</v>
      </c>
      <c r="B18" s="98" t="s">
        <v>529</v>
      </c>
      <c r="C18" s="99" t="s">
        <v>458</v>
      </c>
      <c r="D18" s="98" t="s">
        <v>530</v>
      </c>
      <c r="E18" s="100">
        <v>91.44</v>
      </c>
      <c r="F18" s="102">
        <v>91.49</v>
      </c>
      <c r="G18" s="102">
        <v>90.99</v>
      </c>
      <c r="H18" s="102">
        <v>91.284999999999997</v>
      </c>
      <c r="I18" s="100">
        <v>91642</v>
      </c>
      <c r="J18" s="103">
        <v>1</v>
      </c>
      <c r="K18" s="100">
        <v>91.641999999999996</v>
      </c>
      <c r="L18" s="102">
        <v>91.275000000000006</v>
      </c>
      <c r="M18" s="101">
        <v>2</v>
      </c>
      <c r="N18" s="102">
        <v>91.28</v>
      </c>
      <c r="O18" s="102">
        <v>12</v>
      </c>
      <c r="P18" s="103">
        <v>12445</v>
      </c>
    </row>
    <row r="19" spans="1:16" ht="16.8" thickBot="1">
      <c r="A19" s="97" t="s">
        <v>443</v>
      </c>
      <c r="B19" s="98" t="s">
        <v>529</v>
      </c>
      <c r="C19" s="99" t="s">
        <v>459</v>
      </c>
      <c r="D19" s="98" t="s">
        <v>531</v>
      </c>
      <c r="E19" s="100">
        <v>91.215000000000003</v>
      </c>
      <c r="F19" s="102">
        <v>91.275000000000006</v>
      </c>
      <c r="G19" s="102">
        <v>90.795000000000002</v>
      </c>
      <c r="H19" s="102">
        <v>91.11</v>
      </c>
      <c r="I19" s="100">
        <v>91417</v>
      </c>
      <c r="J19" s="103">
        <v>1</v>
      </c>
      <c r="K19" s="100">
        <v>91.417000000000002</v>
      </c>
      <c r="L19" s="102">
        <v>91.07</v>
      </c>
      <c r="M19" s="101">
        <v>16</v>
      </c>
      <c r="N19" s="102">
        <v>91.08</v>
      </c>
      <c r="O19" s="102">
        <v>4</v>
      </c>
      <c r="P19" s="103">
        <v>2402</v>
      </c>
    </row>
    <row r="20" spans="1:16" ht="16.8" thickBot="1">
      <c r="A20" s="97" t="s">
        <v>441</v>
      </c>
      <c r="B20" s="98" t="s">
        <v>532</v>
      </c>
      <c r="C20" s="99" t="s">
        <v>460</v>
      </c>
      <c r="D20" s="98" t="s">
        <v>533</v>
      </c>
      <c r="E20" s="100">
        <v>49.09</v>
      </c>
      <c r="F20" s="101">
        <v>49.26</v>
      </c>
      <c r="G20" s="102">
        <v>48.93</v>
      </c>
      <c r="H20" s="102">
        <v>48.98</v>
      </c>
      <c r="I20" s="100">
        <v>490900</v>
      </c>
      <c r="J20" s="103">
        <v>1</v>
      </c>
      <c r="K20" s="100">
        <v>49.09</v>
      </c>
      <c r="L20" s="102">
        <v>48.97</v>
      </c>
      <c r="M20" s="101">
        <v>31</v>
      </c>
      <c r="N20" s="102">
        <v>48.98</v>
      </c>
      <c r="O20" s="102">
        <v>63</v>
      </c>
      <c r="P20" s="103">
        <v>55977</v>
      </c>
    </row>
    <row r="21" spans="1:16" ht="16.8" thickBot="1">
      <c r="A21" s="97" t="s">
        <v>441</v>
      </c>
      <c r="B21" s="98" t="s">
        <v>532</v>
      </c>
      <c r="C21" s="99" t="s">
        <v>461</v>
      </c>
      <c r="D21" s="98" t="s">
        <v>534</v>
      </c>
      <c r="E21" s="100">
        <v>49.53</v>
      </c>
      <c r="F21" s="101">
        <v>49.69</v>
      </c>
      <c r="G21" s="102">
        <v>49.39</v>
      </c>
      <c r="H21" s="102">
        <v>49.43</v>
      </c>
      <c r="I21" s="100">
        <v>495300</v>
      </c>
      <c r="J21" s="103">
        <v>2</v>
      </c>
      <c r="K21" s="100">
        <v>49.53</v>
      </c>
      <c r="L21" s="102">
        <v>49.42</v>
      </c>
      <c r="M21" s="101">
        <v>38</v>
      </c>
      <c r="N21" s="102">
        <v>49.43</v>
      </c>
      <c r="O21" s="102">
        <v>8</v>
      </c>
      <c r="P21" s="103">
        <v>10990</v>
      </c>
    </row>
    <row r="22" spans="1:16" ht="16.8" thickBot="1">
      <c r="A22" s="97" t="s">
        <v>441</v>
      </c>
      <c r="B22" s="98" t="s">
        <v>532</v>
      </c>
      <c r="C22" s="99" t="s">
        <v>462</v>
      </c>
      <c r="D22" s="98" t="s">
        <v>535</v>
      </c>
      <c r="E22" s="100">
        <v>50.88</v>
      </c>
      <c r="F22" s="101">
        <v>51</v>
      </c>
      <c r="G22" s="102">
        <v>50.79</v>
      </c>
      <c r="H22" s="102">
        <v>50.82</v>
      </c>
      <c r="I22" s="100">
        <v>509600</v>
      </c>
      <c r="J22" s="103">
        <v>3</v>
      </c>
      <c r="K22" s="100">
        <v>50.96</v>
      </c>
      <c r="L22" s="102">
        <v>50.78</v>
      </c>
      <c r="M22" s="101">
        <v>19</v>
      </c>
      <c r="N22" s="102">
        <v>50.81</v>
      </c>
      <c r="O22" s="102">
        <v>6</v>
      </c>
      <c r="P22" s="103">
        <v>940</v>
      </c>
    </row>
    <row r="23" spans="1:16" ht="16.8" thickBot="1">
      <c r="A23" s="97" t="s">
        <v>441</v>
      </c>
      <c r="B23" s="98" t="s">
        <v>532</v>
      </c>
      <c r="C23" s="99" t="s">
        <v>463</v>
      </c>
      <c r="D23" s="98" t="s">
        <v>536</v>
      </c>
      <c r="E23" s="100">
        <v>1349.9</v>
      </c>
      <c r="F23" s="101">
        <v>1358.5</v>
      </c>
      <c r="G23" s="101">
        <v>1348.8</v>
      </c>
      <c r="H23" s="101">
        <v>1353.8</v>
      </c>
      <c r="I23" s="100">
        <v>13465</v>
      </c>
      <c r="J23" s="103">
        <v>1</v>
      </c>
      <c r="K23" s="100">
        <v>1346.5</v>
      </c>
      <c r="L23" s="101">
        <v>1353.8</v>
      </c>
      <c r="M23" s="101">
        <v>14</v>
      </c>
      <c r="N23" s="101">
        <v>1354</v>
      </c>
      <c r="O23" s="102">
        <v>20</v>
      </c>
      <c r="P23" s="103">
        <v>1547</v>
      </c>
    </row>
    <row r="24" spans="1:16" ht="16.8" thickBot="1">
      <c r="A24" s="97" t="s">
        <v>441</v>
      </c>
      <c r="B24" s="98" t="s">
        <v>532</v>
      </c>
      <c r="C24" s="99" t="s">
        <v>464</v>
      </c>
      <c r="D24" s="98" t="s">
        <v>537</v>
      </c>
      <c r="E24" s="100">
        <v>1354</v>
      </c>
      <c r="F24" s="101">
        <v>1362.4</v>
      </c>
      <c r="G24" s="101">
        <v>1352.3</v>
      </c>
      <c r="H24" s="101">
        <v>1357.7</v>
      </c>
      <c r="I24" s="100">
        <v>13503</v>
      </c>
      <c r="J24" s="103">
        <v>8</v>
      </c>
      <c r="K24" s="100">
        <v>1350.3</v>
      </c>
      <c r="L24" s="101">
        <v>1357.7</v>
      </c>
      <c r="M24" s="101">
        <v>12</v>
      </c>
      <c r="N24" s="101">
        <v>1357.8</v>
      </c>
      <c r="O24" s="102">
        <v>19</v>
      </c>
      <c r="P24" s="103">
        <v>123866</v>
      </c>
    </row>
    <row r="25" spans="1:16" ht="16.8" thickBot="1">
      <c r="A25" s="97" t="s">
        <v>445</v>
      </c>
      <c r="B25" s="98" t="s">
        <v>538</v>
      </c>
      <c r="C25" s="99" t="s">
        <v>465</v>
      </c>
      <c r="D25" s="98" t="s">
        <v>539</v>
      </c>
      <c r="E25" s="100">
        <v>172.25</v>
      </c>
      <c r="F25" s="101">
        <v>172.53125</v>
      </c>
      <c r="G25" s="101">
        <v>172.25</v>
      </c>
      <c r="H25" s="101">
        <v>172.40625</v>
      </c>
      <c r="I25" s="100">
        <v>171562500</v>
      </c>
      <c r="J25" s="103">
        <v>1</v>
      </c>
      <c r="K25" s="100">
        <v>171.5625</v>
      </c>
      <c r="L25" s="101">
        <v>172.34375</v>
      </c>
      <c r="M25" s="101">
        <v>13</v>
      </c>
      <c r="N25" s="101">
        <v>172.4375</v>
      </c>
      <c r="O25" s="102">
        <v>22</v>
      </c>
      <c r="P25" s="103">
        <v>22</v>
      </c>
    </row>
    <row r="26" spans="1:16" ht="16.8" thickBot="1">
      <c r="A26" s="97" t="s">
        <v>445</v>
      </c>
      <c r="B26" s="98" t="s">
        <v>540</v>
      </c>
      <c r="C26" s="99" t="s">
        <v>499</v>
      </c>
      <c r="D26" s="98" t="s">
        <v>541</v>
      </c>
      <c r="E26" s="100">
        <v>171.09375</v>
      </c>
      <c r="F26" s="101">
        <v>171.84375</v>
      </c>
      <c r="G26" s="101">
        <v>170.90625</v>
      </c>
      <c r="H26" s="101">
        <v>171.375</v>
      </c>
      <c r="I26" s="100">
        <v>170562500</v>
      </c>
      <c r="J26" s="103">
        <v>4</v>
      </c>
      <c r="K26" s="100">
        <v>170.5625</v>
      </c>
      <c r="L26" s="101">
        <v>171.375</v>
      </c>
      <c r="M26" s="101">
        <v>8</v>
      </c>
      <c r="N26" s="101">
        <v>171.40625</v>
      </c>
      <c r="O26" s="102">
        <v>61</v>
      </c>
      <c r="P26" s="103">
        <v>9944</v>
      </c>
    </row>
    <row r="27" spans="1:16" ht="16.8" thickBot="1">
      <c r="A27" s="97" t="s">
        <v>445</v>
      </c>
      <c r="B27" s="98" t="s">
        <v>542</v>
      </c>
      <c r="C27" s="99" t="s">
        <v>508</v>
      </c>
      <c r="D27" s="98" t="s">
        <v>543</v>
      </c>
      <c r="E27" s="100">
        <v>127.859375</v>
      </c>
      <c r="F27" s="101">
        <v>128.109375</v>
      </c>
      <c r="G27" s="101">
        <v>127.859375</v>
      </c>
      <c r="H27" s="101">
        <v>128.015625</v>
      </c>
      <c r="I27" s="100">
        <v>127765625</v>
      </c>
      <c r="J27" s="103">
        <v>50</v>
      </c>
      <c r="K27" s="100">
        <v>127.765625</v>
      </c>
      <c r="L27" s="101">
        <v>127.984375</v>
      </c>
      <c r="M27" s="101">
        <v>368</v>
      </c>
      <c r="N27" s="101">
        <v>128.015625</v>
      </c>
      <c r="O27" s="102">
        <v>47</v>
      </c>
      <c r="P27" s="103">
        <v>2210</v>
      </c>
    </row>
    <row r="28" spans="1:16" ht="16.8" thickBot="1">
      <c r="A28" s="97" t="s">
        <v>445</v>
      </c>
      <c r="B28" s="98" t="s">
        <v>544</v>
      </c>
      <c r="C28" s="99" t="s">
        <v>509</v>
      </c>
      <c r="D28" s="98" t="s">
        <v>545</v>
      </c>
      <c r="E28" s="100">
        <v>127.640625</v>
      </c>
      <c r="F28" s="101">
        <v>127.890625</v>
      </c>
      <c r="G28" s="101">
        <v>127.59375</v>
      </c>
      <c r="H28" s="101">
        <v>127.78125</v>
      </c>
      <c r="I28" s="100">
        <v>127515625</v>
      </c>
      <c r="J28" s="103">
        <v>3</v>
      </c>
      <c r="K28" s="100">
        <v>127.515625</v>
      </c>
      <c r="L28" s="101">
        <v>127.765625</v>
      </c>
      <c r="M28" s="101">
        <v>1188</v>
      </c>
      <c r="N28" s="101">
        <v>127.78125</v>
      </c>
      <c r="O28" s="102">
        <v>1012</v>
      </c>
      <c r="P28" s="103">
        <v>257026</v>
      </c>
    </row>
    <row r="29" spans="1:16" ht="16.8" thickBot="1">
      <c r="A29" s="97"/>
      <c r="B29" s="98"/>
      <c r="C29" s="99"/>
      <c r="D29" s="98"/>
      <c r="E29" s="100"/>
      <c r="F29" s="101"/>
      <c r="G29" s="102"/>
      <c r="H29" s="102"/>
      <c r="I29" s="100"/>
      <c r="J29" s="103"/>
      <c r="K29" s="100"/>
      <c r="L29" s="102"/>
      <c r="M29" s="101"/>
      <c r="N29" s="102"/>
      <c r="O29" s="102"/>
      <c r="P29" s="103"/>
    </row>
    <row r="30" spans="1:16" ht="16.8" thickBot="1">
      <c r="A30" s="97"/>
      <c r="B30" s="114"/>
      <c r="C30" s="99"/>
      <c r="D30" s="114"/>
      <c r="E30" s="115"/>
      <c r="F30" s="116"/>
      <c r="G30" s="117"/>
      <c r="H30" s="117"/>
      <c r="I30" s="115"/>
      <c r="J30" s="118"/>
      <c r="K30" s="115"/>
      <c r="L30" s="117"/>
      <c r="M30" s="116"/>
      <c r="N30" s="117"/>
      <c r="O30" s="117"/>
      <c r="P30" s="118"/>
    </row>
  </sheetData>
  <phoneticPr fontId="8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678786" r:id="rId3" name="CommandButton2">
          <controlPr defaultSize="0" autoLine="0" r:id="rId4">
            <anchor moveWithCells="1">
              <from>
                <xdr:col>2</xdr:col>
                <xdr:colOff>182880</xdr:colOff>
                <xdr:row>0</xdr:row>
                <xdr:rowOff>68580</xdr:rowOff>
              </from>
              <to>
                <xdr:col>3</xdr:col>
                <xdr:colOff>121920</xdr:colOff>
                <xdr:row>2</xdr:row>
                <xdr:rowOff>22860</xdr:rowOff>
              </to>
            </anchor>
          </controlPr>
        </control>
      </mc:Choice>
      <mc:Fallback>
        <control shapeId="34678786" r:id="rId3" name="CommandButton2"/>
      </mc:Fallback>
    </mc:AlternateContent>
    <mc:AlternateContent xmlns:mc="http://schemas.openxmlformats.org/markup-compatibility/2006">
      <mc:Choice Requires="x14">
        <control shapeId="34678785" r:id="rId5" name="CommandButton1">
          <controlPr defaultSize="0" autoLine="0" r:id="rId6">
            <anchor moveWithCells="1">
              <from>
                <xdr:col>0</xdr:col>
                <xdr:colOff>426720</xdr:colOff>
                <xdr:row>0</xdr:row>
                <xdr:rowOff>198120</xdr:rowOff>
              </from>
              <to>
                <xdr:col>1</xdr:col>
                <xdr:colOff>670560</xdr:colOff>
                <xdr:row>2</xdr:row>
                <xdr:rowOff>68580</xdr:rowOff>
              </to>
            </anchor>
          </controlPr>
        </control>
      </mc:Choice>
      <mc:Fallback>
        <control shapeId="34678785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63"/>
  <sheetViews>
    <sheetView workbookViewId="0">
      <selection activeCell="A2" sqref="A2"/>
    </sheetView>
  </sheetViews>
  <sheetFormatPr defaultColWidth="9" defaultRowHeight="16.2"/>
  <cols>
    <col min="1" max="1" width="29.77734375" style="34" customWidth="1"/>
    <col min="2" max="2" width="12.109375" style="34" customWidth="1"/>
    <col min="3" max="3" width="9" style="2"/>
    <col min="4" max="10" width="9" style="34"/>
    <col min="11" max="11" width="9" style="2"/>
    <col min="12" max="15" width="9" style="34"/>
    <col min="16" max="17" width="9" style="2"/>
    <col min="18" max="16384" width="9" style="34"/>
  </cols>
  <sheetData>
    <row r="1" spans="1:21">
      <c r="A1" s="34" t="s">
        <v>147</v>
      </c>
      <c r="B1" s="34" t="s">
        <v>146</v>
      </c>
      <c r="C1" s="2" t="s">
        <v>148</v>
      </c>
      <c r="D1" s="34" t="s">
        <v>223</v>
      </c>
      <c r="E1" s="34" t="s">
        <v>224</v>
      </c>
      <c r="F1" s="34" t="s">
        <v>225</v>
      </c>
      <c r="G1" s="34" t="s">
        <v>226</v>
      </c>
      <c r="H1" s="34" t="s">
        <v>227</v>
      </c>
      <c r="I1" s="34" t="s">
        <v>228</v>
      </c>
      <c r="J1" s="34" t="s">
        <v>229</v>
      </c>
      <c r="K1" s="2" t="s">
        <v>230</v>
      </c>
      <c r="L1" s="34" t="s">
        <v>226</v>
      </c>
      <c r="M1" s="34" t="s">
        <v>227</v>
      </c>
      <c r="N1" s="34" t="s">
        <v>228</v>
      </c>
      <c r="O1" s="34" t="s">
        <v>231</v>
      </c>
      <c r="P1" s="2" t="s">
        <v>149</v>
      </c>
      <c r="Q1" s="2" t="s">
        <v>150</v>
      </c>
      <c r="R1" s="34" t="s">
        <v>232</v>
      </c>
      <c r="S1" s="34" t="s">
        <v>223</v>
      </c>
      <c r="T1" s="34" t="s">
        <v>224</v>
      </c>
      <c r="U1" s="34" t="s">
        <v>225</v>
      </c>
    </row>
    <row r="2" spans="1:21">
      <c r="A2" s="34" t="e">
        <f>[2]!'FITX*1.TF-Name'</f>
        <v>#REF!</v>
      </c>
      <c r="B2" s="34" t="e">
        <f>[2]!'FITX*1.TF-ID'</f>
        <v>#REF!</v>
      </c>
      <c r="C2" s="2" t="e">
        <f>[2]!'FITX*1.TF-Price'</f>
        <v>#REF!</v>
      </c>
      <c r="D2" s="34" t="e">
        <f>[2]!'FITX*1.TF-PriceChangeRatio'</f>
        <v>#REF!</v>
      </c>
      <c r="E2" s="34" t="e">
        <f>[2]!'FITX*1.TF-Volume'</f>
        <v>#REF!</v>
      </c>
      <c r="F2" s="34" t="e">
        <f>[2]!'FITX*1.TF-TotalVolume'</f>
        <v>#REF!</v>
      </c>
      <c r="G2" s="34" t="e">
        <f>[2]!'FITX*1.TF-Open'</f>
        <v>#REF!</v>
      </c>
      <c r="H2" s="34" t="e">
        <f>[2]!'FITX*1.TF-High'</f>
        <v>#REF!</v>
      </c>
      <c r="I2" s="34" t="e">
        <f>[2]!'FITX*1.TF-Low'</f>
        <v>#REF!</v>
      </c>
      <c r="J2" s="34" t="e">
        <f>[2]!'FITX*1.TF-Amplitude'</f>
        <v>#REF!</v>
      </c>
      <c r="K2" s="2" t="e">
        <f>[2]!'FITX*1.TF-PreClose'</f>
        <v>#REF!</v>
      </c>
      <c r="L2" s="34" t="e">
        <f>[2]!'FITX*1.TF-Open'</f>
        <v>#REF!</v>
      </c>
      <c r="M2" s="34" t="e">
        <f>[2]!'FITX*1.TF-High'</f>
        <v>#REF!</v>
      </c>
      <c r="N2" s="34" t="e">
        <f>[2]!'FITX*1.TF-Low'</f>
        <v>#REF!</v>
      </c>
      <c r="O2" s="34" t="e">
        <f>[2]!'FITX*1.TF-PreTotalVolume'</f>
        <v>#REF!</v>
      </c>
      <c r="P2" s="2" t="e">
        <f>[2]!'FITX*1.TF-Bid'</f>
        <v>#REF!</v>
      </c>
      <c r="Q2" s="2" t="e">
        <f>[2]!'FITX*1.TF-Ask'</f>
        <v>#REF!</v>
      </c>
      <c r="R2" s="34" t="e">
        <f>[2]!'FITX*1.TF-PriceChange'</f>
        <v>#REF!</v>
      </c>
      <c r="S2" s="34" t="e">
        <f>[2]!'FITX*1.TF-PriceChangeRatio'</f>
        <v>#REF!</v>
      </c>
      <c r="T2" s="34" t="e">
        <f>[2]!'FITX*1.TF-Volume'</f>
        <v>#REF!</v>
      </c>
      <c r="U2" s="34" t="e">
        <f>[2]!'FITX*1.TF-TotalVolume'</f>
        <v>#REF!</v>
      </c>
    </row>
    <row r="3" spans="1:21">
      <c r="A3" s="34" t="e">
        <f>[2]!'FITX*2.TF-Name'</f>
        <v>#REF!</v>
      </c>
      <c r="B3" s="34" t="e">
        <f>[2]!'FITX*2.TF-ID'</f>
        <v>#REF!</v>
      </c>
      <c r="C3" s="2" t="e">
        <f>[2]!'FITX*2.TF-Price'</f>
        <v>#REF!</v>
      </c>
      <c r="D3" s="34" t="e">
        <f>[2]!'FITX*2.TF-PriceChangeRatio'</f>
        <v>#REF!</v>
      </c>
      <c r="E3" s="34" t="e">
        <f>[2]!'FITX*2.TF-Volume'</f>
        <v>#REF!</v>
      </c>
      <c r="F3" s="34" t="e">
        <f>[2]!'FITX*2.TF-TotalVolume'</f>
        <v>#REF!</v>
      </c>
      <c r="G3" s="34" t="e">
        <f>[2]!'FITX*2.TF-Open'</f>
        <v>#REF!</v>
      </c>
      <c r="H3" s="34" t="e">
        <f>[2]!'FITX*2.TF-High'</f>
        <v>#REF!</v>
      </c>
      <c r="I3" s="34" t="e">
        <f>[2]!'FITX*2.TF-Low'</f>
        <v>#REF!</v>
      </c>
      <c r="J3" s="34" t="e">
        <f>[2]!'FITX*2.TF-Amplitude'</f>
        <v>#REF!</v>
      </c>
      <c r="K3" s="2" t="e">
        <f>[2]!'FITX*2.TF-PreClose'</f>
        <v>#REF!</v>
      </c>
      <c r="L3" s="34" t="e">
        <f>[2]!'FITX*2.TF-Open'</f>
        <v>#REF!</v>
      </c>
      <c r="M3" s="34" t="e">
        <f>[2]!'FITX*2.TF-High'</f>
        <v>#REF!</v>
      </c>
      <c r="N3" s="34" t="e">
        <f>[2]!'FITX*2.TF-Low'</f>
        <v>#REF!</v>
      </c>
      <c r="O3" s="34" t="e">
        <f>[2]!'FITX*2.TF-PreTotalVolume'</f>
        <v>#REF!</v>
      </c>
      <c r="P3" s="2" t="e">
        <f>[2]!'FITX*2.TF-Bid'</f>
        <v>#REF!</v>
      </c>
      <c r="Q3" s="2" t="e">
        <f>[2]!'FITX*2.TF-Ask'</f>
        <v>#REF!</v>
      </c>
      <c r="R3" s="34" t="e">
        <f>[2]!'FITX*2.TF-PriceChange'</f>
        <v>#REF!</v>
      </c>
      <c r="S3" s="34" t="e">
        <f>[2]!'FITX*2.TF-PriceChangeRatio'</f>
        <v>#REF!</v>
      </c>
      <c r="T3" s="34" t="e">
        <f>[2]!'FITX*2.TF-Volume'</f>
        <v>#REF!</v>
      </c>
      <c r="U3" s="34" t="e">
        <f>[2]!'FITX*2.TF-TotalVolume'</f>
        <v>#REF!</v>
      </c>
    </row>
    <row r="4" spans="1:21">
      <c r="A4" s="34" t="e">
        <f>[2]!'FITX00.TF-Name'</f>
        <v>#REF!</v>
      </c>
      <c r="B4" s="34" t="e">
        <f>[2]!'FITX00.TF-ID'</f>
        <v>#REF!</v>
      </c>
      <c r="C4" s="2" t="e">
        <f>[2]!'FITX00.TF-Price'</f>
        <v>#REF!</v>
      </c>
      <c r="D4" s="34" t="e">
        <f>[2]!'FITX00.TF-PriceChangeRatio'</f>
        <v>#REF!</v>
      </c>
      <c r="E4" s="34" t="e">
        <f>[2]!'FITX00.TF-Volume'</f>
        <v>#REF!</v>
      </c>
      <c r="F4" s="34" t="e">
        <f>[2]!'FITX00.TF-TotalVolume'</f>
        <v>#REF!</v>
      </c>
      <c r="G4" s="34" t="e">
        <f>[2]!'FITX00.TF-Open'</f>
        <v>#REF!</v>
      </c>
      <c r="H4" s="34" t="e">
        <f>[2]!'FITX00.TF-High'</f>
        <v>#REF!</v>
      </c>
      <c r="I4" s="34" t="e">
        <f>[2]!'FITX00.TF-Low'</f>
        <v>#REF!</v>
      </c>
      <c r="J4" s="34" t="e">
        <f>[2]!'FITX00.TF-Amplitude'</f>
        <v>#REF!</v>
      </c>
      <c r="K4" s="2" t="e">
        <f>[2]!'FITX00.TF-PreClose'</f>
        <v>#REF!</v>
      </c>
      <c r="L4" s="34" t="e">
        <f>[2]!'FITX00.TF-Open'</f>
        <v>#REF!</v>
      </c>
      <c r="M4" s="34" t="e">
        <f>[2]!'FITX00.TF-High'</f>
        <v>#REF!</v>
      </c>
      <c r="N4" s="34" t="e">
        <f>[2]!'FITX00.TF-Low'</f>
        <v>#REF!</v>
      </c>
      <c r="O4" s="34" t="e">
        <f>[2]!'FITX00.TF-PreTotalVolume'</f>
        <v>#REF!</v>
      </c>
      <c r="P4" s="2" t="e">
        <f>[2]!'FITX00.TF-Bid'</f>
        <v>#REF!</v>
      </c>
      <c r="Q4" s="2" t="e">
        <f>[2]!'FITX00.TF-Ask'</f>
        <v>#REF!</v>
      </c>
      <c r="R4" s="34" t="e">
        <f>[2]!'FITX00.TF-PriceChange'</f>
        <v>#REF!</v>
      </c>
      <c r="S4" s="34" t="e">
        <f>[2]!'FITX00.TF-PriceChangeRatio'</f>
        <v>#REF!</v>
      </c>
      <c r="T4" s="34" t="e">
        <f>[2]!'FITX00.TF-Volume'</f>
        <v>#REF!</v>
      </c>
      <c r="U4" s="34" t="e">
        <f>[2]!'FITX00.TF-TotalVolume'</f>
        <v>#REF!</v>
      </c>
    </row>
    <row r="5" spans="1:21">
      <c r="A5" s="34" t="e">
        <f>[2]!'FITXN*1.TF-Name'</f>
        <v>#REF!</v>
      </c>
      <c r="B5" s="34" t="e">
        <f>[2]!'FITXN*1.TF-ID'</f>
        <v>#REF!</v>
      </c>
      <c r="C5" s="2" t="e">
        <f>[2]!'FITXN*1.TF-Price'</f>
        <v>#REF!</v>
      </c>
      <c r="D5" s="34" t="e">
        <f>[2]!'FITXN*1.TF-PriceChangeRatio'</f>
        <v>#REF!</v>
      </c>
      <c r="E5" s="34" t="e">
        <f>[2]!'FITXN*1.TF-Volume'</f>
        <v>#REF!</v>
      </c>
      <c r="F5" s="34" t="e">
        <f>[2]!'FITXN*1.TF-TotalVolume'</f>
        <v>#REF!</v>
      </c>
      <c r="G5" s="34" t="e">
        <f>[2]!'FITXN*1.TF-Open'</f>
        <v>#REF!</v>
      </c>
      <c r="H5" s="34" t="e">
        <f>[2]!'FITXN*1.TF-High'</f>
        <v>#REF!</v>
      </c>
      <c r="I5" s="34" t="e">
        <f>[2]!'FITXN*1.TF-Low'</f>
        <v>#REF!</v>
      </c>
      <c r="J5" s="34" t="e">
        <f>[2]!'FITXN*1.TF-Amplitude'</f>
        <v>#REF!</v>
      </c>
      <c r="K5" s="2" t="e">
        <f>[2]!'FITXN*1.TF-PreClose'</f>
        <v>#REF!</v>
      </c>
      <c r="L5" s="34" t="e">
        <f>[2]!'FITXN*1.TF-Open'</f>
        <v>#REF!</v>
      </c>
      <c r="M5" s="34" t="e">
        <f>[2]!'FITXN*1.TF-High'</f>
        <v>#REF!</v>
      </c>
      <c r="N5" s="34" t="e">
        <f>[2]!'FITXN*1.TF-Low'</f>
        <v>#REF!</v>
      </c>
      <c r="O5" s="34" t="e">
        <f>[2]!'FITXN*1.TF-PreTotalVolume'</f>
        <v>#REF!</v>
      </c>
      <c r="P5" s="2" t="e">
        <f>[2]!'FITXN*1.TF-Bid'</f>
        <v>#REF!</v>
      </c>
      <c r="Q5" s="2" t="e">
        <f>[2]!'FITXN*1.TF-Ask'</f>
        <v>#REF!</v>
      </c>
      <c r="R5" s="34" t="e">
        <f>[2]!'FITXN*1.TF-PriceChange'</f>
        <v>#REF!</v>
      </c>
      <c r="S5" s="34" t="e">
        <f>[2]!'FITXN*1.TF-PriceChangeRatio'</f>
        <v>#REF!</v>
      </c>
      <c r="T5" s="34" t="e">
        <f>[2]!'FITXN*1.TF-Volume'</f>
        <v>#REF!</v>
      </c>
      <c r="U5" s="34" t="e">
        <f>[2]!'FITXN*1.TF-TotalVolume'</f>
        <v>#REF!</v>
      </c>
    </row>
    <row r="6" spans="1:21">
      <c r="A6" s="34" t="e">
        <f>[2]!'FITXN*2.TF-Name'</f>
        <v>#REF!</v>
      </c>
      <c r="B6" s="34" t="e">
        <f>[2]!'FITXN*2.TF-ID'</f>
        <v>#REF!</v>
      </c>
      <c r="C6" s="2" t="e">
        <f>[2]!'FITXN*2.TF-Price'</f>
        <v>#REF!</v>
      </c>
      <c r="D6" s="34" t="e">
        <f>[2]!'FITXN*2.TF-PriceChangeRatio'</f>
        <v>#REF!</v>
      </c>
      <c r="E6" s="34" t="e">
        <f>[2]!'FITXN*2.TF-Volume'</f>
        <v>#REF!</v>
      </c>
      <c r="F6" s="34" t="e">
        <f>[2]!'FITXN*2.TF-TotalVolume'</f>
        <v>#REF!</v>
      </c>
      <c r="G6" s="34" t="e">
        <f>[2]!'FITXN*2.TF-Open'</f>
        <v>#REF!</v>
      </c>
      <c r="H6" s="34" t="e">
        <f>[2]!'FITXN*2.TF-High'</f>
        <v>#REF!</v>
      </c>
      <c r="I6" s="34" t="e">
        <f>[2]!'FITXN*2.TF-Low'</f>
        <v>#REF!</v>
      </c>
      <c r="J6" s="34" t="e">
        <f>[2]!'FITXN*2.TF-Amplitude'</f>
        <v>#REF!</v>
      </c>
      <c r="K6" s="2" t="e">
        <f>[2]!'FITXN*2.TF-PreClose'</f>
        <v>#REF!</v>
      </c>
      <c r="L6" s="34" t="e">
        <f>[2]!'FITXN*2.TF-Open'</f>
        <v>#REF!</v>
      </c>
      <c r="M6" s="34" t="e">
        <f>[2]!'FITXN*2.TF-High'</f>
        <v>#REF!</v>
      </c>
      <c r="N6" s="34" t="e">
        <f>[2]!'FITXN*2.TF-Low'</f>
        <v>#REF!</v>
      </c>
      <c r="O6" s="34" t="e">
        <f>[2]!'FITXN*2.TF-PreTotalVolume'</f>
        <v>#REF!</v>
      </c>
      <c r="P6" s="2" t="e">
        <f>[2]!'FITXN*2.TF-Bid'</f>
        <v>#REF!</v>
      </c>
      <c r="Q6" s="2" t="e">
        <f>[2]!'FITXN*2.TF-Ask'</f>
        <v>#REF!</v>
      </c>
      <c r="R6" s="34" t="e">
        <f>[2]!'FITXN*2.TF-PriceChange'</f>
        <v>#REF!</v>
      </c>
      <c r="S6" s="34" t="e">
        <f>[2]!'FITXN*2.TF-PriceChangeRatio'</f>
        <v>#REF!</v>
      </c>
      <c r="T6" s="34" t="e">
        <f>[2]!'FITXN*2.TF-Volume'</f>
        <v>#REF!</v>
      </c>
      <c r="U6" s="34" t="e">
        <f>[2]!'FITXN*2.TF-TotalVolume'</f>
        <v>#REF!</v>
      </c>
    </row>
    <row r="7" spans="1:21">
      <c r="A7" s="34" t="e">
        <f>[2]!'FITE*1.TF-Name'</f>
        <v>#REF!</v>
      </c>
      <c r="B7" s="34" t="e">
        <f>[2]!'FITE*1.TF-ID'</f>
        <v>#REF!</v>
      </c>
      <c r="C7" s="2" t="e">
        <f>[2]!'FITE*1.TF-Price'</f>
        <v>#REF!</v>
      </c>
      <c r="D7" s="34" t="e">
        <f>[2]!'FITE*1.TF-PriceChangeRatio'</f>
        <v>#REF!</v>
      </c>
      <c r="E7" s="34" t="e">
        <f>[2]!'FITE*1.TF-Volume'</f>
        <v>#REF!</v>
      </c>
      <c r="F7" s="34" t="e">
        <f>[2]!'FITE*1.TF-TotalVolume'</f>
        <v>#REF!</v>
      </c>
      <c r="G7" s="34" t="e">
        <f>[2]!'FITE*1.TF-Open'</f>
        <v>#REF!</v>
      </c>
      <c r="H7" s="34" t="e">
        <f>[2]!'FITE*1.TF-High'</f>
        <v>#REF!</v>
      </c>
      <c r="I7" s="34" t="e">
        <f>[2]!'FITE*1.TF-Low'</f>
        <v>#REF!</v>
      </c>
      <c r="J7" s="34" t="e">
        <f>[2]!'FITE*1.TF-Amplitude'</f>
        <v>#REF!</v>
      </c>
      <c r="K7" s="2" t="e">
        <f>[2]!'FITE*1.TF-PreClose'</f>
        <v>#REF!</v>
      </c>
      <c r="L7" s="34" t="e">
        <f>[2]!'FITE*1.TF-Open'</f>
        <v>#REF!</v>
      </c>
      <c r="M7" s="34" t="e">
        <f>[2]!'FITE*1.TF-High'</f>
        <v>#REF!</v>
      </c>
      <c r="N7" s="34" t="e">
        <f>[2]!'FITE*1.TF-Low'</f>
        <v>#REF!</v>
      </c>
      <c r="O7" s="34" t="e">
        <f>[2]!'FITE*1.TF-PreTotalVolume'</f>
        <v>#REF!</v>
      </c>
      <c r="P7" s="2" t="e">
        <f>[2]!'FITE*1.TF-Bid'</f>
        <v>#REF!</v>
      </c>
      <c r="Q7" s="2" t="e">
        <f>[2]!'FITE*1.TF-Ask'</f>
        <v>#REF!</v>
      </c>
      <c r="R7" s="34" t="e">
        <f>[2]!'FITE*1.TF-PriceChange'</f>
        <v>#REF!</v>
      </c>
      <c r="S7" s="34" t="e">
        <f>[2]!'FITE*1.TF-PriceChangeRatio'</f>
        <v>#REF!</v>
      </c>
      <c r="T7" s="34" t="e">
        <f>[2]!'FITE*1.TF-Volume'</f>
        <v>#REF!</v>
      </c>
      <c r="U7" s="34" t="e">
        <f>[2]!'FITE*1.TF-TotalVolume'</f>
        <v>#REF!</v>
      </c>
    </row>
    <row r="8" spans="1:21">
      <c r="A8" s="34" t="e">
        <f>[2]!'FITE*2.TF-Name'</f>
        <v>#REF!</v>
      </c>
      <c r="B8" s="34" t="e">
        <f>[2]!'FITE*2.TF-ID'</f>
        <v>#REF!</v>
      </c>
      <c r="C8" s="2" t="e">
        <f>[2]!'FITE*2.TF-Price'</f>
        <v>#REF!</v>
      </c>
      <c r="D8" s="34" t="e">
        <f>[2]!'FITE*2.TF-PriceChangeRatio'</f>
        <v>#REF!</v>
      </c>
      <c r="E8" s="34" t="e">
        <f>[2]!'FITE*2.TF-Volume'</f>
        <v>#REF!</v>
      </c>
      <c r="F8" s="34" t="e">
        <f>[2]!'FITE*2.TF-TotalVolume'</f>
        <v>#REF!</v>
      </c>
      <c r="G8" s="34" t="e">
        <f>[2]!'FITE*2.TF-Open'</f>
        <v>#REF!</v>
      </c>
      <c r="H8" s="34" t="e">
        <f>[2]!'FITE*2.TF-High'</f>
        <v>#REF!</v>
      </c>
      <c r="I8" s="34" t="e">
        <f>[2]!'FITE*2.TF-Low'</f>
        <v>#REF!</v>
      </c>
      <c r="J8" s="34" t="e">
        <f>[2]!'FITE*2.TF-Amplitude'</f>
        <v>#REF!</v>
      </c>
      <c r="K8" s="2" t="e">
        <f>[2]!'FITE*2.TF-PreClose'</f>
        <v>#REF!</v>
      </c>
      <c r="L8" s="34" t="e">
        <f>[2]!'FITE*2.TF-Open'</f>
        <v>#REF!</v>
      </c>
      <c r="M8" s="34" t="e">
        <f>[2]!'FITE*2.TF-High'</f>
        <v>#REF!</v>
      </c>
      <c r="N8" s="34" t="e">
        <f>[2]!'FITE*2.TF-Low'</f>
        <v>#REF!</v>
      </c>
      <c r="O8" s="34" t="e">
        <f>[2]!'FITE*2.TF-PreTotalVolume'</f>
        <v>#REF!</v>
      </c>
      <c r="P8" s="2" t="e">
        <f>[2]!'FITE*2.TF-Bid'</f>
        <v>#REF!</v>
      </c>
      <c r="Q8" s="2" t="e">
        <f>[2]!'FITE*2.TF-Ask'</f>
        <v>#REF!</v>
      </c>
      <c r="R8" s="34" t="e">
        <f>[2]!'FITE*2.TF-PriceChange'</f>
        <v>#REF!</v>
      </c>
      <c r="S8" s="34" t="e">
        <f>[2]!'FITE*2.TF-PriceChangeRatio'</f>
        <v>#REF!</v>
      </c>
      <c r="T8" s="34" t="e">
        <f>[2]!'FITE*2.TF-Volume'</f>
        <v>#REF!</v>
      </c>
      <c r="U8" s="34" t="e">
        <f>[2]!'FITE*2.TF-TotalVolume'</f>
        <v>#REF!</v>
      </c>
    </row>
    <row r="9" spans="1:21">
      <c r="A9" s="34" t="e">
        <f>[2]!'FITE00.TF-Name'</f>
        <v>#REF!</v>
      </c>
      <c r="B9" s="34" t="e">
        <f>[2]!'FITE00.TF-ID'</f>
        <v>#REF!</v>
      </c>
      <c r="C9" s="2" t="e">
        <f>[2]!'FITE00.TF-Price'</f>
        <v>#REF!</v>
      </c>
      <c r="D9" s="34" t="e">
        <f>[2]!'FITE00.TF-PriceChangeRatio'</f>
        <v>#REF!</v>
      </c>
      <c r="E9" s="34" t="e">
        <f>[2]!'FITE00.TF-Volume'</f>
        <v>#REF!</v>
      </c>
      <c r="F9" s="34" t="e">
        <f>[2]!'FITE00.TF-TotalVolume'</f>
        <v>#REF!</v>
      </c>
      <c r="G9" s="34" t="e">
        <f>[2]!'FITE00.TF-Open'</f>
        <v>#REF!</v>
      </c>
      <c r="H9" s="34" t="e">
        <f>[2]!'FITE00.TF-High'</f>
        <v>#REF!</v>
      </c>
      <c r="I9" s="34" t="e">
        <f>[2]!'FITE00.TF-Low'</f>
        <v>#REF!</v>
      </c>
      <c r="J9" s="34" t="e">
        <f>[2]!'FITE00.TF-Amplitude'</f>
        <v>#REF!</v>
      </c>
      <c r="K9" s="2" t="e">
        <f>[2]!'FITE00.TF-PreClose'</f>
        <v>#REF!</v>
      </c>
      <c r="L9" s="34" t="e">
        <f>[2]!'FITE00.TF-Open'</f>
        <v>#REF!</v>
      </c>
      <c r="M9" s="34" t="e">
        <f>[2]!'FITE00.TF-High'</f>
        <v>#REF!</v>
      </c>
      <c r="N9" s="34" t="e">
        <f>[2]!'FITE00.TF-Low'</f>
        <v>#REF!</v>
      </c>
      <c r="O9" s="34" t="e">
        <f>[2]!'FITE00.TF-PreTotalVolume'</f>
        <v>#REF!</v>
      </c>
      <c r="P9" s="2" t="e">
        <f>[2]!'FITE00.TF-Bid'</f>
        <v>#REF!</v>
      </c>
      <c r="Q9" s="2" t="e">
        <f>[2]!'FITE00.TF-Ask'</f>
        <v>#REF!</v>
      </c>
      <c r="R9" s="34" t="e">
        <f>[2]!'FITE00.TF-PriceChange'</f>
        <v>#REF!</v>
      </c>
      <c r="S9" s="34" t="e">
        <f>[2]!'FITE00.TF-PriceChangeRatio'</f>
        <v>#REF!</v>
      </c>
      <c r="T9" s="34" t="e">
        <f>[2]!'FITE00.TF-Volume'</f>
        <v>#REF!</v>
      </c>
      <c r="U9" s="34" t="e">
        <f>[2]!'FITE00.TF-TotalVolume'</f>
        <v>#REF!</v>
      </c>
    </row>
    <row r="10" spans="1:21">
      <c r="A10" s="34" t="e">
        <f>[2]!'FITF*1.TF-Name'</f>
        <v>#REF!</v>
      </c>
      <c r="B10" s="34" t="e">
        <f>[2]!'FITF*1.TF-ID'</f>
        <v>#REF!</v>
      </c>
      <c r="C10" s="2" t="e">
        <f>[2]!'FITF*1.TF-Price'</f>
        <v>#REF!</v>
      </c>
      <c r="D10" s="34" t="e">
        <f>[2]!'FITF*1.TF-PriceChangeRatio'</f>
        <v>#REF!</v>
      </c>
      <c r="E10" s="34" t="e">
        <f>[2]!'FITF*1.TF-Volume'</f>
        <v>#REF!</v>
      </c>
      <c r="F10" s="34" t="e">
        <f>[2]!'FITF*1.TF-TotalVolume'</f>
        <v>#REF!</v>
      </c>
      <c r="G10" s="34" t="e">
        <f>[2]!'FITF*1.TF-Open'</f>
        <v>#REF!</v>
      </c>
      <c r="H10" s="34" t="e">
        <f>[2]!'FITF*1.TF-High'</f>
        <v>#REF!</v>
      </c>
      <c r="I10" s="34" t="e">
        <f>[2]!'FITF*1.TF-Low'</f>
        <v>#REF!</v>
      </c>
      <c r="J10" s="34" t="e">
        <f>[2]!'FITF*1.TF-Amplitude'</f>
        <v>#REF!</v>
      </c>
      <c r="K10" s="2" t="e">
        <f>[2]!'FITF*1.TF-PreClose'</f>
        <v>#REF!</v>
      </c>
      <c r="L10" s="34" t="e">
        <f>[2]!'FITF*1.TF-Open'</f>
        <v>#REF!</v>
      </c>
      <c r="M10" s="34" t="e">
        <f>[2]!'FITF*1.TF-High'</f>
        <v>#REF!</v>
      </c>
      <c r="N10" s="34" t="e">
        <f>[2]!'FITF*1.TF-Low'</f>
        <v>#REF!</v>
      </c>
      <c r="O10" s="34" t="e">
        <f>[2]!'FITF*1.TF-PreTotalVolume'</f>
        <v>#REF!</v>
      </c>
      <c r="P10" s="2" t="e">
        <f>[2]!'FITF*1.TF-Bid'</f>
        <v>#REF!</v>
      </c>
      <c r="Q10" s="2" t="e">
        <f>[2]!'FITF*1.TF-Ask'</f>
        <v>#REF!</v>
      </c>
      <c r="R10" s="34" t="e">
        <f>[2]!'FITF*1.TF-PriceChange'</f>
        <v>#REF!</v>
      </c>
      <c r="S10" s="34" t="e">
        <f>[2]!'FITF*1.TF-PriceChangeRatio'</f>
        <v>#REF!</v>
      </c>
      <c r="T10" s="34" t="e">
        <f>[2]!'FITF*1.TF-Volume'</f>
        <v>#REF!</v>
      </c>
      <c r="U10" s="34" t="e">
        <f>[2]!'FITF*1.TF-TotalVolume'</f>
        <v>#REF!</v>
      </c>
    </row>
    <row r="11" spans="1:21">
      <c r="A11" s="34" t="e">
        <f>[2]!'FITF*2.TF-Name'</f>
        <v>#REF!</v>
      </c>
      <c r="B11" s="34" t="e">
        <f>[2]!'FITF*2.TF-ID'</f>
        <v>#REF!</v>
      </c>
      <c r="C11" s="2" t="e">
        <f>[2]!'FITF*2.TF-Price'</f>
        <v>#REF!</v>
      </c>
      <c r="D11" s="34" t="e">
        <f>[2]!'FITF*2.TF-PriceChangeRatio'</f>
        <v>#REF!</v>
      </c>
      <c r="E11" s="34" t="e">
        <f>[2]!'FITF*2.TF-Volume'</f>
        <v>#REF!</v>
      </c>
      <c r="F11" s="34" t="e">
        <f>[2]!'FITF*2.TF-TotalVolume'</f>
        <v>#REF!</v>
      </c>
      <c r="G11" s="34" t="e">
        <f>[2]!'FITF*2.TF-Open'</f>
        <v>#REF!</v>
      </c>
      <c r="H11" s="34" t="e">
        <f>[2]!'FITF*2.TF-High'</f>
        <v>#REF!</v>
      </c>
      <c r="I11" s="34" t="e">
        <f>[2]!'FITF*2.TF-Low'</f>
        <v>#REF!</v>
      </c>
      <c r="J11" s="34" t="e">
        <f>[2]!'FITF*2.TF-Amplitude'</f>
        <v>#REF!</v>
      </c>
      <c r="K11" s="2" t="e">
        <f>[2]!'FITF*2.TF-PreClose'</f>
        <v>#REF!</v>
      </c>
      <c r="L11" s="34" t="e">
        <f>[2]!'FITF*2.TF-Open'</f>
        <v>#REF!</v>
      </c>
      <c r="M11" s="34" t="e">
        <f>[2]!'FITF*2.TF-High'</f>
        <v>#REF!</v>
      </c>
      <c r="N11" s="34" t="e">
        <f>[2]!'FITF*2.TF-Low'</f>
        <v>#REF!</v>
      </c>
      <c r="O11" s="34" t="e">
        <f>[2]!'FITF*2.TF-PreTotalVolume'</f>
        <v>#REF!</v>
      </c>
      <c r="P11" s="2" t="e">
        <f>[2]!'FITF*2.TF-Bid'</f>
        <v>#REF!</v>
      </c>
      <c r="Q11" s="2" t="e">
        <f>[2]!'FITF*2.TF-Ask'</f>
        <v>#REF!</v>
      </c>
      <c r="R11" s="34" t="e">
        <f>[2]!'FITF*2.TF-PriceChange'</f>
        <v>#REF!</v>
      </c>
      <c r="S11" s="34" t="e">
        <f>[2]!'FITF*2.TF-PriceChangeRatio'</f>
        <v>#REF!</v>
      </c>
      <c r="T11" s="34" t="e">
        <f>[2]!'FITF*2.TF-Volume'</f>
        <v>#REF!</v>
      </c>
      <c r="U11" s="34" t="e">
        <f>[2]!'FITF*2.TF-TotalVolume'</f>
        <v>#REF!</v>
      </c>
    </row>
    <row r="12" spans="1:21">
      <c r="A12" s="34" t="e">
        <f>[2]!'FITF00.TF-Name'</f>
        <v>#REF!</v>
      </c>
      <c r="B12" s="34" t="e">
        <f>[2]!'FITF00.TF-ID'</f>
        <v>#REF!</v>
      </c>
      <c r="C12" s="2" t="e">
        <f>[2]!'FITF00.TF-Price'</f>
        <v>#REF!</v>
      </c>
      <c r="D12" s="34" t="e">
        <f>[2]!'FITF00.TF-PriceChangeRatio'</f>
        <v>#REF!</v>
      </c>
      <c r="E12" s="34" t="e">
        <f>[2]!'FITF00.TF-Volume'</f>
        <v>#REF!</v>
      </c>
      <c r="F12" s="34" t="e">
        <f>[2]!'FITF00.TF-TotalVolume'</f>
        <v>#REF!</v>
      </c>
      <c r="G12" s="34" t="e">
        <f>[2]!'FITF00.TF-Open'</f>
        <v>#REF!</v>
      </c>
      <c r="H12" s="34" t="e">
        <f>[2]!'FITF00.TF-High'</f>
        <v>#REF!</v>
      </c>
      <c r="I12" s="34" t="e">
        <f>[2]!'FITF00.TF-Low'</f>
        <v>#REF!</v>
      </c>
      <c r="J12" s="34" t="e">
        <f>[2]!'FITF00.TF-Amplitude'</f>
        <v>#REF!</v>
      </c>
      <c r="K12" s="2" t="e">
        <f>[2]!'FITF00.TF-PreClose'</f>
        <v>#REF!</v>
      </c>
      <c r="L12" s="34" t="e">
        <f>[2]!'FITF00.TF-Open'</f>
        <v>#REF!</v>
      </c>
      <c r="M12" s="34" t="e">
        <f>[2]!'FITF00.TF-High'</f>
        <v>#REF!</v>
      </c>
      <c r="N12" s="34" t="e">
        <f>[2]!'FITF00.TF-Low'</f>
        <v>#REF!</v>
      </c>
      <c r="O12" s="34" t="e">
        <f>[2]!'FITF00.TF-PreTotalVolume'</f>
        <v>#REF!</v>
      </c>
      <c r="P12" s="2" t="e">
        <f>[2]!'FITF00.TF-Bid'</f>
        <v>#REF!</v>
      </c>
      <c r="Q12" s="2" t="e">
        <f>[2]!'FITF00.TF-Ask'</f>
        <v>#REF!</v>
      </c>
      <c r="R12" s="34" t="e">
        <f>[2]!'FITF00.TF-PriceChange'</f>
        <v>#REF!</v>
      </c>
      <c r="S12" s="34" t="e">
        <f>[2]!'FITF00.TF-PriceChangeRatio'</f>
        <v>#REF!</v>
      </c>
      <c r="T12" s="34" t="e">
        <f>[2]!'FITF00.TF-Volume'</f>
        <v>#REF!</v>
      </c>
      <c r="U12" s="34" t="e">
        <f>[2]!'FITF00.TF-TotalVolume'</f>
        <v>#REF!</v>
      </c>
    </row>
    <row r="13" spans="1:21">
      <c r="A13" s="34" t="e">
        <f>[2]!'FIMTX*1.TF-Name'</f>
        <v>#REF!</v>
      </c>
      <c r="B13" s="34" t="e">
        <f>[2]!'FIMTX*1.TF-ID'</f>
        <v>#REF!</v>
      </c>
      <c r="C13" s="2" t="e">
        <f>[2]!'FIMTX*1.TF-Price'</f>
        <v>#REF!</v>
      </c>
      <c r="D13" s="34" t="e">
        <f>[2]!'FIMTX*1.TF-PriceChangeRatio'</f>
        <v>#REF!</v>
      </c>
      <c r="E13" s="34" t="e">
        <f>[2]!'FIMTX*1.TF-Volume'</f>
        <v>#REF!</v>
      </c>
      <c r="F13" s="34" t="e">
        <f>[2]!'FIMTX*1.TF-TotalVolume'</f>
        <v>#REF!</v>
      </c>
      <c r="G13" s="34" t="e">
        <f>[2]!'FIMTX*1.TF-Open'</f>
        <v>#REF!</v>
      </c>
      <c r="H13" s="34" t="e">
        <f>[2]!'FIMTX*1.TF-High'</f>
        <v>#REF!</v>
      </c>
      <c r="I13" s="34" t="e">
        <f>[2]!'FIMTX*1.TF-Low'</f>
        <v>#REF!</v>
      </c>
      <c r="J13" s="34" t="e">
        <f>[2]!'FIMTX*1.TF-Amplitude'</f>
        <v>#REF!</v>
      </c>
      <c r="K13" s="2" t="e">
        <f>[2]!'FIMTX*1.TF-PreClose'</f>
        <v>#REF!</v>
      </c>
      <c r="L13" s="34" t="e">
        <f>[2]!'FIMTX*1.TF-Open'</f>
        <v>#REF!</v>
      </c>
      <c r="M13" s="34" t="e">
        <f>[2]!'FIMTX*1.TF-High'</f>
        <v>#REF!</v>
      </c>
      <c r="N13" s="34" t="e">
        <f>[2]!'FIMTX*1.TF-Low'</f>
        <v>#REF!</v>
      </c>
      <c r="O13" s="34" t="e">
        <f>[2]!'FIMTX*1.TF-PreTotalVolume'</f>
        <v>#REF!</v>
      </c>
      <c r="P13" s="2" t="e">
        <f>[2]!'FIMTX*1.TF-Bid'</f>
        <v>#REF!</v>
      </c>
      <c r="Q13" s="2" t="e">
        <f>[2]!'FIMTX*1.TF-Ask'</f>
        <v>#REF!</v>
      </c>
      <c r="R13" s="34" t="e">
        <f>[2]!'FIMTX*1.TF-PriceChange'</f>
        <v>#REF!</v>
      </c>
      <c r="S13" s="34" t="e">
        <f>[2]!'FIMTX*1.TF-PriceChangeRatio'</f>
        <v>#REF!</v>
      </c>
      <c r="T13" s="34" t="e">
        <f>[2]!'FIMTX*1.TF-Volume'</f>
        <v>#REF!</v>
      </c>
      <c r="U13" s="34" t="e">
        <f>[2]!'FIMTX*1.TF-TotalVolume'</f>
        <v>#REF!</v>
      </c>
    </row>
    <row r="14" spans="1:21">
      <c r="A14" s="34" t="e">
        <f>[2]!'FIMTX*2.TF-Name'</f>
        <v>#REF!</v>
      </c>
      <c r="B14" s="34" t="e">
        <f>[2]!'FIMTX*2.TF-ID'</f>
        <v>#REF!</v>
      </c>
      <c r="C14" s="2" t="e">
        <f>[2]!'FIMTX*2.TF-Price'</f>
        <v>#REF!</v>
      </c>
      <c r="D14" s="34" t="e">
        <f>[2]!'FIMTX*2.TF-PriceChangeRatio'</f>
        <v>#REF!</v>
      </c>
      <c r="E14" s="34" t="e">
        <f>[2]!'FIMTX*2.TF-Volume'</f>
        <v>#REF!</v>
      </c>
      <c r="F14" s="34" t="e">
        <f>[2]!'FIMTX*2.TF-TotalVolume'</f>
        <v>#REF!</v>
      </c>
      <c r="G14" s="34" t="e">
        <f>[2]!'FIMTX*2.TF-Open'</f>
        <v>#REF!</v>
      </c>
      <c r="H14" s="34" t="e">
        <f>[2]!'FIMTX*2.TF-High'</f>
        <v>#REF!</v>
      </c>
      <c r="I14" s="34" t="e">
        <f>[2]!'FIMTX*2.TF-Low'</f>
        <v>#REF!</v>
      </c>
      <c r="J14" s="34" t="e">
        <f>[2]!'FIMTX*2.TF-Amplitude'</f>
        <v>#REF!</v>
      </c>
      <c r="K14" s="2" t="e">
        <f>[2]!'FIMTX*2.TF-PreClose'</f>
        <v>#REF!</v>
      </c>
      <c r="L14" s="34" t="e">
        <f>[2]!'FIMTX*2.TF-Open'</f>
        <v>#REF!</v>
      </c>
      <c r="M14" s="34" t="e">
        <f>[2]!'FIMTX*2.TF-High'</f>
        <v>#REF!</v>
      </c>
      <c r="N14" s="34" t="e">
        <f>[2]!'FIMTX*2.TF-Low'</f>
        <v>#REF!</v>
      </c>
      <c r="O14" s="34" t="e">
        <f>[2]!'FIMTX*2.TF-PreTotalVolume'</f>
        <v>#REF!</v>
      </c>
      <c r="P14" s="2" t="e">
        <f>[2]!'FIMTX*2.TF-Bid'</f>
        <v>#REF!</v>
      </c>
      <c r="Q14" s="2" t="e">
        <f>[2]!'FIMTX*2.TF-Ask'</f>
        <v>#REF!</v>
      </c>
      <c r="R14" s="34" t="e">
        <f>[2]!'FIMTX*2.TF-PriceChange'</f>
        <v>#REF!</v>
      </c>
      <c r="S14" s="34" t="e">
        <f>[2]!'FIMTX*2.TF-PriceChangeRatio'</f>
        <v>#REF!</v>
      </c>
      <c r="T14" s="34" t="e">
        <f>[2]!'FIMTX*2.TF-Volume'</f>
        <v>#REF!</v>
      </c>
      <c r="U14" s="34" t="e">
        <f>[2]!'FIMTX*2.TF-TotalVolume'</f>
        <v>#REF!</v>
      </c>
    </row>
    <row r="15" spans="1:21">
      <c r="A15" s="34" t="e">
        <f>[2]!'FIMTX00.TF-Name'</f>
        <v>#REF!</v>
      </c>
      <c r="B15" s="34" t="e">
        <f>[2]!'FIMTX00.TF-ID'</f>
        <v>#REF!</v>
      </c>
      <c r="C15" s="2" t="e">
        <f>[2]!'FIMTX00.TF-Price'</f>
        <v>#REF!</v>
      </c>
      <c r="D15" s="34" t="e">
        <f>[2]!'FIMTX00.TF-PriceChangeRatio'</f>
        <v>#REF!</v>
      </c>
      <c r="E15" s="34" t="e">
        <f>[2]!'FIMTX00.TF-Volume'</f>
        <v>#REF!</v>
      </c>
      <c r="F15" s="34" t="e">
        <f>[2]!'FIMTX00.TF-TotalVolume'</f>
        <v>#REF!</v>
      </c>
      <c r="G15" s="34" t="e">
        <f>[2]!'FIMTX00.TF-Open'</f>
        <v>#REF!</v>
      </c>
      <c r="H15" s="34" t="e">
        <f>[2]!'FIMTX00.TF-High'</f>
        <v>#REF!</v>
      </c>
      <c r="I15" s="34" t="e">
        <f>[2]!'FIMTX00.TF-Low'</f>
        <v>#REF!</v>
      </c>
      <c r="J15" s="34" t="e">
        <f>[2]!'FIMTX00.TF-Amplitude'</f>
        <v>#REF!</v>
      </c>
      <c r="K15" s="2" t="e">
        <f>[2]!'FIMTX00.TF-PreClose'</f>
        <v>#REF!</v>
      </c>
      <c r="L15" s="34" t="e">
        <f>[2]!'FIMTX00.TF-Open'</f>
        <v>#REF!</v>
      </c>
      <c r="M15" s="34" t="e">
        <f>[2]!'FIMTX00.TF-High'</f>
        <v>#REF!</v>
      </c>
      <c r="N15" s="34" t="e">
        <f>[2]!'FIMTX00.TF-Low'</f>
        <v>#REF!</v>
      </c>
      <c r="O15" s="34" t="e">
        <f>[2]!'FIMTX00.TF-PreTotalVolume'</f>
        <v>#REF!</v>
      </c>
      <c r="P15" s="2" t="e">
        <f>[2]!'FIMTX00.TF-Bid'</f>
        <v>#REF!</v>
      </c>
      <c r="Q15" s="2" t="e">
        <f>[2]!'FIMTX00.TF-Ask'</f>
        <v>#REF!</v>
      </c>
      <c r="R15" s="34" t="e">
        <f>[2]!'FIMTX00.TF-PriceChange'</f>
        <v>#REF!</v>
      </c>
      <c r="S15" s="34" t="e">
        <f>[2]!'FIMTX00.TF-PriceChangeRatio'</f>
        <v>#REF!</v>
      </c>
      <c r="T15" s="34" t="e">
        <f>[2]!'FIMTX00.TF-Volume'</f>
        <v>#REF!</v>
      </c>
      <c r="U15" s="34" t="e">
        <f>[2]!'FIMTX00.TF-TotalVolume'</f>
        <v>#REF!</v>
      </c>
    </row>
    <row r="16" spans="1:21">
      <c r="A16" s="34" t="e">
        <f>[2]!'FIMTXN*1.TF-Name'</f>
        <v>#REF!</v>
      </c>
      <c r="B16" s="34" t="e">
        <f>[2]!'FIMTXN*1.TF-ID'</f>
        <v>#REF!</v>
      </c>
      <c r="C16" s="2" t="e">
        <f>[2]!'FIMTXN*1.TF-Price'</f>
        <v>#REF!</v>
      </c>
      <c r="D16" s="34" t="e">
        <f>[2]!'FIMTXN*1.TF-PriceChangeRatio'</f>
        <v>#REF!</v>
      </c>
      <c r="E16" s="34" t="e">
        <f>[2]!'FIMTXN*1.TF-Volume'</f>
        <v>#REF!</v>
      </c>
      <c r="F16" s="34" t="e">
        <f>[2]!'FIMTXN*1.TF-TotalVolume'</f>
        <v>#REF!</v>
      </c>
      <c r="G16" s="34" t="e">
        <f>[2]!'FIMTXN*1.TF-Open'</f>
        <v>#REF!</v>
      </c>
      <c r="H16" s="34" t="e">
        <f>[2]!'FIMTXN*1.TF-High'</f>
        <v>#REF!</v>
      </c>
      <c r="I16" s="34" t="e">
        <f>[2]!'FIMTXN*1.TF-Low'</f>
        <v>#REF!</v>
      </c>
      <c r="J16" s="34" t="e">
        <f>[2]!'FIMTXN*1.TF-Amplitude'</f>
        <v>#REF!</v>
      </c>
      <c r="K16" s="2" t="e">
        <f>[2]!'FIMTXN*1.TF-PreClose'</f>
        <v>#REF!</v>
      </c>
      <c r="L16" s="34" t="e">
        <f>[2]!'FIMTXN*1.TF-Open'</f>
        <v>#REF!</v>
      </c>
      <c r="M16" s="34" t="e">
        <f>[2]!'FIMTXN*1.TF-High'</f>
        <v>#REF!</v>
      </c>
      <c r="N16" s="34" t="e">
        <f>[2]!'FIMTXN*1.TF-Low'</f>
        <v>#REF!</v>
      </c>
      <c r="O16" s="34" t="e">
        <f>[2]!'FIMTXN*1.TF-PreTotalVolume'</f>
        <v>#REF!</v>
      </c>
      <c r="P16" s="2" t="e">
        <f>[2]!'FIMTXN*1.TF-Bid'</f>
        <v>#REF!</v>
      </c>
      <c r="Q16" s="2" t="e">
        <f>[2]!'FIMTXN*1.TF-Ask'</f>
        <v>#REF!</v>
      </c>
      <c r="R16" s="34" t="e">
        <f>[2]!'FIMTXN*1.TF-PriceChange'</f>
        <v>#REF!</v>
      </c>
      <c r="S16" s="34" t="e">
        <f>[2]!'FIMTXN*1.TF-PriceChangeRatio'</f>
        <v>#REF!</v>
      </c>
      <c r="T16" s="34" t="e">
        <f>[2]!'FIMTXN*1.TF-Volume'</f>
        <v>#REF!</v>
      </c>
      <c r="U16" s="34" t="e">
        <f>[2]!'FIMTXN*1.TF-TotalVolume'</f>
        <v>#REF!</v>
      </c>
    </row>
    <row r="17" spans="1:21">
      <c r="A17" s="34" t="e">
        <f>[2]!'FIMTXN*2.TF-Name'</f>
        <v>#REF!</v>
      </c>
      <c r="B17" s="34" t="e">
        <f>[2]!'FIMTXN*2.TF-ID'</f>
        <v>#REF!</v>
      </c>
      <c r="C17" s="2" t="e">
        <f>[2]!'FIMTXN*2.TF-Price'</f>
        <v>#REF!</v>
      </c>
      <c r="D17" s="34" t="e">
        <f>[2]!'FIMTXN*2.TF-PriceChangeRatio'</f>
        <v>#REF!</v>
      </c>
      <c r="E17" s="34" t="e">
        <f>[2]!'FIMTXN*2.TF-Volume'</f>
        <v>#REF!</v>
      </c>
      <c r="F17" s="34" t="e">
        <f>[2]!'FIMTXN*2.TF-TotalVolume'</f>
        <v>#REF!</v>
      </c>
      <c r="G17" s="34" t="e">
        <f>[2]!'FIMTXN*2.TF-Open'</f>
        <v>#REF!</v>
      </c>
      <c r="H17" s="34" t="e">
        <f>[2]!'FIMTXN*2.TF-High'</f>
        <v>#REF!</v>
      </c>
      <c r="I17" s="34" t="e">
        <f>[2]!'FIMTXN*2.TF-Low'</f>
        <v>#REF!</v>
      </c>
      <c r="J17" s="34" t="e">
        <f>[2]!'FIMTXN*2.TF-Amplitude'</f>
        <v>#REF!</v>
      </c>
      <c r="K17" s="2" t="e">
        <f>[2]!'FIMTXN*2.TF-PreClose'</f>
        <v>#REF!</v>
      </c>
      <c r="L17" s="34" t="e">
        <f>[2]!'FIMTXN*2.TF-Open'</f>
        <v>#REF!</v>
      </c>
      <c r="M17" s="34" t="e">
        <f>[2]!'FIMTXN*2.TF-High'</f>
        <v>#REF!</v>
      </c>
      <c r="N17" s="34" t="e">
        <f>[2]!'FIMTXN*2.TF-Low'</f>
        <v>#REF!</v>
      </c>
      <c r="O17" s="34" t="e">
        <f>[2]!'FIMTXN*2.TF-PreTotalVolume'</f>
        <v>#REF!</v>
      </c>
      <c r="P17" s="2" t="e">
        <f>[2]!'FIMTXN*2.TF-Bid'</f>
        <v>#REF!</v>
      </c>
      <c r="Q17" s="2" t="e">
        <f>[2]!'FIMTXN*2.TF-Ask'</f>
        <v>#REF!</v>
      </c>
      <c r="R17" s="34" t="e">
        <f>[2]!'FIMTXN*2.TF-PriceChange'</f>
        <v>#REF!</v>
      </c>
      <c r="S17" s="34" t="e">
        <f>[2]!'FIMTXN*2.TF-PriceChangeRatio'</f>
        <v>#REF!</v>
      </c>
      <c r="T17" s="34" t="e">
        <f>[2]!'FIMTXN*2.TF-Volume'</f>
        <v>#REF!</v>
      </c>
      <c r="U17" s="34" t="e">
        <f>[2]!'FIMTXN*2.TF-TotalVolume'</f>
        <v>#REF!</v>
      </c>
    </row>
    <row r="18" spans="1:21">
      <c r="A18" s="34" t="e">
        <f>[2]!'FITV*1.TF-Name'</f>
        <v>#REF!</v>
      </c>
      <c r="B18" s="34" t="e">
        <f>[2]!'FITV*1.TF-ID'</f>
        <v>#REF!</v>
      </c>
      <c r="C18" s="2" t="e">
        <f>[2]!'FITV*1.TF-Price'</f>
        <v>#REF!</v>
      </c>
      <c r="D18" s="34" t="e">
        <f>[2]!'FITV*1.TF-PriceChangeRatio'</f>
        <v>#REF!</v>
      </c>
      <c r="E18" s="34" t="e">
        <f>[2]!'FITV*1.TF-Volume'</f>
        <v>#REF!</v>
      </c>
      <c r="F18" s="34" t="e">
        <f>[2]!'FITV*1.TF-TotalVolume'</f>
        <v>#REF!</v>
      </c>
      <c r="G18" s="34" t="e">
        <f>[2]!'FITV*1.TF-Open'</f>
        <v>#REF!</v>
      </c>
      <c r="H18" s="34" t="e">
        <f>[2]!'FITV*1.TF-High'</f>
        <v>#REF!</v>
      </c>
      <c r="I18" s="34" t="e">
        <f>[2]!'FITV*1.TF-Low'</f>
        <v>#REF!</v>
      </c>
      <c r="J18" s="34" t="e">
        <f>[2]!'FITV*1.TF-Amplitude'</f>
        <v>#REF!</v>
      </c>
      <c r="K18" s="2" t="e">
        <f>[2]!'FITV*1.TF-PreClose'</f>
        <v>#REF!</v>
      </c>
      <c r="L18" s="34" t="e">
        <f>[2]!'FITV*1.TF-Open'</f>
        <v>#REF!</v>
      </c>
      <c r="M18" s="34" t="e">
        <f>[2]!'FITV*1.TF-High'</f>
        <v>#REF!</v>
      </c>
      <c r="N18" s="34" t="e">
        <f>[2]!'FITV*1.TF-Low'</f>
        <v>#REF!</v>
      </c>
      <c r="O18" s="34" t="e">
        <f>[2]!'FITV*1.TF-PreTotalVolume'</f>
        <v>#REF!</v>
      </c>
      <c r="P18" s="2" t="e">
        <f>[2]!'FITV*1.TF-Bid'</f>
        <v>#REF!</v>
      </c>
      <c r="Q18" s="2" t="e">
        <f>[2]!'FITV*1.TF-Ask'</f>
        <v>#REF!</v>
      </c>
      <c r="R18" s="34" t="e">
        <f>[2]!'FITV*1.TF-PriceChange'</f>
        <v>#REF!</v>
      </c>
      <c r="S18" s="34" t="e">
        <f>[2]!'FITV*1.TF-PriceChangeRatio'</f>
        <v>#REF!</v>
      </c>
      <c r="T18" s="34" t="e">
        <f>[2]!'FITV*1.TF-Volume'</f>
        <v>#REF!</v>
      </c>
      <c r="U18" s="34" t="e">
        <f>[2]!'FITV*1.TF-TotalVolume'</f>
        <v>#REF!</v>
      </c>
    </row>
    <row r="19" spans="1:21">
      <c r="A19" s="34" t="e">
        <f>[2]!'FITV*2.TF-Name'</f>
        <v>#REF!</v>
      </c>
      <c r="B19" s="34" t="e">
        <f>[2]!'FITV*2.TF-ID'</f>
        <v>#REF!</v>
      </c>
      <c r="C19" s="2" t="e">
        <f>[2]!'FITV*2.TF-Price'</f>
        <v>#REF!</v>
      </c>
      <c r="D19" s="34" t="e">
        <f>[2]!'FITV*2.TF-PriceChangeRatio'</f>
        <v>#REF!</v>
      </c>
      <c r="E19" s="34" t="e">
        <f>[2]!'FITV*2.TF-Volume'</f>
        <v>#REF!</v>
      </c>
      <c r="F19" s="34" t="e">
        <f>[2]!'FITV*2.TF-TotalVolume'</f>
        <v>#REF!</v>
      </c>
      <c r="G19" s="34" t="e">
        <f>[2]!'FITV*2.TF-Open'</f>
        <v>#REF!</v>
      </c>
      <c r="H19" s="34" t="e">
        <f>[2]!'FITV*2.TF-High'</f>
        <v>#REF!</v>
      </c>
      <c r="I19" s="34" t="e">
        <f>[2]!'FITV*2.TF-Low'</f>
        <v>#REF!</v>
      </c>
      <c r="J19" s="34" t="e">
        <f>[2]!'FITV*2.TF-Amplitude'</f>
        <v>#REF!</v>
      </c>
      <c r="K19" s="2" t="e">
        <f>[2]!'FITV*2.TF-PreClose'</f>
        <v>#REF!</v>
      </c>
      <c r="L19" s="34" t="e">
        <f>[2]!'FITV*2.TF-Open'</f>
        <v>#REF!</v>
      </c>
      <c r="M19" s="34" t="e">
        <f>[2]!'FITV*2.TF-High'</f>
        <v>#REF!</v>
      </c>
      <c r="N19" s="34" t="e">
        <f>[2]!'FITV*2.TF-Low'</f>
        <v>#REF!</v>
      </c>
      <c r="O19" s="34" t="e">
        <f>[2]!'FITV*2.TF-PreTotalVolume'</f>
        <v>#REF!</v>
      </c>
      <c r="P19" s="2" t="e">
        <f>[2]!'FITV*2.TF-Bid'</f>
        <v>#REF!</v>
      </c>
      <c r="Q19" s="2" t="e">
        <f>[2]!'FITV*2.TF-Ask'</f>
        <v>#REF!</v>
      </c>
      <c r="R19" s="34" t="e">
        <f>[2]!'FITV*2.TF-PriceChange'</f>
        <v>#REF!</v>
      </c>
      <c r="S19" s="34" t="e">
        <f>[2]!'FITV*2.TF-PriceChangeRatio'</f>
        <v>#REF!</v>
      </c>
      <c r="T19" s="34" t="e">
        <f>[2]!'FITV*2.TF-Volume'</f>
        <v>#REF!</v>
      </c>
      <c r="U19" s="34" t="e">
        <f>[2]!'FITV*2.TF-TotalVolume'</f>
        <v>#REF!</v>
      </c>
    </row>
    <row r="20" spans="1:21">
      <c r="A20" s="34" t="e">
        <f>[2]!'FITV00.TF-Name'</f>
        <v>#REF!</v>
      </c>
      <c r="B20" s="34" t="e">
        <f>[2]!'FITV00.TF-ID'</f>
        <v>#REF!</v>
      </c>
      <c r="C20" s="2" t="e">
        <f>[2]!'FITV00.TF-Price'</f>
        <v>#REF!</v>
      </c>
      <c r="D20" s="34" t="e">
        <f>[2]!'FITV00.TF-PriceChangeRatio'</f>
        <v>#REF!</v>
      </c>
      <c r="E20" s="34" t="e">
        <f>[2]!'FITV00.TF-Volume'</f>
        <v>#REF!</v>
      </c>
      <c r="F20" s="34" t="e">
        <f>[2]!'FITV00.TF-TotalVolume'</f>
        <v>#REF!</v>
      </c>
      <c r="G20" s="34" t="e">
        <f>[2]!'FITV00.TF-Open'</f>
        <v>#REF!</v>
      </c>
      <c r="H20" s="34" t="e">
        <f>[2]!'FITV00.TF-High'</f>
        <v>#REF!</v>
      </c>
      <c r="I20" s="34" t="e">
        <f>[2]!'FITV00.TF-Low'</f>
        <v>#REF!</v>
      </c>
      <c r="J20" s="34" t="e">
        <f>[2]!'FITV00.TF-Amplitude'</f>
        <v>#REF!</v>
      </c>
      <c r="K20" s="2" t="e">
        <f>[2]!'FITV00.TF-PreClose'</f>
        <v>#REF!</v>
      </c>
      <c r="L20" s="34" t="e">
        <f>[2]!'FITV00.TF-Open'</f>
        <v>#REF!</v>
      </c>
      <c r="M20" s="34" t="e">
        <f>[2]!'FITV00.TF-High'</f>
        <v>#REF!</v>
      </c>
      <c r="N20" s="34" t="e">
        <f>[2]!'FITV00.TF-Low'</f>
        <v>#REF!</v>
      </c>
      <c r="O20" s="34" t="e">
        <f>[2]!'FITV00.TF-PreTotalVolume'</f>
        <v>#REF!</v>
      </c>
      <c r="P20" s="2" t="e">
        <f>[2]!'FITV00.TF-Bid'</f>
        <v>#REF!</v>
      </c>
      <c r="Q20" s="2" t="e">
        <f>[2]!'FITV00.TF-Ask'</f>
        <v>#REF!</v>
      </c>
      <c r="R20" s="34" t="e">
        <f>[2]!'FITV00.TF-PriceChange'</f>
        <v>#REF!</v>
      </c>
      <c r="S20" s="34" t="e">
        <f>[2]!'FITV00.TF-PriceChangeRatio'</f>
        <v>#REF!</v>
      </c>
      <c r="T20" s="34" t="e">
        <f>[2]!'FITV00.TF-Volume'</f>
        <v>#REF!</v>
      </c>
      <c r="U20" s="34" t="e">
        <f>[2]!'FITV00.TF-TotalVolume'</f>
        <v>#REF!</v>
      </c>
    </row>
    <row r="21" spans="1:21">
      <c r="A21" s="34" t="e">
        <f>[2]!'FIGD*1.TF-Name'</f>
        <v>#REF!</v>
      </c>
      <c r="B21" s="34" t="e">
        <f>[2]!'FIGD*1.TF-ID'</f>
        <v>#REF!</v>
      </c>
      <c r="C21" s="2" t="e">
        <f>[2]!'FIGD*1.TF-Price'</f>
        <v>#REF!</v>
      </c>
      <c r="D21" s="34" t="e">
        <f>[2]!'FIGD*1.TF-PriceChangeRatio'</f>
        <v>#REF!</v>
      </c>
      <c r="E21" s="34" t="e">
        <f>[2]!'FIGD*1.TF-Volume'</f>
        <v>#REF!</v>
      </c>
      <c r="F21" s="34" t="e">
        <f>[2]!'FIGD*1.TF-TotalVolume'</f>
        <v>#REF!</v>
      </c>
      <c r="G21" s="34" t="e">
        <f>[2]!'FIGD*1.TF-Open'</f>
        <v>#REF!</v>
      </c>
      <c r="H21" s="34" t="e">
        <f>[2]!'FIGD*1.TF-High'</f>
        <v>#REF!</v>
      </c>
      <c r="I21" s="34" t="e">
        <f>[2]!'FIGD*1.TF-Low'</f>
        <v>#REF!</v>
      </c>
      <c r="J21" s="34" t="e">
        <f>[2]!'FIGD*1.TF-Amplitude'</f>
        <v>#REF!</v>
      </c>
      <c r="K21" s="2" t="e">
        <f>[2]!'FIGD*1.TF-PreClose'</f>
        <v>#REF!</v>
      </c>
      <c r="L21" s="34" t="e">
        <f>[2]!'FIGD*1.TF-Open'</f>
        <v>#REF!</v>
      </c>
      <c r="M21" s="34" t="e">
        <f>[2]!'FIGD*1.TF-High'</f>
        <v>#REF!</v>
      </c>
      <c r="N21" s="34" t="e">
        <f>[2]!'FIGD*1.TF-Low'</f>
        <v>#REF!</v>
      </c>
      <c r="O21" s="34" t="e">
        <f>[2]!'FIGD*1.TF-PreTotalVolume'</f>
        <v>#REF!</v>
      </c>
      <c r="P21" s="2" t="e">
        <f>[2]!'FIGD*1.TF-Bid'</f>
        <v>#REF!</v>
      </c>
      <c r="Q21" s="2" t="e">
        <f>[2]!'FIGD*1.TF-Ask'</f>
        <v>#REF!</v>
      </c>
      <c r="R21" s="34" t="e">
        <f>[2]!'FIGD*1.TF-PriceChange'</f>
        <v>#REF!</v>
      </c>
      <c r="S21" s="34" t="e">
        <f>[2]!'FIGD*1.TF-PriceChangeRatio'</f>
        <v>#REF!</v>
      </c>
      <c r="T21" s="34" t="e">
        <f>[2]!'FIGD*1.TF-Volume'</f>
        <v>#REF!</v>
      </c>
      <c r="U21" s="34" t="e">
        <f>[2]!'FIGD*1.TF-TotalVolume'</f>
        <v>#REF!</v>
      </c>
    </row>
    <row r="22" spans="1:21">
      <c r="A22" s="34" t="e">
        <f>[2]!'FIGD*2.TF-Name'</f>
        <v>#REF!</v>
      </c>
      <c r="B22" s="34" t="e">
        <f>[2]!'FIGD*2.TF-ID'</f>
        <v>#REF!</v>
      </c>
      <c r="C22" s="2" t="e">
        <f>[2]!'FIGD*2.TF-Price'</f>
        <v>#REF!</v>
      </c>
      <c r="D22" s="34" t="e">
        <f>[2]!'FIGD*2.TF-PriceChangeRatio'</f>
        <v>#REF!</v>
      </c>
      <c r="E22" s="34" t="e">
        <f>[2]!'FIGD*2.TF-Volume'</f>
        <v>#REF!</v>
      </c>
      <c r="F22" s="34" t="e">
        <f>[2]!'FIGD*2.TF-TotalVolume'</f>
        <v>#REF!</v>
      </c>
      <c r="G22" s="34" t="e">
        <f>[2]!'FIGD*2.TF-Open'</f>
        <v>#REF!</v>
      </c>
      <c r="H22" s="34" t="e">
        <f>[2]!'FIGD*2.TF-High'</f>
        <v>#REF!</v>
      </c>
      <c r="I22" s="34" t="e">
        <f>[2]!'FIGD*2.TF-Low'</f>
        <v>#REF!</v>
      </c>
      <c r="J22" s="34" t="e">
        <f>[2]!'FIGD*2.TF-Amplitude'</f>
        <v>#REF!</v>
      </c>
      <c r="K22" s="2" t="e">
        <f>[2]!'FIGD*2.TF-PreClose'</f>
        <v>#REF!</v>
      </c>
      <c r="L22" s="34" t="e">
        <f>[2]!'FIGD*2.TF-Open'</f>
        <v>#REF!</v>
      </c>
      <c r="M22" s="34" t="e">
        <f>[2]!'FIGD*2.TF-High'</f>
        <v>#REF!</v>
      </c>
      <c r="N22" s="34" t="e">
        <f>[2]!'FIGD*2.TF-Low'</f>
        <v>#REF!</v>
      </c>
      <c r="O22" s="34" t="e">
        <f>[2]!'FIGD*2.TF-PreTotalVolume'</f>
        <v>#REF!</v>
      </c>
      <c r="P22" s="2" t="e">
        <f>[2]!'FIGD*2.TF-Bid'</f>
        <v>#REF!</v>
      </c>
      <c r="Q22" s="2" t="e">
        <f>[2]!'FIGD*2.TF-Ask'</f>
        <v>#REF!</v>
      </c>
      <c r="R22" s="34" t="e">
        <f>[2]!'FIGD*2.TF-PriceChange'</f>
        <v>#REF!</v>
      </c>
      <c r="S22" s="34" t="e">
        <f>[2]!'FIGD*2.TF-PriceChangeRatio'</f>
        <v>#REF!</v>
      </c>
      <c r="T22" s="34" t="e">
        <f>[2]!'FIGD*2.TF-Volume'</f>
        <v>#REF!</v>
      </c>
      <c r="U22" s="34" t="e">
        <f>[2]!'FIGD*2.TF-TotalVolume'</f>
        <v>#REF!</v>
      </c>
    </row>
    <row r="23" spans="1:21">
      <c r="A23" s="34" t="e">
        <f>[2]!'FIXI*1.TF-Name'</f>
        <v>#REF!</v>
      </c>
      <c r="B23" s="34" t="e">
        <f>[2]!'FIXI*1.TF-ID'</f>
        <v>#REF!</v>
      </c>
      <c r="C23" s="2" t="e">
        <f>[2]!'FIXI*1.TF-Price'</f>
        <v>#REF!</v>
      </c>
      <c r="D23" s="34" t="e">
        <f>[2]!'FIXI*1.TF-PriceChangeRatio'</f>
        <v>#REF!</v>
      </c>
      <c r="E23" s="34" t="e">
        <f>[2]!'FIXI*1.TF-Volume'</f>
        <v>#REF!</v>
      </c>
      <c r="F23" s="34" t="e">
        <f>[2]!'FIXI*1.TF-TotalVolume'</f>
        <v>#REF!</v>
      </c>
      <c r="G23" s="34" t="e">
        <f>[2]!'FIXI*1.TF-Open'</f>
        <v>#REF!</v>
      </c>
      <c r="H23" s="34" t="e">
        <f>[2]!'FIXI*1.TF-High'</f>
        <v>#REF!</v>
      </c>
      <c r="I23" s="34" t="e">
        <f>[2]!'FIXI*1.TF-Low'</f>
        <v>#REF!</v>
      </c>
      <c r="J23" s="34" t="e">
        <f>[2]!'FIXI*1.TF-Amplitude'</f>
        <v>#REF!</v>
      </c>
      <c r="K23" s="2" t="e">
        <f>[2]!'FIXI*1.TF-PreClose'</f>
        <v>#REF!</v>
      </c>
      <c r="L23" s="34" t="e">
        <f>[2]!'FIXI*1.TF-Open'</f>
        <v>#REF!</v>
      </c>
      <c r="M23" s="34" t="e">
        <f>[2]!'FIXI*1.TF-High'</f>
        <v>#REF!</v>
      </c>
      <c r="N23" s="34" t="e">
        <f>[2]!'FIXI*1.TF-Low'</f>
        <v>#REF!</v>
      </c>
      <c r="O23" s="34" t="e">
        <f>[2]!'FIXI*1.TF-PreTotalVolume'</f>
        <v>#REF!</v>
      </c>
      <c r="P23" s="2" t="e">
        <f>[2]!'FIXI*1.TF-Bid'</f>
        <v>#REF!</v>
      </c>
      <c r="Q23" s="2" t="e">
        <f>[2]!'FIXI*1.TF-Ask'</f>
        <v>#REF!</v>
      </c>
      <c r="R23" s="34" t="e">
        <f>[2]!'FIXI*1.TF-PriceChange'</f>
        <v>#REF!</v>
      </c>
      <c r="S23" s="34" t="e">
        <f>[2]!'FIXI*1.TF-PriceChangeRatio'</f>
        <v>#REF!</v>
      </c>
      <c r="T23" s="34" t="e">
        <f>[2]!'FIXI*1.TF-Volume'</f>
        <v>#REF!</v>
      </c>
      <c r="U23" s="34" t="e">
        <f>[2]!'FIXI*1.TF-TotalVolume'</f>
        <v>#REF!</v>
      </c>
    </row>
    <row r="24" spans="1:21">
      <c r="A24" s="34" t="e">
        <f>[2]!'FIXI*2.TF-Name'</f>
        <v>#REF!</v>
      </c>
      <c r="B24" s="34" t="e">
        <f>[2]!'FIXI*2.TF-ID'</f>
        <v>#REF!</v>
      </c>
      <c r="C24" s="2" t="e">
        <f>[2]!'FIXI*2.TF-Price'</f>
        <v>#REF!</v>
      </c>
      <c r="D24" s="34" t="e">
        <f>[2]!'FIXI*2.TF-PriceChangeRatio'</f>
        <v>#REF!</v>
      </c>
      <c r="E24" s="34" t="e">
        <f>[2]!'FIXI*2.TF-Volume'</f>
        <v>#REF!</v>
      </c>
      <c r="F24" s="34" t="e">
        <f>[2]!'FIXI*2.TF-TotalVolume'</f>
        <v>#REF!</v>
      </c>
      <c r="G24" s="34" t="e">
        <f>[2]!'FIXI*2.TF-Open'</f>
        <v>#REF!</v>
      </c>
      <c r="H24" s="34" t="e">
        <f>[2]!'FIXI*2.TF-High'</f>
        <v>#REF!</v>
      </c>
      <c r="I24" s="34" t="e">
        <f>[2]!'FIXI*2.TF-Low'</f>
        <v>#REF!</v>
      </c>
      <c r="J24" s="34" t="e">
        <f>[2]!'FIXI*2.TF-Amplitude'</f>
        <v>#REF!</v>
      </c>
      <c r="K24" s="2" t="e">
        <f>[2]!'FIXI*2.TF-PreClose'</f>
        <v>#REF!</v>
      </c>
      <c r="L24" s="34" t="e">
        <f>[2]!'FIXI*2.TF-Open'</f>
        <v>#REF!</v>
      </c>
      <c r="M24" s="34" t="e">
        <f>[2]!'FIXI*2.TF-High'</f>
        <v>#REF!</v>
      </c>
      <c r="N24" s="34" t="e">
        <f>[2]!'FIXI*2.TF-Low'</f>
        <v>#REF!</v>
      </c>
      <c r="O24" s="34" t="e">
        <f>[2]!'FIXI*2.TF-PreTotalVolume'</f>
        <v>#REF!</v>
      </c>
      <c r="P24" s="2" t="e">
        <f>[2]!'FIXI*2.TF-Bid'</f>
        <v>#REF!</v>
      </c>
      <c r="Q24" s="2" t="e">
        <f>[2]!'FIXI*2.TF-Ask'</f>
        <v>#REF!</v>
      </c>
      <c r="R24" s="34" t="e">
        <f>[2]!'FIXI*2.TF-PriceChange'</f>
        <v>#REF!</v>
      </c>
      <c r="S24" s="34" t="e">
        <f>[2]!'FIXI*2.TF-PriceChangeRatio'</f>
        <v>#REF!</v>
      </c>
      <c r="T24" s="34" t="e">
        <f>[2]!'FIXI*2.TF-Volume'</f>
        <v>#REF!</v>
      </c>
      <c r="U24" s="34" t="e">
        <f>[2]!'FIXI*2.TF-TotalVolume'</f>
        <v>#REF!</v>
      </c>
    </row>
    <row r="25" spans="1:21">
      <c r="A25" s="34" t="e">
        <f>[2]!'FIXI00.TF-Name'</f>
        <v>#REF!</v>
      </c>
      <c r="B25" s="34" t="e">
        <f>[2]!'FIXI00.TF-ID'</f>
        <v>#REF!</v>
      </c>
      <c r="C25" s="2" t="e">
        <f>[2]!'FIXI00.TF-Price'</f>
        <v>#REF!</v>
      </c>
      <c r="D25" s="34" t="e">
        <f>[2]!'FIXI00.TF-PriceChangeRatio'</f>
        <v>#REF!</v>
      </c>
      <c r="E25" s="34" t="e">
        <f>[2]!'FIXI00.TF-Volume'</f>
        <v>#REF!</v>
      </c>
      <c r="F25" s="34" t="e">
        <f>[2]!'FIXI00.TF-TotalVolume'</f>
        <v>#REF!</v>
      </c>
      <c r="G25" s="34" t="e">
        <f>[2]!'FIXI00.TF-Open'</f>
        <v>#REF!</v>
      </c>
      <c r="H25" s="34" t="e">
        <f>[2]!'FIXI00.TF-High'</f>
        <v>#REF!</v>
      </c>
      <c r="I25" s="34" t="e">
        <f>[2]!'FIXI00.TF-Low'</f>
        <v>#REF!</v>
      </c>
      <c r="J25" s="34" t="e">
        <f>[2]!'FIXI00.TF-Amplitude'</f>
        <v>#REF!</v>
      </c>
      <c r="K25" s="2" t="e">
        <f>[2]!'FIXI00.TF-PreClose'</f>
        <v>#REF!</v>
      </c>
      <c r="L25" s="34" t="e">
        <f>[2]!'FIXI00.TF-Open'</f>
        <v>#REF!</v>
      </c>
      <c r="M25" s="34" t="e">
        <f>[2]!'FIXI00.TF-High'</f>
        <v>#REF!</v>
      </c>
      <c r="N25" s="34" t="e">
        <f>[2]!'FIXI00.TF-Low'</f>
        <v>#REF!</v>
      </c>
      <c r="O25" s="34" t="e">
        <f>[2]!'FIXI00.TF-PreTotalVolume'</f>
        <v>#REF!</v>
      </c>
      <c r="P25" s="2" t="e">
        <f>[2]!'FIXI00.TF-Bid'</f>
        <v>#REF!</v>
      </c>
      <c r="Q25" s="2" t="e">
        <f>[2]!'FIXI00.TF-Ask'</f>
        <v>#REF!</v>
      </c>
      <c r="R25" s="34" t="e">
        <f>[2]!'FIXI00.TF-PriceChange'</f>
        <v>#REF!</v>
      </c>
      <c r="S25" s="34" t="e">
        <f>[2]!'FIXI00.TF-PriceChangeRatio'</f>
        <v>#REF!</v>
      </c>
      <c r="T25" s="34" t="e">
        <f>[2]!'FIXI00.TF-Volume'</f>
        <v>#REF!</v>
      </c>
      <c r="U25" s="34" t="e">
        <f>[2]!'FIXI00.TF-TotalVolume'</f>
        <v>#REF!</v>
      </c>
    </row>
    <row r="26" spans="1:21">
      <c r="A26" s="34" t="e">
        <f>[2]!'FIGT*1.TF-Name'</f>
        <v>#REF!</v>
      </c>
      <c r="B26" s="34" t="e">
        <f>[2]!'FIGT*1.TF-ID'</f>
        <v>#REF!</v>
      </c>
      <c r="C26" s="2" t="e">
        <f>[2]!'FIGT*1.TF-Price'</f>
        <v>#REF!</v>
      </c>
      <c r="D26" s="34" t="e">
        <f>[2]!'FIGT*1.TF-PriceChangeRatio'</f>
        <v>#REF!</v>
      </c>
      <c r="E26" s="34" t="e">
        <f>[2]!'FIGT*1.TF-Volume'</f>
        <v>#REF!</v>
      </c>
      <c r="F26" s="34" t="e">
        <f>[2]!'FIGT*1.TF-TotalVolume'</f>
        <v>#REF!</v>
      </c>
      <c r="G26" s="34" t="e">
        <f>[2]!'FIGT*1.TF-Open'</f>
        <v>#REF!</v>
      </c>
      <c r="H26" s="34" t="e">
        <f>[2]!'FIGT*1.TF-High'</f>
        <v>#REF!</v>
      </c>
      <c r="I26" s="34" t="e">
        <f>[2]!'FIGT*1.TF-Low'</f>
        <v>#REF!</v>
      </c>
      <c r="J26" s="34" t="e">
        <f>[2]!'FIGT*1.TF-Amplitude'</f>
        <v>#REF!</v>
      </c>
      <c r="K26" s="2" t="e">
        <f>[2]!'FIGT*1.TF-PreClose'</f>
        <v>#REF!</v>
      </c>
      <c r="L26" s="34" t="e">
        <f>[2]!'FIGT*1.TF-Open'</f>
        <v>#REF!</v>
      </c>
      <c r="M26" s="34" t="e">
        <f>[2]!'FIGT*1.TF-High'</f>
        <v>#REF!</v>
      </c>
      <c r="N26" s="34" t="e">
        <f>[2]!'FIGT*1.TF-Low'</f>
        <v>#REF!</v>
      </c>
      <c r="O26" s="34" t="e">
        <f>[2]!'FIGT*1.TF-PreTotalVolume'</f>
        <v>#REF!</v>
      </c>
      <c r="P26" s="2" t="e">
        <f>[2]!'FIGT*1.TF-Bid'</f>
        <v>#REF!</v>
      </c>
      <c r="Q26" s="2" t="e">
        <f>[2]!'FIGT*1.TF-Ask'</f>
        <v>#REF!</v>
      </c>
      <c r="R26" s="34" t="e">
        <f>[2]!'FIGT*1.TF-PriceChange'</f>
        <v>#REF!</v>
      </c>
      <c r="S26" s="34" t="e">
        <f>[2]!'FIGT*1.TF-PriceChangeRatio'</f>
        <v>#REF!</v>
      </c>
      <c r="T26" s="34" t="e">
        <f>[2]!'FIGT*1.TF-Volume'</f>
        <v>#REF!</v>
      </c>
      <c r="U26" s="34" t="e">
        <f>[2]!'FIGT*1.TF-TotalVolume'</f>
        <v>#REF!</v>
      </c>
    </row>
    <row r="27" spans="1:21">
      <c r="A27" s="34" t="e">
        <f>[2]!'FIGT*2.TF-Name'</f>
        <v>#REF!</v>
      </c>
      <c r="B27" s="34" t="e">
        <f>[2]!'FIGT*2.TF-ID'</f>
        <v>#REF!</v>
      </c>
      <c r="C27" s="2" t="e">
        <f>[2]!'FIGT*2.TF-Price'</f>
        <v>#REF!</v>
      </c>
      <c r="D27" s="34" t="e">
        <f>[2]!'FIGT*2.TF-PriceChangeRatio'</f>
        <v>#REF!</v>
      </c>
      <c r="E27" s="34" t="e">
        <f>[2]!'FIGT*2.TF-Volume'</f>
        <v>#REF!</v>
      </c>
      <c r="F27" s="34" t="e">
        <f>[2]!'FIGT*2.TF-TotalVolume'</f>
        <v>#REF!</v>
      </c>
      <c r="G27" s="34" t="e">
        <f>[2]!'FIGT*2.TF-Open'</f>
        <v>#REF!</v>
      </c>
      <c r="H27" s="34" t="e">
        <f>[2]!'FIGT*2.TF-High'</f>
        <v>#REF!</v>
      </c>
      <c r="I27" s="34" t="e">
        <f>[2]!'FIGT*2.TF-Low'</f>
        <v>#REF!</v>
      </c>
      <c r="J27" s="34" t="e">
        <f>[2]!'FIGT*2.TF-Amplitude'</f>
        <v>#REF!</v>
      </c>
      <c r="K27" s="2" t="e">
        <f>[2]!'FIGT*2.TF-PreClose'</f>
        <v>#REF!</v>
      </c>
      <c r="L27" s="34" t="e">
        <f>[2]!'FIGT*2.TF-Open'</f>
        <v>#REF!</v>
      </c>
      <c r="M27" s="34" t="e">
        <f>[2]!'FIGT*2.TF-High'</f>
        <v>#REF!</v>
      </c>
      <c r="N27" s="34" t="e">
        <f>[2]!'FIGT*2.TF-Low'</f>
        <v>#REF!</v>
      </c>
      <c r="O27" s="34" t="e">
        <f>[2]!'FIGT*2.TF-PreTotalVolume'</f>
        <v>#REF!</v>
      </c>
      <c r="P27" s="2" t="e">
        <f>[2]!'FIGT*2.TF-Bid'</f>
        <v>#REF!</v>
      </c>
      <c r="Q27" s="2" t="e">
        <f>[2]!'FIGT*2.TF-Ask'</f>
        <v>#REF!</v>
      </c>
      <c r="R27" s="34" t="e">
        <f>[2]!'FIGT*2.TF-PriceChange'</f>
        <v>#REF!</v>
      </c>
      <c r="S27" s="34" t="e">
        <f>[2]!'FIGT*2.TF-PriceChangeRatio'</f>
        <v>#REF!</v>
      </c>
      <c r="T27" s="34" t="e">
        <f>[2]!'FIGT*2.TF-Volume'</f>
        <v>#REF!</v>
      </c>
      <c r="U27" s="34" t="e">
        <f>[2]!'FIGT*2.TF-TotalVolume'</f>
        <v>#REF!</v>
      </c>
    </row>
    <row r="28" spans="1:21">
      <c r="A28" s="34" t="e">
        <f>[2]!'FIGT00.TF-Name'</f>
        <v>#REF!</v>
      </c>
      <c r="B28" s="34" t="e">
        <f>[2]!'FIGT00.TF-ID'</f>
        <v>#REF!</v>
      </c>
      <c r="C28" s="2" t="e">
        <f>[2]!'FIGT00.TF-Price'</f>
        <v>#REF!</v>
      </c>
      <c r="D28" s="34" t="e">
        <f>[2]!'FIGT00.TF-PriceChangeRatio'</f>
        <v>#REF!</v>
      </c>
      <c r="E28" s="34" t="e">
        <f>[2]!'FIGT00.TF-Volume'</f>
        <v>#REF!</v>
      </c>
      <c r="F28" s="34" t="e">
        <f>[2]!'FIGT00.TF-TotalVolume'</f>
        <v>#REF!</v>
      </c>
      <c r="G28" s="34" t="e">
        <f>[2]!'FIGT00.TF-Open'</f>
        <v>#REF!</v>
      </c>
      <c r="H28" s="34" t="e">
        <f>[2]!'FIGT00.TF-High'</f>
        <v>#REF!</v>
      </c>
      <c r="I28" s="34" t="e">
        <f>[2]!'FIGT00.TF-Low'</f>
        <v>#REF!</v>
      </c>
      <c r="J28" s="34" t="e">
        <f>[2]!'FIGT00.TF-Amplitude'</f>
        <v>#REF!</v>
      </c>
      <c r="K28" s="2" t="e">
        <f>[2]!'FIGT00.TF-PreClose'</f>
        <v>#REF!</v>
      </c>
      <c r="L28" s="34" t="e">
        <f>[2]!'FIGT00.TF-Open'</f>
        <v>#REF!</v>
      </c>
      <c r="M28" s="34" t="e">
        <f>[2]!'FIGT00.TF-High'</f>
        <v>#REF!</v>
      </c>
      <c r="N28" s="34" t="e">
        <f>[2]!'FIGT00.TF-Low'</f>
        <v>#REF!</v>
      </c>
      <c r="O28" s="34" t="e">
        <f>[2]!'FIGT00.TF-PreTotalVolume'</f>
        <v>#REF!</v>
      </c>
      <c r="P28" s="2" t="e">
        <f>[2]!'FIGT00.TF-Bid'</f>
        <v>#REF!</v>
      </c>
      <c r="Q28" s="2" t="e">
        <f>[2]!'FIGT00.TF-Ask'</f>
        <v>#REF!</v>
      </c>
      <c r="R28" s="34" t="e">
        <f>[2]!'FIGT00.TF-PriceChange'</f>
        <v>#REF!</v>
      </c>
      <c r="S28" s="34" t="e">
        <f>[2]!'FIGT00.TF-PriceChangeRatio'</f>
        <v>#REF!</v>
      </c>
      <c r="T28" s="34" t="e">
        <f>[2]!'FIGT00.TF-Volume'</f>
        <v>#REF!</v>
      </c>
      <c r="U28" s="34" t="e">
        <f>[2]!'FIGT00.TF-TotalVolume'</f>
        <v>#REF!</v>
      </c>
    </row>
    <row r="29" spans="1:21">
      <c r="A29" s="34" t="e">
        <f>[2]!'FITJ*1.TF-Name'</f>
        <v>#REF!</v>
      </c>
      <c r="B29" s="34" t="e">
        <f>[2]!'FITJ*1.TF-ID'</f>
        <v>#REF!</v>
      </c>
      <c r="C29" s="2" t="e">
        <f>[2]!'FITJ*1.TF-Price'</f>
        <v>#REF!</v>
      </c>
      <c r="D29" s="34" t="e">
        <f>[2]!'FITJ*1.TF-PriceChangeRatio'</f>
        <v>#REF!</v>
      </c>
      <c r="E29" s="34" t="e">
        <f>[2]!'FITJ*1.TF-Volume'</f>
        <v>#REF!</v>
      </c>
      <c r="F29" s="34" t="e">
        <f>[2]!'FITJ*1.TF-TotalVolume'</f>
        <v>#REF!</v>
      </c>
      <c r="G29" s="34" t="e">
        <f>[2]!'FITJ*1.TF-Open'</f>
        <v>#REF!</v>
      </c>
      <c r="H29" s="34" t="e">
        <f>[2]!'FITJ*1.TF-High'</f>
        <v>#REF!</v>
      </c>
      <c r="I29" s="34" t="e">
        <f>[2]!'FITJ*1.TF-Low'</f>
        <v>#REF!</v>
      </c>
      <c r="J29" s="34" t="e">
        <f>[2]!'FITJ*1.TF-Amplitude'</f>
        <v>#REF!</v>
      </c>
      <c r="K29" s="2" t="e">
        <f>[2]!'FITJ*1.TF-PreClose'</f>
        <v>#REF!</v>
      </c>
      <c r="L29" s="34" t="e">
        <f>[2]!'FITJ*1.TF-Open'</f>
        <v>#REF!</v>
      </c>
      <c r="M29" s="34" t="e">
        <f>[2]!'FITJ*1.TF-High'</f>
        <v>#REF!</v>
      </c>
      <c r="N29" s="34" t="e">
        <f>[2]!'FITJ*1.TF-Low'</f>
        <v>#REF!</v>
      </c>
      <c r="O29" s="34" t="e">
        <f>[2]!'FITJ*1.TF-PreTotalVolume'</f>
        <v>#REF!</v>
      </c>
      <c r="P29" s="2" t="e">
        <f>[2]!'FITJ*1.TF-Bid'</f>
        <v>#REF!</v>
      </c>
      <c r="Q29" s="2" t="e">
        <f>[2]!'FITJ*1.TF-Ask'</f>
        <v>#REF!</v>
      </c>
      <c r="R29" s="34" t="e">
        <f>[2]!'FITJ*1.TF-PriceChange'</f>
        <v>#REF!</v>
      </c>
      <c r="S29" s="34" t="e">
        <f>[2]!'FITJ*1.TF-PriceChangeRatio'</f>
        <v>#REF!</v>
      </c>
      <c r="T29" s="34" t="e">
        <f>[2]!'FITJ*1.TF-Volume'</f>
        <v>#REF!</v>
      </c>
      <c r="U29" s="34" t="e">
        <f>[2]!'FITJ*1.TF-TotalVolume'</f>
        <v>#REF!</v>
      </c>
    </row>
    <row r="30" spans="1:21">
      <c r="A30" s="34" t="e">
        <f>[2]!'FITJ*2.TF-Name'</f>
        <v>#REF!</v>
      </c>
      <c r="B30" s="34" t="e">
        <f>[2]!'FITJ*2.TF-ID'</f>
        <v>#REF!</v>
      </c>
      <c r="C30" s="2" t="e">
        <f>[2]!'FITJ*2.TF-Price'</f>
        <v>#REF!</v>
      </c>
      <c r="D30" s="34" t="e">
        <f>[2]!'FITJ*2.TF-PriceChangeRatio'</f>
        <v>#REF!</v>
      </c>
      <c r="E30" s="34" t="e">
        <f>[2]!'FITJ*2.TF-Volume'</f>
        <v>#REF!</v>
      </c>
      <c r="F30" s="34" t="e">
        <f>[2]!'FITJ*2.TF-TotalVolume'</f>
        <v>#REF!</v>
      </c>
      <c r="G30" s="34" t="e">
        <f>[2]!'FITJ*2.TF-Open'</f>
        <v>#REF!</v>
      </c>
      <c r="H30" s="34" t="e">
        <f>[2]!'FITJ*2.TF-High'</f>
        <v>#REF!</v>
      </c>
      <c r="I30" s="34" t="e">
        <f>[2]!'FITJ*2.TF-Low'</f>
        <v>#REF!</v>
      </c>
      <c r="J30" s="34" t="e">
        <f>[2]!'FITJ*2.TF-Amplitude'</f>
        <v>#REF!</v>
      </c>
      <c r="K30" s="2" t="e">
        <f>[2]!'FITJ*2.TF-PreClose'</f>
        <v>#REF!</v>
      </c>
      <c r="L30" s="34" t="e">
        <f>[2]!'FITJ*2.TF-Open'</f>
        <v>#REF!</v>
      </c>
      <c r="M30" s="34" t="e">
        <f>[2]!'FITJ*2.TF-High'</f>
        <v>#REF!</v>
      </c>
      <c r="N30" s="34" t="e">
        <f>[2]!'FITJ*2.TF-Low'</f>
        <v>#REF!</v>
      </c>
      <c r="O30" s="34" t="e">
        <f>[2]!'FITJ*2.TF-PreTotalVolume'</f>
        <v>#REF!</v>
      </c>
      <c r="P30" s="2" t="e">
        <f>[2]!'FITJ*2.TF-Bid'</f>
        <v>#REF!</v>
      </c>
      <c r="Q30" s="2" t="e">
        <f>[2]!'FITJ*2.TF-Ask'</f>
        <v>#REF!</v>
      </c>
      <c r="R30" s="34" t="e">
        <f>[2]!'FITJ*2.TF-PriceChange'</f>
        <v>#REF!</v>
      </c>
      <c r="S30" s="34" t="e">
        <f>[2]!'FITJ*2.TF-PriceChangeRatio'</f>
        <v>#REF!</v>
      </c>
      <c r="T30" s="34" t="e">
        <f>[2]!'FITJ*2.TF-Volume'</f>
        <v>#REF!</v>
      </c>
      <c r="U30" s="34" t="e">
        <f>[2]!'FITJ*2.TF-TotalVolume'</f>
        <v>#REF!</v>
      </c>
    </row>
    <row r="31" spans="1:21">
      <c r="A31" s="34" t="e">
        <f>[2]!'FITJ00.TF-Name'</f>
        <v>#REF!</v>
      </c>
      <c r="B31" s="34" t="e">
        <f>[2]!'FITJ00.TF-ID'</f>
        <v>#REF!</v>
      </c>
      <c r="C31" s="2" t="e">
        <f>[2]!'FITJ00.TF-Price'</f>
        <v>#REF!</v>
      </c>
      <c r="D31" s="34" t="e">
        <f>[2]!'FITJ00.TF-PriceChangeRatio'</f>
        <v>#REF!</v>
      </c>
      <c r="E31" s="34" t="e">
        <f>[2]!'FITJ00.TF-Volume'</f>
        <v>#REF!</v>
      </c>
      <c r="F31" s="34" t="e">
        <f>[2]!'FITJ00.TF-TotalVolume'</f>
        <v>#REF!</v>
      </c>
      <c r="G31" s="34" t="e">
        <f>[2]!'FITJ00.TF-Open'</f>
        <v>#REF!</v>
      </c>
      <c r="H31" s="34" t="e">
        <f>[2]!'FITJ00.TF-High'</f>
        <v>#REF!</v>
      </c>
      <c r="I31" s="34" t="e">
        <f>[2]!'FITJ00.TF-Low'</f>
        <v>#REF!</v>
      </c>
      <c r="J31" s="34" t="e">
        <f>[2]!'FITJ00.TF-Amplitude'</f>
        <v>#REF!</v>
      </c>
      <c r="K31" s="2" t="e">
        <f>[2]!'FITJ00.TF-PreClose'</f>
        <v>#REF!</v>
      </c>
      <c r="L31" s="34" t="e">
        <f>[2]!'FITJ00.TF-Open'</f>
        <v>#REF!</v>
      </c>
      <c r="M31" s="34" t="e">
        <f>[2]!'FITJ00.TF-High'</f>
        <v>#REF!</v>
      </c>
      <c r="N31" s="34" t="e">
        <f>[2]!'FITJ00.TF-Low'</f>
        <v>#REF!</v>
      </c>
      <c r="O31" s="34" t="e">
        <f>[2]!'FITJ00.TF-PreTotalVolume'</f>
        <v>#REF!</v>
      </c>
      <c r="P31" s="2" t="e">
        <f>[2]!'FITJ00.TF-Bid'</f>
        <v>#REF!</v>
      </c>
      <c r="Q31" s="2" t="e">
        <f>[2]!'FITJ00.TF-Ask'</f>
        <v>#REF!</v>
      </c>
      <c r="R31" s="34" t="e">
        <f>[2]!'FITJ00.TF-PriceChange'</f>
        <v>#REF!</v>
      </c>
      <c r="S31" s="34" t="e">
        <f>[2]!'FITJ00.TF-PriceChangeRatio'</f>
        <v>#REF!</v>
      </c>
      <c r="T31" s="34" t="e">
        <f>[2]!'FITJ00.TF-Volume'</f>
        <v>#REF!</v>
      </c>
      <c r="U31" s="34" t="e">
        <f>[2]!'FITJ00.TF-TotalVolume'</f>
        <v>#REF!</v>
      </c>
    </row>
    <row r="32" spans="1:21">
      <c r="A32" s="34" t="e">
        <f>[2]!'FII5*1.TF-Name'</f>
        <v>#REF!</v>
      </c>
      <c r="B32" s="34" t="e">
        <f>[2]!'FII5*1.TF-ID'</f>
        <v>#REF!</v>
      </c>
      <c r="C32" s="2" t="e">
        <f>[2]!'FII5*1.TF-Price'</f>
        <v>#REF!</v>
      </c>
      <c r="D32" s="34" t="e">
        <f>[2]!'FII5*1.TF-PriceChangeRatio'</f>
        <v>#REF!</v>
      </c>
      <c r="E32" s="34" t="e">
        <f>[2]!'FII5*1.TF-Volume'</f>
        <v>#REF!</v>
      </c>
      <c r="F32" s="34" t="e">
        <f>[2]!'FII5*1.TF-TotalVolume'</f>
        <v>#REF!</v>
      </c>
      <c r="G32" s="34" t="e">
        <f>[2]!'FII5*1.TF-Open'</f>
        <v>#REF!</v>
      </c>
      <c r="H32" s="34" t="e">
        <f>[2]!'FII5*1.TF-High'</f>
        <v>#REF!</v>
      </c>
      <c r="I32" s="34" t="e">
        <f>[2]!'FII5*1.TF-Low'</f>
        <v>#REF!</v>
      </c>
      <c r="J32" s="34" t="e">
        <f>[2]!'FII5*1.TF-Amplitude'</f>
        <v>#REF!</v>
      </c>
      <c r="K32" s="2" t="e">
        <f>[2]!'FII5*1.TF-PreClose'</f>
        <v>#REF!</v>
      </c>
      <c r="L32" s="34" t="e">
        <f>[2]!'FII5*1.TF-Open'</f>
        <v>#REF!</v>
      </c>
      <c r="M32" s="34" t="e">
        <f>[2]!'FII5*1.TF-High'</f>
        <v>#REF!</v>
      </c>
      <c r="N32" s="34" t="e">
        <f>[2]!'FII5*1.TF-Low'</f>
        <v>#REF!</v>
      </c>
      <c r="O32" s="34" t="e">
        <f>[2]!'FII5*1.TF-PreTotalVolume'</f>
        <v>#REF!</v>
      </c>
      <c r="P32" s="2" t="e">
        <f>[2]!'FII5*1.TF-Bid'</f>
        <v>#REF!</v>
      </c>
      <c r="Q32" s="2" t="e">
        <f>[2]!'FII5*1.TF-Ask'</f>
        <v>#REF!</v>
      </c>
      <c r="R32" s="34" t="e">
        <f>[2]!'FII5*1.TF-PriceChange'</f>
        <v>#REF!</v>
      </c>
      <c r="S32" s="34" t="e">
        <f>[2]!'FII5*1.TF-PriceChangeRatio'</f>
        <v>#REF!</v>
      </c>
      <c r="T32" s="34" t="e">
        <f>[2]!'FII5*1.TF-Volume'</f>
        <v>#REF!</v>
      </c>
      <c r="U32" s="34" t="e">
        <f>[2]!'FII5*1.TF-TotalVolume'</f>
        <v>#REF!</v>
      </c>
    </row>
    <row r="33" spans="1:21">
      <c r="A33" s="34" t="e">
        <f>[2]!'FII5*2.TF-Name'</f>
        <v>#REF!</v>
      </c>
      <c r="B33" s="34" t="e">
        <f>[2]!'FII5*2.TF-ID'</f>
        <v>#REF!</v>
      </c>
      <c r="C33" s="2" t="e">
        <f>[2]!'FII5*2.TF-Price'</f>
        <v>#REF!</v>
      </c>
      <c r="D33" s="34" t="e">
        <f>[2]!'FII5*2.TF-PriceChangeRatio'</f>
        <v>#REF!</v>
      </c>
      <c r="E33" s="34" t="e">
        <f>[2]!'FII5*2.TF-Volume'</f>
        <v>#REF!</v>
      </c>
      <c r="F33" s="34" t="e">
        <f>[2]!'FII5*2.TF-TotalVolume'</f>
        <v>#REF!</v>
      </c>
      <c r="G33" s="34" t="e">
        <f>[2]!'FII5*2.TF-Open'</f>
        <v>#REF!</v>
      </c>
      <c r="H33" s="34" t="e">
        <f>[2]!'FII5*2.TF-High'</f>
        <v>#REF!</v>
      </c>
      <c r="I33" s="34" t="e">
        <f>[2]!'FII5*2.TF-Low'</f>
        <v>#REF!</v>
      </c>
      <c r="J33" s="34" t="e">
        <f>[2]!'FII5*2.TF-Amplitude'</f>
        <v>#REF!</v>
      </c>
      <c r="K33" s="2" t="e">
        <f>[2]!'FII5*2.TF-PreClose'</f>
        <v>#REF!</v>
      </c>
      <c r="L33" s="34" t="e">
        <f>[2]!'FII5*2.TF-Open'</f>
        <v>#REF!</v>
      </c>
      <c r="M33" s="34" t="e">
        <f>[2]!'FII5*2.TF-High'</f>
        <v>#REF!</v>
      </c>
      <c r="N33" s="34" t="e">
        <f>[2]!'FII5*2.TF-Low'</f>
        <v>#REF!</v>
      </c>
      <c r="O33" s="34" t="e">
        <f>[2]!'FII5*2.TF-PreTotalVolume'</f>
        <v>#REF!</v>
      </c>
      <c r="P33" s="2" t="e">
        <f>[2]!'FII5*2.TF-Bid'</f>
        <v>#REF!</v>
      </c>
      <c r="Q33" s="2" t="e">
        <f>[2]!'FII5*2.TF-Ask'</f>
        <v>#REF!</v>
      </c>
      <c r="R33" s="34" t="e">
        <f>[2]!'FII5*2.TF-PriceChange'</f>
        <v>#REF!</v>
      </c>
      <c r="S33" s="34" t="e">
        <f>[2]!'FII5*2.TF-PriceChangeRatio'</f>
        <v>#REF!</v>
      </c>
      <c r="T33" s="34" t="e">
        <f>[2]!'FII5*2.TF-Volume'</f>
        <v>#REF!</v>
      </c>
      <c r="U33" s="34" t="e">
        <f>[2]!'FII5*2.TF-TotalVolume'</f>
        <v>#REF!</v>
      </c>
    </row>
    <row r="34" spans="1:21">
      <c r="A34" s="34" t="e">
        <f>[2]!'FIUD*1.TF-Name'</f>
        <v>#REF!</v>
      </c>
      <c r="B34" s="34" t="e">
        <f>[2]!'FIUD*1.TF-ID'</f>
        <v>#REF!</v>
      </c>
      <c r="C34" s="2" t="e">
        <f>[2]!'FIUD*1.TF-Price'</f>
        <v>#REF!</v>
      </c>
      <c r="D34" s="34" t="e">
        <f>[2]!'FIUD*1.TF-PriceChangeRatio'</f>
        <v>#REF!</v>
      </c>
      <c r="E34" s="34" t="e">
        <f>[2]!'FIUD*1.TF-Volume'</f>
        <v>#REF!</v>
      </c>
      <c r="F34" s="34" t="e">
        <f>[2]!'FIUD*1.TF-TotalVolume'</f>
        <v>#REF!</v>
      </c>
      <c r="G34" s="34" t="e">
        <f>[2]!'FIUD*1.TF-Open'</f>
        <v>#REF!</v>
      </c>
      <c r="H34" s="34" t="e">
        <f>[2]!'FIUD*1.TF-High'</f>
        <v>#REF!</v>
      </c>
      <c r="I34" s="34" t="e">
        <f>[2]!'FIUD*1.TF-Low'</f>
        <v>#REF!</v>
      </c>
      <c r="J34" s="34" t="e">
        <f>[2]!'FIUD*1.TF-Amplitude'</f>
        <v>#REF!</v>
      </c>
      <c r="K34" s="2" t="e">
        <f>[2]!'FIUD*1.TF-PreClose'</f>
        <v>#REF!</v>
      </c>
      <c r="L34" s="34" t="e">
        <f>[2]!'FIUD*1.TF-Open'</f>
        <v>#REF!</v>
      </c>
      <c r="M34" s="34" t="e">
        <f>[2]!'FIUD*1.TF-High'</f>
        <v>#REF!</v>
      </c>
      <c r="N34" s="34" t="e">
        <f>[2]!'FIUD*1.TF-Low'</f>
        <v>#REF!</v>
      </c>
      <c r="O34" s="34" t="e">
        <f>[2]!'FIUD*1.TF-PreTotalVolume'</f>
        <v>#REF!</v>
      </c>
      <c r="P34" s="2" t="e">
        <f>[2]!'FIUD*1.TF-Bid'</f>
        <v>#REF!</v>
      </c>
      <c r="Q34" s="2" t="e">
        <f>[2]!'FIUD*1.TF-Ask'</f>
        <v>#REF!</v>
      </c>
      <c r="R34" s="34" t="e">
        <f>[2]!'FIUD*1.TF-PriceChange'</f>
        <v>#REF!</v>
      </c>
      <c r="S34" s="34" t="e">
        <f>[2]!'FIUD*1.TF-PriceChangeRatio'</f>
        <v>#REF!</v>
      </c>
      <c r="T34" s="34" t="e">
        <f>[2]!'FIUD*1.TF-Volume'</f>
        <v>#REF!</v>
      </c>
      <c r="U34" s="34" t="e">
        <f>[2]!'FIUD*1.TF-TotalVolume'</f>
        <v>#REF!</v>
      </c>
    </row>
    <row r="35" spans="1:21">
      <c r="A35" s="34" t="e">
        <f>[2]!'FIUD*2.TF-Name'</f>
        <v>#REF!</v>
      </c>
      <c r="B35" s="34" t="e">
        <f>[2]!'FIUD*2.TF-ID'</f>
        <v>#REF!</v>
      </c>
      <c r="C35" s="2" t="e">
        <f>[2]!'FIUD*2.TF-Price'</f>
        <v>#REF!</v>
      </c>
      <c r="D35" s="34" t="e">
        <f>[2]!'FIUD*2.TF-PriceChangeRatio'</f>
        <v>#REF!</v>
      </c>
      <c r="E35" s="34" t="e">
        <f>[2]!'FIUD*2.TF-Volume'</f>
        <v>#REF!</v>
      </c>
      <c r="F35" s="34" t="e">
        <f>[2]!'FIUD*2.TF-TotalVolume'</f>
        <v>#REF!</v>
      </c>
      <c r="G35" s="34" t="e">
        <f>[2]!'FIUD*2.TF-Open'</f>
        <v>#REF!</v>
      </c>
      <c r="H35" s="34" t="e">
        <f>[2]!'FIUD*2.TF-High'</f>
        <v>#REF!</v>
      </c>
      <c r="I35" s="34" t="e">
        <f>[2]!'FIUD*2.TF-Low'</f>
        <v>#REF!</v>
      </c>
      <c r="J35" s="34" t="e">
        <f>[2]!'FIUD*2.TF-Amplitude'</f>
        <v>#REF!</v>
      </c>
      <c r="K35" s="2" t="e">
        <f>[2]!'FIUD*2.TF-PreClose'</f>
        <v>#REF!</v>
      </c>
      <c r="L35" s="34" t="e">
        <f>[2]!'FIUD*2.TF-Open'</f>
        <v>#REF!</v>
      </c>
      <c r="M35" s="34" t="e">
        <f>[2]!'FIUD*2.TF-High'</f>
        <v>#REF!</v>
      </c>
      <c r="N35" s="34" t="e">
        <f>[2]!'FIUD*2.TF-Low'</f>
        <v>#REF!</v>
      </c>
      <c r="O35" s="34" t="e">
        <f>[2]!'FIUD*2.TF-PreTotalVolume'</f>
        <v>#REF!</v>
      </c>
      <c r="P35" s="2" t="e">
        <f>[2]!'FIUD*2.TF-Bid'</f>
        <v>#REF!</v>
      </c>
      <c r="Q35" s="2" t="e">
        <f>[2]!'FIUD*2.TF-Ask'</f>
        <v>#REF!</v>
      </c>
      <c r="R35" s="34" t="e">
        <f>[2]!'FIUD*2.TF-PriceChange'</f>
        <v>#REF!</v>
      </c>
      <c r="S35" s="34" t="e">
        <f>[2]!'FIUD*2.TF-PriceChangeRatio'</f>
        <v>#REF!</v>
      </c>
      <c r="T35" s="34" t="e">
        <f>[2]!'FIUD*2.TF-Volume'</f>
        <v>#REF!</v>
      </c>
      <c r="U35" s="34" t="e">
        <f>[2]!'FIUD*2.TF-TotalVolume'</f>
        <v>#REF!</v>
      </c>
    </row>
    <row r="36" spans="1:21">
      <c r="A36" s="34" t="e">
        <f>[2]!'FISP*1.TF-Name'</f>
        <v>#REF!</v>
      </c>
      <c r="B36" s="34" t="e">
        <f>[2]!'FISP*1.TF-ID'</f>
        <v>#REF!</v>
      </c>
      <c r="C36" s="2" t="e">
        <f>[2]!'FISP*1.TF-Price'</f>
        <v>#REF!</v>
      </c>
      <c r="D36" s="34" t="e">
        <f>[2]!'FISP*1.TF-PriceChangeRatio'</f>
        <v>#REF!</v>
      </c>
      <c r="E36" s="34" t="e">
        <f>[2]!'FISP*1.TF-Volume'</f>
        <v>#REF!</v>
      </c>
      <c r="F36" s="34" t="e">
        <f>[2]!'FISP*1.TF-TotalVolume'</f>
        <v>#REF!</v>
      </c>
      <c r="G36" s="34" t="e">
        <f>[2]!'FISP*1.TF-Open'</f>
        <v>#REF!</v>
      </c>
      <c r="H36" s="34" t="e">
        <f>[2]!'FISP*1.TF-High'</f>
        <v>#REF!</v>
      </c>
      <c r="I36" s="34" t="e">
        <f>[2]!'FISP*1.TF-Low'</f>
        <v>#REF!</v>
      </c>
      <c r="J36" s="34" t="e">
        <f>[2]!'FISP*1.TF-Amplitude'</f>
        <v>#REF!</v>
      </c>
      <c r="K36" s="2" t="e">
        <f>[2]!'FISP*1.TF-PreClose'</f>
        <v>#REF!</v>
      </c>
      <c r="L36" s="34" t="e">
        <f>[2]!'FISP*1.TF-Open'</f>
        <v>#REF!</v>
      </c>
      <c r="M36" s="34" t="e">
        <f>[2]!'FISP*1.TF-High'</f>
        <v>#REF!</v>
      </c>
      <c r="N36" s="34" t="e">
        <f>[2]!'FISP*1.TF-Low'</f>
        <v>#REF!</v>
      </c>
      <c r="O36" s="34" t="e">
        <f>[2]!'FISP*1.TF-PreTotalVolume'</f>
        <v>#REF!</v>
      </c>
      <c r="P36" s="2" t="e">
        <f>[2]!'FISP*1.TF-Bid'</f>
        <v>#REF!</v>
      </c>
      <c r="Q36" s="2" t="e">
        <f>[2]!'FISP*1.TF-Ask'</f>
        <v>#REF!</v>
      </c>
      <c r="R36" s="34" t="e">
        <f>[2]!'FISP*1.TF-PriceChange'</f>
        <v>#REF!</v>
      </c>
      <c r="S36" s="34" t="e">
        <f>[2]!'FISP*1.TF-PriceChangeRatio'</f>
        <v>#REF!</v>
      </c>
      <c r="T36" s="34" t="e">
        <f>[2]!'FISP*1.TF-Volume'</f>
        <v>#REF!</v>
      </c>
      <c r="U36" s="34" t="e">
        <f>[2]!'FISP*1.TF-TotalVolume'</f>
        <v>#REF!</v>
      </c>
    </row>
    <row r="37" spans="1:21">
      <c r="A37" s="34" t="e">
        <f>[2]!'FISP*2.TF-Name'</f>
        <v>#REF!</v>
      </c>
      <c r="B37" s="34" t="e">
        <f>[2]!'FISP*2.TF-ID'</f>
        <v>#REF!</v>
      </c>
      <c r="C37" s="2" t="e">
        <f>[2]!'FISP*2.TF-Price'</f>
        <v>#REF!</v>
      </c>
      <c r="D37" s="34" t="e">
        <f>[2]!'FISP*2.TF-PriceChangeRatio'</f>
        <v>#REF!</v>
      </c>
      <c r="E37" s="34" t="e">
        <f>[2]!'FISP*2.TF-Volume'</f>
        <v>#REF!</v>
      </c>
      <c r="F37" s="34" t="e">
        <f>[2]!'FISP*2.TF-TotalVolume'</f>
        <v>#REF!</v>
      </c>
      <c r="G37" s="34" t="e">
        <f>[2]!'FISP*2.TF-Open'</f>
        <v>#REF!</v>
      </c>
      <c r="H37" s="34" t="e">
        <f>[2]!'FISP*2.TF-High'</f>
        <v>#REF!</v>
      </c>
      <c r="I37" s="34" t="e">
        <f>[2]!'FISP*2.TF-Low'</f>
        <v>#REF!</v>
      </c>
      <c r="J37" s="34" t="e">
        <f>[2]!'FISP*2.TF-Amplitude'</f>
        <v>#REF!</v>
      </c>
      <c r="K37" s="2" t="e">
        <f>[2]!'FISP*2.TF-PreClose'</f>
        <v>#REF!</v>
      </c>
      <c r="L37" s="34" t="e">
        <f>[2]!'FISP*2.TF-Open'</f>
        <v>#REF!</v>
      </c>
      <c r="M37" s="34" t="e">
        <f>[2]!'FISP*2.TF-High'</f>
        <v>#REF!</v>
      </c>
      <c r="N37" s="34" t="e">
        <f>[2]!'FISP*2.TF-Low'</f>
        <v>#REF!</v>
      </c>
      <c r="O37" s="34" t="e">
        <f>[2]!'FISP*2.TF-PreTotalVolume'</f>
        <v>#REF!</v>
      </c>
      <c r="P37" s="2" t="e">
        <f>[2]!'FISP*2.TF-Bid'</f>
        <v>#REF!</v>
      </c>
      <c r="Q37" s="2" t="e">
        <f>[2]!'FISP*2.TF-Ask'</f>
        <v>#REF!</v>
      </c>
      <c r="R37" s="34" t="e">
        <f>[2]!'FISP*2.TF-PriceChange'</f>
        <v>#REF!</v>
      </c>
      <c r="S37" s="34" t="e">
        <f>[2]!'FISP*2.TF-PriceChangeRatio'</f>
        <v>#REF!</v>
      </c>
      <c r="T37" s="34" t="e">
        <f>[2]!'FISP*2.TF-Volume'</f>
        <v>#REF!</v>
      </c>
      <c r="U37" s="34" t="e">
        <f>[2]!'FISP*2.TF-TotalVolume'</f>
        <v>#REF!</v>
      </c>
    </row>
    <row r="38" spans="1:21">
      <c r="A38" s="34" t="e">
        <f>[2]!'FITG*1.TF-Name'</f>
        <v>#REF!</v>
      </c>
      <c r="B38" s="34" t="e">
        <f>[2]!'FITG*1.TF-ID'</f>
        <v>#REF!</v>
      </c>
      <c r="C38" s="2" t="e">
        <f>[2]!'FITG*1.TF-Price'</f>
        <v>#REF!</v>
      </c>
      <c r="D38" s="34" t="e">
        <f>[2]!'FITG*1.TF-PriceChangeRatio'</f>
        <v>#REF!</v>
      </c>
      <c r="E38" s="34" t="e">
        <f>[2]!'FITG*1.TF-Volume'</f>
        <v>#REF!</v>
      </c>
      <c r="F38" s="34" t="e">
        <f>[2]!'FITG*1.TF-TotalVolume'</f>
        <v>#REF!</v>
      </c>
      <c r="G38" s="34" t="e">
        <f>[2]!'FITG*1.TF-Open'</f>
        <v>#REF!</v>
      </c>
      <c r="H38" s="34" t="e">
        <f>[2]!'FITG*1.TF-High'</f>
        <v>#REF!</v>
      </c>
      <c r="I38" s="34" t="e">
        <f>[2]!'FITG*1.TF-Low'</f>
        <v>#REF!</v>
      </c>
      <c r="J38" s="34" t="e">
        <f>[2]!'FITG*1.TF-Amplitude'</f>
        <v>#REF!</v>
      </c>
      <c r="K38" s="2" t="e">
        <f>[2]!'FITG*1.TF-PreClose'</f>
        <v>#REF!</v>
      </c>
      <c r="L38" s="34" t="e">
        <f>[2]!'FITG*1.TF-Open'</f>
        <v>#REF!</v>
      </c>
      <c r="M38" s="34" t="e">
        <f>[2]!'FITG*1.TF-High'</f>
        <v>#REF!</v>
      </c>
      <c r="N38" s="34" t="e">
        <f>[2]!'FITG*1.TF-Low'</f>
        <v>#REF!</v>
      </c>
      <c r="O38" s="34" t="e">
        <f>[2]!'FITG*1.TF-PreTotalVolume'</f>
        <v>#REF!</v>
      </c>
      <c r="P38" s="2" t="e">
        <f>[2]!'FITG*1.TF-Bid'</f>
        <v>#REF!</v>
      </c>
      <c r="Q38" s="2" t="e">
        <f>[2]!'FITG*1.TF-Ask'</f>
        <v>#REF!</v>
      </c>
      <c r="R38" s="34" t="e">
        <f>[2]!'FITG*1.TF-PriceChange'</f>
        <v>#REF!</v>
      </c>
      <c r="S38" s="34" t="e">
        <f>[2]!'FITG*1.TF-PriceChangeRatio'</f>
        <v>#REF!</v>
      </c>
      <c r="T38" s="34" t="e">
        <f>[2]!'FITG*1.TF-Volume'</f>
        <v>#REF!</v>
      </c>
      <c r="U38" s="34" t="e">
        <f>[2]!'FITG*1.TF-TotalVolume'</f>
        <v>#REF!</v>
      </c>
    </row>
    <row r="39" spans="1:21" ht="16.8" thickBot="1">
      <c r="A39" s="34" t="e">
        <f>[2]!'FITG*2.TF-Name'</f>
        <v>#REF!</v>
      </c>
      <c r="B39" s="34" t="e">
        <f>[2]!'FITG*2.TF-ID'</f>
        <v>#REF!</v>
      </c>
      <c r="C39" s="2" t="e">
        <f>[2]!'FITG*2.TF-Price'</f>
        <v>#REF!</v>
      </c>
      <c r="D39" s="34" t="e">
        <f>[2]!'FITG*2.TF-PriceChangeRatio'</f>
        <v>#REF!</v>
      </c>
      <c r="E39" s="34" t="e">
        <f>[2]!'FITG*2.TF-Volume'</f>
        <v>#REF!</v>
      </c>
      <c r="F39" s="34" t="e">
        <f>[2]!'FITG*2.TF-TotalVolume'</f>
        <v>#REF!</v>
      </c>
      <c r="G39" s="34" t="e">
        <f>[2]!'FITG*2.TF-Open'</f>
        <v>#REF!</v>
      </c>
      <c r="H39" s="34" t="e">
        <f>[2]!'FITG*2.TF-High'</f>
        <v>#REF!</v>
      </c>
      <c r="I39" s="34" t="e">
        <f>[2]!'FITG*2.TF-Low'</f>
        <v>#REF!</v>
      </c>
      <c r="J39" s="34" t="e">
        <f>[2]!'FITG*2.TF-Amplitude'</f>
        <v>#REF!</v>
      </c>
      <c r="K39" s="2" t="e">
        <f>[2]!'FITG*2.TF-PreClose'</f>
        <v>#REF!</v>
      </c>
      <c r="L39" s="34" t="e">
        <f>[2]!'FITG*2.TF-Open'</f>
        <v>#REF!</v>
      </c>
      <c r="M39" s="34" t="e">
        <f>[2]!'FITG*2.TF-High'</f>
        <v>#REF!</v>
      </c>
      <c r="N39" s="34" t="e">
        <f>[2]!'FITG*2.TF-Low'</f>
        <v>#REF!</v>
      </c>
      <c r="O39" s="34" t="e">
        <f>[2]!'FITG*2.TF-PreTotalVolume'</f>
        <v>#REF!</v>
      </c>
      <c r="P39" s="2" t="e">
        <f>[2]!'FITG*2.TF-Bid'</f>
        <v>#REF!</v>
      </c>
      <c r="Q39" s="2" t="e">
        <f>[2]!'FITG*2.TF-Ask'</f>
        <v>#REF!</v>
      </c>
      <c r="R39" s="34" t="e">
        <f>[2]!'FITG*2.TF-PriceChange'</f>
        <v>#REF!</v>
      </c>
      <c r="S39" s="34" t="e">
        <f>[2]!'FITG*2.TF-PriceChangeRatio'</f>
        <v>#REF!</v>
      </c>
      <c r="T39" s="34" t="e">
        <f>[2]!'FITG*2.TF-Volume'</f>
        <v>#REF!</v>
      </c>
      <c r="U39" s="34" t="e">
        <f>[2]!'FITG*2.TF-TotalVolume'</f>
        <v>#REF!</v>
      </c>
    </row>
    <row r="40" spans="1:21" s="2" customFormat="1">
      <c r="A40" s="2" t="e">
        <f>[2]!'FINYF*1.TF-Name'</f>
        <v>#REF!</v>
      </c>
      <c r="B40" s="2" t="e">
        <f>[2]!'FINYF*1.TF-ID'</f>
        <v>#REF!</v>
      </c>
      <c r="C40" s="2" t="e">
        <f>[2]!'FINYF*1.TF-Price'</f>
        <v>#REF!</v>
      </c>
      <c r="D40" s="2" t="e">
        <f>[2]!'FINYF*1.TF-PriceChangeRatio'</f>
        <v>#REF!</v>
      </c>
      <c r="E40" s="2" t="e">
        <f>[2]!'FINYF*1.TF-Volume'</f>
        <v>#REF!</v>
      </c>
      <c r="F40" s="2" t="e">
        <f>[2]!'FINYF*1.TF-TotalVolume'</f>
        <v>#REF!</v>
      </c>
      <c r="G40" s="2" t="e">
        <f>[2]!'FINYF*1.TF-Open'</f>
        <v>#REF!</v>
      </c>
      <c r="H40" s="2" t="e">
        <f>[2]!'FINYF*1.TF-High'</f>
        <v>#REF!</v>
      </c>
      <c r="I40" s="2" t="e">
        <f>[2]!'FINYF*1.TF-Low'</f>
        <v>#REF!</v>
      </c>
      <c r="J40" s="2" t="e">
        <f>[2]!'FINYF*1.TF-Amplitude'</f>
        <v>#REF!</v>
      </c>
      <c r="K40" s="2" t="e">
        <f>[2]!'FINYF*1.TF-PreClose'</f>
        <v>#REF!</v>
      </c>
      <c r="L40" s="2" t="e">
        <f>[2]!'FINYF*1.TF-Open'</f>
        <v>#REF!</v>
      </c>
      <c r="M40" s="2" t="e">
        <f>[2]!'FINYF*1.TF-High'</f>
        <v>#REF!</v>
      </c>
      <c r="N40" s="2" t="e">
        <f>[2]!'FINYF*1.TF-Low'</f>
        <v>#REF!</v>
      </c>
      <c r="O40" s="2" t="e">
        <f>[2]!'FINYF*1.TF-PreTotalVolume'</f>
        <v>#REF!</v>
      </c>
      <c r="P40" s="175" t="e">
        <f>[2]!'FINYF*1.TF-Bid'</f>
        <v>#REF!</v>
      </c>
      <c r="Q40" s="176" t="e">
        <f>[2]!'FINYF*1.TF-Ask'</f>
        <v>#REF!</v>
      </c>
      <c r="R40" s="2" t="e">
        <f>[2]!'FINYF*1.TF-PriceChange'</f>
        <v>#REF!</v>
      </c>
      <c r="S40" s="2" t="e">
        <f>[2]!'FINYF*1.TF-PriceChangeRatio'</f>
        <v>#REF!</v>
      </c>
      <c r="T40" s="2" t="e">
        <f>[2]!'FINYF*1.TF-Volume'</f>
        <v>#REF!</v>
      </c>
      <c r="U40" s="2" t="e">
        <f>[2]!'FINYF*1.TF-TotalVolume'</f>
        <v>#REF!</v>
      </c>
    </row>
    <row r="41" spans="1:21" s="2" customFormat="1" ht="16.8" thickBot="1">
      <c r="A41" s="2" t="e">
        <f>[2]!'FINYF*2.TF-Name'</f>
        <v>#REF!</v>
      </c>
      <c r="B41" s="2" t="e">
        <f>[2]!'FINYF*2.TF-ID'</f>
        <v>#REF!</v>
      </c>
      <c r="C41" s="2" t="e">
        <f>[2]!'FINYF*2.TF-Price'</f>
        <v>#REF!</v>
      </c>
      <c r="D41" s="2" t="e">
        <f>[2]!'FINYF*2.TF-PriceChangeRatio'</f>
        <v>#REF!</v>
      </c>
      <c r="E41" s="2" t="e">
        <f>[2]!'FINYF*2.TF-Volume'</f>
        <v>#REF!</v>
      </c>
      <c r="F41" s="2" t="e">
        <f>[2]!'FINYF*2.TF-TotalVolume'</f>
        <v>#REF!</v>
      </c>
      <c r="G41" s="2" t="e">
        <f>[2]!'FINYF*2.TF-Open'</f>
        <v>#REF!</v>
      </c>
      <c r="H41" s="2" t="e">
        <f>[2]!'FINYF*2.TF-High'</f>
        <v>#REF!</v>
      </c>
      <c r="I41" s="2" t="e">
        <f>[2]!'FINYF*2.TF-Low'</f>
        <v>#REF!</v>
      </c>
      <c r="J41" s="2" t="e">
        <f>[2]!'FINYF*2.TF-Amplitude'</f>
        <v>#REF!</v>
      </c>
      <c r="K41" s="2" t="e">
        <f>[2]!'FINYF*2.TF-PreClose'</f>
        <v>#REF!</v>
      </c>
      <c r="L41" s="2" t="e">
        <f>[2]!'FINYF*2.TF-Open'</f>
        <v>#REF!</v>
      </c>
      <c r="M41" s="2" t="e">
        <f>[2]!'FINYF*2.TF-High'</f>
        <v>#REF!</v>
      </c>
      <c r="N41" s="2" t="e">
        <f>[2]!'FINYF*2.TF-Low'</f>
        <v>#REF!</v>
      </c>
      <c r="O41" s="2" t="e">
        <f>[2]!'FINYF*2.TF-PreTotalVolume'</f>
        <v>#REF!</v>
      </c>
      <c r="P41" s="177" t="e">
        <f>[2]!'FINYF*2.TF-Bid'</f>
        <v>#REF!</v>
      </c>
      <c r="Q41" s="178" t="e">
        <f>[2]!'FINYF*2.TF-Ask'</f>
        <v>#REF!</v>
      </c>
      <c r="R41" s="2" t="e">
        <f>[2]!'FINYF*2.TF-PriceChange'</f>
        <v>#REF!</v>
      </c>
      <c r="S41" s="2" t="e">
        <f>[2]!'FINYF*2.TF-PriceChangeRatio'</f>
        <v>#REF!</v>
      </c>
      <c r="T41" s="2" t="e">
        <f>[2]!'FINYF*2.TF-Volume'</f>
        <v>#REF!</v>
      </c>
      <c r="U41" s="2" t="e">
        <f>[2]!'FINYF*2.TF-TotalVolume'</f>
        <v>#REF!</v>
      </c>
    </row>
    <row r="42" spans="1:21">
      <c r="A42" s="34" t="e">
        <f>[2]!'FINYF00.TF-Name'</f>
        <v>#REF!</v>
      </c>
      <c r="B42" s="34" t="e">
        <f>[2]!'FINYF00.TF-ID'</f>
        <v>#REF!</v>
      </c>
      <c r="C42" s="2" t="e">
        <f>[2]!'FINYF00.TF-Price'</f>
        <v>#REF!</v>
      </c>
      <c r="D42" s="34" t="e">
        <f>[2]!'FINYF00.TF-PriceChangeRatio'</f>
        <v>#REF!</v>
      </c>
      <c r="E42" s="34" t="e">
        <f>[2]!'FINYF00.TF-Volume'</f>
        <v>#REF!</v>
      </c>
      <c r="F42" s="34" t="e">
        <f>[2]!'FINYF00.TF-TotalVolume'</f>
        <v>#REF!</v>
      </c>
      <c r="G42" s="34" t="e">
        <f>[2]!'FINYF00.TF-Open'</f>
        <v>#REF!</v>
      </c>
      <c r="H42" s="34" t="e">
        <f>[2]!'FINYF00.TF-High'</f>
        <v>#REF!</v>
      </c>
      <c r="I42" s="34" t="e">
        <f>[2]!'FINYF00.TF-Low'</f>
        <v>#REF!</v>
      </c>
      <c r="J42" s="34" t="e">
        <f>[2]!'FINYF00.TF-Amplitude'</f>
        <v>#REF!</v>
      </c>
      <c r="K42" s="2" t="e">
        <f>[2]!'FINYF00.TF-PreClose'</f>
        <v>#REF!</v>
      </c>
      <c r="L42" s="34" t="e">
        <f>[2]!'FINYF00.TF-Open'</f>
        <v>#REF!</v>
      </c>
      <c r="M42" s="34" t="e">
        <f>[2]!'FINYF00.TF-High'</f>
        <v>#REF!</v>
      </c>
      <c r="N42" s="34" t="e">
        <f>[2]!'FINYF00.TF-Low'</f>
        <v>#REF!</v>
      </c>
      <c r="O42" s="34" t="e">
        <f>[2]!'FINYF00.TF-PreTotalVolume'</f>
        <v>#REF!</v>
      </c>
      <c r="P42" s="2" t="e">
        <f>[2]!'FINYF00.TF-Bid'</f>
        <v>#REF!</v>
      </c>
      <c r="Q42" s="2" t="e">
        <f>[2]!'FINYF00.TF-Ask'</f>
        <v>#REF!</v>
      </c>
      <c r="R42" s="34" t="e">
        <f>[2]!'FINYF00.TF-PriceChange'</f>
        <v>#REF!</v>
      </c>
      <c r="S42" s="34" t="e">
        <f>[2]!'FINYF00.TF-PriceChangeRatio'</f>
        <v>#REF!</v>
      </c>
      <c r="T42" s="34" t="e">
        <f>[2]!'FINYF00.TF-Volume'</f>
        <v>#REF!</v>
      </c>
      <c r="U42" s="34" t="e">
        <f>[2]!'FINYF00.TF-TotalVolume'</f>
        <v>#REF!</v>
      </c>
    </row>
    <row r="43" spans="1:21">
      <c r="A43" s="34" t="e">
        <f>[2]!'FINZF*1.TF-Name'</f>
        <v>#REF!</v>
      </c>
      <c r="B43" s="34" t="e">
        <f>[2]!'FINZF*1.TF-ID'</f>
        <v>#REF!</v>
      </c>
      <c r="C43" s="2" t="e">
        <f>[2]!'FINZF*1.TF-Price'</f>
        <v>#REF!</v>
      </c>
      <c r="D43" s="34" t="e">
        <f>[2]!'FINZF*1.TF-PriceChangeRatio'</f>
        <v>#REF!</v>
      </c>
      <c r="E43" s="34" t="e">
        <f>[2]!'FINZF*1.TF-Volume'</f>
        <v>#REF!</v>
      </c>
      <c r="F43" s="34" t="e">
        <f>[2]!'FINZF*1.TF-TotalVolume'</f>
        <v>#REF!</v>
      </c>
      <c r="G43" s="34" t="e">
        <f>[2]!'FINZF*1.TF-Open'</f>
        <v>#REF!</v>
      </c>
      <c r="H43" s="34" t="e">
        <f>[2]!'FINZF*1.TF-High'</f>
        <v>#REF!</v>
      </c>
      <c r="I43" s="34" t="e">
        <f>[2]!'FINZF*1.TF-Low'</f>
        <v>#REF!</v>
      </c>
      <c r="J43" s="34" t="e">
        <f>[2]!'FINZF*1.TF-Amplitude'</f>
        <v>#REF!</v>
      </c>
      <c r="K43" s="2" t="e">
        <f>[2]!'FINZF*1.TF-PreClose'</f>
        <v>#REF!</v>
      </c>
      <c r="L43" s="34" t="e">
        <f>[2]!'FINZF*1.TF-Open'</f>
        <v>#REF!</v>
      </c>
      <c r="M43" s="34" t="e">
        <f>[2]!'FINZF*1.TF-High'</f>
        <v>#REF!</v>
      </c>
      <c r="N43" s="34" t="e">
        <f>[2]!'FINZF*1.TF-Low'</f>
        <v>#REF!</v>
      </c>
      <c r="O43" s="34" t="e">
        <f>[2]!'FINZF*1.TF-PreTotalVolume'</f>
        <v>#REF!</v>
      </c>
      <c r="P43" s="2" t="e">
        <f>[2]!'FINZF*1.TF-Bid'</f>
        <v>#REF!</v>
      </c>
      <c r="Q43" s="2" t="e">
        <f>[2]!'FINZF*1.TF-Ask'</f>
        <v>#REF!</v>
      </c>
      <c r="R43" s="34" t="e">
        <f>[2]!'FINZF*1.TF-PriceChange'</f>
        <v>#REF!</v>
      </c>
      <c r="S43" s="34" t="e">
        <f>[2]!'FINZF*1.TF-PriceChangeRatio'</f>
        <v>#REF!</v>
      </c>
      <c r="T43" s="34" t="e">
        <f>[2]!'FINZF*1.TF-Volume'</f>
        <v>#REF!</v>
      </c>
      <c r="U43" s="34" t="e">
        <f>[2]!'FINZF*1.TF-TotalVolume'</f>
        <v>#REF!</v>
      </c>
    </row>
    <row r="44" spans="1:21">
      <c r="A44" s="34" t="e">
        <f>[2]!'FINZF*2.TF-Name'</f>
        <v>#REF!</v>
      </c>
      <c r="B44" s="34" t="e">
        <f>[2]!'FINZF*2.TF-ID'</f>
        <v>#REF!</v>
      </c>
      <c r="C44" s="2" t="e">
        <f>[2]!'FINZF*2.TF-Price'</f>
        <v>#REF!</v>
      </c>
      <c r="D44" s="34" t="e">
        <f>[2]!'FINZF*2.TF-PriceChangeRatio'</f>
        <v>#REF!</v>
      </c>
      <c r="E44" s="34" t="e">
        <f>[2]!'FINZF*2.TF-Volume'</f>
        <v>#REF!</v>
      </c>
      <c r="F44" s="34" t="e">
        <f>[2]!'FINZF*2.TF-TotalVolume'</f>
        <v>#REF!</v>
      </c>
      <c r="G44" s="34" t="e">
        <f>[2]!'FINZF*2.TF-Open'</f>
        <v>#REF!</v>
      </c>
      <c r="H44" s="34" t="e">
        <f>[2]!'FINZF*2.TF-High'</f>
        <v>#REF!</v>
      </c>
      <c r="I44" s="34" t="e">
        <f>[2]!'FINZF*2.TF-Low'</f>
        <v>#REF!</v>
      </c>
      <c r="J44" s="34" t="e">
        <f>[2]!'FINZF*2.TF-Amplitude'</f>
        <v>#REF!</v>
      </c>
      <c r="K44" s="2" t="e">
        <f>[2]!'FINZF*2.TF-PreClose'</f>
        <v>#REF!</v>
      </c>
      <c r="L44" s="34" t="e">
        <f>[2]!'FINZF*2.TF-Open'</f>
        <v>#REF!</v>
      </c>
      <c r="M44" s="34" t="e">
        <f>[2]!'FINZF*2.TF-High'</f>
        <v>#REF!</v>
      </c>
      <c r="N44" s="34" t="e">
        <f>[2]!'FINZF*2.TF-Low'</f>
        <v>#REF!</v>
      </c>
      <c r="O44" s="34" t="e">
        <f>[2]!'FINZF*2.TF-PreTotalVolume'</f>
        <v>#REF!</v>
      </c>
      <c r="P44" s="2" t="e">
        <f>[2]!'FINZF*2.TF-Bid'</f>
        <v>#REF!</v>
      </c>
      <c r="Q44" s="2" t="e">
        <f>[2]!'FINZF*2.TF-Ask'</f>
        <v>#REF!</v>
      </c>
      <c r="R44" s="34" t="e">
        <f>[2]!'FINZF*2.TF-PriceChange'</f>
        <v>#REF!</v>
      </c>
      <c r="S44" s="34" t="e">
        <f>[2]!'FINZF*2.TF-PriceChangeRatio'</f>
        <v>#REF!</v>
      </c>
      <c r="T44" s="34" t="e">
        <f>[2]!'FINZF*2.TF-Volume'</f>
        <v>#REF!</v>
      </c>
      <c r="U44" s="34" t="e">
        <f>[2]!'FINZF*2.TF-TotalVolume'</f>
        <v>#REF!</v>
      </c>
    </row>
    <row r="45" spans="1:21">
      <c r="A45" s="34" t="e">
        <f>[2]!'FINZF00.TF-Name'</f>
        <v>#REF!</v>
      </c>
      <c r="B45" s="34" t="e">
        <f>[2]!'FINZF00.TF-ID'</f>
        <v>#REF!</v>
      </c>
      <c r="C45" s="2" t="e">
        <f>[2]!'FINZF00.TF-Price'</f>
        <v>#REF!</v>
      </c>
      <c r="D45" s="34" t="e">
        <f>[2]!'FINZF00.TF-PriceChangeRatio'</f>
        <v>#REF!</v>
      </c>
      <c r="E45" s="34" t="e">
        <f>[2]!'FINZF00.TF-Volume'</f>
        <v>#REF!</v>
      </c>
      <c r="F45" s="34" t="e">
        <f>[2]!'FINZF00.TF-TotalVolume'</f>
        <v>#REF!</v>
      </c>
      <c r="G45" s="34" t="e">
        <f>[2]!'FINZF00.TF-Open'</f>
        <v>#REF!</v>
      </c>
      <c r="H45" s="34" t="e">
        <f>[2]!'FINZF00.TF-High'</f>
        <v>#REF!</v>
      </c>
      <c r="I45" s="34" t="e">
        <f>[2]!'FINZF00.TF-Low'</f>
        <v>#REF!</v>
      </c>
      <c r="J45" s="34" t="e">
        <f>[2]!'FINZF00.TF-Amplitude'</f>
        <v>#REF!</v>
      </c>
      <c r="K45" s="2" t="e">
        <f>[2]!'FINZF00.TF-PreClose'</f>
        <v>#REF!</v>
      </c>
      <c r="L45" s="34" t="e">
        <f>[2]!'FINZF00.TF-Open'</f>
        <v>#REF!</v>
      </c>
      <c r="M45" s="34" t="e">
        <f>[2]!'FINZF00.TF-High'</f>
        <v>#REF!</v>
      </c>
      <c r="N45" s="34" t="e">
        <f>[2]!'FINZF00.TF-Low'</f>
        <v>#REF!</v>
      </c>
      <c r="O45" s="34" t="e">
        <f>[2]!'FINZF00.TF-PreTotalVolume'</f>
        <v>#REF!</v>
      </c>
      <c r="P45" s="2" t="e">
        <f>[2]!'FINZF00.TF-Bid'</f>
        <v>#REF!</v>
      </c>
      <c r="Q45" s="2" t="e">
        <f>[2]!'FINZF00.TF-Ask'</f>
        <v>#REF!</v>
      </c>
      <c r="R45" s="34" t="e">
        <f>[2]!'FINZF00.TF-PriceChange'</f>
        <v>#REF!</v>
      </c>
      <c r="S45" s="34" t="e">
        <f>[2]!'FINZF00.TF-PriceChangeRatio'</f>
        <v>#REF!</v>
      </c>
      <c r="T45" s="34" t="e">
        <f>[2]!'FINZF00.TF-Volume'</f>
        <v>#REF!</v>
      </c>
      <c r="U45" s="34" t="e">
        <f>[2]!'FINZF00.TF-TotalVolume'</f>
        <v>#REF!</v>
      </c>
    </row>
    <row r="46" spans="1:21">
      <c r="A46" s="34" t="e">
        <f>[2]!'FIOAF*1.TF-Name'</f>
        <v>#REF!</v>
      </c>
      <c r="B46" s="34" t="e">
        <f>[2]!'FIOAF*1.TF-ID'</f>
        <v>#REF!</v>
      </c>
      <c r="C46" s="2" t="e">
        <f>[2]!'FIOAF*1.TF-Price'</f>
        <v>#REF!</v>
      </c>
      <c r="D46" s="34" t="e">
        <f>[2]!'FIOAF*1.TF-PriceChangeRatio'</f>
        <v>#REF!</v>
      </c>
      <c r="E46" s="34" t="e">
        <f>[2]!'FIOAF*1.TF-Volume'</f>
        <v>#REF!</v>
      </c>
      <c r="F46" s="34" t="e">
        <f>[2]!'FIOAF*1.TF-TotalVolume'</f>
        <v>#REF!</v>
      </c>
      <c r="G46" s="34" t="e">
        <f>[2]!'FIOAF*1.TF-Open'</f>
        <v>#REF!</v>
      </c>
      <c r="H46" s="34" t="e">
        <f>[2]!'FIOAF*1.TF-High'</f>
        <v>#REF!</v>
      </c>
      <c r="I46" s="34" t="e">
        <f>[2]!'FIOAF*1.TF-Low'</f>
        <v>#REF!</v>
      </c>
      <c r="J46" s="34" t="e">
        <f>[2]!'FIOAF*1.TF-Amplitude'</f>
        <v>#REF!</v>
      </c>
      <c r="K46" s="2" t="e">
        <f>[2]!'FIOAF*1.TF-PreClose'</f>
        <v>#REF!</v>
      </c>
      <c r="L46" s="34" t="e">
        <f>[2]!'FIOAF*1.TF-Open'</f>
        <v>#REF!</v>
      </c>
      <c r="M46" s="34" t="e">
        <f>[2]!'FIOAF*1.TF-High'</f>
        <v>#REF!</v>
      </c>
      <c r="N46" s="34" t="e">
        <f>[2]!'FIOAF*1.TF-Low'</f>
        <v>#REF!</v>
      </c>
      <c r="O46" s="34" t="e">
        <f>[2]!'FIOAF*1.TF-PreTotalVolume'</f>
        <v>#REF!</v>
      </c>
      <c r="P46" s="2" t="e">
        <f>[2]!'FIOAF*1.TF-Bid'</f>
        <v>#REF!</v>
      </c>
      <c r="Q46" s="2" t="e">
        <f>[2]!'FIOAF*1.TF-Ask'</f>
        <v>#REF!</v>
      </c>
      <c r="R46" s="34" t="e">
        <f>[2]!'FIOAF*1.TF-PriceChange'</f>
        <v>#REF!</v>
      </c>
      <c r="S46" s="34" t="e">
        <f>[2]!'FIOAF*1.TF-PriceChangeRatio'</f>
        <v>#REF!</v>
      </c>
      <c r="T46" s="34" t="e">
        <f>[2]!'FIOAF*1.TF-Volume'</f>
        <v>#REF!</v>
      </c>
      <c r="U46" s="34" t="e">
        <f>[2]!'FIOAF*1.TF-TotalVolume'</f>
        <v>#REF!</v>
      </c>
    </row>
    <row r="47" spans="1:21">
      <c r="A47" s="34" t="e">
        <f>[2]!'FIOAF*2.TF-Name'</f>
        <v>#REF!</v>
      </c>
      <c r="B47" s="34" t="e">
        <f>[2]!'FIOAF*2.TF-ID'</f>
        <v>#REF!</v>
      </c>
      <c r="C47" s="2" t="e">
        <f>[2]!'FIOAF*2.TF-Price'</f>
        <v>#REF!</v>
      </c>
      <c r="D47" s="34" t="e">
        <f>[2]!'FIOAF*2.TF-PriceChangeRatio'</f>
        <v>#REF!</v>
      </c>
      <c r="E47" s="34" t="e">
        <f>[2]!'FIOAF*2.TF-Volume'</f>
        <v>#REF!</v>
      </c>
      <c r="F47" s="34" t="e">
        <f>[2]!'FIOAF*2.TF-TotalVolume'</f>
        <v>#REF!</v>
      </c>
      <c r="G47" s="34" t="e">
        <f>[2]!'FIOAF*2.TF-Open'</f>
        <v>#REF!</v>
      </c>
      <c r="H47" s="34" t="e">
        <f>[2]!'FIOAF*2.TF-High'</f>
        <v>#REF!</v>
      </c>
      <c r="I47" s="34" t="e">
        <f>[2]!'FIOAF*2.TF-Low'</f>
        <v>#REF!</v>
      </c>
      <c r="J47" s="34" t="e">
        <f>[2]!'FIOAF*2.TF-Amplitude'</f>
        <v>#REF!</v>
      </c>
      <c r="K47" s="2" t="e">
        <f>[2]!'FIOAF*2.TF-PreClose'</f>
        <v>#REF!</v>
      </c>
      <c r="L47" s="34" t="e">
        <f>[2]!'FIOAF*2.TF-Open'</f>
        <v>#REF!</v>
      </c>
      <c r="M47" s="34" t="e">
        <f>[2]!'FIOAF*2.TF-High'</f>
        <v>#REF!</v>
      </c>
      <c r="N47" s="34" t="e">
        <f>[2]!'FIOAF*2.TF-Low'</f>
        <v>#REF!</v>
      </c>
      <c r="O47" s="34" t="e">
        <f>[2]!'FIOAF*2.TF-PreTotalVolume'</f>
        <v>#REF!</v>
      </c>
      <c r="P47" s="2" t="e">
        <f>[2]!'FIOAF*2.TF-Bid'</f>
        <v>#REF!</v>
      </c>
      <c r="Q47" s="2" t="e">
        <f>[2]!'FIOAF*2.TF-Ask'</f>
        <v>#REF!</v>
      </c>
      <c r="R47" s="34" t="e">
        <f>[2]!'FIOAF*2.TF-PriceChange'</f>
        <v>#REF!</v>
      </c>
      <c r="S47" s="34" t="e">
        <f>[2]!'FIOAF*2.TF-PriceChangeRatio'</f>
        <v>#REF!</v>
      </c>
      <c r="T47" s="34" t="e">
        <f>[2]!'FIOAF*2.TF-Volume'</f>
        <v>#REF!</v>
      </c>
      <c r="U47" s="34" t="e">
        <f>[2]!'FIOAF*2.TF-TotalVolume'</f>
        <v>#REF!</v>
      </c>
    </row>
    <row r="48" spans="1:21">
      <c r="A48" s="34" t="e">
        <f>[2]!'FIOAF00.TF-Name'</f>
        <v>#REF!</v>
      </c>
      <c r="B48" s="34" t="e">
        <f>[2]!'FIOAF00.TF-ID'</f>
        <v>#REF!</v>
      </c>
      <c r="C48" s="2" t="e">
        <f>[2]!'FIOAF00.TF-Price'</f>
        <v>#REF!</v>
      </c>
      <c r="D48" s="34" t="e">
        <f>[2]!'FIOAF00.TF-PriceChangeRatio'</f>
        <v>#REF!</v>
      </c>
      <c r="E48" s="34" t="e">
        <f>[2]!'FIOAF00.TF-Volume'</f>
        <v>#REF!</v>
      </c>
      <c r="F48" s="34" t="e">
        <f>[2]!'FIOAF00.TF-TotalVolume'</f>
        <v>#REF!</v>
      </c>
      <c r="G48" s="34" t="e">
        <f>[2]!'FIOAF00.TF-Open'</f>
        <v>#REF!</v>
      </c>
      <c r="H48" s="34" t="e">
        <f>[2]!'FIOAF00.TF-High'</f>
        <v>#REF!</v>
      </c>
      <c r="I48" s="34" t="e">
        <f>[2]!'FIOAF00.TF-Low'</f>
        <v>#REF!</v>
      </c>
      <c r="J48" s="34" t="e">
        <f>[2]!'FIOAF00.TF-Amplitude'</f>
        <v>#REF!</v>
      </c>
      <c r="K48" s="2" t="e">
        <f>[2]!'FIOAF00.TF-PreClose'</f>
        <v>#REF!</v>
      </c>
      <c r="L48" s="34" t="e">
        <f>[2]!'FIOAF00.TF-Open'</f>
        <v>#REF!</v>
      </c>
      <c r="M48" s="34" t="e">
        <f>[2]!'FIOAF00.TF-High'</f>
        <v>#REF!</v>
      </c>
      <c r="N48" s="34" t="e">
        <f>[2]!'FIOAF00.TF-Low'</f>
        <v>#REF!</v>
      </c>
      <c r="O48" s="34" t="e">
        <f>[2]!'FIOAF00.TF-PreTotalVolume'</f>
        <v>#REF!</v>
      </c>
      <c r="P48" s="2" t="e">
        <f>[2]!'FIOAF00.TF-Bid'</f>
        <v>#REF!</v>
      </c>
      <c r="Q48" s="2" t="e">
        <f>[2]!'FIOAF00.TF-Ask'</f>
        <v>#REF!</v>
      </c>
      <c r="R48" s="34" t="e">
        <f>[2]!'FIOAF00.TF-PriceChange'</f>
        <v>#REF!</v>
      </c>
      <c r="S48" s="34" t="e">
        <f>[2]!'FIOAF00.TF-PriceChangeRatio'</f>
        <v>#REF!</v>
      </c>
      <c r="T48" s="34" t="e">
        <f>[2]!'FIOAF00.TF-Volume'</f>
        <v>#REF!</v>
      </c>
      <c r="U48" s="34" t="e">
        <f>[2]!'FIOAF00.TF-TotalVolume'</f>
        <v>#REF!</v>
      </c>
    </row>
    <row r="49" spans="1:21">
      <c r="A49" s="34" t="e">
        <f>[2]!'FIOBF*1.TF-Name'</f>
        <v>#REF!</v>
      </c>
      <c r="B49" s="34" t="e">
        <f>[2]!'FIOBF*1.TF-ID'</f>
        <v>#REF!</v>
      </c>
      <c r="C49" s="2" t="e">
        <f>[2]!'FIOBF*1.TF-Price'</f>
        <v>#REF!</v>
      </c>
      <c r="D49" s="34" t="e">
        <f>[2]!'FIOBF*1.TF-PriceChangeRatio'</f>
        <v>#REF!</v>
      </c>
      <c r="E49" s="34" t="e">
        <f>[2]!'FIOBF*1.TF-Volume'</f>
        <v>#REF!</v>
      </c>
      <c r="F49" s="34" t="e">
        <f>[2]!'FIOBF*1.TF-TotalVolume'</f>
        <v>#REF!</v>
      </c>
      <c r="G49" s="34" t="e">
        <f>[2]!'FIOBF*1.TF-Open'</f>
        <v>#REF!</v>
      </c>
      <c r="H49" s="34" t="e">
        <f>[2]!'FIOBF*1.TF-High'</f>
        <v>#REF!</v>
      </c>
      <c r="I49" s="34" t="e">
        <f>[2]!'FIOBF*1.TF-Low'</f>
        <v>#REF!</v>
      </c>
      <c r="J49" s="34" t="e">
        <f>[2]!'FIOBF*1.TF-Amplitude'</f>
        <v>#REF!</v>
      </c>
      <c r="K49" s="2" t="e">
        <f>[2]!'FIOBF*1.TF-PreClose'</f>
        <v>#REF!</v>
      </c>
      <c r="L49" s="34" t="e">
        <f>[2]!'FIOBF*1.TF-Open'</f>
        <v>#REF!</v>
      </c>
      <c r="M49" s="34" t="e">
        <f>[2]!'FIOBF*1.TF-High'</f>
        <v>#REF!</v>
      </c>
      <c r="N49" s="34" t="e">
        <f>[2]!'FIOBF*1.TF-Low'</f>
        <v>#REF!</v>
      </c>
      <c r="O49" s="34" t="e">
        <f>[2]!'FIOBF*1.TF-PreTotalVolume'</f>
        <v>#REF!</v>
      </c>
      <c r="P49" s="2" t="e">
        <f>[2]!'FIOBF*1.TF-Bid'</f>
        <v>#REF!</v>
      </c>
      <c r="Q49" s="2" t="e">
        <f>[2]!'FIOBF*1.TF-Ask'</f>
        <v>#REF!</v>
      </c>
      <c r="R49" s="34" t="e">
        <f>[2]!'FIOBF*1.TF-PriceChange'</f>
        <v>#REF!</v>
      </c>
      <c r="S49" s="34" t="e">
        <f>[2]!'FIOBF*1.TF-PriceChangeRatio'</f>
        <v>#REF!</v>
      </c>
      <c r="T49" s="34" t="e">
        <f>[2]!'FIOBF*1.TF-Volume'</f>
        <v>#REF!</v>
      </c>
      <c r="U49" s="34" t="e">
        <f>[2]!'FIOBF*1.TF-TotalVolume'</f>
        <v>#REF!</v>
      </c>
    </row>
    <row r="50" spans="1:21">
      <c r="A50" s="34" t="e">
        <f>[2]!'FIOBF*2.TF-Name'</f>
        <v>#REF!</v>
      </c>
      <c r="B50" s="34" t="e">
        <f>[2]!'FIOBF*2.TF-ID'</f>
        <v>#REF!</v>
      </c>
      <c r="C50" s="2" t="e">
        <f>[2]!'FIOBF*2.TF-Price'</f>
        <v>#REF!</v>
      </c>
      <c r="D50" s="34" t="e">
        <f>[2]!'FIOBF*2.TF-PriceChangeRatio'</f>
        <v>#REF!</v>
      </c>
      <c r="E50" s="34" t="e">
        <f>[2]!'FIOBF*2.TF-Volume'</f>
        <v>#REF!</v>
      </c>
      <c r="F50" s="34" t="e">
        <f>[2]!'FIOBF*2.TF-TotalVolume'</f>
        <v>#REF!</v>
      </c>
      <c r="G50" s="34" t="e">
        <f>[2]!'FIOBF*2.TF-Open'</f>
        <v>#REF!</v>
      </c>
      <c r="H50" s="34" t="e">
        <f>[2]!'FIOBF*2.TF-High'</f>
        <v>#REF!</v>
      </c>
      <c r="I50" s="34" t="e">
        <f>[2]!'FIOBF*2.TF-Low'</f>
        <v>#REF!</v>
      </c>
      <c r="J50" s="34" t="e">
        <f>[2]!'FIOBF*2.TF-Amplitude'</f>
        <v>#REF!</v>
      </c>
      <c r="K50" s="2" t="e">
        <f>[2]!'FIOBF*2.TF-PreClose'</f>
        <v>#REF!</v>
      </c>
      <c r="L50" s="34" t="e">
        <f>[2]!'FIOBF*2.TF-Open'</f>
        <v>#REF!</v>
      </c>
      <c r="M50" s="34" t="e">
        <f>[2]!'FIOBF*2.TF-High'</f>
        <v>#REF!</v>
      </c>
      <c r="N50" s="34" t="e">
        <f>[2]!'FIOBF*2.TF-Low'</f>
        <v>#REF!</v>
      </c>
      <c r="O50" s="34" t="e">
        <f>[2]!'FIOBF*2.TF-PreTotalVolume'</f>
        <v>#REF!</v>
      </c>
      <c r="P50" s="2" t="e">
        <f>[2]!'FIOBF*2.TF-Bid'</f>
        <v>#REF!</v>
      </c>
      <c r="Q50" s="2" t="e">
        <f>[2]!'FIOBF*2.TF-Ask'</f>
        <v>#REF!</v>
      </c>
      <c r="R50" s="34" t="e">
        <f>[2]!'FIOBF*2.TF-PriceChange'</f>
        <v>#REF!</v>
      </c>
      <c r="S50" s="34" t="e">
        <f>[2]!'FIOBF*2.TF-PriceChangeRatio'</f>
        <v>#REF!</v>
      </c>
      <c r="T50" s="34" t="e">
        <f>[2]!'FIOBF*2.TF-Volume'</f>
        <v>#REF!</v>
      </c>
      <c r="U50" s="34" t="e">
        <f>[2]!'FIOBF*2.TF-TotalVolume'</f>
        <v>#REF!</v>
      </c>
    </row>
    <row r="51" spans="1:21">
      <c r="A51" s="34" t="e">
        <f>[2]!'FIOBF00.TF-Name'</f>
        <v>#REF!</v>
      </c>
      <c r="B51" s="34" t="e">
        <f>[2]!'FIOBF00.TF-ID'</f>
        <v>#REF!</v>
      </c>
      <c r="C51" s="2" t="e">
        <f>[2]!'FIOBF00.TF-Price'</f>
        <v>#REF!</v>
      </c>
      <c r="D51" s="34" t="e">
        <f>[2]!'FIOBF00.TF-PriceChangeRatio'</f>
        <v>#REF!</v>
      </c>
      <c r="E51" s="34" t="e">
        <f>[2]!'FIOBF00.TF-Volume'</f>
        <v>#REF!</v>
      </c>
      <c r="F51" s="34" t="e">
        <f>[2]!'FIOBF00.TF-TotalVolume'</f>
        <v>#REF!</v>
      </c>
      <c r="G51" s="34" t="e">
        <f>[2]!'FIOBF00.TF-Open'</f>
        <v>#REF!</v>
      </c>
      <c r="H51" s="34" t="e">
        <f>[2]!'FIOBF00.TF-High'</f>
        <v>#REF!</v>
      </c>
      <c r="I51" s="34" t="e">
        <f>[2]!'FIOBF00.TF-Low'</f>
        <v>#REF!</v>
      </c>
      <c r="J51" s="34" t="e">
        <f>[2]!'FIOBF00.TF-Amplitude'</f>
        <v>#REF!</v>
      </c>
      <c r="K51" s="2" t="e">
        <f>[2]!'FIOBF00.TF-PreClose'</f>
        <v>#REF!</v>
      </c>
      <c r="L51" s="34" t="e">
        <f>[2]!'FIOBF00.TF-Open'</f>
        <v>#REF!</v>
      </c>
      <c r="M51" s="34" t="e">
        <f>[2]!'FIOBF00.TF-High'</f>
        <v>#REF!</v>
      </c>
      <c r="N51" s="34" t="e">
        <f>[2]!'FIOBF00.TF-Low'</f>
        <v>#REF!</v>
      </c>
      <c r="O51" s="34" t="e">
        <f>[2]!'FIOBF00.TF-PreTotalVolume'</f>
        <v>#REF!</v>
      </c>
      <c r="P51" s="2" t="e">
        <f>[2]!'FIOBF00.TF-Bid'</f>
        <v>#REF!</v>
      </c>
      <c r="Q51" s="2" t="e">
        <f>[2]!'FIOBF00.TF-Ask'</f>
        <v>#REF!</v>
      </c>
      <c r="R51" s="34" t="e">
        <f>[2]!'FIOBF00.TF-PriceChange'</f>
        <v>#REF!</v>
      </c>
      <c r="S51" s="34" t="e">
        <f>[2]!'FIOBF00.TF-PriceChangeRatio'</f>
        <v>#REF!</v>
      </c>
      <c r="T51" s="34" t="e">
        <f>[2]!'FIOBF00.TF-Volume'</f>
        <v>#REF!</v>
      </c>
      <c r="U51" s="34" t="e">
        <f>[2]!'FIOBF00.TF-TotalVolume'</f>
        <v>#REF!</v>
      </c>
    </row>
    <row r="52" spans="1:21">
      <c r="A52" s="34" t="e">
        <f>[2]!'FIOCF*1.TF-Name'</f>
        <v>#REF!</v>
      </c>
      <c r="B52" s="34" t="e">
        <f>[2]!'FIOCF*1.TF-ID'</f>
        <v>#REF!</v>
      </c>
      <c r="C52" s="2" t="e">
        <f>[2]!'FIOCF*1.TF-Price'</f>
        <v>#REF!</v>
      </c>
      <c r="D52" s="34" t="e">
        <f>[2]!'FIOCF*1.TF-PriceChangeRatio'</f>
        <v>#REF!</v>
      </c>
      <c r="E52" s="34" t="e">
        <f>[2]!'FIOCF*1.TF-Volume'</f>
        <v>#REF!</v>
      </c>
      <c r="F52" s="34" t="e">
        <f>[2]!'FIOCF*1.TF-TotalVolume'</f>
        <v>#REF!</v>
      </c>
      <c r="G52" s="34" t="e">
        <f>[2]!'FIOCF*1.TF-Open'</f>
        <v>#REF!</v>
      </c>
      <c r="H52" s="34" t="e">
        <f>[2]!'FIOCF*1.TF-High'</f>
        <v>#REF!</v>
      </c>
      <c r="I52" s="34" t="e">
        <f>[2]!'FIOCF*1.TF-Low'</f>
        <v>#REF!</v>
      </c>
      <c r="J52" s="34" t="e">
        <f>[2]!'FIOCF*1.TF-Amplitude'</f>
        <v>#REF!</v>
      </c>
      <c r="K52" s="2" t="e">
        <f>[2]!'FIOCF*1.TF-PreClose'</f>
        <v>#REF!</v>
      </c>
      <c r="L52" s="34" t="e">
        <f>[2]!'FIOCF*1.TF-Open'</f>
        <v>#REF!</v>
      </c>
      <c r="M52" s="34" t="e">
        <f>[2]!'FIOCF*1.TF-High'</f>
        <v>#REF!</v>
      </c>
      <c r="N52" s="34" t="e">
        <f>[2]!'FIOCF*1.TF-Low'</f>
        <v>#REF!</v>
      </c>
      <c r="O52" s="34" t="e">
        <f>[2]!'FIOCF*1.TF-PreTotalVolume'</f>
        <v>#REF!</v>
      </c>
      <c r="P52" s="2" t="e">
        <f>[2]!'FIOCF*1.TF-Bid'</f>
        <v>#REF!</v>
      </c>
      <c r="Q52" s="2" t="e">
        <f>[2]!'FIOCF*1.TF-Ask'</f>
        <v>#REF!</v>
      </c>
      <c r="R52" s="34" t="e">
        <f>[2]!'FIOCF*1.TF-PriceChange'</f>
        <v>#REF!</v>
      </c>
      <c r="S52" s="34" t="e">
        <f>[2]!'FIOCF*1.TF-PriceChangeRatio'</f>
        <v>#REF!</v>
      </c>
      <c r="T52" s="34" t="e">
        <f>[2]!'FIOCF*1.TF-Volume'</f>
        <v>#REF!</v>
      </c>
      <c r="U52" s="34" t="e">
        <f>[2]!'FIOCF*1.TF-TotalVolume'</f>
        <v>#REF!</v>
      </c>
    </row>
    <row r="53" spans="1:21">
      <c r="A53" s="34" t="e">
        <f>[2]!'FIOCF*2.TF-Name'</f>
        <v>#REF!</v>
      </c>
      <c r="B53" s="34" t="e">
        <f>[2]!'FIOCF*2.TF-ID'</f>
        <v>#REF!</v>
      </c>
      <c r="C53" s="2" t="e">
        <f>[2]!'FIOCF*2.TF-Price'</f>
        <v>#REF!</v>
      </c>
      <c r="D53" s="34" t="e">
        <f>[2]!'FIOCF*2.TF-PriceChangeRatio'</f>
        <v>#REF!</v>
      </c>
      <c r="E53" s="34" t="e">
        <f>[2]!'FIOCF*2.TF-Volume'</f>
        <v>#REF!</v>
      </c>
      <c r="F53" s="34" t="e">
        <f>[2]!'FIOCF*2.TF-TotalVolume'</f>
        <v>#REF!</v>
      </c>
      <c r="G53" s="34" t="e">
        <f>[2]!'FIOCF*2.TF-Open'</f>
        <v>#REF!</v>
      </c>
      <c r="H53" s="34" t="e">
        <f>[2]!'FIOCF*2.TF-High'</f>
        <v>#REF!</v>
      </c>
      <c r="I53" s="34" t="e">
        <f>[2]!'FIOCF*2.TF-Low'</f>
        <v>#REF!</v>
      </c>
      <c r="J53" s="34" t="e">
        <f>[2]!'FIOCF*2.TF-Amplitude'</f>
        <v>#REF!</v>
      </c>
      <c r="K53" s="2" t="e">
        <f>[2]!'FIOCF*2.TF-PreClose'</f>
        <v>#REF!</v>
      </c>
      <c r="L53" s="34" t="e">
        <f>[2]!'FIOCF*2.TF-Open'</f>
        <v>#REF!</v>
      </c>
      <c r="M53" s="34" t="e">
        <f>[2]!'FIOCF*2.TF-High'</f>
        <v>#REF!</v>
      </c>
      <c r="N53" s="34" t="e">
        <f>[2]!'FIOCF*2.TF-Low'</f>
        <v>#REF!</v>
      </c>
      <c r="O53" s="34" t="e">
        <f>[2]!'FIOCF*2.TF-PreTotalVolume'</f>
        <v>#REF!</v>
      </c>
      <c r="P53" s="2" t="e">
        <f>[2]!'FIOCF*2.TF-Bid'</f>
        <v>#REF!</v>
      </c>
      <c r="Q53" s="2" t="e">
        <f>[2]!'FIOCF*2.TF-Ask'</f>
        <v>#REF!</v>
      </c>
      <c r="R53" s="34" t="e">
        <f>[2]!'FIOCF*2.TF-PriceChange'</f>
        <v>#REF!</v>
      </c>
      <c r="S53" s="34" t="e">
        <f>[2]!'FIOCF*2.TF-PriceChangeRatio'</f>
        <v>#REF!</v>
      </c>
      <c r="T53" s="34" t="e">
        <f>[2]!'FIOCF*2.TF-Volume'</f>
        <v>#REF!</v>
      </c>
      <c r="U53" s="34" t="e">
        <f>[2]!'FIOCF*2.TF-TotalVolume'</f>
        <v>#REF!</v>
      </c>
    </row>
    <row r="54" spans="1:21">
      <c r="A54" s="34" t="e">
        <f>[2]!'FIOCF00.TF-Name'</f>
        <v>#REF!</v>
      </c>
      <c r="B54" s="34" t="e">
        <f>[2]!'FIOCF00.TF-ID'</f>
        <v>#REF!</v>
      </c>
      <c r="C54" s="2" t="e">
        <f>[2]!'FIOCF00.TF-Price'</f>
        <v>#REF!</v>
      </c>
      <c r="D54" s="34" t="e">
        <f>[2]!'FIOCF00.TF-PriceChangeRatio'</f>
        <v>#REF!</v>
      </c>
      <c r="E54" s="34" t="e">
        <f>[2]!'FIOCF00.TF-Volume'</f>
        <v>#REF!</v>
      </c>
      <c r="F54" s="34" t="e">
        <f>[2]!'FIOCF00.TF-TotalVolume'</f>
        <v>#REF!</v>
      </c>
      <c r="G54" s="34" t="e">
        <f>[2]!'FIOCF00.TF-Open'</f>
        <v>#REF!</v>
      </c>
      <c r="H54" s="34" t="e">
        <f>[2]!'FIOCF00.TF-High'</f>
        <v>#REF!</v>
      </c>
      <c r="I54" s="34" t="e">
        <f>[2]!'FIOCF00.TF-Low'</f>
        <v>#REF!</v>
      </c>
      <c r="J54" s="34" t="e">
        <f>[2]!'FIOCF00.TF-Amplitude'</f>
        <v>#REF!</v>
      </c>
      <c r="K54" s="2" t="e">
        <f>[2]!'FIOCF00.TF-PreClose'</f>
        <v>#REF!</v>
      </c>
      <c r="L54" s="34" t="e">
        <f>[2]!'FIOCF00.TF-Open'</f>
        <v>#REF!</v>
      </c>
      <c r="M54" s="34" t="e">
        <f>[2]!'FIOCF00.TF-High'</f>
        <v>#REF!</v>
      </c>
      <c r="N54" s="34" t="e">
        <f>[2]!'FIOCF00.TF-Low'</f>
        <v>#REF!</v>
      </c>
      <c r="O54" s="34" t="e">
        <f>[2]!'FIOCF00.TF-PreTotalVolume'</f>
        <v>#REF!</v>
      </c>
      <c r="P54" s="2" t="e">
        <f>[2]!'FIOCF00.TF-Bid'</f>
        <v>#REF!</v>
      </c>
      <c r="Q54" s="2" t="e">
        <f>[2]!'FIOCF00.TF-Ask'</f>
        <v>#REF!</v>
      </c>
      <c r="R54" s="34" t="e">
        <f>[2]!'FIOCF00.TF-PriceChange'</f>
        <v>#REF!</v>
      </c>
      <c r="S54" s="34" t="e">
        <f>[2]!'FIOCF00.TF-PriceChangeRatio'</f>
        <v>#REF!</v>
      </c>
      <c r="T54" s="34" t="e">
        <f>[2]!'FIOCF00.TF-Volume'</f>
        <v>#REF!</v>
      </c>
      <c r="U54" s="34" t="e">
        <f>[2]!'FIOCF00.TF-TotalVolume'</f>
        <v>#REF!</v>
      </c>
    </row>
    <row r="55" spans="1:21">
      <c r="A55" s="34" t="e">
        <f>[2]!'FIOJF*1.TF-Name'</f>
        <v>#REF!</v>
      </c>
      <c r="B55" s="34" t="e">
        <f>[2]!'FIOJF*1.TF-ID'</f>
        <v>#REF!</v>
      </c>
      <c r="C55" s="2" t="e">
        <f>[2]!'FIOJF*1.TF-Price'</f>
        <v>#REF!</v>
      </c>
      <c r="D55" s="34" t="e">
        <f>[2]!'FIOJF*1.TF-PriceChangeRatio'</f>
        <v>#REF!</v>
      </c>
      <c r="E55" s="34" t="e">
        <f>[2]!'FIOJF*1.TF-Volume'</f>
        <v>#REF!</v>
      </c>
      <c r="F55" s="34" t="e">
        <f>[2]!'FIOJF*1.TF-TotalVolume'</f>
        <v>#REF!</v>
      </c>
      <c r="G55" s="34" t="e">
        <f>[2]!'FIOJF*1.TF-Open'</f>
        <v>#REF!</v>
      </c>
      <c r="H55" s="34" t="e">
        <f>[2]!'FIOJF*1.TF-High'</f>
        <v>#REF!</v>
      </c>
      <c r="I55" s="34" t="e">
        <f>[2]!'FIOJF*1.TF-Low'</f>
        <v>#REF!</v>
      </c>
      <c r="J55" s="34" t="e">
        <f>[2]!'FIOJF*1.TF-Amplitude'</f>
        <v>#REF!</v>
      </c>
      <c r="K55" s="2" t="e">
        <f>[2]!'FIOJF*1.TF-PreClose'</f>
        <v>#REF!</v>
      </c>
      <c r="L55" s="34" t="e">
        <f>[2]!'FIOJF*1.TF-Open'</f>
        <v>#REF!</v>
      </c>
      <c r="M55" s="34" t="e">
        <f>[2]!'FIOJF*1.TF-High'</f>
        <v>#REF!</v>
      </c>
      <c r="N55" s="34" t="e">
        <f>[2]!'FIOJF*1.TF-Low'</f>
        <v>#REF!</v>
      </c>
      <c r="O55" s="34" t="e">
        <f>[2]!'FIOJF*1.TF-PreTotalVolume'</f>
        <v>#REF!</v>
      </c>
      <c r="P55" s="2" t="e">
        <f>[2]!'FIOJF*1.TF-Bid'</f>
        <v>#REF!</v>
      </c>
      <c r="Q55" s="2" t="e">
        <f>[2]!'FIOJF*1.TF-Ask'</f>
        <v>#REF!</v>
      </c>
      <c r="R55" s="34" t="e">
        <f>[2]!'FIOJF*1.TF-PriceChange'</f>
        <v>#REF!</v>
      </c>
      <c r="S55" s="34" t="e">
        <f>[2]!'FIOJF*1.TF-PriceChangeRatio'</f>
        <v>#REF!</v>
      </c>
      <c r="T55" s="34" t="e">
        <f>[2]!'FIOJF*1.TF-Volume'</f>
        <v>#REF!</v>
      </c>
      <c r="U55" s="34" t="e">
        <f>[2]!'FIOJF*1.TF-TotalVolume'</f>
        <v>#REF!</v>
      </c>
    </row>
    <row r="56" spans="1:21">
      <c r="A56" s="34" t="e">
        <f>[2]!'FIOJF*2.TF-Name'</f>
        <v>#REF!</v>
      </c>
      <c r="B56" s="34" t="e">
        <f>[2]!'FIOJF*2.TF-ID'</f>
        <v>#REF!</v>
      </c>
      <c r="C56" s="2" t="e">
        <f>[2]!'FIOJF*2.TF-Price'</f>
        <v>#REF!</v>
      </c>
      <c r="D56" s="34" t="e">
        <f>[2]!'FIOJF*2.TF-PriceChangeRatio'</f>
        <v>#REF!</v>
      </c>
      <c r="E56" s="34" t="e">
        <f>[2]!'FIOJF*2.TF-Volume'</f>
        <v>#REF!</v>
      </c>
      <c r="F56" s="34" t="e">
        <f>[2]!'FIOJF*2.TF-TotalVolume'</f>
        <v>#REF!</v>
      </c>
      <c r="G56" s="34" t="e">
        <f>[2]!'FIOJF*2.TF-Open'</f>
        <v>#REF!</v>
      </c>
      <c r="H56" s="34" t="e">
        <f>[2]!'FIOJF*2.TF-High'</f>
        <v>#REF!</v>
      </c>
      <c r="I56" s="34" t="e">
        <f>[2]!'FIOJF*2.TF-Low'</f>
        <v>#REF!</v>
      </c>
      <c r="J56" s="34" t="e">
        <f>[2]!'FIOJF*2.TF-Amplitude'</f>
        <v>#REF!</v>
      </c>
      <c r="K56" s="2" t="e">
        <f>[2]!'FIOJF*2.TF-PreClose'</f>
        <v>#REF!</v>
      </c>
      <c r="L56" s="34" t="e">
        <f>[2]!'FIOJF*2.TF-Open'</f>
        <v>#REF!</v>
      </c>
      <c r="M56" s="34" t="e">
        <f>[2]!'FIOJF*2.TF-High'</f>
        <v>#REF!</v>
      </c>
      <c r="N56" s="34" t="e">
        <f>[2]!'FIOJF*2.TF-Low'</f>
        <v>#REF!</v>
      </c>
      <c r="O56" s="34" t="e">
        <f>[2]!'FIOJF*2.TF-PreTotalVolume'</f>
        <v>#REF!</v>
      </c>
      <c r="P56" s="2" t="e">
        <f>[2]!'FIOJF*2.TF-Bid'</f>
        <v>#REF!</v>
      </c>
      <c r="Q56" s="2" t="e">
        <f>[2]!'FIOJF*2.TF-Ask'</f>
        <v>#REF!</v>
      </c>
      <c r="R56" s="34" t="e">
        <f>[2]!'FIOJF*2.TF-PriceChange'</f>
        <v>#REF!</v>
      </c>
      <c r="S56" s="34" t="e">
        <f>[2]!'FIOJF*2.TF-PriceChangeRatio'</f>
        <v>#REF!</v>
      </c>
      <c r="T56" s="34" t="e">
        <f>[2]!'FIOJF*2.TF-Volume'</f>
        <v>#REF!</v>
      </c>
      <c r="U56" s="34" t="e">
        <f>[2]!'FIOJF*2.TF-TotalVolume'</f>
        <v>#REF!</v>
      </c>
    </row>
    <row r="57" spans="1:21">
      <c r="A57" s="34" t="e">
        <f>[2]!'FIOJF00.TF-Name'</f>
        <v>#REF!</v>
      </c>
      <c r="B57" s="34" t="e">
        <f>[2]!'FIOJF00.TF-ID'</f>
        <v>#REF!</v>
      </c>
      <c r="C57" s="2" t="e">
        <f>[2]!'FIOJF00.TF-Price'</f>
        <v>#REF!</v>
      </c>
      <c r="D57" s="34" t="e">
        <f>[2]!'FIOJF00.TF-PriceChangeRatio'</f>
        <v>#REF!</v>
      </c>
      <c r="E57" s="34" t="e">
        <f>[2]!'FIOJF00.TF-Volume'</f>
        <v>#REF!</v>
      </c>
      <c r="F57" s="34" t="e">
        <f>[2]!'FIOJF00.TF-TotalVolume'</f>
        <v>#REF!</v>
      </c>
      <c r="G57" s="34" t="e">
        <f>[2]!'FIOJF00.TF-Open'</f>
        <v>#REF!</v>
      </c>
      <c r="H57" s="34" t="e">
        <f>[2]!'FIOJF00.TF-High'</f>
        <v>#REF!</v>
      </c>
      <c r="I57" s="34" t="e">
        <f>[2]!'FIOJF00.TF-Low'</f>
        <v>#REF!</v>
      </c>
      <c r="J57" s="34" t="e">
        <f>[2]!'FIOJF00.TF-Amplitude'</f>
        <v>#REF!</v>
      </c>
      <c r="K57" s="2" t="e">
        <f>[2]!'FIOJF00.TF-PreClose'</f>
        <v>#REF!</v>
      </c>
      <c r="L57" s="34" t="e">
        <f>[2]!'FIOJF00.TF-Open'</f>
        <v>#REF!</v>
      </c>
      <c r="M57" s="34" t="e">
        <f>[2]!'FIOJF00.TF-High'</f>
        <v>#REF!</v>
      </c>
      <c r="N57" s="34" t="e">
        <f>[2]!'FIOJF00.TF-Low'</f>
        <v>#REF!</v>
      </c>
      <c r="O57" s="34" t="e">
        <f>[2]!'FIOJF00.TF-PreTotalVolume'</f>
        <v>#REF!</v>
      </c>
      <c r="P57" s="2" t="e">
        <f>[2]!'FIOJF00.TF-Bid'</f>
        <v>#REF!</v>
      </c>
      <c r="Q57" s="2" t="e">
        <f>[2]!'FIOJF00.TF-Ask'</f>
        <v>#REF!</v>
      </c>
      <c r="R57" s="34" t="e">
        <f>[2]!'FIOJF00.TF-PriceChange'</f>
        <v>#REF!</v>
      </c>
      <c r="S57" s="34" t="e">
        <f>[2]!'FIOJF00.TF-PriceChangeRatio'</f>
        <v>#REF!</v>
      </c>
      <c r="T57" s="34" t="e">
        <f>[2]!'FIOJF00.TF-Volume'</f>
        <v>#REF!</v>
      </c>
      <c r="U57" s="34" t="e">
        <f>[2]!'FIOJF00.TF-TotalVolume'</f>
        <v>#REF!</v>
      </c>
    </row>
    <row r="58" spans="1:21">
      <c r="A58" s="34" t="e">
        <f>[2]!'FIOKF*1.TF-Name'</f>
        <v>#REF!</v>
      </c>
      <c r="B58" s="34" t="e">
        <f>[2]!'FIOKF*1.TF-ID'</f>
        <v>#REF!</v>
      </c>
      <c r="C58" s="2" t="e">
        <f>[2]!'FIOKF*1.TF-Price'</f>
        <v>#REF!</v>
      </c>
      <c r="D58" s="34" t="e">
        <f>[2]!'FIOKF*1.TF-PriceChangeRatio'</f>
        <v>#REF!</v>
      </c>
      <c r="E58" s="34" t="e">
        <f>[2]!'FIOKF*1.TF-Volume'</f>
        <v>#REF!</v>
      </c>
      <c r="F58" s="34" t="e">
        <f>[2]!'FIOKF*1.TF-TotalVolume'</f>
        <v>#REF!</v>
      </c>
      <c r="G58" s="34" t="e">
        <f>[2]!'FIOKF*1.TF-Open'</f>
        <v>#REF!</v>
      </c>
      <c r="H58" s="34" t="e">
        <f>[2]!'FIOKF*1.TF-High'</f>
        <v>#REF!</v>
      </c>
      <c r="I58" s="34" t="e">
        <f>[2]!'FIOKF*1.TF-Low'</f>
        <v>#REF!</v>
      </c>
      <c r="J58" s="34" t="e">
        <f>[2]!'FIOKF*1.TF-Amplitude'</f>
        <v>#REF!</v>
      </c>
      <c r="K58" s="2" t="e">
        <f>[2]!'FIOKF*1.TF-PreClose'</f>
        <v>#REF!</v>
      </c>
      <c r="L58" s="34" t="e">
        <f>[2]!'FIOKF*1.TF-Open'</f>
        <v>#REF!</v>
      </c>
      <c r="M58" s="34" t="e">
        <f>[2]!'FIOKF*1.TF-High'</f>
        <v>#REF!</v>
      </c>
      <c r="N58" s="34" t="e">
        <f>[2]!'FIOKF*1.TF-Low'</f>
        <v>#REF!</v>
      </c>
      <c r="O58" s="34" t="e">
        <f>[2]!'FIOKF*1.TF-PreTotalVolume'</f>
        <v>#REF!</v>
      </c>
      <c r="P58" s="2" t="e">
        <f>[2]!'FIOKF*1.TF-Bid'</f>
        <v>#REF!</v>
      </c>
      <c r="Q58" s="2" t="e">
        <f>[2]!'FIOKF*1.TF-Ask'</f>
        <v>#REF!</v>
      </c>
      <c r="R58" s="34" t="e">
        <f>[2]!'FIOKF*1.TF-PriceChange'</f>
        <v>#REF!</v>
      </c>
      <c r="S58" s="34" t="e">
        <f>[2]!'FIOKF*1.TF-PriceChangeRatio'</f>
        <v>#REF!</v>
      </c>
      <c r="T58" s="34" t="e">
        <f>[2]!'FIOKF*1.TF-Volume'</f>
        <v>#REF!</v>
      </c>
      <c r="U58" s="34" t="e">
        <f>[2]!'FIOKF*1.TF-TotalVolume'</f>
        <v>#REF!</v>
      </c>
    </row>
    <row r="59" spans="1:21">
      <c r="A59" s="34" t="e">
        <f>[2]!'FIOKF*2.TF-Name'</f>
        <v>#REF!</v>
      </c>
      <c r="B59" s="34" t="e">
        <f>[2]!'FIOKF*2.TF-ID'</f>
        <v>#REF!</v>
      </c>
      <c r="C59" s="2" t="e">
        <f>[2]!'FIOKF*2.TF-Price'</f>
        <v>#REF!</v>
      </c>
      <c r="D59" s="34" t="e">
        <f>[2]!'FIOKF*2.TF-PriceChangeRatio'</f>
        <v>#REF!</v>
      </c>
      <c r="E59" s="34" t="e">
        <f>[2]!'FIOKF*2.TF-Volume'</f>
        <v>#REF!</v>
      </c>
      <c r="F59" s="34" t="e">
        <f>[2]!'FIOKF*2.TF-TotalVolume'</f>
        <v>#REF!</v>
      </c>
      <c r="G59" s="34" t="e">
        <f>[2]!'FIOKF*2.TF-Open'</f>
        <v>#REF!</v>
      </c>
      <c r="H59" s="34" t="e">
        <f>[2]!'FIOKF*2.TF-High'</f>
        <v>#REF!</v>
      </c>
      <c r="I59" s="34" t="e">
        <f>[2]!'FIOKF*2.TF-Low'</f>
        <v>#REF!</v>
      </c>
      <c r="J59" s="34" t="e">
        <f>[2]!'FIOKF*2.TF-Amplitude'</f>
        <v>#REF!</v>
      </c>
      <c r="K59" s="2" t="e">
        <f>[2]!'FIOKF*2.TF-PreClose'</f>
        <v>#REF!</v>
      </c>
      <c r="L59" s="34" t="e">
        <f>[2]!'FIOKF*2.TF-Open'</f>
        <v>#REF!</v>
      </c>
      <c r="M59" s="34" t="e">
        <f>[2]!'FIOKF*2.TF-High'</f>
        <v>#REF!</v>
      </c>
      <c r="N59" s="34" t="e">
        <f>[2]!'FIOKF*2.TF-Low'</f>
        <v>#REF!</v>
      </c>
      <c r="O59" s="34" t="e">
        <f>[2]!'FIOKF*2.TF-PreTotalVolume'</f>
        <v>#REF!</v>
      </c>
      <c r="P59" s="2" t="e">
        <f>[2]!'FIOKF*2.TF-Bid'</f>
        <v>#REF!</v>
      </c>
      <c r="Q59" s="2" t="e">
        <f>[2]!'FIOKF*2.TF-Ask'</f>
        <v>#REF!</v>
      </c>
      <c r="R59" s="34" t="e">
        <f>[2]!'FIOKF*2.TF-PriceChange'</f>
        <v>#REF!</v>
      </c>
      <c r="S59" s="34" t="e">
        <f>[2]!'FIOKF*2.TF-PriceChangeRatio'</f>
        <v>#REF!</v>
      </c>
      <c r="T59" s="34" t="e">
        <f>[2]!'FIOKF*2.TF-Volume'</f>
        <v>#REF!</v>
      </c>
      <c r="U59" s="34" t="e">
        <f>[2]!'FIOKF*2.TF-TotalVolume'</f>
        <v>#REF!</v>
      </c>
    </row>
    <row r="60" spans="1:21">
      <c r="A60" s="34" t="e">
        <f>[2]!'FIOKF00.TF-Name'</f>
        <v>#REF!</v>
      </c>
      <c r="B60" s="34" t="e">
        <f>[2]!'FIOKF00.TF-ID'</f>
        <v>#REF!</v>
      </c>
      <c r="C60" s="2" t="e">
        <f>[2]!'FIOKF00.TF-Price'</f>
        <v>#REF!</v>
      </c>
      <c r="D60" s="34" t="e">
        <f>[2]!'FIOKF00.TF-PriceChangeRatio'</f>
        <v>#REF!</v>
      </c>
      <c r="E60" s="34" t="e">
        <f>[2]!'FIOKF00.TF-Volume'</f>
        <v>#REF!</v>
      </c>
      <c r="F60" s="34" t="e">
        <f>[2]!'FIOKF00.TF-TotalVolume'</f>
        <v>#REF!</v>
      </c>
      <c r="G60" s="34" t="e">
        <f>[2]!'FIOKF00.TF-Open'</f>
        <v>#REF!</v>
      </c>
      <c r="H60" s="34" t="e">
        <f>[2]!'FIOKF00.TF-High'</f>
        <v>#REF!</v>
      </c>
      <c r="I60" s="34" t="e">
        <f>[2]!'FIOKF00.TF-Low'</f>
        <v>#REF!</v>
      </c>
      <c r="J60" s="34" t="e">
        <f>[2]!'FIOKF00.TF-Amplitude'</f>
        <v>#REF!</v>
      </c>
      <c r="K60" s="2" t="e">
        <f>[2]!'FIOKF00.TF-PreClose'</f>
        <v>#REF!</v>
      </c>
      <c r="L60" s="34" t="e">
        <f>[2]!'FIOKF00.TF-Open'</f>
        <v>#REF!</v>
      </c>
      <c r="M60" s="34" t="e">
        <f>[2]!'FIOKF00.TF-High'</f>
        <v>#REF!</v>
      </c>
      <c r="N60" s="34" t="e">
        <f>[2]!'FIOKF00.TF-Low'</f>
        <v>#REF!</v>
      </c>
      <c r="O60" s="34" t="e">
        <f>[2]!'FIOKF00.TF-PreTotalVolume'</f>
        <v>#REF!</v>
      </c>
      <c r="P60" s="2" t="e">
        <f>[2]!'FIOKF00.TF-Bid'</f>
        <v>#REF!</v>
      </c>
      <c r="Q60" s="2" t="e">
        <f>[2]!'FIOKF00.TF-Ask'</f>
        <v>#REF!</v>
      </c>
      <c r="R60" s="34" t="e">
        <f>[2]!'FIOKF00.TF-PriceChange'</f>
        <v>#REF!</v>
      </c>
      <c r="S60" s="34" t="e">
        <f>[2]!'FIOKF00.TF-PriceChangeRatio'</f>
        <v>#REF!</v>
      </c>
      <c r="T60" s="34" t="e">
        <f>[2]!'FIOKF00.TF-Volume'</f>
        <v>#REF!</v>
      </c>
      <c r="U60" s="34" t="e">
        <f>[2]!'FIOKF00.TF-TotalVolume'</f>
        <v>#REF!</v>
      </c>
    </row>
    <row r="61" spans="1:21">
      <c r="A61" s="34" t="e">
        <f>[2]!'FIOOF*1.TF-Name'</f>
        <v>#REF!</v>
      </c>
      <c r="B61" s="34" t="e">
        <f>[2]!'FIOOF*1.TF-ID'</f>
        <v>#REF!</v>
      </c>
      <c r="C61" s="2" t="e">
        <f>[2]!'FIOOF*1.TF-Price'</f>
        <v>#REF!</v>
      </c>
      <c r="D61" s="34" t="e">
        <f>[2]!'FIOOF*1.TF-PriceChangeRatio'</f>
        <v>#REF!</v>
      </c>
      <c r="E61" s="34" t="e">
        <f>[2]!'FIOOF*1.TF-Volume'</f>
        <v>#REF!</v>
      </c>
      <c r="F61" s="34" t="e">
        <f>[2]!'FIOOF*1.TF-TotalVolume'</f>
        <v>#REF!</v>
      </c>
      <c r="G61" s="34" t="e">
        <f>[2]!'FIOOF*1.TF-Open'</f>
        <v>#REF!</v>
      </c>
      <c r="H61" s="34" t="e">
        <f>[2]!'FIOOF*1.TF-High'</f>
        <v>#REF!</v>
      </c>
      <c r="I61" s="34" t="e">
        <f>[2]!'FIOOF*1.TF-Low'</f>
        <v>#REF!</v>
      </c>
      <c r="J61" s="34" t="e">
        <f>[2]!'FIOOF*1.TF-Amplitude'</f>
        <v>#REF!</v>
      </c>
      <c r="K61" s="2" t="e">
        <f>[2]!'FIOOF*1.TF-PreClose'</f>
        <v>#REF!</v>
      </c>
      <c r="L61" s="34" t="e">
        <f>[2]!'FIOOF*1.TF-Open'</f>
        <v>#REF!</v>
      </c>
      <c r="M61" s="34" t="e">
        <f>[2]!'FIOOF*1.TF-High'</f>
        <v>#REF!</v>
      </c>
      <c r="N61" s="34" t="e">
        <f>[2]!'FIOOF*1.TF-Low'</f>
        <v>#REF!</v>
      </c>
      <c r="O61" s="34" t="e">
        <f>[2]!'FIOOF*1.TF-PreTotalVolume'</f>
        <v>#REF!</v>
      </c>
      <c r="P61" s="2" t="e">
        <f>[2]!'FIOOF*1.TF-Bid'</f>
        <v>#REF!</v>
      </c>
      <c r="Q61" s="2" t="e">
        <f>[2]!'FIOOF*1.TF-Ask'</f>
        <v>#REF!</v>
      </c>
      <c r="R61" s="34" t="e">
        <f>[2]!'FIOOF*1.TF-PriceChange'</f>
        <v>#REF!</v>
      </c>
      <c r="S61" s="34" t="e">
        <f>[2]!'FIOOF*1.TF-PriceChangeRatio'</f>
        <v>#REF!</v>
      </c>
      <c r="T61" s="34" t="e">
        <f>[2]!'FIOOF*1.TF-Volume'</f>
        <v>#REF!</v>
      </c>
      <c r="U61" s="34" t="e">
        <f>[2]!'FIOOF*1.TF-TotalVolume'</f>
        <v>#REF!</v>
      </c>
    </row>
    <row r="62" spans="1:21">
      <c r="A62" s="34" t="e">
        <f>[2]!'FIOOF*2.TF-Name'</f>
        <v>#REF!</v>
      </c>
      <c r="B62" s="34" t="e">
        <f>[2]!'FIOOF*2.TF-ID'</f>
        <v>#REF!</v>
      </c>
      <c r="C62" s="2" t="e">
        <f>[2]!'FIOOF*2.TF-Price'</f>
        <v>#REF!</v>
      </c>
      <c r="D62" s="34" t="e">
        <f>[2]!'FIOOF*2.TF-PriceChangeRatio'</f>
        <v>#REF!</v>
      </c>
      <c r="E62" s="34" t="e">
        <f>[2]!'FIOOF*2.TF-Volume'</f>
        <v>#REF!</v>
      </c>
      <c r="F62" s="34" t="e">
        <f>[2]!'FIOOF*2.TF-TotalVolume'</f>
        <v>#REF!</v>
      </c>
      <c r="G62" s="34" t="e">
        <f>[2]!'FIOOF*2.TF-Open'</f>
        <v>#REF!</v>
      </c>
      <c r="H62" s="34" t="e">
        <f>[2]!'FIOOF*2.TF-High'</f>
        <v>#REF!</v>
      </c>
      <c r="I62" s="34" t="e">
        <f>[2]!'FIOOF*2.TF-Low'</f>
        <v>#REF!</v>
      </c>
      <c r="J62" s="34" t="e">
        <f>[2]!'FIOOF*2.TF-Amplitude'</f>
        <v>#REF!</v>
      </c>
      <c r="K62" s="2" t="e">
        <f>[2]!'FIOOF*2.TF-PreClose'</f>
        <v>#REF!</v>
      </c>
      <c r="L62" s="34" t="e">
        <f>[2]!'FIOOF*2.TF-Open'</f>
        <v>#REF!</v>
      </c>
      <c r="M62" s="34" t="e">
        <f>[2]!'FIOOF*2.TF-High'</f>
        <v>#REF!</v>
      </c>
      <c r="N62" s="34" t="e">
        <f>[2]!'FIOOF*2.TF-Low'</f>
        <v>#REF!</v>
      </c>
      <c r="O62" s="34" t="e">
        <f>[2]!'FIOOF*2.TF-PreTotalVolume'</f>
        <v>#REF!</v>
      </c>
      <c r="P62" s="2" t="e">
        <f>[2]!'FIOOF*2.TF-Bid'</f>
        <v>#REF!</v>
      </c>
      <c r="Q62" s="2" t="e">
        <f>[2]!'FIOOF*2.TF-Ask'</f>
        <v>#REF!</v>
      </c>
      <c r="R62" s="34" t="e">
        <f>[2]!'FIOOF*2.TF-PriceChange'</f>
        <v>#REF!</v>
      </c>
      <c r="S62" s="34" t="e">
        <f>[2]!'FIOOF*2.TF-PriceChangeRatio'</f>
        <v>#REF!</v>
      </c>
      <c r="T62" s="34" t="e">
        <f>[2]!'FIOOF*2.TF-Volume'</f>
        <v>#REF!</v>
      </c>
      <c r="U62" s="34" t="e">
        <f>[2]!'FIOOF*2.TF-TotalVolume'</f>
        <v>#REF!</v>
      </c>
    </row>
    <row r="63" spans="1:21">
      <c r="A63" s="34" t="e">
        <f>[2]!'FIOOF00.TF-Name'</f>
        <v>#REF!</v>
      </c>
      <c r="B63" s="34" t="e">
        <f>[2]!'FIOOF00.TF-ID'</f>
        <v>#REF!</v>
      </c>
      <c r="C63" s="2" t="e">
        <f>[2]!'FIOOF00.TF-Price'</f>
        <v>#REF!</v>
      </c>
      <c r="D63" s="34" t="e">
        <f>[2]!'FIOOF00.TF-PriceChangeRatio'</f>
        <v>#REF!</v>
      </c>
      <c r="E63" s="34" t="e">
        <f>[2]!'FIOOF00.TF-Volume'</f>
        <v>#REF!</v>
      </c>
      <c r="F63" s="34" t="e">
        <f>[2]!'FIOOF00.TF-TotalVolume'</f>
        <v>#REF!</v>
      </c>
      <c r="G63" s="34" t="e">
        <f>[2]!'FIOOF00.TF-Open'</f>
        <v>#REF!</v>
      </c>
      <c r="H63" s="34" t="e">
        <f>[2]!'FIOOF00.TF-High'</f>
        <v>#REF!</v>
      </c>
      <c r="I63" s="34" t="e">
        <f>[2]!'FIOOF00.TF-Low'</f>
        <v>#REF!</v>
      </c>
      <c r="J63" s="34" t="e">
        <f>[2]!'FIOOF00.TF-Amplitude'</f>
        <v>#REF!</v>
      </c>
      <c r="K63" s="2" t="e">
        <f>[2]!'FIOOF00.TF-PreClose'</f>
        <v>#REF!</v>
      </c>
      <c r="L63" s="34" t="e">
        <f>[2]!'FIOOF00.TF-Open'</f>
        <v>#REF!</v>
      </c>
      <c r="M63" s="34" t="e">
        <f>[2]!'FIOOF00.TF-High'</f>
        <v>#REF!</v>
      </c>
      <c r="N63" s="34" t="e">
        <f>[2]!'FIOOF00.TF-Low'</f>
        <v>#REF!</v>
      </c>
      <c r="O63" s="34" t="e">
        <f>[2]!'FIOOF00.TF-PreTotalVolume'</f>
        <v>#REF!</v>
      </c>
      <c r="P63" s="2" t="e">
        <f>[2]!'FIOOF00.TF-Bid'</f>
        <v>#REF!</v>
      </c>
      <c r="Q63" s="2" t="e">
        <f>[2]!'FIOOF00.TF-Ask'</f>
        <v>#REF!</v>
      </c>
      <c r="R63" s="34" t="e">
        <f>[2]!'FIOOF00.TF-PriceChange'</f>
        <v>#REF!</v>
      </c>
      <c r="S63" s="34" t="e">
        <f>[2]!'FIOOF00.TF-PriceChangeRatio'</f>
        <v>#REF!</v>
      </c>
      <c r="T63" s="34" t="e">
        <f>[2]!'FIOOF00.TF-Volume'</f>
        <v>#REF!</v>
      </c>
      <c r="U63" s="34" t="e">
        <f>[2]!'FIOOF00.TF-TotalVolume'</f>
        <v>#REF!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2"/>
  <sheetViews>
    <sheetView workbookViewId="0">
      <selection activeCell="E11" sqref="E11"/>
    </sheetView>
  </sheetViews>
  <sheetFormatPr defaultColWidth="9" defaultRowHeight="16.2"/>
  <cols>
    <col min="1" max="1" width="19.77734375" style="35" customWidth="1"/>
    <col min="2" max="16384" width="9" style="35"/>
  </cols>
  <sheetData>
    <row r="1" spans="1:16">
      <c r="A1" s="35" t="s">
        <v>147</v>
      </c>
      <c r="B1" s="35" t="s">
        <v>149</v>
      </c>
      <c r="C1" s="35" t="s">
        <v>150</v>
      </c>
      <c r="D1" s="35" t="s">
        <v>148</v>
      </c>
      <c r="E1" s="35" t="s">
        <v>232</v>
      </c>
      <c r="F1" s="35" t="s">
        <v>223</v>
      </c>
      <c r="G1" s="35" t="s">
        <v>224</v>
      </c>
      <c r="H1" s="35" t="s">
        <v>225</v>
      </c>
      <c r="I1" s="35" t="s">
        <v>593</v>
      </c>
      <c r="J1" s="35" t="s">
        <v>594</v>
      </c>
      <c r="K1" s="35" t="s">
        <v>230</v>
      </c>
      <c r="L1" s="35" t="s">
        <v>595</v>
      </c>
      <c r="M1" s="35" t="s">
        <v>596</v>
      </c>
      <c r="N1" s="35" t="s">
        <v>597</v>
      </c>
      <c r="O1" s="35" t="s">
        <v>598</v>
      </c>
      <c r="P1" s="35" t="s">
        <v>220</v>
      </c>
    </row>
    <row r="2" spans="1:16">
      <c r="A2" s="35" t="e">
        <f>[2]!'JPY.FX-Name'</f>
        <v>#REF!</v>
      </c>
      <c r="B2" s="35" t="e">
        <f>[2]!'JPY.FX-Bid'</f>
        <v>#REF!</v>
      </c>
      <c r="C2" s="35" t="e">
        <f>[2]!'JPY.FX-Ask'</f>
        <v>#REF!</v>
      </c>
      <c r="D2" s="35" t="e">
        <f>[2]!'JPY.FX-Price'</f>
        <v>#REF!</v>
      </c>
      <c r="E2" s="35" t="e">
        <f>[2]!'JPY.FX-PriceChange'</f>
        <v>#REF!</v>
      </c>
      <c r="F2" s="35" t="e">
        <f>[2]!'JPY.FX-PriceChangeRatio'</f>
        <v>#REF!</v>
      </c>
      <c r="G2" s="35" t="e">
        <f>[2]!'JPY.FX-Volume'</f>
        <v>#REF!</v>
      </c>
      <c r="H2" s="35" t="e">
        <f>[2]!'JPY.FX-TotalVolume'</f>
        <v>#REF!</v>
      </c>
      <c r="I2" s="35" t="e">
        <f>[2]!'JPY.FX-BestBidSize'</f>
        <v>#REF!</v>
      </c>
      <c r="J2" s="35" t="e">
        <f>[2]!'JPY.FX-BestAskSize'</f>
        <v>#REF!</v>
      </c>
      <c r="K2" s="35" t="e">
        <f>[2]!'JPY.FX-PreClose'</f>
        <v>#REF!</v>
      </c>
      <c r="L2" s="35" t="e">
        <f>[2]!'JPY.FX-InOutRatio'</f>
        <v>#REF!</v>
      </c>
      <c r="M2" s="35" t="e">
        <f>[2]!'JPY.FX-AvgPrice'</f>
        <v>#REF!</v>
      </c>
      <c r="N2" s="35" t="e">
        <f>[2]!'JPY.FX-Capital'</f>
        <v>#REF!</v>
      </c>
      <c r="O2" s="35" t="e">
        <f>[2]!'JPY.FX-Profit'</f>
        <v>#REF!</v>
      </c>
      <c r="P2" s="35" t="e">
        <f>[2]!'JPY.FX-MarketValue'</f>
        <v>#REF!</v>
      </c>
    </row>
    <row r="3" spans="1:16">
      <c r="A3" s="35" t="e">
        <f>[2]!'KRW.FX-Name'</f>
        <v>#REF!</v>
      </c>
      <c r="B3" s="35" t="e">
        <f>[2]!'KRW.FX-Bid'</f>
        <v>#REF!</v>
      </c>
      <c r="C3" s="35" t="e">
        <f>[2]!'KRW.FX-Ask'</f>
        <v>#REF!</v>
      </c>
      <c r="D3" s="35" t="e">
        <f>[2]!'KRW.FX-Price'</f>
        <v>#REF!</v>
      </c>
      <c r="E3" s="35" t="e">
        <f>[2]!'KRW.FX-PriceChange'</f>
        <v>#REF!</v>
      </c>
      <c r="F3" s="35" t="e">
        <f>[2]!'KRW.FX-PriceChangeRatio'</f>
        <v>#REF!</v>
      </c>
      <c r="G3" s="35" t="e">
        <f>[2]!'KRW.FX-Volume'</f>
        <v>#REF!</v>
      </c>
      <c r="H3" s="35" t="e">
        <f>[2]!'KRW.FX-TotalVolume'</f>
        <v>#REF!</v>
      </c>
      <c r="I3" s="35" t="e">
        <f>[2]!'KRW.FX-BestBidSize'</f>
        <v>#REF!</v>
      </c>
      <c r="J3" s="35" t="e">
        <f>[2]!'KRW.FX-BestAskSize'</f>
        <v>#REF!</v>
      </c>
      <c r="K3" s="35" t="e">
        <f>[2]!'KRW.FX-PreClose'</f>
        <v>#REF!</v>
      </c>
      <c r="L3" s="35" t="e">
        <f>[2]!'KRW.FX-InOutRatio'</f>
        <v>#REF!</v>
      </c>
      <c r="M3" s="35" t="e">
        <f>[2]!'KRW.FX-AvgPrice'</f>
        <v>#REF!</v>
      </c>
      <c r="N3" s="35" t="e">
        <f>[2]!'KRW.FX-Capital'</f>
        <v>#REF!</v>
      </c>
      <c r="O3" s="35" t="e">
        <f>[2]!'KRW.FX-Profit'</f>
        <v>#REF!</v>
      </c>
      <c r="P3" s="35" t="e">
        <f>[2]!'KRW.FX-MarketValue'</f>
        <v>#REF!</v>
      </c>
    </row>
    <row r="4" spans="1:16">
      <c r="A4" s="35" t="e">
        <f>[2]!'HKD.FX-Name'</f>
        <v>#REF!</v>
      </c>
      <c r="B4" s="35" t="e">
        <f>[2]!'HKD.FX-Bid'</f>
        <v>#REF!</v>
      </c>
      <c r="C4" s="35" t="e">
        <f>[2]!'HKD.FX-Ask'</f>
        <v>#REF!</v>
      </c>
      <c r="D4" s="35" t="e">
        <f>[2]!'HKD.FX-Price'</f>
        <v>#REF!</v>
      </c>
      <c r="E4" s="35" t="e">
        <f>[2]!'HKD.FX-PriceChange'</f>
        <v>#REF!</v>
      </c>
      <c r="F4" s="35" t="e">
        <f>[2]!'HKD.FX-PriceChangeRatio'</f>
        <v>#REF!</v>
      </c>
      <c r="G4" s="35" t="e">
        <f>[2]!'HKD.FX-Volume'</f>
        <v>#REF!</v>
      </c>
      <c r="H4" s="35" t="e">
        <f>[2]!'HKD.FX-TotalVolume'</f>
        <v>#REF!</v>
      </c>
      <c r="I4" s="35" t="e">
        <f>[2]!'HKD.FX-BestBidSize'</f>
        <v>#REF!</v>
      </c>
      <c r="J4" s="35" t="e">
        <f>[2]!'HKD.FX-BestAskSize'</f>
        <v>#REF!</v>
      </c>
      <c r="K4" s="35" t="e">
        <f>[2]!'HKD.FX-PreClose'</f>
        <v>#REF!</v>
      </c>
      <c r="L4" s="35" t="e">
        <f>[2]!'HKD.FX-InOutRatio'</f>
        <v>#REF!</v>
      </c>
      <c r="M4" s="35" t="e">
        <f>[2]!'HKD.FX-AvgPrice'</f>
        <v>#REF!</v>
      </c>
      <c r="N4" s="35" t="e">
        <f>[2]!'HKD.FX-Capital'</f>
        <v>#REF!</v>
      </c>
      <c r="O4" s="35" t="e">
        <f>[2]!'HKD.FX-Profit'</f>
        <v>#REF!</v>
      </c>
      <c r="P4" s="35" t="e">
        <f>[2]!'HKD.FX-MarketValue'</f>
        <v>#REF!</v>
      </c>
    </row>
    <row r="5" spans="1:16">
      <c r="A5" s="35" t="e">
        <f>[2]!'CNY.FX-Name'</f>
        <v>#REF!</v>
      </c>
      <c r="B5" s="35" t="e">
        <f>[2]!'CNY.FX-Bid'</f>
        <v>#REF!</v>
      </c>
      <c r="C5" s="35" t="e">
        <f>[2]!'CNY.FX-Ask'</f>
        <v>#REF!</v>
      </c>
      <c r="D5" s="35" t="e">
        <f>[2]!'CNY.FX-Price'</f>
        <v>#REF!</v>
      </c>
      <c r="E5" s="35" t="e">
        <f>[2]!'CNY.FX-PriceChange'</f>
        <v>#REF!</v>
      </c>
      <c r="F5" s="35" t="e">
        <f>[2]!'CNY.FX-PriceChangeRatio'</f>
        <v>#REF!</v>
      </c>
      <c r="G5" s="35" t="e">
        <f>[2]!'CNY.FX-Volume'</f>
        <v>#REF!</v>
      </c>
      <c r="H5" s="35" t="e">
        <f>[2]!'CNY.FX-TotalVolume'</f>
        <v>#REF!</v>
      </c>
      <c r="I5" s="35" t="e">
        <f>[2]!'CNY.FX-BestBidSize'</f>
        <v>#REF!</v>
      </c>
      <c r="J5" s="35" t="e">
        <f>[2]!'CNY.FX-BestAskSize'</f>
        <v>#REF!</v>
      </c>
      <c r="K5" s="35" t="e">
        <f>[2]!'CNY.FX-PreClose'</f>
        <v>#REF!</v>
      </c>
      <c r="L5" s="35" t="e">
        <f>[2]!'CNY.FX-InOutRatio'</f>
        <v>#REF!</v>
      </c>
      <c r="M5" s="35" t="e">
        <f>[2]!'CNY.FX-AvgPrice'</f>
        <v>#REF!</v>
      </c>
      <c r="N5" s="35" t="e">
        <f>[2]!'CNY.FX-Capital'</f>
        <v>#REF!</v>
      </c>
      <c r="O5" s="35" t="e">
        <f>[2]!'CNY.FX-Profit'</f>
        <v>#REF!</v>
      </c>
      <c r="P5" s="35" t="e">
        <f>[2]!'CNY.FX-MarketValue'</f>
        <v>#REF!</v>
      </c>
    </row>
    <row r="6" spans="1:16">
      <c r="A6" s="35" t="e">
        <f>[2]!'CNH.FX-Name'</f>
        <v>#REF!</v>
      </c>
      <c r="B6" s="35" t="e">
        <f>[2]!'CNH.FX-Bid'</f>
        <v>#REF!</v>
      </c>
      <c r="C6" s="35" t="e">
        <f>[2]!'CNH.FX-Ask'</f>
        <v>#REF!</v>
      </c>
      <c r="D6" s="35" t="str">
        <f>[2]!'CNH.FX-Price'</f>
        <v>N/A</v>
      </c>
      <c r="E6" s="35" t="e">
        <f>[2]!'CNH.FX-PriceChange'</f>
        <v>#REF!</v>
      </c>
      <c r="F6" s="35" t="e">
        <f>[2]!'CNH.FX-PriceChangeRatio'</f>
        <v>#REF!</v>
      </c>
      <c r="G6" s="35" t="e">
        <f>[2]!'CNH.FX-Volume'</f>
        <v>#REF!</v>
      </c>
      <c r="H6" s="35" t="e">
        <f>[2]!'CNH.FX-TotalVolume'</f>
        <v>#REF!</v>
      </c>
      <c r="I6" s="35" t="e">
        <f>[2]!'CNH.FX-BestBidSize'</f>
        <v>#REF!</v>
      </c>
      <c r="J6" s="35" t="e">
        <f>[2]!'CNH.FX-BestAskSize'</f>
        <v>#REF!</v>
      </c>
      <c r="K6" s="35" t="e">
        <f>[2]!'CNH.FX-PreClose'</f>
        <v>#REF!</v>
      </c>
      <c r="L6" s="35" t="e">
        <f>[2]!'CNH.FX-InOutRatio'</f>
        <v>#REF!</v>
      </c>
      <c r="M6" s="35" t="e">
        <f>[2]!'CNH.FX-AvgPrice'</f>
        <v>#REF!</v>
      </c>
      <c r="N6" s="35" t="e">
        <f>[2]!'CNH.FX-Capital'</f>
        <v>#REF!</v>
      </c>
      <c r="O6" s="35" t="e">
        <f>[2]!'CNH.FX-Profit'</f>
        <v>#REF!</v>
      </c>
      <c r="P6" s="35" t="e">
        <f>[2]!'CNH.FX-MarketValue'</f>
        <v>#REF!</v>
      </c>
    </row>
    <row r="7" spans="1:16">
      <c r="A7" s="35" t="e">
        <f>[2]!'EUR.FX-Name'</f>
        <v>#REF!</v>
      </c>
      <c r="B7" s="35" t="e">
        <f>[2]!'EUR.FX-Bid'</f>
        <v>#REF!</v>
      </c>
      <c r="C7" s="35" t="e">
        <f>[2]!'EUR.FX-Ask'</f>
        <v>#REF!</v>
      </c>
      <c r="D7" s="35" t="e">
        <f>[2]!'EUR.FX-Price'</f>
        <v>#REF!</v>
      </c>
      <c r="E7" s="35" t="e">
        <f>[2]!'EUR.FX-PriceChange'</f>
        <v>#REF!</v>
      </c>
      <c r="F7" s="35" t="e">
        <f>[2]!'EUR.FX-PriceChangeRatio'</f>
        <v>#REF!</v>
      </c>
      <c r="G7" s="35" t="e">
        <f>[2]!'EUR.FX-Volume'</f>
        <v>#REF!</v>
      </c>
      <c r="H7" s="35" t="e">
        <f>[2]!'EUR.FX-TotalVolume'</f>
        <v>#REF!</v>
      </c>
      <c r="I7" s="35" t="e">
        <f>[2]!'EUR.FX-BestBidSize'</f>
        <v>#REF!</v>
      </c>
      <c r="J7" s="35" t="e">
        <f>[2]!'EUR.FX-BestAskSize'</f>
        <v>#REF!</v>
      </c>
      <c r="K7" s="35" t="e">
        <f>[2]!'EUR.FX-PreClose'</f>
        <v>#REF!</v>
      </c>
      <c r="L7" s="35" t="e">
        <f>[2]!'EUR.FX-InOutRatio'</f>
        <v>#REF!</v>
      </c>
      <c r="M7" s="35" t="e">
        <f>[2]!'EUR.FX-AvgPrice'</f>
        <v>#REF!</v>
      </c>
      <c r="N7" s="35" t="e">
        <f>[2]!'EUR.FX-Capital'</f>
        <v>#REF!</v>
      </c>
      <c r="O7" s="35" t="e">
        <f>[2]!'EUR.FX-Profit'</f>
        <v>#REF!</v>
      </c>
      <c r="P7" s="35" t="e">
        <f>[2]!'EUR.FX-MarketValue'</f>
        <v>#REF!</v>
      </c>
    </row>
    <row r="8" spans="1:16">
      <c r="A8" s="35" t="e">
        <f>[2]!'GBP.FX-Name'</f>
        <v>#REF!</v>
      </c>
      <c r="B8" s="35" t="e">
        <f>[2]!'GBP.FX-Bid'</f>
        <v>#REF!</v>
      </c>
      <c r="C8" s="35" t="e">
        <f>[2]!'GBP.FX-Ask'</f>
        <v>#REF!</v>
      </c>
      <c r="D8" s="35" t="e">
        <f>[2]!'GBP.FX-Price'</f>
        <v>#REF!</v>
      </c>
      <c r="E8" s="35" t="e">
        <f>[2]!'GBP.FX-PriceChange'</f>
        <v>#REF!</v>
      </c>
      <c r="F8" s="35" t="e">
        <f>[2]!'GBP.FX-PriceChangeRatio'</f>
        <v>#REF!</v>
      </c>
      <c r="G8" s="35" t="e">
        <f>[2]!'GBP.FX-Volume'</f>
        <v>#REF!</v>
      </c>
      <c r="H8" s="35" t="e">
        <f>[2]!'GBP.FX-TotalVolume'</f>
        <v>#REF!</v>
      </c>
      <c r="I8" s="35" t="e">
        <f>[2]!'GBP.FX-BestBidSize'</f>
        <v>#REF!</v>
      </c>
      <c r="J8" s="35" t="e">
        <f>[2]!'GBP.FX-BestAskSize'</f>
        <v>#REF!</v>
      </c>
      <c r="K8" s="35" t="e">
        <f>[2]!'GBP.FX-PreClose'</f>
        <v>#REF!</v>
      </c>
      <c r="L8" s="35" t="e">
        <f>[2]!'GBP.FX-InOutRatio'</f>
        <v>#REF!</v>
      </c>
      <c r="M8" s="35" t="e">
        <f>[2]!'GBP.FX-AvgPrice'</f>
        <v>#REF!</v>
      </c>
      <c r="N8" s="35" t="e">
        <f>[2]!'GBP.FX-Capital'</f>
        <v>#REF!</v>
      </c>
      <c r="O8" s="35" t="e">
        <f>[2]!'GBP.FX-Profit'</f>
        <v>#REF!</v>
      </c>
      <c r="P8" s="35" t="e">
        <f>[2]!'GBP.FX-MarketValue'</f>
        <v>#REF!</v>
      </c>
    </row>
    <row r="9" spans="1:16">
      <c r="A9" s="35" t="e">
        <f>[2]!'CHF.FX-Name'</f>
        <v>#REF!</v>
      </c>
      <c r="B9" s="35" t="e">
        <f>[2]!'CHF.FX-Bid'</f>
        <v>#REF!</v>
      </c>
      <c r="C9" s="35" t="e">
        <f>[2]!'CHF.FX-Ask'</f>
        <v>#REF!</v>
      </c>
      <c r="D9" s="35" t="e">
        <f>[2]!'CHF.FX-Price'</f>
        <v>#REF!</v>
      </c>
      <c r="E9" s="35" t="e">
        <f>[2]!'CHF.FX-PriceChange'</f>
        <v>#REF!</v>
      </c>
      <c r="F9" s="35" t="e">
        <f>[2]!'CHF.FX-PriceChangeRatio'</f>
        <v>#REF!</v>
      </c>
      <c r="G9" s="35" t="e">
        <f>[2]!'CHF.FX-Volume'</f>
        <v>#REF!</v>
      </c>
      <c r="H9" s="35" t="e">
        <f>[2]!'CHF.FX-TotalVolume'</f>
        <v>#REF!</v>
      </c>
      <c r="I9" s="35" t="e">
        <f>[2]!'CHF.FX-BestBidSize'</f>
        <v>#REF!</v>
      </c>
      <c r="J9" s="35" t="e">
        <f>[2]!'CHF.FX-BestAskSize'</f>
        <v>#REF!</v>
      </c>
      <c r="K9" s="35" t="e">
        <f>[2]!'CHF.FX-PreClose'</f>
        <v>#REF!</v>
      </c>
      <c r="L9" s="35" t="e">
        <f>[2]!'CHF.FX-InOutRatio'</f>
        <v>#REF!</v>
      </c>
      <c r="M9" s="35" t="e">
        <f>[2]!'CHF.FX-AvgPrice'</f>
        <v>#REF!</v>
      </c>
      <c r="N9" s="35" t="e">
        <f>[2]!'CHF.FX-Capital'</f>
        <v>#REF!</v>
      </c>
      <c r="O9" s="35" t="e">
        <f>[2]!'CHF.FX-Profit'</f>
        <v>#REF!</v>
      </c>
      <c r="P9" s="35" t="e">
        <f>[2]!'CHF.FX-MarketValue'</f>
        <v>#REF!</v>
      </c>
    </row>
    <row r="10" spans="1:16">
      <c r="A10" s="35" t="e">
        <f>[2]!'AUD.FX-Name'</f>
        <v>#REF!</v>
      </c>
      <c r="B10" s="35" t="e">
        <f>[2]!'AUD.FX-Bid'</f>
        <v>#REF!</v>
      </c>
      <c r="C10" s="35" t="e">
        <f>[2]!'AUD.FX-Ask'</f>
        <v>#REF!</v>
      </c>
      <c r="D10" s="35" t="e">
        <f>[2]!'AUD.FX-Price'</f>
        <v>#REF!</v>
      </c>
      <c r="E10" s="35" t="e">
        <f>[2]!'AUD.FX-PriceChange'</f>
        <v>#REF!</v>
      </c>
      <c r="F10" s="35" t="e">
        <f>[2]!'AUD.FX-PriceChangeRatio'</f>
        <v>#REF!</v>
      </c>
      <c r="G10" s="35" t="e">
        <f>[2]!'AUD.FX-Volume'</f>
        <v>#REF!</v>
      </c>
      <c r="H10" s="35" t="e">
        <f>[2]!'AUD.FX-TotalVolume'</f>
        <v>#REF!</v>
      </c>
      <c r="I10" s="35" t="e">
        <f>[2]!'AUD.FX-BestBidSize'</f>
        <v>#REF!</v>
      </c>
      <c r="J10" s="35" t="e">
        <f>[2]!'AUD.FX-BestAskSize'</f>
        <v>#REF!</v>
      </c>
      <c r="K10" s="35" t="e">
        <f>[2]!'AUD.FX-PreClose'</f>
        <v>#REF!</v>
      </c>
      <c r="L10" s="35" t="e">
        <f>[2]!'AUD.FX-InOutRatio'</f>
        <v>#REF!</v>
      </c>
      <c r="M10" s="35" t="e">
        <f>[2]!'AUD.FX-AvgPrice'</f>
        <v>#REF!</v>
      </c>
      <c r="N10" s="35" t="e">
        <f>[2]!'AUD.FX-Capital'</f>
        <v>#REF!</v>
      </c>
      <c r="O10" s="35" t="e">
        <f>[2]!'AUD.FX-Profit'</f>
        <v>#REF!</v>
      </c>
      <c r="P10" s="35" t="e">
        <f>[2]!'AUD.FX-MarketValue'</f>
        <v>#REF!</v>
      </c>
    </row>
    <row r="11" spans="1:16">
      <c r="A11" s="35" t="e">
        <f>[2]!'CAD.FX-Name'</f>
        <v>#REF!</v>
      </c>
      <c r="B11" s="35" t="e">
        <f>[2]!'CAD.FX-Bid'</f>
        <v>#REF!</v>
      </c>
      <c r="C11" s="35" t="e">
        <f>[2]!'CAD.FX-Ask'</f>
        <v>#REF!</v>
      </c>
      <c r="D11" s="35" t="e">
        <f>[2]!'CAD.FX-Price'</f>
        <v>#REF!</v>
      </c>
      <c r="E11" s="35" t="e">
        <f>[2]!'CAD.FX-PriceChange'</f>
        <v>#REF!</v>
      </c>
      <c r="F11" s="35" t="e">
        <f>[2]!'CAD.FX-PriceChangeRatio'</f>
        <v>#REF!</v>
      </c>
      <c r="G11" s="35" t="e">
        <f>[2]!'CAD.FX-Volume'</f>
        <v>#REF!</v>
      </c>
      <c r="H11" s="35" t="e">
        <f>[2]!'CAD.FX-TotalVolume'</f>
        <v>#REF!</v>
      </c>
      <c r="I11" s="35" t="e">
        <f>[2]!'CAD.FX-BestBidSize'</f>
        <v>#REF!</v>
      </c>
      <c r="J11" s="35" t="e">
        <f>[2]!'CAD.FX-BestAskSize'</f>
        <v>#REF!</v>
      </c>
      <c r="K11" s="35" t="e">
        <f>[2]!'CAD.FX-PreClose'</f>
        <v>#REF!</v>
      </c>
      <c r="L11" s="35" t="e">
        <f>[2]!'CAD.FX-InOutRatio'</f>
        <v>#REF!</v>
      </c>
      <c r="M11" s="35" t="e">
        <f>[2]!'CAD.FX-AvgPrice'</f>
        <v>#REF!</v>
      </c>
      <c r="N11" s="35" t="e">
        <f>[2]!'CAD.FX-Capital'</f>
        <v>#REF!</v>
      </c>
      <c r="O11" s="35" t="e">
        <f>[2]!'CAD.FX-Profit'</f>
        <v>#REF!</v>
      </c>
      <c r="P11" s="35" t="e">
        <f>[2]!'CAD.FX-MarketValue'</f>
        <v>#REF!</v>
      </c>
    </row>
    <row r="12" spans="1:16">
      <c r="A12" s="35" t="e">
        <f>[2]!'NZD.FX-Name'</f>
        <v>#REF!</v>
      </c>
      <c r="B12" s="35" t="e">
        <f>[2]!'NZD.FX-Bid'</f>
        <v>#REF!</v>
      </c>
      <c r="C12" s="35" t="e">
        <f>[2]!'NZD.FX-Ask'</f>
        <v>#REF!</v>
      </c>
      <c r="D12" s="35" t="e">
        <f>[2]!'NZD.FX-Price'</f>
        <v>#REF!</v>
      </c>
      <c r="E12" s="35" t="e">
        <f>[2]!'NZD.FX-PriceChange'</f>
        <v>#REF!</v>
      </c>
      <c r="F12" s="35" t="e">
        <f>[2]!'NZD.FX-PriceChangeRatio'</f>
        <v>#REF!</v>
      </c>
      <c r="G12" s="35" t="e">
        <f>[2]!'NZD.FX-Volume'</f>
        <v>#REF!</v>
      </c>
      <c r="H12" s="35" t="e">
        <f>[2]!'NZD.FX-TotalVolume'</f>
        <v>#REF!</v>
      </c>
      <c r="I12" s="35" t="e">
        <f>[2]!'NZD.FX-BestBidSize'</f>
        <v>#REF!</v>
      </c>
      <c r="J12" s="35" t="e">
        <f>[2]!'NZD.FX-BestAskSize'</f>
        <v>#REF!</v>
      </c>
      <c r="K12" s="35" t="e">
        <f>[2]!'NZD.FX-PreClose'</f>
        <v>#REF!</v>
      </c>
      <c r="L12" s="35" t="e">
        <f>[2]!'NZD.FX-InOutRatio'</f>
        <v>#REF!</v>
      </c>
      <c r="M12" s="35" t="e">
        <f>[2]!'NZD.FX-AvgPrice'</f>
        <v>#REF!</v>
      </c>
      <c r="N12" s="35" t="e">
        <f>[2]!'NZD.FX-Capital'</f>
        <v>#REF!</v>
      </c>
      <c r="O12" s="35" t="e">
        <f>[2]!'NZD.FX-Profit'</f>
        <v>#REF!</v>
      </c>
      <c r="P12" s="35" t="e">
        <f>[2]!'NZD.FX-MarketValue'</f>
        <v>#REF!</v>
      </c>
    </row>
    <row r="13" spans="1:16">
      <c r="A13" s="35" t="e">
        <f>[2]!'THB.FX-Name'</f>
        <v>#REF!</v>
      </c>
      <c r="B13" s="35" t="e">
        <f>[2]!'THB.FX-Bid'</f>
        <v>#REF!</v>
      </c>
      <c r="C13" s="35" t="e">
        <f>[2]!'THB.FX-Ask'</f>
        <v>#REF!</v>
      </c>
      <c r="D13" s="35" t="e">
        <f>[2]!'THB.FX-Price'</f>
        <v>#REF!</v>
      </c>
      <c r="E13" s="35" t="e">
        <f>[2]!'THB.FX-PriceChange'</f>
        <v>#REF!</v>
      </c>
      <c r="F13" s="35" t="e">
        <f>[2]!'THB.FX-PriceChangeRatio'</f>
        <v>#REF!</v>
      </c>
      <c r="G13" s="35" t="e">
        <f>[2]!'THB.FX-Volume'</f>
        <v>#REF!</v>
      </c>
      <c r="H13" s="35" t="e">
        <f>[2]!'THB.FX-TotalVolume'</f>
        <v>#REF!</v>
      </c>
      <c r="I13" s="35" t="e">
        <f>[2]!'THB.FX-BestBidSize'</f>
        <v>#REF!</v>
      </c>
      <c r="J13" s="35" t="e">
        <f>[2]!'THB.FX-BestAskSize'</f>
        <v>#REF!</v>
      </c>
      <c r="K13" s="35" t="e">
        <f>[2]!'THB.FX-PreClose'</f>
        <v>#REF!</v>
      </c>
      <c r="L13" s="35" t="e">
        <f>[2]!'THB.FX-InOutRatio'</f>
        <v>#REF!</v>
      </c>
      <c r="M13" s="35" t="e">
        <f>[2]!'THB.FX-AvgPrice'</f>
        <v>#REF!</v>
      </c>
      <c r="N13" s="35" t="e">
        <f>[2]!'THB.FX-Capital'</f>
        <v>#REF!</v>
      </c>
      <c r="O13" s="35" t="e">
        <f>[2]!'THB.FX-Profit'</f>
        <v>#REF!</v>
      </c>
      <c r="P13" s="35" t="e">
        <f>[2]!'THB.FX-MarketValue'</f>
        <v>#REF!</v>
      </c>
    </row>
    <row r="14" spans="1:16">
      <c r="A14" s="35" t="e">
        <f>[2]!'INR.FX-Name'</f>
        <v>#REF!</v>
      </c>
      <c r="B14" s="35" t="e">
        <f>[2]!'INR.FX-Bid'</f>
        <v>#REF!</v>
      </c>
      <c r="C14" s="35" t="e">
        <f>[2]!'INR.FX-Ask'</f>
        <v>#REF!</v>
      </c>
      <c r="D14" s="35" t="e">
        <f>[2]!'INR.FX-Price'</f>
        <v>#REF!</v>
      </c>
      <c r="E14" s="35" t="e">
        <f>[2]!'INR.FX-PriceChange'</f>
        <v>#REF!</v>
      </c>
      <c r="F14" s="35" t="e">
        <f>[2]!'INR.FX-PriceChangeRatio'</f>
        <v>#REF!</v>
      </c>
      <c r="G14" s="35" t="e">
        <f>[2]!'INR.FX-Volume'</f>
        <v>#REF!</v>
      </c>
      <c r="H14" s="35" t="e">
        <f>[2]!'INR.FX-TotalVolume'</f>
        <v>#REF!</v>
      </c>
      <c r="I14" s="35" t="e">
        <f>[2]!'INR.FX-BestBidSize'</f>
        <v>#REF!</v>
      </c>
      <c r="J14" s="35" t="e">
        <f>[2]!'INR.FX-BestAskSize'</f>
        <v>#REF!</v>
      </c>
      <c r="K14" s="35" t="e">
        <f>[2]!'INR.FX-PreClose'</f>
        <v>#REF!</v>
      </c>
      <c r="L14" s="35" t="e">
        <f>[2]!'INR.FX-InOutRatio'</f>
        <v>#REF!</v>
      </c>
      <c r="M14" s="35" t="e">
        <f>[2]!'INR.FX-AvgPrice'</f>
        <v>#REF!</v>
      </c>
      <c r="N14" s="35" t="e">
        <f>[2]!'INR.FX-Capital'</f>
        <v>#REF!</v>
      </c>
      <c r="O14" s="35" t="e">
        <f>[2]!'INR.FX-Profit'</f>
        <v>#REF!</v>
      </c>
      <c r="P14" s="35" t="e">
        <f>[2]!'INR.FX-MarketValue'</f>
        <v>#REF!</v>
      </c>
    </row>
    <row r="15" spans="1:16">
      <c r="A15" s="35" t="e">
        <f>[2]!'RUB.FX-Name'</f>
        <v>#REF!</v>
      </c>
      <c r="B15" s="35" t="e">
        <f>[2]!'RUB.FX-Bid'</f>
        <v>#REF!</v>
      </c>
      <c r="C15" s="35" t="e">
        <f>[2]!'RUB.FX-Ask'</f>
        <v>#REF!</v>
      </c>
      <c r="D15" s="35" t="e">
        <f>[2]!'RUB.FX-Price'</f>
        <v>#REF!</v>
      </c>
      <c r="E15" s="35" t="e">
        <f>[2]!'RUB.FX-PriceChange'</f>
        <v>#REF!</v>
      </c>
      <c r="F15" s="35" t="e">
        <f>[2]!'RUB.FX-PriceChangeRatio'</f>
        <v>#REF!</v>
      </c>
      <c r="G15" s="35" t="e">
        <f>[2]!'RUB.FX-Volume'</f>
        <v>#REF!</v>
      </c>
      <c r="H15" s="35" t="e">
        <f>[2]!'RUB.FX-TotalVolume'</f>
        <v>#REF!</v>
      </c>
      <c r="I15" s="35" t="e">
        <f>[2]!'RUB.FX-BestBidSize'</f>
        <v>#REF!</v>
      </c>
      <c r="J15" s="35" t="e">
        <f>[2]!'RUB.FX-BestAskSize'</f>
        <v>#REF!</v>
      </c>
      <c r="K15" s="35" t="e">
        <f>[2]!'RUB.FX-PreClose'</f>
        <v>#REF!</v>
      </c>
      <c r="L15" s="35" t="e">
        <f>[2]!'RUB.FX-InOutRatio'</f>
        <v>#REF!</v>
      </c>
      <c r="M15" s="35" t="e">
        <f>[2]!'RUB.FX-AvgPrice'</f>
        <v>#REF!</v>
      </c>
      <c r="N15" s="35" t="e">
        <f>[2]!'RUB.FX-Capital'</f>
        <v>#REF!</v>
      </c>
      <c r="O15" s="35" t="e">
        <f>[2]!'RUB.FX-Profit'</f>
        <v>#REF!</v>
      </c>
      <c r="P15" s="35" t="e">
        <f>[2]!'RUB.FX-MarketValue'</f>
        <v>#REF!</v>
      </c>
    </row>
    <row r="16" spans="1:16">
      <c r="A16" s="35" t="e">
        <f>[2]!'TWD.FX-Name'</f>
        <v>#REF!</v>
      </c>
      <c r="B16" s="35" t="e">
        <f>[2]!'TWD.FX-Bid'</f>
        <v>#REF!</v>
      </c>
      <c r="C16" s="35" t="e">
        <f>[2]!'TWD.FX-Ask'</f>
        <v>#REF!</v>
      </c>
      <c r="D16" s="35" t="e">
        <f>[2]!'TWD.FX-Price'</f>
        <v>#REF!</v>
      </c>
      <c r="E16" s="35" t="e">
        <f>[2]!'TWD.FX-PriceChange'</f>
        <v>#REF!</v>
      </c>
      <c r="F16" s="35" t="e">
        <f>[2]!'TWD.FX-PriceChangeRatio'</f>
        <v>#REF!</v>
      </c>
      <c r="G16" s="35" t="e">
        <f>[2]!'TWD.FX-Volume'</f>
        <v>#REF!</v>
      </c>
      <c r="H16" s="35" t="e">
        <f>[2]!'TWD.FX-TotalVolume'</f>
        <v>#REF!</v>
      </c>
      <c r="I16" s="35" t="e">
        <f>[2]!'TWD.FX-BestBidSize'</f>
        <v>#REF!</v>
      </c>
      <c r="J16" s="35" t="e">
        <f>[2]!'TWD.FX-BestAskSize'</f>
        <v>#REF!</v>
      </c>
      <c r="K16" s="35" t="e">
        <f>[2]!'TWD.FX-Preclose'</f>
        <v>#REF!</v>
      </c>
      <c r="L16" s="35" t="e">
        <f>[2]!'TWD.FX-InOutRatio'</f>
        <v>#REF!</v>
      </c>
      <c r="M16" s="35" t="e">
        <f>[2]!'TWD.FX-AvgPrice'</f>
        <v>#REF!</v>
      </c>
      <c r="N16" s="35" t="e">
        <f>[2]!'TWD.FX-Capital'</f>
        <v>#REF!</v>
      </c>
      <c r="O16" s="35" t="e">
        <f>[2]!'TWD.FX-Profit'</f>
        <v>#REF!</v>
      </c>
      <c r="P16" s="35" t="e">
        <f>[2]!'TWD.FX-MarketValue'</f>
        <v>#REF!</v>
      </c>
    </row>
    <row r="17" spans="1:16">
      <c r="A17" s="35" t="e">
        <f>[2]!'CNYTW.FX-Name'</f>
        <v>#REF!</v>
      </c>
      <c r="B17" s="35" t="e">
        <f>[2]!'CNYTW.FX-Bid'</f>
        <v>#REF!</v>
      </c>
      <c r="C17" s="35" t="e">
        <f>[2]!'CNYTW.FX-Ask'</f>
        <v>#REF!</v>
      </c>
      <c r="D17" s="35" t="e">
        <f>[2]!'CNYTW.FX-Price'</f>
        <v>#REF!</v>
      </c>
      <c r="E17" s="35" t="e">
        <f>[2]!'CNYTW.FX-PriceChange'</f>
        <v>#REF!</v>
      </c>
      <c r="F17" s="35" t="e">
        <f>[2]!'CNYTW.FX-PriceChangeRatio'</f>
        <v>#REF!</v>
      </c>
      <c r="G17" s="35" t="e">
        <f>[2]!'CNYTW.FX-Volume'</f>
        <v>#REF!</v>
      </c>
      <c r="H17" s="35" t="e">
        <f>[2]!'CNYTW.FX-TotalVolume'</f>
        <v>#REF!</v>
      </c>
      <c r="I17" s="35" t="e">
        <f>[2]!'CNYTW.FX-BestBidSize'</f>
        <v>#REF!</v>
      </c>
      <c r="J17" s="35" t="e">
        <f>[2]!'CNYTW.FX-BestAskSize'</f>
        <v>#REF!</v>
      </c>
      <c r="K17" s="35" t="e">
        <f>[2]!'CNYTW.FX-Preclose'</f>
        <v>#REF!</v>
      </c>
      <c r="L17" s="35" t="e">
        <f>[2]!'CNYTW.FX-InOutRatio'</f>
        <v>#REF!</v>
      </c>
      <c r="M17" s="35" t="e">
        <f>[2]!'CNYTW.FX-AvgPrice'</f>
        <v>#REF!</v>
      </c>
      <c r="N17" s="35" t="e">
        <f>[2]!'CNYTW.FX-Capital'</f>
        <v>#REF!</v>
      </c>
      <c r="O17" s="35" t="e">
        <f>[2]!'CNYTW.FX-Profit'</f>
        <v>#REF!</v>
      </c>
      <c r="P17" s="35" t="e">
        <f>[2]!'CNYTW.FX-MarketValue'</f>
        <v>#REF!</v>
      </c>
    </row>
    <row r="18" spans="1:16">
      <c r="A18" s="35" t="e">
        <f>[2]!'HKDTW.FX-Name'</f>
        <v>#REF!</v>
      </c>
      <c r="B18" s="35" t="e">
        <f>[2]!'HKDTW.FX-Bid'</f>
        <v>#REF!</v>
      </c>
      <c r="C18" s="35" t="e">
        <f>[2]!'HKDTW.FX-Ask'</f>
        <v>#REF!</v>
      </c>
      <c r="D18" s="35" t="e">
        <f>[2]!'HKDTW.FX-Price'</f>
        <v>#REF!</v>
      </c>
      <c r="E18" s="35" t="e">
        <f>[2]!'HKDTW.FX-PriceChange'</f>
        <v>#REF!</v>
      </c>
      <c r="F18" s="35" t="e">
        <f>[2]!'HKDTW.FX-PriceChangeRatio'</f>
        <v>#REF!</v>
      </c>
      <c r="G18" s="35" t="e">
        <f>[2]!'HKDTW.FX-Volume'</f>
        <v>#REF!</v>
      </c>
      <c r="H18" s="35" t="e">
        <f>[2]!'HKDTW.FX-TotalVolume'</f>
        <v>#REF!</v>
      </c>
      <c r="I18" s="35" t="e">
        <f>[2]!'HKDTW.FX-BestBidSize'</f>
        <v>#REF!</v>
      </c>
      <c r="J18" s="35" t="e">
        <f>[2]!'HKDTW.FX-BestAskSize'</f>
        <v>#REF!</v>
      </c>
      <c r="K18" s="35" t="e">
        <f>[2]!'HKDTW.FX-PreClose'</f>
        <v>#REF!</v>
      </c>
      <c r="L18" s="35" t="e">
        <f>[2]!'HKDTW.FX-InOutRatio'</f>
        <v>#REF!</v>
      </c>
      <c r="M18" s="35" t="e">
        <f>[2]!'HKDTW.FX-AvgPrice'</f>
        <v>#REF!</v>
      </c>
      <c r="N18" s="35" t="e">
        <f>[2]!'HKDTW.FX-Capital'</f>
        <v>#REF!</v>
      </c>
      <c r="O18" s="35" t="e">
        <f>[2]!'HKDTW.FX-Profit'</f>
        <v>#REF!</v>
      </c>
      <c r="P18" s="35" t="e">
        <f>[2]!'HKDTW.FX-MarketValue'</f>
        <v>#REF!</v>
      </c>
    </row>
    <row r="19" spans="1:16">
      <c r="A19" s="35" t="e">
        <f>[2]!'INRTW.FX-Name'</f>
        <v>#REF!</v>
      </c>
      <c r="B19" s="35" t="e">
        <f>[2]!'INRTW.FX-Bid'</f>
        <v>#REF!</v>
      </c>
      <c r="C19" s="35" t="e">
        <f>[2]!'INRTW.FX-Ask'</f>
        <v>#REF!</v>
      </c>
      <c r="D19" s="35" t="e">
        <f>[2]!'INRTW.FX-Price'</f>
        <v>#REF!</v>
      </c>
      <c r="E19" s="35" t="e">
        <f>[2]!'INRTW.FX-PriceChange'</f>
        <v>#REF!</v>
      </c>
      <c r="F19" s="35" t="e">
        <f>[2]!'INRTW.FX-PriceChangeRatio'</f>
        <v>#REF!</v>
      </c>
      <c r="G19" s="35" t="e">
        <f>[2]!'INRTW.FX-Volume'</f>
        <v>#REF!</v>
      </c>
      <c r="H19" s="35" t="e">
        <f>[2]!'INRTW.FX-TotalVolume'</f>
        <v>#REF!</v>
      </c>
      <c r="I19" s="35" t="e">
        <f>[2]!'INRTW.FX-BestBidSize'</f>
        <v>#REF!</v>
      </c>
      <c r="J19" s="35" t="e">
        <f>[2]!'INRTW.FX-BestAskSize'</f>
        <v>#REF!</v>
      </c>
      <c r="K19" s="35" t="e">
        <f>[2]!'INRTW.FX-PreClose'</f>
        <v>#REF!</v>
      </c>
      <c r="L19" s="35" t="e">
        <f>[2]!'INRTW.FX-InOutRatio'</f>
        <v>#REF!</v>
      </c>
      <c r="M19" s="35" t="e">
        <f>[2]!'INRTW.FX-AvgPrice'</f>
        <v>#REF!</v>
      </c>
      <c r="N19" s="35" t="e">
        <f>[2]!'INRTW.FX-Capital'</f>
        <v>#REF!</v>
      </c>
      <c r="O19" s="35" t="e">
        <f>[2]!'INRTW.FX-Profit'</f>
        <v>#REF!</v>
      </c>
      <c r="P19" s="35" t="e">
        <f>[2]!'INRTW.FX-MarketValue'</f>
        <v>#REF!</v>
      </c>
    </row>
    <row r="20" spans="1:16">
      <c r="A20" s="35" t="e">
        <f>[2]!'JPYTW.FX-Name'</f>
        <v>#REF!</v>
      </c>
      <c r="B20" s="35" t="e">
        <f>[2]!'JPYTW.FX-Bid'</f>
        <v>#REF!</v>
      </c>
      <c r="C20" s="35" t="e">
        <f>[2]!'JPYTW.FX-Ask'</f>
        <v>#REF!</v>
      </c>
      <c r="D20" s="35" t="e">
        <f>[2]!'JPYTW.FX-Price'</f>
        <v>#REF!</v>
      </c>
      <c r="E20" s="35" t="e">
        <f>[2]!'JPYTW.FX-PriceChange'</f>
        <v>#REF!</v>
      </c>
      <c r="F20" s="35" t="e">
        <f>[2]!'JPYTW.FX-PriceChangeRatio'</f>
        <v>#REF!</v>
      </c>
      <c r="G20" s="35" t="e">
        <f>[2]!'JPYTW.FX-Volume'</f>
        <v>#REF!</v>
      </c>
      <c r="H20" s="35" t="e">
        <f>[2]!'JPYTW.FX-TotalVolume'</f>
        <v>#REF!</v>
      </c>
      <c r="I20" s="35" t="e">
        <f>[2]!'JPYTW.FX-BestBidSize'</f>
        <v>#REF!</v>
      </c>
      <c r="J20" s="35" t="e">
        <f>[2]!'JPYTW.FX-BestAskSize'</f>
        <v>#REF!</v>
      </c>
      <c r="K20" s="35" t="e">
        <f>[2]!'JPYTW.FX-PreClose'</f>
        <v>#REF!</v>
      </c>
      <c r="L20" s="35" t="e">
        <f>[2]!'JPYTW.FX-InOutRatio'</f>
        <v>#REF!</v>
      </c>
      <c r="M20" s="35" t="e">
        <f>[2]!'JPYTW.FX-AvgPrice'</f>
        <v>#REF!</v>
      </c>
      <c r="N20" s="35" t="e">
        <f>[2]!'JPYTW.FX-Capital'</f>
        <v>#REF!</v>
      </c>
      <c r="O20" s="35" t="e">
        <f>[2]!'JPYTW.FX-Profit'</f>
        <v>#REF!</v>
      </c>
      <c r="P20" s="35" t="e">
        <f>[2]!'JPYTW.FX-MarketValue'</f>
        <v>#REF!</v>
      </c>
    </row>
    <row r="21" spans="1:16">
      <c r="A21" s="35" t="e">
        <f>[2]!'KRWTW.FX-Name'</f>
        <v>#REF!</v>
      </c>
      <c r="B21" s="35" t="e">
        <f>[2]!'KRWTW.FX-Bid'</f>
        <v>#REF!</v>
      </c>
      <c r="C21" s="35" t="e">
        <f>[2]!'KRWTW.FX-Ask'</f>
        <v>#REF!</v>
      </c>
      <c r="D21" s="35" t="e">
        <f>[2]!'KRWTW.FX-Price'</f>
        <v>#REF!</v>
      </c>
      <c r="E21" s="35" t="e">
        <f>[2]!'KRWTW.FX-PriceChange'</f>
        <v>#REF!</v>
      </c>
      <c r="F21" s="35" t="e">
        <f>[2]!'KRWTW.FX-PriceChangeRatio'</f>
        <v>#REF!</v>
      </c>
      <c r="G21" s="35" t="e">
        <f>[2]!'KRWTW.FX-Volume'</f>
        <v>#REF!</v>
      </c>
      <c r="H21" s="35" t="e">
        <f>[2]!'KRWTW.FX-TotalVolume'</f>
        <v>#REF!</v>
      </c>
      <c r="I21" s="35" t="e">
        <f>[2]!'KRWTW.FX-BestBidSize'</f>
        <v>#REF!</v>
      </c>
      <c r="J21" s="35" t="e">
        <f>[2]!'KRWTW.FX-BestAskSize'</f>
        <v>#REF!</v>
      </c>
      <c r="K21" s="35" t="e">
        <f>[2]!'KRWTW.FX-PreClose'</f>
        <v>#REF!</v>
      </c>
      <c r="L21" s="35" t="e">
        <f>[2]!'KRWTW.FX-InOutRatio'</f>
        <v>#REF!</v>
      </c>
      <c r="M21" s="35" t="e">
        <f>[2]!'KRWTW.FX-AvgPrice'</f>
        <v>#REF!</v>
      </c>
      <c r="N21" s="35" t="e">
        <f>[2]!'KRWTW.FX-Capital'</f>
        <v>#REF!</v>
      </c>
      <c r="O21" s="35" t="e">
        <f>[2]!'KRWTW.FX-Profit'</f>
        <v>#REF!</v>
      </c>
      <c r="P21" s="35" t="e">
        <f>[2]!'KRWTW.FX-MarketValue'</f>
        <v>#REF!</v>
      </c>
    </row>
    <row r="22" spans="1:16">
      <c r="A22" s="35" t="e">
        <f>[2]!'AUDTW.FX-Name'</f>
        <v>#REF!</v>
      </c>
      <c r="B22" s="35" t="e">
        <f>[2]!'AUDTW.FX-Bid'</f>
        <v>#REF!</v>
      </c>
      <c r="C22" s="35" t="e">
        <f>[2]!'AUDTW.FX-Ask'</f>
        <v>#REF!</v>
      </c>
      <c r="D22" s="35" t="e">
        <f>[2]!'AUDTW.FX-Price'</f>
        <v>#REF!</v>
      </c>
      <c r="E22" s="35" t="e">
        <f>[2]!'AUDTW.FX-PriceChange'</f>
        <v>#REF!</v>
      </c>
      <c r="F22" s="35" t="e">
        <f>[2]!'AUDTW.FX-PriceChangeRatio'</f>
        <v>#REF!</v>
      </c>
      <c r="G22" s="35" t="e">
        <f>[2]!'AUDTW.FX-Volume'</f>
        <v>#REF!</v>
      </c>
      <c r="H22" s="35" t="e">
        <f>[2]!'AUDTW.FX-TotalVolume'</f>
        <v>#REF!</v>
      </c>
      <c r="I22" s="35" t="e">
        <f>[2]!'AUDTW.FX-BestBidSize'</f>
        <v>#REF!</v>
      </c>
      <c r="J22" s="35" t="e">
        <f>[2]!'AUDTW.FX-BestAskSize'</f>
        <v>#REF!</v>
      </c>
      <c r="K22" s="35" t="e">
        <f>[2]!'AUDTW.FX-PreClose'</f>
        <v>#REF!</v>
      </c>
      <c r="L22" s="35" t="e">
        <f>[2]!'AUDTW.FX-InOutRatio'</f>
        <v>#REF!</v>
      </c>
      <c r="M22" s="35" t="e">
        <f>[2]!'AUDTW.FX-AvgPrice'</f>
        <v>#REF!</v>
      </c>
      <c r="N22" s="35" t="e">
        <f>[2]!'AUDTW.FX-Capital'</f>
        <v>#REF!</v>
      </c>
      <c r="O22" s="35" t="e">
        <f>[2]!'AUDTW.FX-Profit'</f>
        <v>#REF!</v>
      </c>
      <c r="P22" s="35" t="e">
        <f>[2]!'AUDTW.FX-MarketValue'</f>
        <v>#REF!</v>
      </c>
    </row>
    <row r="23" spans="1:16">
      <c r="A23" s="35" t="e">
        <f>[2]!'CADTW.FX-Name'</f>
        <v>#REF!</v>
      </c>
      <c r="B23" s="35" t="e">
        <f>[2]!'CADTW.FX-Bid'</f>
        <v>#REF!</v>
      </c>
      <c r="C23" s="35" t="e">
        <f>[2]!'CADTW.FX-Ask'</f>
        <v>#REF!</v>
      </c>
      <c r="D23" s="35" t="e">
        <f>[2]!'CADTW.FX-Price'</f>
        <v>#REF!</v>
      </c>
      <c r="E23" s="35" t="e">
        <f>[2]!'CADTW.FX-PriceChange'</f>
        <v>#REF!</v>
      </c>
      <c r="F23" s="35" t="e">
        <f>[2]!'CADTW.FX-PriceChangeRatio'</f>
        <v>#REF!</v>
      </c>
      <c r="G23" s="35" t="e">
        <f>[2]!'CADTW.FX-Volume'</f>
        <v>#REF!</v>
      </c>
      <c r="H23" s="35" t="e">
        <f>[2]!'CADTW.FX-TotalVolume'</f>
        <v>#REF!</v>
      </c>
      <c r="I23" s="35" t="e">
        <f>[2]!'CADTW.FX-BestBidSize'</f>
        <v>#REF!</v>
      </c>
      <c r="J23" s="35" t="e">
        <f>[2]!'CADTW.FX-BestAskSize'</f>
        <v>#REF!</v>
      </c>
      <c r="K23" s="35" t="e">
        <f>[2]!'CADTW.FX-PreClose'</f>
        <v>#REF!</v>
      </c>
      <c r="L23" s="35" t="e">
        <f>[2]!'CADTW.FX-InOutRatio'</f>
        <v>#REF!</v>
      </c>
      <c r="M23" s="35" t="e">
        <f>[2]!'CADTW.FX-AvgPrice'</f>
        <v>#REF!</v>
      </c>
      <c r="N23" s="35" t="e">
        <f>[2]!'CADTW.FX-Capital'</f>
        <v>#REF!</v>
      </c>
      <c r="O23" s="35" t="e">
        <f>[2]!'CADTW.FX-Profit'</f>
        <v>#REF!</v>
      </c>
      <c r="P23" s="35" t="e">
        <f>[2]!'CADTW.FX-MarketValue'</f>
        <v>#REF!</v>
      </c>
    </row>
    <row r="24" spans="1:16">
      <c r="A24" s="35" t="e">
        <f>[2]!'CHFTW.FX-Name'</f>
        <v>#REF!</v>
      </c>
      <c r="B24" s="35" t="e">
        <f>[2]!'CHFTW.FX-Bid'</f>
        <v>#REF!</v>
      </c>
      <c r="C24" s="35" t="e">
        <f>[2]!'CHFTW.FX-Ask'</f>
        <v>#REF!</v>
      </c>
      <c r="D24" s="35" t="e">
        <f>[2]!'CHFTW.FX-Price'</f>
        <v>#REF!</v>
      </c>
      <c r="E24" s="35" t="e">
        <f>[2]!'CHFTW.FX-PriceChange'</f>
        <v>#REF!</v>
      </c>
      <c r="F24" s="35" t="e">
        <f>[2]!'CHFTW.FX-PriceChangeRatio'</f>
        <v>#REF!</v>
      </c>
      <c r="G24" s="35" t="e">
        <f>[2]!'CHFTW.FX-Volume'</f>
        <v>#REF!</v>
      </c>
      <c r="H24" s="35" t="e">
        <f>[2]!'CHFTW.FX-TotalVolume'</f>
        <v>#REF!</v>
      </c>
      <c r="I24" s="35" t="e">
        <f>[2]!'CHFTW.FX-BestBidSize'</f>
        <v>#REF!</v>
      </c>
      <c r="J24" s="35" t="e">
        <f>[2]!'CHFTW.FX-BestAskSize'</f>
        <v>#REF!</v>
      </c>
      <c r="K24" s="35" t="e">
        <f>[2]!'CHFTW.FX-PreClose'</f>
        <v>#REF!</v>
      </c>
      <c r="L24" s="35" t="e">
        <f>[2]!'CHFTW.FX-InOutRatio'</f>
        <v>#REF!</v>
      </c>
      <c r="M24" s="35" t="e">
        <f>[2]!'CHFTW.FX-AvgPrice'</f>
        <v>#REF!</v>
      </c>
      <c r="N24" s="35" t="e">
        <f>[2]!'CHFTW.FX-Capital'</f>
        <v>#REF!</v>
      </c>
      <c r="O24" s="35" t="e">
        <f>[2]!'CHFTW.FX-Profit'</f>
        <v>#REF!</v>
      </c>
      <c r="P24" s="35" t="e">
        <f>[2]!'CHFTW.FX-MarketValue'</f>
        <v>#REF!</v>
      </c>
    </row>
    <row r="25" spans="1:16">
      <c r="A25" s="35" t="e">
        <f>[2]!'EURTW.FX-Name'</f>
        <v>#REF!</v>
      </c>
      <c r="B25" s="35" t="e">
        <f>[2]!'EURTW.FX-Bid'</f>
        <v>#REF!</v>
      </c>
      <c r="C25" s="35" t="e">
        <f>[2]!'EURTW.FX-Ask'</f>
        <v>#REF!</v>
      </c>
      <c r="D25" s="35" t="e">
        <f>[2]!'EURTW.FX-Price'</f>
        <v>#REF!</v>
      </c>
      <c r="E25" s="35" t="e">
        <f>[2]!'EURTW.FX-PriceChange'</f>
        <v>#REF!</v>
      </c>
      <c r="F25" s="35" t="e">
        <f>[2]!'EURTW.FX-PriceChangeRatio'</f>
        <v>#REF!</v>
      </c>
      <c r="G25" s="35" t="e">
        <f>[2]!'EURTW.FX-Volume'</f>
        <v>#REF!</v>
      </c>
      <c r="H25" s="35" t="e">
        <f>[2]!'EURTW.FX-TotalVolume'</f>
        <v>#REF!</v>
      </c>
      <c r="I25" s="35" t="e">
        <f>[2]!'EURTW.FX-BestBidSize'</f>
        <v>#REF!</v>
      </c>
      <c r="J25" s="35" t="e">
        <f>[2]!'EURTW.FX-BestAskSize'</f>
        <v>#REF!</v>
      </c>
      <c r="K25" s="35" t="e">
        <f>[2]!'EURTW.FX-PreClose'</f>
        <v>#REF!</v>
      </c>
      <c r="L25" s="35" t="e">
        <f>[2]!'EURTW.FX-InOutRatio'</f>
        <v>#REF!</v>
      </c>
      <c r="M25" s="35" t="e">
        <f>[2]!'EURTW.FX-AvgPrice'</f>
        <v>#REF!</v>
      </c>
      <c r="N25" s="35" t="e">
        <f>[2]!'EURTW.FX-Capital'</f>
        <v>#REF!</v>
      </c>
      <c r="O25" s="35" t="e">
        <f>[2]!'EURTW.FX-Profit'</f>
        <v>#REF!</v>
      </c>
      <c r="P25" s="35" t="e">
        <f>[2]!'EURTW.FX-MarketValue'</f>
        <v>#REF!</v>
      </c>
    </row>
    <row r="26" spans="1:16">
      <c r="A26" s="35" t="e">
        <f>[2]!'GBPTW.FX-Name'</f>
        <v>#REF!</v>
      </c>
      <c r="B26" s="35" t="e">
        <f>[2]!'GBPTW.FX-Bid'</f>
        <v>#REF!</v>
      </c>
      <c r="C26" s="35" t="e">
        <f>[2]!'GBPTW.FX-Ask'</f>
        <v>#REF!</v>
      </c>
      <c r="D26" s="35" t="e">
        <f>[2]!'GBPTW.FX-Price'</f>
        <v>#REF!</v>
      </c>
      <c r="E26" s="35" t="e">
        <f>[2]!'GBPTW.FX-PriceChange'</f>
        <v>#REF!</v>
      </c>
      <c r="F26" s="35" t="e">
        <f>[2]!'GBPTW.FX-PriceChangeRatio'</f>
        <v>#REF!</v>
      </c>
      <c r="G26" s="35" t="e">
        <f>[2]!'GBPTW.FX-Volume'</f>
        <v>#REF!</v>
      </c>
      <c r="H26" s="35" t="e">
        <f>[2]!'GBPTW.FX-TotalVolume'</f>
        <v>#REF!</v>
      </c>
      <c r="I26" s="35" t="e">
        <f>[2]!'GBPTW.FX-BestBidSize'</f>
        <v>#REF!</v>
      </c>
      <c r="J26" s="35" t="e">
        <f>[2]!'GBPTW.FX-BestAskSize'</f>
        <v>#REF!</v>
      </c>
      <c r="K26" s="35" t="e">
        <f>[2]!'GBPTW.FX-PreClose'</f>
        <v>#REF!</v>
      </c>
      <c r="L26" s="35" t="e">
        <f>[2]!'GBPTW.FX-InOutRatio'</f>
        <v>#REF!</v>
      </c>
      <c r="M26" s="35" t="e">
        <f>[2]!'GBPTW.FX-AvgPrice'</f>
        <v>#REF!</v>
      </c>
      <c r="N26" s="35" t="e">
        <f>[2]!'GBPTW.FX-Capital'</f>
        <v>#REF!</v>
      </c>
      <c r="O26" s="35" t="e">
        <f>[2]!'GBPTW.FX-Profit'</f>
        <v>#REF!</v>
      </c>
      <c r="P26" s="35" t="e">
        <f>[2]!'GBPTW.FX-MarketValue'</f>
        <v>#REF!</v>
      </c>
    </row>
    <row r="27" spans="1:16">
      <c r="A27" s="35" t="e">
        <f>[2]!'IDRTW.FX-Name'</f>
        <v>#REF!</v>
      </c>
      <c r="B27" s="35" t="e">
        <f>[2]!'IDRTW.FX-Bid'</f>
        <v>#REF!</v>
      </c>
      <c r="C27" s="35" t="e">
        <f>[2]!'IDRTW.FX-Ask'</f>
        <v>#REF!</v>
      </c>
      <c r="D27" s="35" t="e">
        <f>[2]!'IDRTW.FX-Price'</f>
        <v>#REF!</v>
      </c>
      <c r="E27" s="35" t="e">
        <f>[2]!'IDRTW.FX-PriceChange'</f>
        <v>#REF!</v>
      </c>
      <c r="F27" s="35" t="e">
        <f>[2]!'IDRTW.FX-PriceChangeRatio'</f>
        <v>#REF!</v>
      </c>
      <c r="G27" s="35" t="e">
        <f>[2]!'IDRTW.FX-Volume'</f>
        <v>#REF!</v>
      </c>
      <c r="H27" s="35" t="e">
        <f>[2]!'IDRTW.FX-TotalVolume'</f>
        <v>#REF!</v>
      </c>
      <c r="I27" s="35" t="e">
        <f>[2]!'IDRTW.FX-BestBidSize'</f>
        <v>#REF!</v>
      </c>
      <c r="J27" s="35" t="e">
        <f>[2]!'IDRTW.FX-BestAskSize'</f>
        <v>#REF!</v>
      </c>
      <c r="K27" s="35" t="e">
        <f>[2]!'IDRTW.FX-PreClose'</f>
        <v>#REF!</v>
      </c>
      <c r="L27" s="35" t="e">
        <f>[2]!'IDRTW.FX-InOutRatio'</f>
        <v>#REF!</v>
      </c>
      <c r="M27" s="35" t="e">
        <f>[2]!'IDRTW.FX-AvgPrice'</f>
        <v>#REF!</v>
      </c>
      <c r="N27" s="35" t="e">
        <f>[2]!'IDRTW.FX-Capital'</f>
        <v>#REF!</v>
      </c>
      <c r="O27" s="35" t="e">
        <f>[2]!'IDRTW.FX-Profit'</f>
        <v>#REF!</v>
      </c>
      <c r="P27" s="35" t="e">
        <f>[2]!'IDRTW.FX-MarketValue'</f>
        <v>#REF!</v>
      </c>
    </row>
    <row r="28" spans="1:16">
      <c r="A28" s="35" t="e">
        <f>[2]!'MYRTW.FX-Name'</f>
        <v>#REF!</v>
      </c>
      <c r="B28" s="35" t="e">
        <f>[2]!'MYRTW.FX-Bid'</f>
        <v>#REF!</v>
      </c>
      <c r="C28" s="35" t="e">
        <f>[2]!'MYRTW.FX-Ask'</f>
        <v>#REF!</v>
      </c>
      <c r="D28" s="35" t="e">
        <f>[2]!'MYRTW.FX-Price'</f>
        <v>#REF!</v>
      </c>
      <c r="E28" s="35" t="e">
        <f>[2]!'MYRTW.FX-PriceChange'</f>
        <v>#REF!</v>
      </c>
      <c r="F28" s="35" t="e">
        <f>[2]!'MYRTW.FX-PriceChangeRatio'</f>
        <v>#REF!</v>
      </c>
      <c r="G28" s="35" t="e">
        <f>[2]!'MYRTW.FX-Volume'</f>
        <v>#REF!</v>
      </c>
      <c r="H28" s="35" t="e">
        <f>[2]!'MYRTW.FX-TotalVolume'</f>
        <v>#REF!</v>
      </c>
      <c r="I28" s="35" t="e">
        <f>[2]!'MYRTW.FX-BestBidSize'</f>
        <v>#REF!</v>
      </c>
      <c r="J28" s="35" t="e">
        <f>[2]!'MYRTW.FX-BestAskSize'</f>
        <v>#REF!</v>
      </c>
      <c r="K28" s="35" t="e">
        <f>[2]!'MYRTW.FX-PreClose'</f>
        <v>#REF!</v>
      </c>
      <c r="L28" s="35" t="e">
        <f>[2]!'MYRTW.FX-InOutRatio'</f>
        <v>#REF!</v>
      </c>
      <c r="M28" s="35" t="e">
        <f>[2]!'MYRTW.FX-AvgPrice'</f>
        <v>#REF!</v>
      </c>
      <c r="N28" s="35" t="e">
        <f>[2]!'MYRTW.FX-Capital'</f>
        <v>#REF!</v>
      </c>
      <c r="O28" s="35" t="e">
        <f>[2]!'MYRTW.FX-Profit'</f>
        <v>#REF!</v>
      </c>
      <c r="P28" s="35" t="e">
        <f>[2]!'MYRTW.FX-MarketValue'</f>
        <v>#REF!</v>
      </c>
    </row>
    <row r="29" spans="1:16">
      <c r="A29" s="35" t="e">
        <f>[2]!'NZDTW.FX-Name'</f>
        <v>#REF!</v>
      </c>
      <c r="B29" s="35" t="e">
        <f>[2]!'NZDTW.FX-Bid'</f>
        <v>#REF!</v>
      </c>
      <c r="C29" s="35" t="e">
        <f>[2]!'NZDTW.FX-Ask'</f>
        <v>#REF!</v>
      </c>
      <c r="D29" s="35" t="e">
        <f>[2]!'NZDTW.FX-Price'</f>
        <v>#REF!</v>
      </c>
      <c r="E29" s="35" t="e">
        <f>[2]!'NZDTW.FX-PriceChange'</f>
        <v>#REF!</v>
      </c>
      <c r="F29" s="35" t="e">
        <f>[2]!'NZDTW.FX-PriceChangeRatio'</f>
        <v>#REF!</v>
      </c>
      <c r="G29" s="35" t="e">
        <f>[2]!'NZDTW.FX-Volume'</f>
        <v>#REF!</v>
      </c>
      <c r="H29" s="35" t="e">
        <f>[2]!'NZDTW.FX-TotalVolume'</f>
        <v>#REF!</v>
      </c>
      <c r="I29" s="35" t="e">
        <f>[2]!'NZDTW.FX-BestBidSize'</f>
        <v>#REF!</v>
      </c>
      <c r="J29" s="35" t="e">
        <f>[2]!'NZDTW.FX-BestAskSize'</f>
        <v>#REF!</v>
      </c>
      <c r="K29" s="35" t="e">
        <f>[2]!'NZDTW.FX-PreClose'</f>
        <v>#REF!</v>
      </c>
      <c r="L29" s="35" t="e">
        <f>[2]!'NZDTW.FX-InOutRatio'</f>
        <v>#REF!</v>
      </c>
      <c r="M29" s="35" t="e">
        <f>[2]!'NZDTW.FX-AvgPrice'</f>
        <v>#REF!</v>
      </c>
      <c r="N29" s="35" t="e">
        <f>[2]!'NZDTW.FX-Capital'</f>
        <v>#REF!</v>
      </c>
      <c r="O29" s="35" t="e">
        <f>[2]!'NZDTW.FX-Profit'</f>
        <v>#REF!</v>
      </c>
      <c r="P29" s="35" t="e">
        <f>[2]!'NZDTW.FX-MarketValue'</f>
        <v>#REF!</v>
      </c>
    </row>
    <row r="30" spans="1:16">
      <c r="A30" s="35" t="e">
        <f>[2]!'PHPTW.FX-Name'</f>
        <v>#REF!</v>
      </c>
      <c r="B30" s="35" t="e">
        <f>[2]!'PHPTW.FX-Bid'</f>
        <v>#REF!</v>
      </c>
      <c r="C30" s="35" t="e">
        <f>[2]!'PHPTW.FX-Ask'</f>
        <v>#REF!</v>
      </c>
      <c r="D30" s="35" t="e">
        <f>[2]!'PHPTW.FX-Price'</f>
        <v>#REF!</v>
      </c>
      <c r="E30" s="35" t="e">
        <f>[2]!'PHPTW.FX-PriceChange'</f>
        <v>#REF!</v>
      </c>
      <c r="F30" s="35" t="e">
        <f>[2]!'PHPTW.FX-PriceChangeRatio'</f>
        <v>#REF!</v>
      </c>
      <c r="G30" s="35" t="e">
        <f>[2]!'PHPTW.FX-Volume'</f>
        <v>#REF!</v>
      </c>
      <c r="H30" s="35" t="e">
        <f>[2]!'PHPTW.FX-TotalVolume'</f>
        <v>#REF!</v>
      </c>
      <c r="I30" s="35" t="e">
        <f>[2]!'PHPTW.FX-BestBidSize'</f>
        <v>#REF!</v>
      </c>
      <c r="J30" s="35" t="e">
        <f>[2]!'PHPTW.FX-BestAskSize'</f>
        <v>#REF!</v>
      </c>
      <c r="K30" s="35" t="e">
        <f>[2]!'PHPTW.FX-PreClose'</f>
        <v>#REF!</v>
      </c>
      <c r="L30" s="35" t="e">
        <f>[2]!'PHPTW.FX-InOutRatio'</f>
        <v>#REF!</v>
      </c>
      <c r="M30" s="35" t="e">
        <f>[2]!'PHPTW.FX-AvgPrice'</f>
        <v>#REF!</v>
      </c>
      <c r="N30" s="35" t="e">
        <f>[2]!'PHPTW.FX-Capital'</f>
        <v>#REF!</v>
      </c>
      <c r="O30" s="35" t="e">
        <f>[2]!'PHPTW.FX-Profit'</f>
        <v>#REF!</v>
      </c>
      <c r="P30" s="35" t="e">
        <f>[2]!'PHPTW.FX-MarketValue'</f>
        <v>#REF!</v>
      </c>
    </row>
    <row r="31" spans="1:16">
      <c r="A31" s="35" t="e">
        <f>[2]!'SGDTW.FX-Name'</f>
        <v>#REF!</v>
      </c>
      <c r="B31" s="35" t="e">
        <f>[2]!'SGDTW.FX-Bid'</f>
        <v>#REF!</v>
      </c>
      <c r="C31" s="35" t="e">
        <f>[2]!'SGDTW.FX-Ask'</f>
        <v>#REF!</v>
      </c>
      <c r="D31" s="35" t="e">
        <f>[2]!'SGDTW.FX-Price'</f>
        <v>#REF!</v>
      </c>
      <c r="E31" s="35" t="e">
        <f>[2]!'SGDTW.FX-PriceChange'</f>
        <v>#REF!</v>
      </c>
      <c r="F31" s="35" t="e">
        <f>[2]!'SGDTW.FX-PriceChangeRatio'</f>
        <v>#REF!</v>
      </c>
      <c r="G31" s="35" t="e">
        <f>[2]!'SGDTW.FX-Volume'</f>
        <v>#REF!</v>
      </c>
      <c r="H31" s="35" t="e">
        <f>[2]!'SGDTW.FX-TotalVolume'</f>
        <v>#REF!</v>
      </c>
      <c r="I31" s="35" t="e">
        <f>[2]!'SGDTW.FX-BestBidSize'</f>
        <v>#REF!</v>
      </c>
      <c r="J31" s="35" t="e">
        <f>[2]!'SGDTW.FX-BestAskSize'</f>
        <v>#REF!</v>
      </c>
      <c r="K31" s="35" t="e">
        <f>[2]!'SGDTW.FX-PreClose'</f>
        <v>#REF!</v>
      </c>
      <c r="L31" s="35" t="e">
        <f>[2]!'SGDTW.FX-InOutRatio'</f>
        <v>#REF!</v>
      </c>
      <c r="M31" s="35" t="e">
        <f>[2]!'SGDTW.FX-AvgPrice'</f>
        <v>#REF!</v>
      </c>
      <c r="N31" s="35" t="e">
        <f>[2]!'SGDTW.FX-Capital'</f>
        <v>#REF!</v>
      </c>
      <c r="O31" s="35" t="e">
        <f>[2]!'SGDTW.FX-Profit'</f>
        <v>#REF!</v>
      </c>
      <c r="P31" s="35" t="e">
        <f>[2]!'SGDTW.FX-MarketValue'</f>
        <v>#REF!</v>
      </c>
    </row>
    <row r="32" spans="1:16">
      <c r="A32" s="35" t="e">
        <f>[2]!'ZARTW.FX-Name'</f>
        <v>#REF!</v>
      </c>
      <c r="B32" s="35" t="e">
        <f>[2]!'ZARTW.FX-Bid'</f>
        <v>#REF!</v>
      </c>
      <c r="C32" s="35" t="e">
        <f>[2]!'ZARTW.FX-Ask'</f>
        <v>#REF!</v>
      </c>
      <c r="D32" s="35" t="e">
        <f>[2]!'ZARTW.FX-Price'</f>
        <v>#REF!</v>
      </c>
      <c r="E32" s="35" t="e">
        <f>[2]!'ZARTW.FX-PriceChange'</f>
        <v>#REF!</v>
      </c>
      <c r="F32" s="35" t="e">
        <f>[2]!'ZARTW.FX-PriceChangeRatio'</f>
        <v>#REF!</v>
      </c>
      <c r="G32" s="35" t="e">
        <f>[2]!'ZARTW.FX-Volume'</f>
        <v>#REF!</v>
      </c>
      <c r="H32" s="35" t="e">
        <f>[2]!'ZARTW.FX-TotalVolume'</f>
        <v>#REF!</v>
      </c>
      <c r="I32" s="35" t="e">
        <f>[2]!'ZARTW.FX-BestBidSize'</f>
        <v>#REF!</v>
      </c>
      <c r="J32" s="35" t="e">
        <f>[2]!'ZARTW.FX-BestAskSize'</f>
        <v>#REF!</v>
      </c>
      <c r="K32" s="35" t="e">
        <f>[2]!'ZARTW.FX-PreClose'</f>
        <v>#REF!</v>
      </c>
      <c r="L32" s="35" t="e">
        <f>[2]!'ZARTW.FX-InOutRatio'</f>
        <v>#REF!</v>
      </c>
      <c r="M32" s="35" t="e">
        <f>[2]!'ZARTW.FX-AvgPrice'</f>
        <v>#REF!</v>
      </c>
      <c r="N32" s="35" t="e">
        <f>[2]!'ZARTW.FX-Capital'</f>
        <v>#REF!</v>
      </c>
      <c r="O32" s="35" t="e">
        <f>[2]!'ZARTW.FX-Profit'</f>
        <v>#REF!</v>
      </c>
      <c r="P32" s="35" t="e">
        <f>[2]!'ZARTW.FX-MarketValue'</f>
        <v>#REF!</v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A2" sqref="A2"/>
    </sheetView>
  </sheetViews>
  <sheetFormatPr defaultColWidth="12.88671875" defaultRowHeight="16.2"/>
  <cols>
    <col min="1" max="16384" width="12.88671875" style="202"/>
  </cols>
  <sheetData/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Y138"/>
  <sheetViews>
    <sheetView workbookViewId="0">
      <selection activeCell="A7" sqref="A7:XFD7"/>
    </sheetView>
  </sheetViews>
  <sheetFormatPr defaultColWidth="9" defaultRowHeight="16.2"/>
  <cols>
    <col min="1" max="1" width="9.44140625" style="279" bestFit="1" customWidth="1"/>
    <col min="2" max="2" width="20.21875" style="279" customWidth="1"/>
    <col min="3" max="3" width="8.6640625" style="279" customWidth="1"/>
    <col min="4" max="4" width="6.77734375" style="279" customWidth="1"/>
    <col min="5" max="5" width="7.77734375" style="279" customWidth="1"/>
    <col min="6" max="6" width="7.88671875" style="279" customWidth="1"/>
    <col min="7" max="7" width="10.109375" style="280" customWidth="1"/>
    <col min="8" max="8" width="8.77734375" style="280" customWidth="1"/>
    <col min="9" max="9" width="10.21875" style="281" customWidth="1"/>
    <col min="10" max="10" width="8.109375" style="279" customWidth="1"/>
    <col min="11" max="11" width="9.33203125" style="279" customWidth="1"/>
    <col min="12" max="12" width="7.88671875" style="279" customWidth="1"/>
    <col min="13" max="13" width="11" style="280" customWidth="1"/>
    <col min="14" max="14" width="11" style="281" customWidth="1"/>
    <col min="15" max="15" width="7" style="279" customWidth="1"/>
    <col min="16" max="16" width="8.33203125" style="279" customWidth="1"/>
    <col min="17" max="17" width="24" style="253" customWidth="1"/>
    <col min="18" max="18" width="11.6640625" style="253" customWidth="1"/>
    <col min="19" max="19" width="13.33203125" style="253" customWidth="1"/>
    <col min="20" max="20" width="11.88671875" style="253" customWidth="1"/>
    <col min="21" max="21" width="13.6640625" style="253" bestFit="1" customWidth="1"/>
    <col min="22" max="22" width="8.88671875" style="253" customWidth="1"/>
    <col min="23" max="23" width="8.6640625" style="253" customWidth="1"/>
    <col min="24" max="24" width="8.44140625" style="253" bestFit="1" customWidth="1"/>
    <col min="25" max="25" width="13.21875" style="253" bestFit="1" customWidth="1"/>
    <col min="26" max="26" width="11.21875" style="253" customWidth="1"/>
    <col min="27" max="27" width="9" style="253"/>
    <col min="28" max="28" width="9.88671875" style="253" bestFit="1" customWidth="1"/>
    <col min="29" max="32" width="9" style="253"/>
    <col min="33" max="33" width="9.88671875" style="253" bestFit="1" customWidth="1"/>
    <col min="34" max="16384" width="9" style="253"/>
  </cols>
  <sheetData>
    <row r="1" spans="1:25" ht="25.2" thickBot="1">
      <c r="A1" s="562" t="s">
        <v>1505</v>
      </c>
      <c r="B1" s="563"/>
      <c r="C1" s="563"/>
      <c r="D1" s="563"/>
      <c r="E1" s="563"/>
      <c r="F1" s="563"/>
      <c r="G1" s="563"/>
      <c r="H1" s="563"/>
      <c r="I1" s="563"/>
      <c r="J1" s="563"/>
      <c r="K1" s="563"/>
      <c r="L1" s="563"/>
      <c r="M1" s="563"/>
      <c r="N1" s="564"/>
    </row>
    <row r="2" spans="1:25">
      <c r="A2" s="565" t="s">
        <v>1506</v>
      </c>
      <c r="B2" s="567" t="s">
        <v>1507</v>
      </c>
      <c r="C2" s="568" t="s">
        <v>1508</v>
      </c>
      <c r="D2" s="570" t="s">
        <v>1509</v>
      </c>
      <c r="E2" s="571"/>
      <c r="F2" s="572"/>
      <c r="G2" s="572"/>
      <c r="H2" s="572"/>
      <c r="I2" s="573"/>
      <c r="J2" s="528" t="s">
        <v>1510</v>
      </c>
      <c r="K2" s="529"/>
      <c r="L2" s="530"/>
      <c r="M2" s="530"/>
      <c r="N2" s="531"/>
      <c r="O2" s="253"/>
      <c r="P2" s="253"/>
      <c r="Q2" s="253" t="s">
        <v>1511</v>
      </c>
      <c r="S2" s="321" t="s">
        <v>1512</v>
      </c>
      <c r="X2" s="560" t="s">
        <v>1513</v>
      </c>
      <c r="Y2" s="561"/>
    </row>
    <row r="3" spans="1:25" ht="42" thickBot="1">
      <c r="A3" s="566"/>
      <c r="B3" s="552"/>
      <c r="C3" s="569"/>
      <c r="D3" s="255" t="s">
        <v>1509</v>
      </c>
      <c r="E3" s="256" t="s">
        <v>1514</v>
      </c>
      <c r="F3" s="257" t="s">
        <v>1515</v>
      </c>
      <c r="G3" s="256" t="s">
        <v>1516</v>
      </c>
      <c r="H3" s="258" t="s">
        <v>1517</v>
      </c>
      <c r="I3" s="259" t="s">
        <v>1518</v>
      </c>
      <c r="J3" s="255" t="s">
        <v>1510</v>
      </c>
      <c r="K3" s="256" t="s">
        <v>1514</v>
      </c>
      <c r="L3" s="257" t="s">
        <v>1519</v>
      </c>
      <c r="M3" s="256" t="s">
        <v>1520</v>
      </c>
      <c r="N3" s="260" t="s">
        <v>1521</v>
      </c>
      <c r="O3" s="253"/>
      <c r="P3" s="257" t="s">
        <v>1522</v>
      </c>
      <c r="Q3" s="257" t="s">
        <v>1523</v>
      </c>
      <c r="R3" s="257" t="s">
        <v>1524</v>
      </c>
      <c r="S3" s="257" t="s">
        <v>1525</v>
      </c>
      <c r="T3" s="257" t="s">
        <v>1526</v>
      </c>
      <c r="U3" s="257" t="s">
        <v>1527</v>
      </c>
      <c r="V3" s="322" t="s">
        <v>1528</v>
      </c>
      <c r="W3" s="322" t="s">
        <v>1529</v>
      </c>
      <c r="X3" s="323" t="s">
        <v>1530</v>
      </c>
      <c r="Y3" s="324" t="s">
        <v>1531</v>
      </c>
    </row>
    <row r="4" spans="1:25" ht="31.2">
      <c r="A4" s="261" t="s">
        <v>1532</v>
      </c>
      <c r="B4" s="262" t="s">
        <v>1533</v>
      </c>
      <c r="C4" s="263">
        <f>VLOOKUP($A4,'ETF Update'!$A:$C,3,FALSE)</f>
        <v>18.649999999999999</v>
      </c>
      <c r="D4" s="264">
        <v>5000</v>
      </c>
      <c r="E4" s="265">
        <f t="shared" ref="E4:E35" si="0">D4/(C4*1000*500)</f>
        <v>5.3619302949061668E-4</v>
      </c>
      <c r="F4" s="3"/>
      <c r="G4" s="266">
        <v>0</v>
      </c>
      <c r="H4" s="266">
        <v>1E-3</v>
      </c>
      <c r="I4" s="267">
        <f t="shared" ref="I4:I35" si="1">E4+H4+G4</f>
        <v>1.5361930294906167E-3</v>
      </c>
      <c r="J4" s="264">
        <v>5000</v>
      </c>
      <c r="K4" s="265">
        <f>J4/(C4*1000*500)</f>
        <v>5.3619302949061668E-4</v>
      </c>
      <c r="L4" s="3"/>
      <c r="M4" s="266">
        <v>3.0000000000000001E-3</v>
      </c>
      <c r="N4" s="267">
        <f t="shared" ref="N4:N35" si="2">K4+M4</f>
        <v>3.5361930294906165E-3</v>
      </c>
      <c r="O4" s="253"/>
      <c r="P4" s="325">
        <v>4.0000000000000001E-3</v>
      </c>
      <c r="Q4" s="326">
        <v>5.9999999999999995E-4</v>
      </c>
      <c r="R4" s="325">
        <v>3.5E-4</v>
      </c>
      <c r="S4" s="325">
        <v>2.9999999999999997E-4</v>
      </c>
      <c r="T4" s="285">
        <f>SUM(P4:S4)</f>
        <v>5.2499999999999995E-3</v>
      </c>
      <c r="U4" s="49">
        <v>1000000</v>
      </c>
      <c r="X4" s="327" t="s">
        <v>1534</v>
      </c>
      <c r="Y4" s="328" t="s">
        <v>1534</v>
      </c>
    </row>
    <row r="5" spans="1:25">
      <c r="A5" s="261" t="s">
        <v>1535</v>
      </c>
      <c r="B5" s="262" t="s">
        <v>1536</v>
      </c>
      <c r="C5" s="263">
        <v>26.11</v>
      </c>
      <c r="D5" s="264">
        <v>5000</v>
      </c>
      <c r="E5" s="265">
        <f t="shared" si="0"/>
        <v>3.8299502106472615E-4</v>
      </c>
      <c r="F5" s="3"/>
      <c r="G5" s="266">
        <v>0</v>
      </c>
      <c r="H5" s="266">
        <v>1E-3</v>
      </c>
      <c r="I5" s="267">
        <f t="shared" si="1"/>
        <v>1.3829950210647261E-3</v>
      </c>
      <c r="J5" s="264">
        <v>5000</v>
      </c>
      <c r="K5" s="265">
        <f>J5/(C5*1000*500)</f>
        <v>3.8299502106472615E-4</v>
      </c>
      <c r="L5" s="3"/>
      <c r="M5" s="266">
        <v>3.0000000000000001E-3</v>
      </c>
      <c r="N5" s="267">
        <f t="shared" si="2"/>
        <v>3.3829950210647261E-3</v>
      </c>
      <c r="O5" s="253"/>
      <c r="P5" s="325">
        <v>4.0000000000000001E-3</v>
      </c>
      <c r="Q5" s="326">
        <v>4.0000000000000002E-4</v>
      </c>
      <c r="R5" s="325">
        <v>3.5E-4</v>
      </c>
      <c r="S5" s="325">
        <v>2.9999999999999997E-4</v>
      </c>
      <c r="T5" s="285">
        <f>SUM(P5:S5)</f>
        <v>5.0499999999999998E-3</v>
      </c>
      <c r="U5" s="49">
        <v>1000000</v>
      </c>
      <c r="V5" s="329"/>
      <c r="W5" s="329"/>
    </row>
    <row r="6" spans="1:25">
      <c r="A6" s="261" t="s">
        <v>1537</v>
      </c>
      <c r="B6" s="262" t="s">
        <v>1538</v>
      </c>
      <c r="C6" s="263">
        <v>81.849999999999994</v>
      </c>
      <c r="D6" s="264">
        <v>5000</v>
      </c>
      <c r="E6" s="265">
        <f t="shared" si="0"/>
        <v>1.2217470983506414E-4</v>
      </c>
      <c r="F6" s="3"/>
      <c r="G6" s="266">
        <v>0</v>
      </c>
      <c r="H6" s="266">
        <v>1E-3</v>
      </c>
      <c r="I6" s="267">
        <f t="shared" si="1"/>
        <v>1.1221747098350641E-3</v>
      </c>
      <c r="J6" s="264">
        <v>5000</v>
      </c>
      <c r="K6" s="265">
        <f>J6/(C6*1000*500)</f>
        <v>1.2217470983506414E-4</v>
      </c>
      <c r="L6" s="3"/>
      <c r="M6" s="266">
        <v>3.0000000000000001E-3</v>
      </c>
      <c r="N6" s="267">
        <f t="shared" si="2"/>
        <v>3.1221747098350641E-3</v>
      </c>
      <c r="O6" s="253"/>
      <c r="P6" s="325">
        <v>3.2000000000000002E-3</v>
      </c>
      <c r="Q6" s="326">
        <v>4.0000000000000002E-4</v>
      </c>
      <c r="R6" s="325">
        <v>3.5E-4</v>
      </c>
      <c r="S6" s="325">
        <v>2.9999999999999997E-4</v>
      </c>
      <c r="T6" s="285">
        <f>SUM(P6:S6)</f>
        <v>4.2500000000000003E-3</v>
      </c>
      <c r="U6" s="49">
        <v>1000000</v>
      </c>
      <c r="V6" s="329"/>
      <c r="W6" s="329"/>
    </row>
    <row r="7" spans="1:25">
      <c r="A7" s="261" t="s">
        <v>1539</v>
      </c>
      <c r="B7" s="268" t="s">
        <v>372</v>
      </c>
      <c r="C7" s="263">
        <v>34.28</v>
      </c>
      <c r="D7" s="264">
        <v>5000</v>
      </c>
      <c r="E7" s="265">
        <f t="shared" si="0"/>
        <v>2.9171528588098014E-4</v>
      </c>
      <c r="F7" s="3"/>
      <c r="G7" s="266">
        <v>1E-3</v>
      </c>
      <c r="H7" s="266">
        <v>1E-3</v>
      </c>
      <c r="I7" s="267">
        <f t="shared" si="1"/>
        <v>2.2917152858809801E-3</v>
      </c>
      <c r="J7" s="264">
        <v>5000</v>
      </c>
      <c r="K7" s="265">
        <f t="shared" ref="K7:K35" si="3">J7/(C7*1000*500)</f>
        <v>2.9171528588098014E-4</v>
      </c>
      <c r="L7" s="3"/>
      <c r="M7" s="266">
        <v>2E-3</v>
      </c>
      <c r="N7" s="267">
        <f t="shared" si="2"/>
        <v>2.2917152858809801E-3</v>
      </c>
      <c r="O7" s="253"/>
      <c r="P7" s="325">
        <v>0.01</v>
      </c>
      <c r="Q7" s="326">
        <v>4.0000000000000002E-4</v>
      </c>
      <c r="R7" s="325">
        <v>4.0000000000000002E-4</v>
      </c>
      <c r="S7" s="325">
        <v>2.9999999999999997E-4</v>
      </c>
      <c r="T7" s="285">
        <f t="shared" ref="T7:T35" si="4">SUM(P7:S7)</f>
        <v>1.1099999999999999E-2</v>
      </c>
      <c r="U7" s="49">
        <v>1000000</v>
      </c>
      <c r="V7" s="329"/>
      <c r="W7" s="329"/>
    </row>
    <row r="8" spans="1:25">
      <c r="A8" s="261" t="s">
        <v>1540</v>
      </c>
      <c r="B8" s="268" t="s">
        <v>373</v>
      </c>
      <c r="C8" s="263">
        <v>13.52</v>
      </c>
      <c r="D8" s="264">
        <v>5000</v>
      </c>
      <c r="E8" s="265">
        <f t="shared" si="0"/>
        <v>7.3964497041420117E-4</v>
      </c>
      <c r="F8" s="3"/>
      <c r="G8" s="266">
        <v>2.0000000000000001E-4</v>
      </c>
      <c r="H8" s="266">
        <v>1E-3</v>
      </c>
      <c r="I8" s="267">
        <f t="shared" si="1"/>
        <v>1.9396449704142012E-3</v>
      </c>
      <c r="J8" s="264">
        <v>5000</v>
      </c>
      <c r="K8" s="265">
        <f t="shared" si="3"/>
        <v>7.3964497041420117E-4</v>
      </c>
      <c r="L8" s="3"/>
      <c r="M8" s="266">
        <v>2.0000000000000001E-4</v>
      </c>
      <c r="N8" s="267">
        <f t="shared" si="2"/>
        <v>9.3964497041420115E-4</v>
      </c>
      <c r="O8" s="253"/>
      <c r="P8" s="325">
        <v>0.01</v>
      </c>
      <c r="Q8" s="326">
        <v>4.0000000000000002E-4</v>
      </c>
      <c r="R8" s="325">
        <v>4.0000000000000002E-4</v>
      </c>
      <c r="S8" s="325">
        <v>2.9999999999999997E-4</v>
      </c>
      <c r="T8" s="285">
        <f t="shared" si="4"/>
        <v>1.1099999999999999E-2</v>
      </c>
      <c r="U8" s="49">
        <v>1000000</v>
      </c>
      <c r="V8" s="329"/>
      <c r="W8" s="329"/>
    </row>
    <row r="9" spans="1:25">
      <c r="A9" s="261" t="s">
        <v>1541</v>
      </c>
      <c r="B9" s="268" t="s">
        <v>369</v>
      </c>
      <c r="C9" s="263">
        <v>18.440000000000001</v>
      </c>
      <c r="D9" s="269">
        <v>5000</v>
      </c>
      <c r="E9" s="265">
        <f t="shared" si="0"/>
        <v>5.4229934924078093E-4</v>
      </c>
      <c r="F9" s="3"/>
      <c r="G9" s="266">
        <v>2E-3</v>
      </c>
      <c r="H9" s="266">
        <v>1E-3</v>
      </c>
      <c r="I9" s="267">
        <f t="shared" si="1"/>
        <v>3.5422993492407809E-3</v>
      </c>
      <c r="J9" s="269">
        <v>5000</v>
      </c>
      <c r="K9" s="265">
        <f t="shared" si="3"/>
        <v>5.4229934924078093E-4</v>
      </c>
      <c r="L9" s="3"/>
      <c r="M9" s="266">
        <v>2E-3</v>
      </c>
      <c r="N9" s="267">
        <f t="shared" si="2"/>
        <v>2.5422993492407809E-3</v>
      </c>
      <c r="O9" s="253"/>
      <c r="P9" s="325">
        <v>3.0000000000000001E-3</v>
      </c>
      <c r="Q9" s="326">
        <v>0</v>
      </c>
      <c r="R9" s="325">
        <v>1E-3</v>
      </c>
      <c r="S9" s="325">
        <v>2.9999999999999997E-4</v>
      </c>
      <c r="T9" s="285">
        <f t="shared" si="4"/>
        <v>4.3E-3</v>
      </c>
      <c r="U9" s="49">
        <v>500000</v>
      </c>
      <c r="V9" s="329"/>
      <c r="W9" s="329"/>
    </row>
    <row r="10" spans="1:25">
      <c r="A10" s="261" t="s">
        <v>1542</v>
      </c>
      <c r="B10" s="268" t="s">
        <v>374</v>
      </c>
      <c r="C10" s="263">
        <v>30.66</v>
      </c>
      <c r="D10" s="269">
        <v>5000</v>
      </c>
      <c r="E10" s="265">
        <f t="shared" si="0"/>
        <v>3.2615786040443573E-4</v>
      </c>
      <c r="F10" s="3"/>
      <c r="G10" s="266">
        <v>2E-3</v>
      </c>
      <c r="H10" s="266">
        <v>1E-3</v>
      </c>
      <c r="I10" s="267">
        <f t="shared" si="1"/>
        <v>3.3261578604044358E-3</v>
      </c>
      <c r="J10" s="269">
        <v>5000</v>
      </c>
      <c r="K10" s="265">
        <f t="shared" si="3"/>
        <v>3.2615786040443573E-4</v>
      </c>
      <c r="L10" s="3"/>
      <c r="M10" s="266">
        <v>4.0000000000000001E-3</v>
      </c>
      <c r="N10" s="267">
        <f t="shared" si="2"/>
        <v>4.3261578604044358E-3</v>
      </c>
      <c r="O10" s="253"/>
      <c r="P10" s="325">
        <v>9.9000000000000008E-3</v>
      </c>
      <c r="Q10" s="326" t="s">
        <v>1543</v>
      </c>
      <c r="R10" s="325">
        <v>1E-3</v>
      </c>
      <c r="S10" s="325">
        <v>2.9999999999999997E-4</v>
      </c>
      <c r="T10" s="285">
        <f t="shared" si="4"/>
        <v>1.12E-2</v>
      </c>
      <c r="U10" s="49">
        <v>1000000</v>
      </c>
      <c r="V10" s="329"/>
      <c r="W10" s="329"/>
    </row>
    <row r="11" spans="1:25">
      <c r="A11" s="270" t="s">
        <v>1544</v>
      </c>
      <c r="B11" s="268" t="s">
        <v>375</v>
      </c>
      <c r="C11" s="263">
        <v>16.64</v>
      </c>
      <c r="D11" s="269">
        <v>5000</v>
      </c>
      <c r="E11" s="265">
        <f t="shared" si="0"/>
        <v>6.0096153846153849E-4</v>
      </c>
      <c r="F11" s="3"/>
      <c r="G11" s="266">
        <v>1E-3</v>
      </c>
      <c r="H11" s="266">
        <v>1E-3</v>
      </c>
      <c r="I11" s="267">
        <f t="shared" si="1"/>
        <v>2.6009615384615385E-3</v>
      </c>
      <c r="J11" s="269">
        <v>5000</v>
      </c>
      <c r="K11" s="265">
        <f t="shared" si="3"/>
        <v>6.0096153846153849E-4</v>
      </c>
      <c r="L11" s="3"/>
      <c r="M11" s="266">
        <v>2E-3</v>
      </c>
      <c r="N11" s="267">
        <f t="shared" si="2"/>
        <v>2.6009615384615385E-3</v>
      </c>
      <c r="O11" s="253"/>
      <c r="P11" s="325">
        <v>9.9000000000000008E-3</v>
      </c>
      <c r="Q11" s="326" t="s">
        <v>1543</v>
      </c>
      <c r="R11" s="325">
        <v>2.3E-3</v>
      </c>
      <c r="S11" s="325">
        <v>2.9999999999999997E-4</v>
      </c>
      <c r="T11" s="285">
        <f t="shared" si="4"/>
        <v>1.2500000000000001E-2</v>
      </c>
      <c r="U11" s="49">
        <v>1000000</v>
      </c>
      <c r="V11" s="329"/>
      <c r="W11" s="329"/>
    </row>
    <row r="12" spans="1:25">
      <c r="A12" s="270" t="s">
        <v>1545</v>
      </c>
      <c r="B12" s="268" t="s">
        <v>376</v>
      </c>
      <c r="C12" s="263">
        <v>15.51</v>
      </c>
      <c r="D12" s="269">
        <v>5000</v>
      </c>
      <c r="E12" s="265">
        <f t="shared" si="0"/>
        <v>6.4474532559638943E-4</v>
      </c>
      <c r="F12" s="3"/>
      <c r="G12" s="266">
        <v>5.0000000000000001E-4</v>
      </c>
      <c r="H12" s="266">
        <v>1E-3</v>
      </c>
      <c r="I12" s="267">
        <f t="shared" si="1"/>
        <v>2.1447453255963892E-3</v>
      </c>
      <c r="J12" s="269">
        <v>5000</v>
      </c>
      <c r="K12" s="265">
        <f t="shared" si="3"/>
        <v>6.4474532559638943E-4</v>
      </c>
      <c r="L12" s="3"/>
      <c r="M12" s="266">
        <v>5.0000000000000001E-4</v>
      </c>
      <c r="N12" s="267">
        <f t="shared" si="2"/>
        <v>1.1447453255963894E-3</v>
      </c>
      <c r="O12" s="253"/>
      <c r="P12" s="325">
        <v>9.9000000000000008E-3</v>
      </c>
      <c r="Q12" s="326" t="s">
        <v>1543</v>
      </c>
      <c r="R12" s="325">
        <v>2.0999999999999999E-3</v>
      </c>
      <c r="S12" s="325">
        <v>2.9999999999999997E-4</v>
      </c>
      <c r="T12" s="285">
        <f t="shared" si="4"/>
        <v>1.23E-2</v>
      </c>
      <c r="U12" s="49">
        <v>1000000</v>
      </c>
      <c r="V12" s="329"/>
      <c r="W12" s="329"/>
    </row>
    <row r="13" spans="1:25">
      <c r="A13" s="261" t="s">
        <v>1546</v>
      </c>
      <c r="B13" s="268" t="s">
        <v>382</v>
      </c>
      <c r="C13" s="263">
        <v>25.44</v>
      </c>
      <c r="D13" s="269">
        <v>5000</v>
      </c>
      <c r="E13" s="265">
        <f t="shared" si="0"/>
        <v>3.9308176100628933E-4</v>
      </c>
      <c r="F13" s="3"/>
      <c r="G13" s="266">
        <v>1.5E-3</v>
      </c>
      <c r="H13" s="266">
        <v>1E-3</v>
      </c>
      <c r="I13" s="267">
        <f t="shared" si="1"/>
        <v>2.8930817610062893E-3</v>
      </c>
      <c r="J13" s="269">
        <v>5000</v>
      </c>
      <c r="K13" s="265">
        <f t="shared" si="3"/>
        <v>3.9308176100628933E-4</v>
      </c>
      <c r="L13" s="3"/>
      <c r="M13" s="266">
        <v>1.5E-3</v>
      </c>
      <c r="N13" s="267">
        <f t="shared" si="2"/>
        <v>1.8930817610062893E-3</v>
      </c>
      <c r="O13" s="253"/>
      <c r="P13" s="325">
        <v>5.0000000000000001E-3</v>
      </c>
      <c r="Q13" s="326" t="s">
        <v>1547</v>
      </c>
      <c r="R13" s="325">
        <v>2.3999999999999998E-3</v>
      </c>
      <c r="S13" s="325">
        <v>2.9999999999999997E-4</v>
      </c>
      <c r="T13" s="285">
        <f t="shared" si="4"/>
        <v>7.7000000000000002E-3</v>
      </c>
      <c r="U13" s="49">
        <v>1000000</v>
      </c>
      <c r="V13" s="329"/>
      <c r="W13" s="329"/>
    </row>
    <row r="14" spans="1:25">
      <c r="A14" s="261" t="s">
        <v>1548</v>
      </c>
      <c r="B14" s="268" t="s">
        <v>383</v>
      </c>
      <c r="C14" s="263">
        <v>25.81</v>
      </c>
      <c r="D14" s="269">
        <v>5000</v>
      </c>
      <c r="E14" s="265">
        <f t="shared" si="0"/>
        <v>3.8744672607516468E-4</v>
      </c>
      <c r="F14" s="3"/>
      <c r="G14" s="266">
        <v>1.6999999999999999E-3</v>
      </c>
      <c r="H14" s="266">
        <v>1E-3</v>
      </c>
      <c r="I14" s="267">
        <f t="shared" si="1"/>
        <v>3.0874467260751646E-3</v>
      </c>
      <c r="J14" s="269">
        <v>5000</v>
      </c>
      <c r="K14" s="265">
        <f t="shared" si="3"/>
        <v>3.8744672607516468E-4</v>
      </c>
      <c r="L14" s="3"/>
      <c r="M14" s="266">
        <v>1.6999999999999999E-3</v>
      </c>
      <c r="N14" s="267">
        <f t="shared" si="2"/>
        <v>2.0874467260751646E-3</v>
      </c>
      <c r="O14" s="253"/>
      <c r="P14" s="325">
        <v>5.0000000000000001E-3</v>
      </c>
      <c r="Q14" s="326">
        <v>5.0000000000000001E-4</v>
      </c>
      <c r="R14" s="325">
        <v>2E-3</v>
      </c>
      <c r="S14" s="325">
        <v>2.9999999999999997E-4</v>
      </c>
      <c r="T14" s="285">
        <f t="shared" si="4"/>
        <v>7.7999999999999996E-3</v>
      </c>
      <c r="U14" s="49">
        <v>1000000</v>
      </c>
      <c r="V14" s="329"/>
      <c r="W14" s="329"/>
    </row>
    <row r="15" spans="1:25">
      <c r="A15" s="261" t="s">
        <v>1549</v>
      </c>
      <c r="B15" s="268" t="s">
        <v>384</v>
      </c>
      <c r="C15" s="263">
        <v>22.82</v>
      </c>
      <c r="D15" s="269">
        <v>5000</v>
      </c>
      <c r="E15" s="265">
        <f t="shared" si="0"/>
        <v>4.3821209465381246E-4</v>
      </c>
      <c r="F15" s="3"/>
      <c r="G15" s="266">
        <v>1.5E-3</v>
      </c>
      <c r="H15" s="266">
        <v>1E-3</v>
      </c>
      <c r="I15" s="267">
        <f t="shared" si="1"/>
        <v>2.9382120946538125E-3</v>
      </c>
      <c r="J15" s="269">
        <v>5000</v>
      </c>
      <c r="K15" s="265">
        <f t="shared" si="3"/>
        <v>4.3821209465381246E-4</v>
      </c>
      <c r="L15" s="3"/>
      <c r="M15" s="266">
        <v>1.5E-3</v>
      </c>
      <c r="N15" s="267">
        <f t="shared" si="2"/>
        <v>1.9382120946538125E-3</v>
      </c>
      <c r="O15" s="253"/>
      <c r="P15" s="325">
        <v>5.0000000000000001E-3</v>
      </c>
      <c r="Q15" s="326" t="s">
        <v>1550</v>
      </c>
      <c r="R15" s="325">
        <v>2E-3</v>
      </c>
      <c r="S15" s="325">
        <v>2.9999999999999997E-4</v>
      </c>
      <c r="T15" s="285">
        <f t="shared" si="4"/>
        <v>7.3000000000000001E-3</v>
      </c>
      <c r="U15" s="49">
        <v>1000000</v>
      </c>
      <c r="V15" s="329"/>
      <c r="W15" s="329"/>
    </row>
    <row r="16" spans="1:25">
      <c r="A16" s="261" t="s">
        <v>1551</v>
      </c>
      <c r="B16" s="268" t="s">
        <v>379</v>
      </c>
      <c r="C16" s="263">
        <v>23.04</v>
      </c>
      <c r="D16" s="269">
        <v>5000</v>
      </c>
      <c r="E16" s="265">
        <f t="shared" si="0"/>
        <v>4.3402777777777775E-4</v>
      </c>
      <c r="F16" s="3"/>
      <c r="G16" s="266">
        <v>1E-3</v>
      </c>
      <c r="H16" s="266">
        <v>1E-3</v>
      </c>
      <c r="I16" s="267">
        <f t="shared" si="1"/>
        <v>2.434027777777778E-3</v>
      </c>
      <c r="J16" s="269">
        <v>5000</v>
      </c>
      <c r="K16" s="265">
        <f t="shared" si="3"/>
        <v>4.3402777777777775E-4</v>
      </c>
      <c r="L16" s="3"/>
      <c r="M16" s="266">
        <v>1E-3</v>
      </c>
      <c r="N16" s="267">
        <f t="shared" si="2"/>
        <v>1.4340277777777778E-3</v>
      </c>
      <c r="O16" s="253"/>
      <c r="P16" s="325">
        <v>5.0000000000000001E-3</v>
      </c>
      <c r="Q16" s="326" t="s">
        <v>1552</v>
      </c>
      <c r="R16" s="325">
        <v>2.0999999999999999E-3</v>
      </c>
      <c r="S16" s="325">
        <v>2.9999999999999997E-4</v>
      </c>
      <c r="T16" s="285">
        <f t="shared" si="4"/>
        <v>7.4000000000000003E-3</v>
      </c>
      <c r="U16" s="49">
        <v>1000000</v>
      </c>
      <c r="V16" s="329"/>
      <c r="W16" s="329"/>
    </row>
    <row r="17" spans="1:23">
      <c r="A17" s="261" t="s">
        <v>1553</v>
      </c>
      <c r="B17" s="268" t="s">
        <v>380</v>
      </c>
      <c r="C17" s="263">
        <v>28.44</v>
      </c>
      <c r="D17" s="269">
        <v>5000</v>
      </c>
      <c r="E17" s="265">
        <f t="shared" si="0"/>
        <v>3.5161744022503517E-4</v>
      </c>
      <c r="F17" s="3"/>
      <c r="G17" s="266">
        <v>8.0000000000000004E-4</v>
      </c>
      <c r="H17" s="266">
        <v>1E-3</v>
      </c>
      <c r="I17" s="267">
        <f t="shared" si="1"/>
        <v>2.151617440225035E-3</v>
      </c>
      <c r="J17" s="269">
        <v>5000</v>
      </c>
      <c r="K17" s="265">
        <f t="shared" si="3"/>
        <v>3.5161744022503517E-4</v>
      </c>
      <c r="L17" s="3"/>
      <c r="M17" s="266">
        <v>8.0000000000000004E-4</v>
      </c>
      <c r="N17" s="267">
        <f t="shared" si="2"/>
        <v>1.1516174402250352E-3</v>
      </c>
      <c r="O17" s="253"/>
      <c r="P17" s="325">
        <v>9.9000000000000008E-3</v>
      </c>
      <c r="Q17" s="326" t="s">
        <v>1552</v>
      </c>
      <c r="R17" s="325">
        <v>2E-3</v>
      </c>
      <c r="S17" s="325">
        <v>2.9999999999999997E-4</v>
      </c>
      <c r="T17" s="285">
        <f t="shared" si="4"/>
        <v>1.2200000000000001E-2</v>
      </c>
      <c r="U17" s="49">
        <v>1000000</v>
      </c>
      <c r="V17" s="329"/>
      <c r="W17" s="329"/>
    </row>
    <row r="18" spans="1:23" ht="21" customHeight="1">
      <c r="A18" s="261" t="s">
        <v>1554</v>
      </c>
      <c r="B18" s="268" t="s">
        <v>381</v>
      </c>
      <c r="C18" s="263">
        <v>14.99</v>
      </c>
      <c r="D18" s="269">
        <v>5000</v>
      </c>
      <c r="E18" s="265">
        <f t="shared" si="0"/>
        <v>6.6711140760506999E-4</v>
      </c>
      <c r="F18" s="3"/>
      <c r="G18" s="266">
        <v>2.0000000000000001E-4</v>
      </c>
      <c r="H18" s="266">
        <v>1E-3</v>
      </c>
      <c r="I18" s="267">
        <f t="shared" si="1"/>
        <v>1.8671114076050702E-3</v>
      </c>
      <c r="J18" s="269">
        <v>5000</v>
      </c>
      <c r="K18" s="265">
        <f t="shared" si="3"/>
        <v>6.6711140760506999E-4</v>
      </c>
      <c r="L18" s="3"/>
      <c r="M18" s="266">
        <v>2.0000000000000001E-4</v>
      </c>
      <c r="N18" s="267">
        <f t="shared" si="2"/>
        <v>8.6711140760506998E-4</v>
      </c>
      <c r="O18" s="253"/>
      <c r="P18" s="325">
        <v>9.9000000000000008E-3</v>
      </c>
      <c r="Q18" s="326" t="s">
        <v>1552</v>
      </c>
      <c r="R18" s="325">
        <v>1.8E-3</v>
      </c>
      <c r="S18" s="325">
        <v>2.9999999999999997E-4</v>
      </c>
      <c r="T18" s="285">
        <f t="shared" si="4"/>
        <v>1.2E-2</v>
      </c>
      <c r="U18" s="49">
        <v>1000000</v>
      </c>
      <c r="V18" s="329"/>
      <c r="W18" s="329"/>
    </row>
    <row r="19" spans="1:23">
      <c r="A19" s="270" t="s">
        <v>1555</v>
      </c>
      <c r="B19" s="268" t="s">
        <v>1498</v>
      </c>
      <c r="C19" s="263">
        <v>16.36</v>
      </c>
      <c r="D19" s="269">
        <v>5000</v>
      </c>
      <c r="E19" s="265">
        <f t="shared" si="0"/>
        <v>6.1124694376528117E-4</v>
      </c>
      <c r="F19" s="3">
        <v>2000</v>
      </c>
      <c r="G19" s="266">
        <f t="shared" ref="G19:G29" si="5">F19/(C19*1000*500)</f>
        <v>2.4449877750611245E-4</v>
      </c>
      <c r="H19" s="266">
        <v>1E-3</v>
      </c>
      <c r="I19" s="267">
        <f t="shared" si="1"/>
        <v>1.8557457212713935E-3</v>
      </c>
      <c r="J19" s="269">
        <v>5000</v>
      </c>
      <c r="K19" s="265">
        <f t="shared" si="3"/>
        <v>6.1124694376528117E-4</v>
      </c>
      <c r="L19" s="3">
        <v>2000</v>
      </c>
      <c r="M19" s="266">
        <f t="shared" ref="M19:M29" si="6">L19/(C19*1000*500)</f>
        <v>2.4449877750611245E-4</v>
      </c>
      <c r="N19" s="267">
        <f t="shared" si="2"/>
        <v>8.5574572127139362E-4</v>
      </c>
      <c r="O19" s="253"/>
      <c r="P19" s="325">
        <v>0.01</v>
      </c>
      <c r="Q19" s="326" t="s">
        <v>1556</v>
      </c>
      <c r="R19" s="325">
        <v>1.5E-3</v>
      </c>
      <c r="S19" s="325">
        <v>2.9999999999999997E-4</v>
      </c>
      <c r="T19" s="285">
        <f t="shared" si="4"/>
        <v>1.18E-2</v>
      </c>
      <c r="U19" s="49">
        <v>1000000</v>
      </c>
      <c r="V19" s="329"/>
      <c r="W19" s="329"/>
    </row>
    <row r="20" spans="1:23">
      <c r="A20" s="270" t="s">
        <v>1557</v>
      </c>
      <c r="B20" s="268" t="s">
        <v>1558</v>
      </c>
      <c r="C20" s="263">
        <v>15.24</v>
      </c>
      <c r="D20" s="269">
        <v>5000</v>
      </c>
      <c r="E20" s="265">
        <f t="shared" si="0"/>
        <v>6.5616797900262466E-4</v>
      </c>
      <c r="F20" s="3">
        <v>5000</v>
      </c>
      <c r="G20" s="266">
        <f t="shared" si="5"/>
        <v>6.5616797900262466E-4</v>
      </c>
      <c r="H20" s="266">
        <v>1E-3</v>
      </c>
      <c r="I20" s="267">
        <f t="shared" si="1"/>
        <v>2.3123359580052493E-3</v>
      </c>
      <c r="J20" s="269">
        <v>5000</v>
      </c>
      <c r="K20" s="265">
        <f t="shared" si="3"/>
        <v>6.5616797900262466E-4</v>
      </c>
      <c r="L20" s="3">
        <v>5000</v>
      </c>
      <c r="M20" s="266">
        <f t="shared" si="6"/>
        <v>6.5616797900262466E-4</v>
      </c>
      <c r="N20" s="267">
        <f t="shared" si="2"/>
        <v>1.3123359580052493E-3</v>
      </c>
      <c r="O20" s="253"/>
      <c r="P20" s="325">
        <v>0.01</v>
      </c>
      <c r="Q20" s="326" t="s">
        <v>1556</v>
      </c>
      <c r="R20" s="325">
        <v>1.5E-3</v>
      </c>
      <c r="S20" s="325">
        <v>2.9999999999999997E-4</v>
      </c>
      <c r="T20" s="285">
        <f t="shared" si="4"/>
        <v>1.18E-2</v>
      </c>
      <c r="U20" s="49">
        <v>1000000</v>
      </c>
      <c r="V20" s="329"/>
      <c r="W20" s="329"/>
    </row>
    <row r="21" spans="1:23">
      <c r="A21" s="270" t="s">
        <v>1559</v>
      </c>
      <c r="B21" s="268" t="s">
        <v>1560</v>
      </c>
      <c r="C21" s="263">
        <v>19.87</v>
      </c>
      <c r="D21" s="269">
        <v>2000</v>
      </c>
      <c r="E21" s="265">
        <f t="shared" si="0"/>
        <v>2.0130850528434828E-4</v>
      </c>
      <c r="F21" s="3">
        <v>2000</v>
      </c>
      <c r="G21" s="266">
        <f t="shared" si="5"/>
        <v>2.0130850528434828E-4</v>
      </c>
      <c r="H21" s="266">
        <v>1E-3</v>
      </c>
      <c r="I21" s="267">
        <f t="shared" si="1"/>
        <v>1.4026170105686966E-3</v>
      </c>
      <c r="J21" s="269">
        <v>2000</v>
      </c>
      <c r="K21" s="265">
        <f t="shared" si="3"/>
        <v>2.0130850528434828E-4</v>
      </c>
      <c r="L21" s="3">
        <v>2000</v>
      </c>
      <c r="M21" s="266">
        <f t="shared" si="6"/>
        <v>2.0130850528434828E-4</v>
      </c>
      <c r="N21" s="267">
        <f t="shared" si="2"/>
        <v>4.0261701056869655E-4</v>
      </c>
      <c r="O21" s="253"/>
      <c r="P21" s="325">
        <v>0.01</v>
      </c>
      <c r="Q21" s="326" t="s">
        <v>1556</v>
      </c>
      <c r="R21" s="325">
        <v>1.5E-3</v>
      </c>
      <c r="S21" s="325">
        <v>2.9999999999999997E-4</v>
      </c>
      <c r="T21" s="285">
        <f t="shared" si="4"/>
        <v>1.18E-2</v>
      </c>
      <c r="U21" s="49">
        <v>1000000</v>
      </c>
      <c r="V21" s="329"/>
      <c r="W21" s="329"/>
    </row>
    <row r="22" spans="1:23">
      <c r="A22" s="270" t="s">
        <v>1561</v>
      </c>
      <c r="B22" s="246" t="s">
        <v>1562</v>
      </c>
      <c r="C22" s="263">
        <v>19.97</v>
      </c>
      <c r="D22" s="269">
        <v>5000</v>
      </c>
      <c r="E22" s="265">
        <f t="shared" si="0"/>
        <v>5.00751126690035E-4</v>
      </c>
      <c r="F22" s="3">
        <v>2000</v>
      </c>
      <c r="G22" s="266">
        <f t="shared" si="5"/>
        <v>2.0030045067601402E-4</v>
      </c>
      <c r="H22" s="266">
        <v>1E-3</v>
      </c>
      <c r="I22" s="267">
        <f t="shared" si="1"/>
        <v>1.7010515773660489E-3</v>
      </c>
      <c r="J22" s="269">
        <v>5000</v>
      </c>
      <c r="K22" s="265">
        <f t="shared" si="3"/>
        <v>5.00751126690035E-4</v>
      </c>
      <c r="L22" s="3">
        <v>2000</v>
      </c>
      <c r="M22" s="266">
        <f t="shared" si="6"/>
        <v>2.0030045067601402E-4</v>
      </c>
      <c r="N22" s="267">
        <f t="shared" si="2"/>
        <v>7.0105157736604902E-4</v>
      </c>
      <c r="O22" s="253"/>
      <c r="P22" s="325">
        <v>0.01</v>
      </c>
      <c r="Q22" s="326" t="s">
        <v>1556</v>
      </c>
      <c r="R22" s="325">
        <v>1.5E-3</v>
      </c>
      <c r="S22" s="325">
        <v>2.9999999999999997E-4</v>
      </c>
      <c r="T22" s="285">
        <f t="shared" si="4"/>
        <v>1.18E-2</v>
      </c>
      <c r="U22" s="49">
        <v>1000000</v>
      </c>
      <c r="V22" s="329"/>
      <c r="W22" s="329"/>
    </row>
    <row r="23" spans="1:23">
      <c r="A23" s="271" t="s">
        <v>1563</v>
      </c>
      <c r="B23" s="268" t="s">
        <v>1564</v>
      </c>
      <c r="C23" s="263">
        <v>19.64</v>
      </c>
      <c r="D23" s="269">
        <v>2000</v>
      </c>
      <c r="E23" s="265">
        <f t="shared" si="0"/>
        <v>2.0366598778004074E-4</v>
      </c>
      <c r="F23" s="3">
        <v>4000</v>
      </c>
      <c r="G23" s="266">
        <f t="shared" si="5"/>
        <v>4.0733197556008148E-4</v>
      </c>
      <c r="H23" s="266">
        <v>1E-3</v>
      </c>
      <c r="I23" s="267">
        <f t="shared" si="1"/>
        <v>1.6109979633401222E-3</v>
      </c>
      <c r="J23" s="269">
        <v>2000</v>
      </c>
      <c r="K23" s="265">
        <f t="shared" si="3"/>
        <v>2.0366598778004074E-4</v>
      </c>
      <c r="L23" s="3">
        <v>4000</v>
      </c>
      <c r="M23" s="266">
        <f t="shared" si="6"/>
        <v>4.0733197556008148E-4</v>
      </c>
      <c r="N23" s="267">
        <f t="shared" si="2"/>
        <v>6.1099796334012225E-4</v>
      </c>
      <c r="O23" s="253"/>
      <c r="P23" s="325">
        <v>0.01</v>
      </c>
      <c r="Q23" s="326" t="s">
        <v>1556</v>
      </c>
      <c r="R23" s="325">
        <v>1.5E-3</v>
      </c>
      <c r="S23" s="325">
        <v>2.9999999999999997E-4</v>
      </c>
      <c r="T23" s="285">
        <f t="shared" si="4"/>
        <v>1.18E-2</v>
      </c>
      <c r="U23" s="49">
        <v>1000000</v>
      </c>
      <c r="V23" s="329"/>
      <c r="W23" s="329"/>
    </row>
    <row r="24" spans="1:23">
      <c r="A24" s="270" t="s">
        <v>1565</v>
      </c>
      <c r="B24" s="268" t="s">
        <v>1566</v>
      </c>
      <c r="C24" s="263">
        <v>18.86</v>
      </c>
      <c r="D24" s="269">
        <v>5000</v>
      </c>
      <c r="E24" s="265">
        <f t="shared" si="0"/>
        <v>5.3022269353128319E-4</v>
      </c>
      <c r="F24" s="3">
        <v>2000</v>
      </c>
      <c r="G24" s="266">
        <f t="shared" si="5"/>
        <v>2.1208907741251324E-4</v>
      </c>
      <c r="H24" s="266">
        <v>1E-3</v>
      </c>
      <c r="I24" s="267">
        <f t="shared" si="1"/>
        <v>1.7423117709437963E-3</v>
      </c>
      <c r="J24" s="269">
        <v>5000</v>
      </c>
      <c r="K24" s="265">
        <f t="shared" si="3"/>
        <v>5.3022269353128319E-4</v>
      </c>
      <c r="L24" s="3">
        <v>2000</v>
      </c>
      <c r="M24" s="266">
        <f t="shared" si="6"/>
        <v>2.1208907741251324E-4</v>
      </c>
      <c r="N24" s="267">
        <f t="shared" si="2"/>
        <v>7.4231177094379649E-4</v>
      </c>
      <c r="O24" s="253"/>
      <c r="P24" s="325">
        <v>0.01</v>
      </c>
      <c r="Q24" s="326" t="s">
        <v>1556</v>
      </c>
      <c r="R24" s="325">
        <v>1.5E-3</v>
      </c>
      <c r="S24" s="325">
        <v>2.9999999999999997E-4</v>
      </c>
      <c r="T24" s="285">
        <f t="shared" si="4"/>
        <v>1.18E-2</v>
      </c>
      <c r="U24" s="49">
        <v>1000000</v>
      </c>
      <c r="V24" s="329"/>
      <c r="W24" s="329"/>
    </row>
    <row r="25" spans="1:23">
      <c r="A25" s="270" t="s">
        <v>1567</v>
      </c>
      <c r="B25" s="268" t="s">
        <v>1568</v>
      </c>
      <c r="C25" s="263">
        <v>18.39</v>
      </c>
      <c r="D25" s="269">
        <v>5000</v>
      </c>
      <c r="E25" s="265">
        <f t="shared" si="0"/>
        <v>5.4377379010331697E-4</v>
      </c>
      <c r="F25" s="3">
        <v>2000</v>
      </c>
      <c r="G25" s="266">
        <f t="shared" si="5"/>
        <v>2.1750951604132681E-4</v>
      </c>
      <c r="H25" s="266">
        <v>1E-3</v>
      </c>
      <c r="I25" s="267">
        <f t="shared" si="1"/>
        <v>1.7612833061446437E-3</v>
      </c>
      <c r="J25" s="269">
        <v>5000</v>
      </c>
      <c r="K25" s="265">
        <f t="shared" si="3"/>
        <v>5.4377379010331697E-4</v>
      </c>
      <c r="L25" s="3">
        <v>2000</v>
      </c>
      <c r="M25" s="266">
        <f t="shared" si="6"/>
        <v>2.1750951604132681E-4</v>
      </c>
      <c r="N25" s="267">
        <f t="shared" si="2"/>
        <v>7.6128330614464378E-4</v>
      </c>
      <c r="O25" s="253"/>
      <c r="P25" s="325">
        <v>5.0000000000000001E-3</v>
      </c>
      <c r="Q25" s="326" t="s">
        <v>1556</v>
      </c>
      <c r="R25" s="325">
        <v>1.5E-3</v>
      </c>
      <c r="S25" s="325">
        <v>2.9999999999999997E-4</v>
      </c>
      <c r="T25" s="285">
        <f t="shared" si="4"/>
        <v>6.8000000000000005E-3</v>
      </c>
      <c r="U25" s="49">
        <v>1000000</v>
      </c>
      <c r="V25" s="329"/>
      <c r="W25" s="329"/>
    </row>
    <row r="26" spans="1:23">
      <c r="A26" s="270" t="s">
        <v>1569</v>
      </c>
      <c r="B26" s="268" t="s">
        <v>1570</v>
      </c>
      <c r="C26" s="263">
        <v>17.02</v>
      </c>
      <c r="D26" s="269">
        <v>5000</v>
      </c>
      <c r="E26" s="265">
        <f t="shared" si="0"/>
        <v>5.8754406580493535E-4</v>
      </c>
      <c r="F26" s="3">
        <v>4000</v>
      </c>
      <c r="G26" s="266">
        <f t="shared" si="5"/>
        <v>4.7003525264394829E-4</v>
      </c>
      <c r="H26" s="266">
        <v>1E-3</v>
      </c>
      <c r="I26" s="267">
        <f t="shared" si="1"/>
        <v>2.0575793184488839E-3</v>
      </c>
      <c r="J26" s="269">
        <v>5000</v>
      </c>
      <c r="K26" s="265">
        <f t="shared" si="3"/>
        <v>5.8754406580493535E-4</v>
      </c>
      <c r="L26" s="3">
        <v>4000</v>
      </c>
      <c r="M26" s="266">
        <f t="shared" si="6"/>
        <v>4.7003525264394829E-4</v>
      </c>
      <c r="N26" s="267">
        <f t="shared" si="2"/>
        <v>1.0575793184488837E-3</v>
      </c>
      <c r="O26" s="253"/>
      <c r="P26" s="325">
        <v>8.0000000000000002E-3</v>
      </c>
      <c r="Q26" s="326" t="s">
        <v>1556</v>
      </c>
      <c r="R26" s="325">
        <v>1.5E-3</v>
      </c>
      <c r="S26" s="325">
        <v>2.9999999999999997E-4</v>
      </c>
      <c r="T26" s="285">
        <f t="shared" si="4"/>
        <v>9.7999999999999997E-3</v>
      </c>
      <c r="U26" s="49">
        <v>1000000</v>
      </c>
      <c r="V26" s="329"/>
      <c r="W26" s="329"/>
    </row>
    <row r="27" spans="1:23">
      <c r="A27" s="270" t="s">
        <v>1571</v>
      </c>
      <c r="B27" s="268" t="s">
        <v>1572</v>
      </c>
      <c r="C27" s="263">
        <v>21.32</v>
      </c>
      <c r="D27" s="269">
        <v>5000</v>
      </c>
      <c r="E27" s="265">
        <f t="shared" si="0"/>
        <v>4.6904315196998124E-4</v>
      </c>
      <c r="F27" s="3">
        <v>2000</v>
      </c>
      <c r="G27" s="266">
        <f t="shared" si="5"/>
        <v>1.876172607879925E-4</v>
      </c>
      <c r="H27" s="266">
        <v>1E-3</v>
      </c>
      <c r="I27" s="267">
        <f t="shared" si="1"/>
        <v>1.6566604127579738E-3</v>
      </c>
      <c r="J27" s="269">
        <v>5000</v>
      </c>
      <c r="K27" s="265">
        <f t="shared" si="3"/>
        <v>4.6904315196998124E-4</v>
      </c>
      <c r="L27" s="3">
        <v>2000</v>
      </c>
      <c r="M27" s="266">
        <f t="shared" si="6"/>
        <v>1.876172607879925E-4</v>
      </c>
      <c r="N27" s="267">
        <f t="shared" si="2"/>
        <v>6.5666041275797373E-4</v>
      </c>
      <c r="O27" s="253"/>
      <c r="P27" s="325">
        <v>8.0000000000000002E-3</v>
      </c>
      <c r="Q27" s="326" t="s">
        <v>1556</v>
      </c>
      <c r="R27" s="325">
        <v>1.5E-3</v>
      </c>
      <c r="S27" s="325">
        <v>2.9999999999999997E-4</v>
      </c>
      <c r="T27" s="285">
        <f t="shared" si="4"/>
        <v>9.7999999999999997E-3</v>
      </c>
      <c r="U27" s="49">
        <v>1000000</v>
      </c>
      <c r="V27" s="329"/>
      <c r="W27" s="329"/>
    </row>
    <row r="28" spans="1:23">
      <c r="A28" s="270" t="s">
        <v>1573</v>
      </c>
      <c r="B28" s="268" t="s">
        <v>1574</v>
      </c>
      <c r="C28" s="263">
        <v>18.91</v>
      </c>
      <c r="D28" s="269">
        <v>2000</v>
      </c>
      <c r="E28" s="265">
        <f t="shared" si="0"/>
        <v>2.1152829190904283E-4</v>
      </c>
      <c r="F28" s="3">
        <v>4000</v>
      </c>
      <c r="G28" s="266">
        <f t="shared" si="5"/>
        <v>4.2305658381808567E-4</v>
      </c>
      <c r="H28" s="266">
        <v>1E-3</v>
      </c>
      <c r="I28" s="267">
        <f t="shared" si="1"/>
        <v>1.6345848757271285E-3</v>
      </c>
      <c r="J28" s="269">
        <v>2000</v>
      </c>
      <c r="K28" s="265">
        <f t="shared" si="3"/>
        <v>2.1152829190904283E-4</v>
      </c>
      <c r="L28" s="3">
        <v>4000</v>
      </c>
      <c r="M28" s="266">
        <f t="shared" si="6"/>
        <v>4.2305658381808567E-4</v>
      </c>
      <c r="N28" s="267">
        <f t="shared" si="2"/>
        <v>6.345848757271285E-4</v>
      </c>
      <c r="O28" s="253"/>
      <c r="P28" s="325">
        <v>8.0000000000000002E-3</v>
      </c>
      <c r="Q28" s="326" t="s">
        <v>1575</v>
      </c>
      <c r="R28" s="325">
        <v>1.5E-3</v>
      </c>
      <c r="S28" s="325">
        <v>2.9999999999999997E-4</v>
      </c>
      <c r="T28" s="285">
        <f t="shared" si="4"/>
        <v>9.7999999999999997E-3</v>
      </c>
      <c r="U28" s="49">
        <v>1000000</v>
      </c>
      <c r="V28" s="329"/>
      <c r="W28" s="329"/>
    </row>
    <row r="29" spans="1:23">
      <c r="A29" s="270" t="s">
        <v>1576</v>
      </c>
      <c r="B29" s="268" t="s">
        <v>1577</v>
      </c>
      <c r="C29" s="263">
        <v>20.5</v>
      </c>
      <c r="D29" s="269">
        <v>2000</v>
      </c>
      <c r="E29" s="265">
        <f t="shared" si="0"/>
        <v>1.9512195121951221E-4</v>
      </c>
      <c r="F29" s="3">
        <v>2000</v>
      </c>
      <c r="G29" s="266">
        <f t="shared" si="5"/>
        <v>1.9512195121951221E-4</v>
      </c>
      <c r="H29" s="266">
        <v>1E-3</v>
      </c>
      <c r="I29" s="267">
        <f t="shared" si="1"/>
        <v>1.3902439024390243E-3</v>
      </c>
      <c r="J29" s="269">
        <v>2000</v>
      </c>
      <c r="K29" s="265">
        <f t="shared" si="3"/>
        <v>1.9512195121951221E-4</v>
      </c>
      <c r="L29" s="3">
        <v>2000</v>
      </c>
      <c r="M29" s="266">
        <f t="shared" si="6"/>
        <v>1.9512195121951221E-4</v>
      </c>
      <c r="N29" s="267">
        <f t="shared" si="2"/>
        <v>3.9024390243902441E-4</v>
      </c>
      <c r="O29" s="253"/>
      <c r="P29" s="325">
        <v>8.0000000000000002E-3</v>
      </c>
      <c r="Q29" s="326" t="s">
        <v>1575</v>
      </c>
      <c r="R29" s="325">
        <v>1.5E-3</v>
      </c>
      <c r="S29" s="325">
        <v>2.9999999999999997E-4</v>
      </c>
      <c r="T29" s="285">
        <f t="shared" si="4"/>
        <v>9.7999999999999997E-3</v>
      </c>
      <c r="U29" s="49">
        <v>1000000</v>
      </c>
      <c r="V29" s="329"/>
      <c r="W29" s="329"/>
    </row>
    <row r="30" spans="1:23">
      <c r="A30" s="271" t="s">
        <v>106</v>
      </c>
      <c r="B30" s="219" t="s">
        <v>1578</v>
      </c>
      <c r="C30" s="263">
        <v>39.145099999999999</v>
      </c>
      <c r="D30" s="269">
        <v>5000</v>
      </c>
      <c r="E30" s="265">
        <f t="shared" si="0"/>
        <v>2.5545981489381815E-4</v>
      </c>
      <c r="F30" s="3"/>
      <c r="G30" s="266">
        <v>2.9999999999999997E-4</v>
      </c>
      <c r="H30" s="266">
        <v>0</v>
      </c>
      <c r="I30" s="267">
        <f t="shared" si="1"/>
        <v>5.5545981489381812E-4</v>
      </c>
      <c r="J30" s="269">
        <v>5000</v>
      </c>
      <c r="K30" s="265">
        <f t="shared" si="3"/>
        <v>2.5545981489381815E-4</v>
      </c>
      <c r="L30" s="3"/>
      <c r="M30" s="266">
        <v>2.9999999999999997E-4</v>
      </c>
      <c r="N30" s="267">
        <f t="shared" si="2"/>
        <v>5.5545981489381812E-4</v>
      </c>
      <c r="O30" s="253"/>
      <c r="P30" s="325">
        <v>1.4E-3</v>
      </c>
      <c r="Q30" s="326" t="s">
        <v>1579</v>
      </c>
      <c r="R30" s="325">
        <v>1E-3</v>
      </c>
      <c r="S30" s="325">
        <v>2.9999999999999997E-4</v>
      </c>
      <c r="T30" s="285">
        <f t="shared" si="4"/>
        <v>2.7000000000000001E-3</v>
      </c>
      <c r="U30" s="49">
        <v>1000000</v>
      </c>
      <c r="V30" s="329"/>
      <c r="W30" s="329"/>
    </row>
    <row r="31" spans="1:23">
      <c r="A31" s="271" t="s">
        <v>107</v>
      </c>
      <c r="B31" s="219" t="s">
        <v>1580</v>
      </c>
      <c r="C31" s="263">
        <v>20.533799999999999</v>
      </c>
      <c r="D31" s="269">
        <v>5000</v>
      </c>
      <c r="E31" s="265">
        <f t="shared" si="0"/>
        <v>4.8700191878756001E-4</v>
      </c>
      <c r="F31" s="3"/>
      <c r="G31" s="266">
        <v>1E-4</v>
      </c>
      <c r="H31" s="266">
        <v>0</v>
      </c>
      <c r="I31" s="267">
        <f t="shared" si="1"/>
        <v>5.8700191878756E-4</v>
      </c>
      <c r="J31" s="269">
        <v>5000</v>
      </c>
      <c r="K31" s="265">
        <f t="shared" si="3"/>
        <v>4.8700191878756001E-4</v>
      </c>
      <c r="L31" s="3"/>
      <c r="M31" s="266">
        <v>1E-4</v>
      </c>
      <c r="N31" s="267">
        <f t="shared" si="2"/>
        <v>5.8700191878756E-4</v>
      </c>
      <c r="P31" s="325">
        <v>7.4999999999999997E-3</v>
      </c>
      <c r="Q31" s="326" t="s">
        <v>1581</v>
      </c>
      <c r="R31" s="325">
        <v>2.0999999999999999E-3</v>
      </c>
      <c r="S31" s="325">
        <v>2.9999999999999997E-4</v>
      </c>
      <c r="T31" s="285">
        <f t="shared" si="4"/>
        <v>9.8999999999999991E-3</v>
      </c>
      <c r="U31" s="49">
        <v>1000000</v>
      </c>
      <c r="V31" s="329"/>
      <c r="W31" s="329"/>
    </row>
    <row r="32" spans="1:23">
      <c r="A32" s="271" t="s">
        <v>108</v>
      </c>
      <c r="B32" s="219" t="s">
        <v>1582</v>
      </c>
      <c r="C32" s="263">
        <v>18.996099999999998</v>
      </c>
      <c r="D32" s="269">
        <v>5000</v>
      </c>
      <c r="E32" s="265">
        <f t="shared" si="0"/>
        <v>5.2642384489447831E-4</v>
      </c>
      <c r="F32" s="3"/>
      <c r="G32" s="266">
        <v>1E-4</v>
      </c>
      <c r="H32" s="266">
        <v>0</v>
      </c>
      <c r="I32" s="267">
        <f t="shared" si="1"/>
        <v>6.2642384489447836E-4</v>
      </c>
      <c r="J32" s="269">
        <v>5000</v>
      </c>
      <c r="K32" s="265">
        <f t="shared" si="3"/>
        <v>5.2642384489447831E-4</v>
      </c>
      <c r="L32" s="3"/>
      <c r="M32" s="266">
        <v>1E-4</v>
      </c>
      <c r="N32" s="267">
        <f t="shared" si="2"/>
        <v>6.2642384489447836E-4</v>
      </c>
      <c r="P32" s="325">
        <v>7.4999999999999997E-3</v>
      </c>
      <c r="Q32" s="326" t="s">
        <v>1581</v>
      </c>
      <c r="R32" s="325">
        <v>1.6000000000000001E-3</v>
      </c>
      <c r="S32" s="325">
        <v>2.9999999999999997E-4</v>
      </c>
      <c r="T32" s="285">
        <f t="shared" si="4"/>
        <v>9.4000000000000004E-3</v>
      </c>
      <c r="U32" s="49">
        <v>1000000</v>
      </c>
      <c r="V32" s="329"/>
      <c r="W32" s="329"/>
    </row>
    <row r="33" spans="1:23">
      <c r="A33" s="271" t="s">
        <v>473</v>
      </c>
      <c r="B33" s="219" t="s">
        <v>1583</v>
      </c>
      <c r="C33" s="263">
        <v>39.6539</v>
      </c>
      <c r="D33" s="269">
        <v>5000</v>
      </c>
      <c r="E33" s="265">
        <f t="shared" si="0"/>
        <v>2.5218200479650173E-4</v>
      </c>
      <c r="F33" s="3"/>
      <c r="G33" s="266">
        <v>1E-4</v>
      </c>
      <c r="H33" s="266">
        <v>0</v>
      </c>
      <c r="I33" s="267">
        <f t="shared" si="1"/>
        <v>3.5218200479650172E-4</v>
      </c>
      <c r="J33" s="269">
        <v>5000</v>
      </c>
      <c r="K33" s="265">
        <f t="shared" si="3"/>
        <v>2.5218200479650173E-4</v>
      </c>
      <c r="L33" s="3"/>
      <c r="M33" s="266">
        <v>1E-4</v>
      </c>
      <c r="N33" s="267">
        <f t="shared" si="2"/>
        <v>3.5218200479650172E-4</v>
      </c>
      <c r="P33" s="325">
        <v>4.0000000000000001E-3</v>
      </c>
      <c r="Q33" s="326" t="s">
        <v>1579</v>
      </c>
      <c r="R33" s="325">
        <v>1.6999999999999999E-3</v>
      </c>
      <c r="S33" s="325">
        <v>2.9999999999999997E-4</v>
      </c>
      <c r="T33" s="285">
        <f t="shared" si="4"/>
        <v>6.0000000000000001E-3</v>
      </c>
      <c r="U33" s="49">
        <v>1000000</v>
      </c>
      <c r="V33" s="329"/>
      <c r="W33" s="329"/>
    </row>
    <row r="34" spans="1:23" ht="16.5" customHeight="1">
      <c r="A34" s="271" t="s">
        <v>474</v>
      </c>
      <c r="B34" s="219" t="s">
        <v>1584</v>
      </c>
      <c r="C34" s="263">
        <v>19.454699999999999</v>
      </c>
      <c r="D34" s="269">
        <v>5000</v>
      </c>
      <c r="E34" s="265">
        <f t="shared" si="0"/>
        <v>5.1401460829516774E-4</v>
      </c>
      <c r="F34" s="3"/>
      <c r="G34" s="266">
        <v>1E-4</v>
      </c>
      <c r="H34" s="266">
        <v>0</v>
      </c>
      <c r="I34" s="267">
        <f t="shared" si="1"/>
        <v>6.1401460829516778E-4</v>
      </c>
      <c r="J34" s="269">
        <v>5000</v>
      </c>
      <c r="K34" s="265">
        <f t="shared" si="3"/>
        <v>5.1401460829516774E-4</v>
      </c>
      <c r="L34" s="3"/>
      <c r="M34" s="266">
        <v>1E-4</v>
      </c>
      <c r="N34" s="267">
        <f t="shared" si="2"/>
        <v>6.1401460829516778E-4</v>
      </c>
      <c r="P34" s="325">
        <v>7.4999999999999997E-3</v>
      </c>
      <c r="Q34" s="326" t="s">
        <v>1581</v>
      </c>
      <c r="R34" s="325">
        <v>2.0999999999999999E-3</v>
      </c>
      <c r="S34" s="325">
        <v>2.9999999999999997E-4</v>
      </c>
      <c r="T34" s="285">
        <f t="shared" si="4"/>
        <v>9.8999999999999991E-3</v>
      </c>
      <c r="U34" s="49">
        <v>1000000</v>
      </c>
      <c r="V34" s="329"/>
      <c r="W34" s="329"/>
    </row>
    <row r="35" spans="1:23" ht="16.8" thickBot="1">
      <c r="A35" s="272" t="s">
        <v>475</v>
      </c>
      <c r="B35" s="273" t="s">
        <v>1585</v>
      </c>
      <c r="C35" s="274">
        <v>20.064499999999999</v>
      </c>
      <c r="D35" s="275">
        <v>5000</v>
      </c>
      <c r="E35" s="276">
        <f t="shared" si="0"/>
        <v>4.9839268359540485E-4</v>
      </c>
      <c r="F35" s="13"/>
      <c r="G35" s="277">
        <v>1E-4</v>
      </c>
      <c r="H35" s="277">
        <v>0</v>
      </c>
      <c r="I35" s="278">
        <f t="shared" si="1"/>
        <v>5.9839268359540489E-4</v>
      </c>
      <c r="J35" s="275">
        <v>5000</v>
      </c>
      <c r="K35" s="276">
        <f t="shared" si="3"/>
        <v>4.9839268359540485E-4</v>
      </c>
      <c r="L35" s="13"/>
      <c r="M35" s="277">
        <v>1E-4</v>
      </c>
      <c r="N35" s="278">
        <f t="shared" si="2"/>
        <v>5.9839268359540489E-4</v>
      </c>
      <c r="P35" s="325">
        <v>7.4999999999999997E-3</v>
      </c>
      <c r="Q35" s="326" t="s">
        <v>1581</v>
      </c>
      <c r="R35" s="325">
        <v>1.2999999999999999E-3</v>
      </c>
      <c r="S35" s="325">
        <v>2.9999999999999997E-4</v>
      </c>
      <c r="T35" s="285">
        <f t="shared" si="4"/>
        <v>9.0999999999999987E-3</v>
      </c>
      <c r="U35" s="49">
        <v>1000000</v>
      </c>
      <c r="V35" s="329"/>
      <c r="W35" s="329"/>
    </row>
    <row r="36" spans="1:23">
      <c r="A36" s="253"/>
      <c r="B36" s="253"/>
      <c r="C36" s="253"/>
      <c r="D36" s="253"/>
      <c r="E36" s="253"/>
      <c r="F36" s="253"/>
      <c r="G36" s="253"/>
      <c r="H36" s="253"/>
      <c r="I36" s="253"/>
      <c r="J36" s="253"/>
      <c r="K36" s="253"/>
      <c r="L36" s="253"/>
      <c r="M36" s="253"/>
      <c r="N36" s="253"/>
    </row>
    <row r="37" spans="1:23" ht="16.8" thickBot="1"/>
    <row r="38" spans="1:23" ht="24.6">
      <c r="A38" s="548" t="s">
        <v>1586</v>
      </c>
      <c r="B38" s="549"/>
      <c r="C38" s="549"/>
      <c r="D38" s="549"/>
      <c r="E38" s="549"/>
      <c r="F38" s="549"/>
      <c r="G38" s="549"/>
      <c r="H38" s="549"/>
      <c r="I38" s="549"/>
      <c r="J38" s="549"/>
      <c r="K38" s="549"/>
      <c r="L38" s="549"/>
      <c r="M38" s="549"/>
      <c r="N38" s="550"/>
      <c r="Q38" s="22"/>
      <c r="R38" s="22"/>
      <c r="S38" s="22"/>
      <c r="T38" s="22"/>
    </row>
    <row r="39" spans="1:23" ht="33" customHeight="1">
      <c r="A39" s="551" t="s">
        <v>1587</v>
      </c>
      <c r="B39" s="551" t="s">
        <v>1507</v>
      </c>
      <c r="C39" s="553" t="s">
        <v>1508</v>
      </c>
      <c r="D39" s="555" t="s">
        <v>1509</v>
      </c>
      <c r="E39" s="555"/>
      <c r="F39" s="556"/>
      <c r="G39" s="556"/>
      <c r="H39" s="556"/>
      <c r="I39" s="556"/>
      <c r="J39" s="557" t="s">
        <v>1510</v>
      </c>
      <c r="K39" s="557"/>
      <c r="L39" s="558"/>
      <c r="M39" s="558"/>
      <c r="N39" s="559"/>
      <c r="O39" s="253"/>
      <c r="P39" s="253"/>
      <c r="Q39" s="321"/>
      <c r="R39" s="22"/>
      <c r="S39" s="321" t="s">
        <v>1512</v>
      </c>
      <c r="T39" s="321"/>
    </row>
    <row r="40" spans="1:23" ht="41.4">
      <c r="A40" s="552"/>
      <c r="B40" s="552"/>
      <c r="C40" s="554"/>
      <c r="D40" s="256" t="s">
        <v>1509</v>
      </c>
      <c r="E40" s="256" t="s">
        <v>1514</v>
      </c>
      <c r="F40" s="257" t="s">
        <v>1515</v>
      </c>
      <c r="G40" s="256" t="s">
        <v>1516</v>
      </c>
      <c r="H40" s="258" t="s">
        <v>1517</v>
      </c>
      <c r="I40" s="282" t="s">
        <v>1518</v>
      </c>
      <c r="J40" s="256" t="s">
        <v>1510</v>
      </c>
      <c r="K40" s="256" t="s">
        <v>1514</v>
      </c>
      <c r="L40" s="257" t="s">
        <v>1519</v>
      </c>
      <c r="M40" s="256" t="s">
        <v>1520</v>
      </c>
      <c r="N40" s="283" t="s">
        <v>1521</v>
      </c>
      <c r="O40" s="253"/>
      <c r="P40" s="257" t="s">
        <v>1522</v>
      </c>
      <c r="Q40" s="257" t="s">
        <v>1523</v>
      </c>
      <c r="R40" s="257" t="s">
        <v>1524</v>
      </c>
      <c r="S40" s="257" t="s">
        <v>1525</v>
      </c>
      <c r="T40" s="257" t="s">
        <v>1526</v>
      </c>
      <c r="U40" s="257" t="s">
        <v>1527</v>
      </c>
      <c r="V40" s="322"/>
      <c r="W40" s="322"/>
    </row>
    <row r="41" spans="1:23">
      <c r="A41" s="284" t="s">
        <v>1588</v>
      </c>
      <c r="B41" s="268" t="s">
        <v>1439</v>
      </c>
      <c r="C41" s="219">
        <v>7.4</v>
      </c>
      <c r="D41" s="219">
        <v>5000</v>
      </c>
      <c r="E41" s="285">
        <f t="shared" ref="E41:E65" si="7">D41/(C41*1000*500)</f>
        <v>1.3513513513513514E-3</v>
      </c>
      <c r="F41" s="219"/>
      <c r="G41" s="286">
        <v>5.0000000000000001E-4</v>
      </c>
      <c r="H41" s="286">
        <v>1E-3</v>
      </c>
      <c r="I41" s="287">
        <f t="shared" ref="I41:I65" si="8">E41+H41+G41</f>
        <v>2.8513513513513515E-3</v>
      </c>
      <c r="J41" s="219">
        <v>5000</v>
      </c>
      <c r="K41" s="285">
        <f t="shared" ref="K41:K65" si="9">J41/(C41*1000*500)</f>
        <v>1.3513513513513514E-3</v>
      </c>
      <c r="L41" s="219"/>
      <c r="M41" s="286">
        <v>5.0000000000000001E-4</v>
      </c>
      <c r="N41" s="267">
        <f t="shared" ref="N41:N65" si="10">K41+M41</f>
        <v>1.8513513513513514E-3</v>
      </c>
      <c r="O41" s="253"/>
      <c r="P41" s="325">
        <v>9.9000000000000008E-3</v>
      </c>
      <c r="Q41" s="326" t="s">
        <v>1589</v>
      </c>
      <c r="R41" s="325">
        <v>1.5E-3</v>
      </c>
      <c r="S41" s="325">
        <v>2.9999999999999997E-4</v>
      </c>
      <c r="T41" s="285">
        <f>SUM(P41:S41)</f>
        <v>1.17E-2</v>
      </c>
      <c r="U41" s="49">
        <v>1000000</v>
      </c>
      <c r="V41" s="329"/>
      <c r="W41" s="329"/>
    </row>
    <row r="42" spans="1:23">
      <c r="A42" s="261" t="s">
        <v>1590</v>
      </c>
      <c r="B42" s="268" t="s">
        <v>1408</v>
      </c>
      <c r="C42" s="288">
        <v>47.8</v>
      </c>
      <c r="D42" s="219">
        <v>5000</v>
      </c>
      <c r="E42" s="285">
        <f t="shared" si="7"/>
        <v>2.0920502092050208E-4</v>
      </c>
      <c r="F42" s="219"/>
      <c r="G42" s="286">
        <v>1E-3</v>
      </c>
      <c r="H42" s="286">
        <v>1E-3</v>
      </c>
      <c r="I42" s="287">
        <f t="shared" si="8"/>
        <v>2.209205020920502E-3</v>
      </c>
      <c r="J42" s="219">
        <v>5000</v>
      </c>
      <c r="K42" s="285">
        <f t="shared" si="9"/>
        <v>2.0920502092050208E-4</v>
      </c>
      <c r="L42" s="219"/>
      <c r="M42" s="286">
        <v>4.0000000000000001E-3</v>
      </c>
      <c r="N42" s="267">
        <f t="shared" si="10"/>
        <v>4.209205020920502E-3</v>
      </c>
      <c r="O42" s="253"/>
      <c r="P42" s="325">
        <v>1.5E-3</v>
      </c>
      <c r="Q42" s="326">
        <v>4.0000000000000002E-4</v>
      </c>
      <c r="R42" s="325">
        <v>3.5E-4</v>
      </c>
      <c r="S42" s="325">
        <v>2.9999999999999997E-4</v>
      </c>
      <c r="T42" s="285">
        <f>SUM(P42:S42)</f>
        <v>2.5499999999999997E-3</v>
      </c>
      <c r="U42" s="49">
        <v>1000000</v>
      </c>
      <c r="V42" s="329"/>
      <c r="W42" s="329"/>
    </row>
    <row r="43" spans="1:23">
      <c r="A43" s="261" t="s">
        <v>1591</v>
      </c>
      <c r="B43" s="268" t="s">
        <v>1446</v>
      </c>
      <c r="C43" s="288">
        <v>21.54</v>
      </c>
      <c r="D43" s="219">
        <v>5000</v>
      </c>
      <c r="E43" s="285">
        <f t="shared" si="7"/>
        <v>4.6425255338904364E-4</v>
      </c>
      <c r="F43" s="219"/>
      <c r="G43" s="286">
        <v>1E-3</v>
      </c>
      <c r="H43" s="286">
        <v>1E-3</v>
      </c>
      <c r="I43" s="287">
        <f t="shared" si="8"/>
        <v>2.4642525533890439E-3</v>
      </c>
      <c r="J43" s="219">
        <v>5000</v>
      </c>
      <c r="K43" s="285">
        <f t="shared" si="9"/>
        <v>4.6425255338904364E-4</v>
      </c>
      <c r="L43" s="219"/>
      <c r="M43" s="286">
        <v>4.0000000000000001E-3</v>
      </c>
      <c r="N43" s="267">
        <f t="shared" si="10"/>
        <v>4.4642525533890439E-3</v>
      </c>
      <c r="O43" s="253"/>
      <c r="P43" s="325">
        <v>1.5E-3</v>
      </c>
      <c r="Q43" s="326" t="s">
        <v>1592</v>
      </c>
      <c r="R43" s="325">
        <v>3.5E-4</v>
      </c>
      <c r="S43" s="325">
        <v>2.9999999999999997E-4</v>
      </c>
      <c r="T43" s="285">
        <f t="shared" ref="T43:T65" si="11">SUM(P43:S43)</f>
        <v>2.15E-3</v>
      </c>
      <c r="U43" s="49">
        <v>1000000</v>
      </c>
      <c r="V43" s="329"/>
      <c r="W43" s="329"/>
    </row>
    <row r="44" spans="1:23">
      <c r="A44" s="284" t="s">
        <v>1593</v>
      </c>
      <c r="B44" s="268" t="s">
        <v>1437</v>
      </c>
      <c r="C44" s="288">
        <v>13.7</v>
      </c>
      <c r="D44" s="219">
        <v>5000</v>
      </c>
      <c r="E44" s="285">
        <f t="shared" si="7"/>
        <v>7.2992700729927003E-4</v>
      </c>
      <c r="F44" s="219"/>
      <c r="G44" s="286">
        <v>5.0000000000000001E-4</v>
      </c>
      <c r="H44" s="286">
        <v>1E-3</v>
      </c>
      <c r="I44" s="287">
        <f t="shared" si="8"/>
        <v>2.2299270072992702E-3</v>
      </c>
      <c r="J44" s="219">
        <v>5000</v>
      </c>
      <c r="K44" s="285">
        <f t="shared" si="9"/>
        <v>7.2992700729927003E-4</v>
      </c>
      <c r="L44" s="219"/>
      <c r="M44" s="286">
        <v>1.5E-3</v>
      </c>
      <c r="N44" s="267">
        <f t="shared" si="10"/>
        <v>2.2299270072992702E-3</v>
      </c>
      <c r="O44" s="253"/>
      <c r="P44" s="325">
        <v>6.4999999999999997E-3</v>
      </c>
      <c r="Q44" s="326" t="s">
        <v>1592</v>
      </c>
      <c r="R44" s="325">
        <v>4.0000000000000002E-4</v>
      </c>
      <c r="S44" s="325">
        <v>2.9999999999999997E-4</v>
      </c>
      <c r="T44" s="285">
        <f t="shared" si="11"/>
        <v>7.1999999999999998E-3</v>
      </c>
      <c r="U44" s="49">
        <v>1000000</v>
      </c>
      <c r="V44" s="329"/>
      <c r="W44" s="329"/>
    </row>
    <row r="45" spans="1:23">
      <c r="A45" s="284" t="s">
        <v>1594</v>
      </c>
      <c r="B45" s="268" t="s">
        <v>1438</v>
      </c>
      <c r="C45" s="288">
        <v>8.31</v>
      </c>
      <c r="D45" s="219">
        <v>5000</v>
      </c>
      <c r="E45" s="285">
        <f t="shared" si="7"/>
        <v>1.2033694344163659E-3</v>
      </c>
      <c r="F45" s="219"/>
      <c r="G45" s="286">
        <v>2.0000000000000001E-4</v>
      </c>
      <c r="H45" s="286">
        <v>1E-3</v>
      </c>
      <c r="I45" s="287">
        <f t="shared" si="8"/>
        <v>2.403369434416366E-3</v>
      </c>
      <c r="J45" s="219">
        <v>5000</v>
      </c>
      <c r="K45" s="285">
        <f t="shared" si="9"/>
        <v>1.2033694344163659E-3</v>
      </c>
      <c r="L45" s="219"/>
      <c r="M45" s="286">
        <v>2.0000000000000001E-4</v>
      </c>
      <c r="N45" s="267">
        <f t="shared" si="10"/>
        <v>1.403369434416366E-3</v>
      </c>
      <c r="O45" s="253"/>
      <c r="P45" s="325">
        <v>6.4999999999999997E-3</v>
      </c>
      <c r="Q45" s="326" t="s">
        <v>1592</v>
      </c>
      <c r="R45" s="325">
        <v>4.0000000000000002E-4</v>
      </c>
      <c r="S45" s="325">
        <v>2.9999999999999997E-4</v>
      </c>
      <c r="T45" s="285">
        <f t="shared" si="11"/>
        <v>7.1999999999999998E-3</v>
      </c>
      <c r="U45" s="49">
        <v>1000000</v>
      </c>
      <c r="V45" s="329"/>
      <c r="W45" s="329"/>
    </row>
    <row r="46" spans="1:23">
      <c r="A46" s="261" t="s">
        <v>1595</v>
      </c>
      <c r="B46" s="268" t="s">
        <v>1409</v>
      </c>
      <c r="C46" s="288">
        <v>31.29</v>
      </c>
      <c r="D46" s="219">
        <v>5000</v>
      </c>
      <c r="E46" s="285">
        <f t="shared" si="7"/>
        <v>3.1959092361776926E-4</v>
      </c>
      <c r="F46" s="219"/>
      <c r="G46" s="286">
        <v>6.9999999999999999E-4</v>
      </c>
      <c r="H46" s="286">
        <v>1E-3</v>
      </c>
      <c r="I46" s="287">
        <f t="shared" si="8"/>
        <v>2.0195909236177694E-3</v>
      </c>
      <c r="J46" s="219">
        <v>5000</v>
      </c>
      <c r="K46" s="285">
        <f t="shared" si="9"/>
        <v>3.1959092361776926E-4</v>
      </c>
      <c r="L46" s="219"/>
      <c r="M46" s="286">
        <v>5.0000000000000001E-3</v>
      </c>
      <c r="N46" s="267">
        <f t="shared" si="10"/>
        <v>5.319590923617769E-3</v>
      </c>
      <c r="O46" s="253"/>
      <c r="P46" s="325">
        <v>9.9000000000000008E-3</v>
      </c>
      <c r="Q46" s="326" t="s">
        <v>1596</v>
      </c>
      <c r="R46" s="325">
        <v>1E-3</v>
      </c>
      <c r="S46" s="325">
        <v>2.9999999999999997E-4</v>
      </c>
      <c r="T46" s="285">
        <f t="shared" si="11"/>
        <v>1.12E-2</v>
      </c>
      <c r="U46" s="49">
        <v>1000000</v>
      </c>
      <c r="V46" s="329"/>
      <c r="W46" s="329"/>
    </row>
    <row r="47" spans="1:23">
      <c r="A47" s="261" t="s">
        <v>1597</v>
      </c>
      <c r="B47" s="268" t="s">
        <v>1414</v>
      </c>
      <c r="C47" s="288">
        <v>44.26</v>
      </c>
      <c r="D47" s="219">
        <v>5000</v>
      </c>
      <c r="E47" s="285">
        <f t="shared" si="7"/>
        <v>2.2593764121102577E-4</v>
      </c>
      <c r="F47" s="219"/>
      <c r="G47" s="286">
        <v>1E-3</v>
      </c>
      <c r="H47" s="286">
        <v>1E-3</v>
      </c>
      <c r="I47" s="287">
        <f t="shared" si="8"/>
        <v>2.225937641211026E-3</v>
      </c>
      <c r="J47" s="219">
        <v>5000</v>
      </c>
      <c r="K47" s="285">
        <f t="shared" si="9"/>
        <v>2.2593764121102577E-4</v>
      </c>
      <c r="L47" s="219"/>
      <c r="M47" s="286">
        <v>2E-3</v>
      </c>
      <c r="N47" s="267">
        <f t="shared" si="10"/>
        <v>2.225937641211026E-3</v>
      </c>
      <c r="O47" s="253"/>
      <c r="P47" s="325">
        <v>9.9000000000000008E-3</v>
      </c>
      <c r="Q47" s="326" t="s">
        <v>1596</v>
      </c>
      <c r="R47" s="325">
        <v>2.3E-3</v>
      </c>
      <c r="S47" s="325">
        <v>2.9999999999999997E-4</v>
      </c>
      <c r="T47" s="285">
        <f t="shared" si="11"/>
        <v>1.2500000000000001E-2</v>
      </c>
      <c r="U47" s="49">
        <v>1000000</v>
      </c>
      <c r="V47" s="329"/>
      <c r="W47" s="329"/>
    </row>
    <row r="48" spans="1:23">
      <c r="A48" s="261" t="s">
        <v>1598</v>
      </c>
      <c r="B48" s="268" t="s">
        <v>1415</v>
      </c>
      <c r="C48" s="288">
        <v>7.54</v>
      </c>
      <c r="D48" s="219">
        <v>5000</v>
      </c>
      <c r="E48" s="285">
        <f t="shared" si="7"/>
        <v>1.3262599469496021E-3</v>
      </c>
      <c r="F48" s="219"/>
      <c r="G48" s="286">
        <v>5.0000000000000001E-4</v>
      </c>
      <c r="H48" s="286">
        <v>1E-3</v>
      </c>
      <c r="I48" s="287">
        <f t="shared" si="8"/>
        <v>2.8262599469496019E-3</v>
      </c>
      <c r="J48" s="219">
        <v>5000</v>
      </c>
      <c r="K48" s="285">
        <f t="shared" si="9"/>
        <v>1.3262599469496021E-3</v>
      </c>
      <c r="L48" s="219"/>
      <c r="M48" s="286">
        <v>5.0000000000000001E-4</v>
      </c>
      <c r="N48" s="267">
        <f t="shared" si="10"/>
        <v>1.8262599469496021E-3</v>
      </c>
      <c r="O48" s="253"/>
      <c r="P48" s="325">
        <v>9.9000000000000008E-3</v>
      </c>
      <c r="Q48" s="326" t="s">
        <v>1596</v>
      </c>
      <c r="R48" s="325">
        <v>2.3E-3</v>
      </c>
      <c r="S48" s="325">
        <v>2.9999999999999997E-4</v>
      </c>
      <c r="T48" s="285">
        <f t="shared" si="11"/>
        <v>1.2500000000000001E-2</v>
      </c>
      <c r="U48" s="49">
        <v>1000000</v>
      </c>
      <c r="V48" s="329"/>
      <c r="W48" s="329"/>
    </row>
    <row r="49" spans="1:23">
      <c r="A49" s="261" t="s">
        <v>1599</v>
      </c>
      <c r="B49" s="268" t="s">
        <v>1412</v>
      </c>
      <c r="C49" s="288">
        <v>11.24</v>
      </c>
      <c r="D49" s="219">
        <v>5000</v>
      </c>
      <c r="E49" s="285">
        <f t="shared" si="7"/>
        <v>8.8967971530249106E-4</v>
      </c>
      <c r="F49" s="219"/>
      <c r="G49" s="286">
        <v>1E-3</v>
      </c>
      <c r="H49" s="286">
        <v>1E-3</v>
      </c>
      <c r="I49" s="287">
        <f t="shared" si="8"/>
        <v>2.8896797153024909E-3</v>
      </c>
      <c r="J49" s="219">
        <v>5000</v>
      </c>
      <c r="K49" s="285">
        <f t="shared" si="9"/>
        <v>8.8967971530249106E-4</v>
      </c>
      <c r="L49" s="219"/>
      <c r="M49" s="286">
        <v>8.0000000000000002E-3</v>
      </c>
      <c r="N49" s="267">
        <f t="shared" si="10"/>
        <v>8.8896797153024919E-3</v>
      </c>
      <c r="O49" s="253"/>
      <c r="P49" s="325">
        <v>9.9000000000000008E-3</v>
      </c>
      <c r="Q49" s="326" t="s">
        <v>1600</v>
      </c>
      <c r="R49" s="325">
        <v>1E-3</v>
      </c>
      <c r="S49" s="325">
        <v>2.9999999999999997E-4</v>
      </c>
      <c r="T49" s="285">
        <f t="shared" si="11"/>
        <v>1.12E-2</v>
      </c>
      <c r="U49" s="49">
        <v>1000000</v>
      </c>
      <c r="V49" s="329"/>
      <c r="W49" s="329"/>
    </row>
    <row r="50" spans="1:23">
      <c r="A50" s="284" t="s">
        <v>1601</v>
      </c>
      <c r="B50" s="268" t="s">
        <v>1448</v>
      </c>
      <c r="C50" s="288">
        <v>20.32</v>
      </c>
      <c r="D50" s="219">
        <v>5000</v>
      </c>
      <c r="E50" s="285">
        <f t="shared" si="7"/>
        <v>4.921259842519685E-4</v>
      </c>
      <c r="F50" s="219"/>
      <c r="G50" s="286">
        <v>2.5999999999999999E-3</v>
      </c>
      <c r="H50" s="286">
        <v>1E-3</v>
      </c>
      <c r="I50" s="287">
        <f t="shared" si="8"/>
        <v>4.0921259842519684E-3</v>
      </c>
      <c r="J50" s="219">
        <v>5000</v>
      </c>
      <c r="K50" s="285">
        <f t="shared" si="9"/>
        <v>4.921259842519685E-4</v>
      </c>
      <c r="L50" s="219"/>
      <c r="M50" s="286">
        <v>2.5999999999999999E-3</v>
      </c>
      <c r="N50" s="267">
        <f t="shared" si="10"/>
        <v>3.0921259842519684E-3</v>
      </c>
      <c r="O50" s="253"/>
      <c r="P50" s="325">
        <v>5.0000000000000001E-3</v>
      </c>
      <c r="Q50" s="326" t="s">
        <v>1602</v>
      </c>
      <c r="R50" s="325">
        <v>1.8E-3</v>
      </c>
      <c r="S50" s="325">
        <v>2.9999999999999997E-4</v>
      </c>
      <c r="T50" s="285">
        <f t="shared" si="11"/>
        <v>7.1000000000000004E-3</v>
      </c>
      <c r="U50" s="49">
        <v>1000000</v>
      </c>
      <c r="V50" s="329"/>
      <c r="W50" s="329"/>
    </row>
    <row r="51" spans="1:23">
      <c r="A51" s="284" t="s">
        <v>1603</v>
      </c>
      <c r="B51" s="268" t="s">
        <v>1433</v>
      </c>
      <c r="C51" s="288">
        <v>29.67</v>
      </c>
      <c r="D51" s="219">
        <v>5000</v>
      </c>
      <c r="E51" s="285">
        <f t="shared" si="7"/>
        <v>3.370407819346141E-4</v>
      </c>
      <c r="F51" s="219"/>
      <c r="G51" s="286">
        <v>1E-3</v>
      </c>
      <c r="H51" s="286">
        <v>1E-3</v>
      </c>
      <c r="I51" s="287">
        <f t="shared" si="8"/>
        <v>2.3370407819346141E-3</v>
      </c>
      <c r="J51" s="219">
        <v>5000</v>
      </c>
      <c r="K51" s="285">
        <f t="shared" si="9"/>
        <v>3.370407819346141E-4</v>
      </c>
      <c r="L51" s="219"/>
      <c r="M51" s="286">
        <v>2E-3</v>
      </c>
      <c r="N51" s="267">
        <f t="shared" si="10"/>
        <v>2.3370407819346141E-3</v>
      </c>
      <c r="O51" s="253"/>
      <c r="P51" s="325">
        <v>8.5000000000000006E-3</v>
      </c>
      <c r="Q51" s="326" t="s">
        <v>1604</v>
      </c>
      <c r="R51" s="325">
        <v>1.6999999999999999E-3</v>
      </c>
      <c r="S51" s="325">
        <v>2.9999999999999997E-4</v>
      </c>
      <c r="T51" s="285">
        <f t="shared" si="11"/>
        <v>1.0500000000000001E-2</v>
      </c>
      <c r="U51" s="49">
        <v>1000000</v>
      </c>
      <c r="V51" s="329"/>
      <c r="W51" s="329"/>
    </row>
    <row r="52" spans="1:23">
      <c r="A52" s="271" t="s">
        <v>1605</v>
      </c>
      <c r="B52" s="268" t="s">
        <v>1434</v>
      </c>
      <c r="C52" s="288">
        <v>14.84</v>
      </c>
      <c r="D52" s="219">
        <v>5000</v>
      </c>
      <c r="E52" s="285">
        <f t="shared" si="7"/>
        <v>6.7385444743935314E-4</v>
      </c>
      <c r="F52" s="219"/>
      <c r="G52" s="286">
        <v>5.0000000000000001E-4</v>
      </c>
      <c r="H52" s="286">
        <v>1E-3</v>
      </c>
      <c r="I52" s="287">
        <f t="shared" si="8"/>
        <v>2.1738544474393532E-3</v>
      </c>
      <c r="J52" s="219">
        <v>5000</v>
      </c>
      <c r="K52" s="285">
        <f t="shared" si="9"/>
        <v>6.7385444743935314E-4</v>
      </c>
      <c r="L52" s="219"/>
      <c r="M52" s="286">
        <v>5.0000000000000001E-4</v>
      </c>
      <c r="N52" s="267">
        <f t="shared" si="10"/>
        <v>1.1738544474393531E-3</v>
      </c>
      <c r="O52" s="253"/>
      <c r="P52" s="325">
        <v>8.5000000000000006E-3</v>
      </c>
      <c r="Q52" s="326" t="s">
        <v>1606</v>
      </c>
      <c r="R52" s="325">
        <v>1.6999999999999999E-3</v>
      </c>
      <c r="S52" s="325">
        <v>2.9999999999999997E-4</v>
      </c>
      <c r="T52" s="285">
        <f t="shared" si="11"/>
        <v>1.0500000000000001E-2</v>
      </c>
      <c r="U52" s="49">
        <v>1000000</v>
      </c>
      <c r="V52" s="329"/>
      <c r="W52" s="329"/>
    </row>
    <row r="53" spans="1:23">
      <c r="A53" s="261" t="s">
        <v>1607</v>
      </c>
      <c r="B53" s="268" t="s">
        <v>1430</v>
      </c>
      <c r="C53" s="288">
        <v>21.44</v>
      </c>
      <c r="D53" s="219">
        <v>5000</v>
      </c>
      <c r="E53" s="285">
        <f t="shared" si="7"/>
        <v>4.6641791044776119E-4</v>
      </c>
      <c r="F53" s="219"/>
      <c r="G53" s="286">
        <v>1.6999999999999999E-3</v>
      </c>
      <c r="H53" s="286">
        <v>1E-3</v>
      </c>
      <c r="I53" s="287">
        <f t="shared" si="8"/>
        <v>3.1664179104477609E-3</v>
      </c>
      <c r="J53" s="219">
        <v>5000</v>
      </c>
      <c r="K53" s="285">
        <f t="shared" si="9"/>
        <v>4.6641791044776119E-4</v>
      </c>
      <c r="L53" s="219"/>
      <c r="M53" s="286">
        <v>1.6999999999999999E-3</v>
      </c>
      <c r="N53" s="267">
        <f t="shared" si="10"/>
        <v>2.1664179104477609E-3</v>
      </c>
      <c r="O53" s="253"/>
      <c r="P53" s="325">
        <v>5.0000000000000001E-3</v>
      </c>
      <c r="Q53" s="326" t="s">
        <v>1608</v>
      </c>
      <c r="R53" s="325">
        <v>2E-3</v>
      </c>
      <c r="S53" s="325">
        <v>2.9999999999999997E-4</v>
      </c>
      <c r="T53" s="285">
        <f t="shared" si="11"/>
        <v>7.3000000000000001E-3</v>
      </c>
      <c r="U53" s="49">
        <v>1000000</v>
      </c>
      <c r="V53" s="329"/>
      <c r="W53" s="329"/>
    </row>
    <row r="54" spans="1:23">
      <c r="A54" s="270" t="s">
        <v>1609</v>
      </c>
      <c r="B54" s="268" t="s">
        <v>1424</v>
      </c>
      <c r="C54" s="288">
        <v>22.07</v>
      </c>
      <c r="D54" s="219">
        <v>5000</v>
      </c>
      <c r="E54" s="285">
        <f t="shared" si="7"/>
        <v>4.5310376076121433E-4</v>
      </c>
      <c r="F54" s="219"/>
      <c r="G54" s="286">
        <v>6.9999999999999999E-4</v>
      </c>
      <c r="H54" s="286">
        <v>1E-3</v>
      </c>
      <c r="I54" s="287">
        <f t="shared" si="8"/>
        <v>2.1531037607612144E-3</v>
      </c>
      <c r="J54" s="219">
        <v>5000</v>
      </c>
      <c r="K54" s="285">
        <f t="shared" si="9"/>
        <v>4.5310376076121433E-4</v>
      </c>
      <c r="L54" s="219"/>
      <c r="M54" s="286">
        <v>6.9999999999999999E-4</v>
      </c>
      <c r="N54" s="267">
        <f t="shared" si="10"/>
        <v>1.1531037607612144E-3</v>
      </c>
      <c r="O54" s="253"/>
      <c r="P54" s="325">
        <v>9.9000000000000008E-3</v>
      </c>
      <c r="Q54" s="326" t="s">
        <v>1610</v>
      </c>
      <c r="R54" s="325">
        <v>2.0999999999999999E-3</v>
      </c>
      <c r="S54" s="325">
        <v>2.9999999999999997E-4</v>
      </c>
      <c r="T54" s="285">
        <f t="shared" si="11"/>
        <v>1.23E-2</v>
      </c>
      <c r="U54" s="49">
        <v>1000000</v>
      </c>
      <c r="V54" s="329"/>
      <c r="W54" s="329"/>
    </row>
    <row r="55" spans="1:23">
      <c r="A55" s="270" t="s">
        <v>1611</v>
      </c>
      <c r="B55" s="268" t="s">
        <v>1425</v>
      </c>
      <c r="C55" s="288">
        <v>15.7</v>
      </c>
      <c r="D55" s="219">
        <v>5000</v>
      </c>
      <c r="E55" s="285">
        <f t="shared" si="7"/>
        <v>6.3694267515923564E-4</v>
      </c>
      <c r="F55" s="219"/>
      <c r="G55" s="286">
        <v>2.0000000000000001E-4</v>
      </c>
      <c r="H55" s="286">
        <v>1E-3</v>
      </c>
      <c r="I55" s="287">
        <f t="shared" si="8"/>
        <v>1.8369426751592356E-3</v>
      </c>
      <c r="J55" s="219">
        <v>5000</v>
      </c>
      <c r="K55" s="285">
        <f t="shared" si="9"/>
        <v>6.3694267515923564E-4</v>
      </c>
      <c r="L55" s="219"/>
      <c r="M55" s="286">
        <v>2.0000000000000001E-4</v>
      </c>
      <c r="N55" s="267">
        <f t="shared" si="10"/>
        <v>8.3694267515923562E-4</v>
      </c>
      <c r="O55" s="253"/>
      <c r="P55" s="325">
        <v>9.9000000000000008E-3</v>
      </c>
      <c r="Q55" s="326" t="s">
        <v>1610</v>
      </c>
      <c r="R55" s="325">
        <v>1.8E-3</v>
      </c>
      <c r="S55" s="325">
        <v>2.9999999999999997E-4</v>
      </c>
      <c r="T55" s="285">
        <f t="shared" si="11"/>
        <v>1.2E-2</v>
      </c>
      <c r="U55" s="49">
        <v>1000000</v>
      </c>
      <c r="V55" s="329"/>
      <c r="W55" s="329"/>
    </row>
    <row r="56" spans="1:23">
      <c r="A56" s="261" t="s">
        <v>1612</v>
      </c>
      <c r="B56" s="268" t="s">
        <v>1418</v>
      </c>
      <c r="C56" s="288">
        <v>22.14</v>
      </c>
      <c r="D56" s="219">
        <v>5000</v>
      </c>
      <c r="E56" s="285">
        <f t="shared" si="7"/>
        <v>4.5167118337850043E-4</v>
      </c>
      <c r="F56" s="219"/>
      <c r="G56" s="286">
        <v>2E-3</v>
      </c>
      <c r="H56" s="286">
        <v>1E-3</v>
      </c>
      <c r="I56" s="287">
        <f t="shared" si="8"/>
        <v>3.4516711833785007E-3</v>
      </c>
      <c r="J56" s="219">
        <v>10000</v>
      </c>
      <c r="K56" s="285">
        <f t="shared" si="9"/>
        <v>9.0334236675700087E-4</v>
      </c>
      <c r="L56" s="219"/>
      <c r="M56" s="286">
        <v>3.0000000000000001E-3</v>
      </c>
      <c r="N56" s="267">
        <f t="shared" si="10"/>
        <v>3.9033423667570008E-3</v>
      </c>
      <c r="O56" s="253"/>
      <c r="P56" s="325">
        <v>9.9000000000000008E-3</v>
      </c>
      <c r="Q56" s="326" t="s">
        <v>1613</v>
      </c>
      <c r="R56" s="325">
        <v>2.5999999999999999E-3</v>
      </c>
      <c r="S56" s="325">
        <v>2.9999999999999997E-4</v>
      </c>
      <c r="T56" s="285">
        <f t="shared" si="11"/>
        <v>1.2800000000000001E-2</v>
      </c>
      <c r="U56" s="49">
        <v>1000000</v>
      </c>
      <c r="V56" s="329"/>
      <c r="W56" s="329"/>
    </row>
    <row r="57" spans="1:23" ht="17.25" customHeight="1">
      <c r="A57" s="284" t="s">
        <v>1614</v>
      </c>
      <c r="B57" s="268" t="s">
        <v>1419</v>
      </c>
      <c r="C57" s="288">
        <v>26.47</v>
      </c>
      <c r="D57" s="219">
        <v>5000</v>
      </c>
      <c r="E57" s="285">
        <f t="shared" si="7"/>
        <v>3.7778617302606723E-4</v>
      </c>
      <c r="F57" s="219"/>
      <c r="G57" s="286">
        <v>1E-3</v>
      </c>
      <c r="H57" s="286">
        <v>1E-3</v>
      </c>
      <c r="I57" s="287">
        <f t="shared" si="8"/>
        <v>2.3777861730260672E-3</v>
      </c>
      <c r="J57" s="219">
        <v>5000</v>
      </c>
      <c r="K57" s="285">
        <f t="shared" si="9"/>
        <v>3.7778617302606723E-4</v>
      </c>
      <c r="L57" s="219"/>
      <c r="M57" s="286">
        <v>2E-3</v>
      </c>
      <c r="N57" s="267">
        <f t="shared" si="10"/>
        <v>2.3777861730260672E-3</v>
      </c>
      <c r="O57" s="253"/>
      <c r="P57" s="325">
        <v>9.9000000000000008E-3</v>
      </c>
      <c r="Q57" s="326" t="s">
        <v>1613</v>
      </c>
      <c r="R57" s="325">
        <v>2.3E-3</v>
      </c>
      <c r="S57" s="325">
        <v>2.9999999999999997E-4</v>
      </c>
      <c r="T57" s="285">
        <f t="shared" si="11"/>
        <v>1.2500000000000001E-2</v>
      </c>
      <c r="U57" s="49">
        <v>1000000</v>
      </c>
      <c r="V57" s="329"/>
      <c r="W57" s="329"/>
    </row>
    <row r="58" spans="1:23">
      <c r="A58" s="284" t="s">
        <v>1615</v>
      </c>
      <c r="B58" s="268" t="s">
        <v>1420</v>
      </c>
      <c r="C58" s="288">
        <v>16.02</v>
      </c>
      <c r="D58" s="219">
        <v>5000</v>
      </c>
      <c r="E58" s="285">
        <f t="shared" si="7"/>
        <v>6.2421972534332086E-4</v>
      </c>
      <c r="F58" s="219"/>
      <c r="G58" s="286">
        <v>5.0000000000000001E-4</v>
      </c>
      <c r="H58" s="286">
        <v>1E-3</v>
      </c>
      <c r="I58" s="287">
        <f t="shared" si="8"/>
        <v>2.1242197253433211E-3</v>
      </c>
      <c r="J58" s="219">
        <v>5000</v>
      </c>
      <c r="K58" s="285">
        <f t="shared" si="9"/>
        <v>6.2421972534332086E-4</v>
      </c>
      <c r="L58" s="219"/>
      <c r="M58" s="286">
        <v>5.0000000000000001E-4</v>
      </c>
      <c r="N58" s="267">
        <f t="shared" si="10"/>
        <v>1.1242197253433209E-3</v>
      </c>
      <c r="O58" s="253"/>
      <c r="P58" s="325">
        <v>9.9000000000000008E-3</v>
      </c>
      <c r="Q58" s="326" t="s">
        <v>1613</v>
      </c>
      <c r="R58" s="325">
        <v>2.3E-3</v>
      </c>
      <c r="S58" s="325">
        <v>2.9999999999999997E-4</v>
      </c>
      <c r="T58" s="285">
        <f t="shared" si="11"/>
        <v>1.2500000000000001E-2</v>
      </c>
      <c r="U58" s="49">
        <v>1000000</v>
      </c>
      <c r="V58" s="329"/>
      <c r="W58" s="329"/>
    </row>
    <row r="59" spans="1:23">
      <c r="A59" s="261" t="s">
        <v>1616</v>
      </c>
      <c r="B59" s="268" t="s">
        <v>1429</v>
      </c>
      <c r="C59" s="219">
        <v>25.17</v>
      </c>
      <c r="D59" s="219">
        <v>5000</v>
      </c>
      <c r="E59" s="285">
        <f t="shared" si="7"/>
        <v>3.9729837107667858E-4</v>
      </c>
      <c r="F59" s="219"/>
      <c r="G59" s="286">
        <v>1E-3</v>
      </c>
      <c r="H59" s="286">
        <v>1E-3</v>
      </c>
      <c r="I59" s="287">
        <f t="shared" si="8"/>
        <v>2.3972983710766789E-3</v>
      </c>
      <c r="J59" s="219">
        <v>5000</v>
      </c>
      <c r="K59" s="285">
        <f t="shared" si="9"/>
        <v>3.9729837107667858E-4</v>
      </c>
      <c r="L59" s="219"/>
      <c r="M59" s="286">
        <v>1E-3</v>
      </c>
      <c r="N59" s="267">
        <f t="shared" si="10"/>
        <v>1.3972983710766787E-3</v>
      </c>
      <c r="O59" s="253"/>
      <c r="P59" s="325">
        <v>3.0000000000000001E-3</v>
      </c>
      <c r="Q59" s="326" t="s">
        <v>1617</v>
      </c>
      <c r="R59" s="325">
        <v>2.0999999999999999E-3</v>
      </c>
      <c r="S59" s="325">
        <v>2.9999999999999997E-4</v>
      </c>
      <c r="T59" s="285">
        <f t="shared" si="11"/>
        <v>5.4000000000000003E-3</v>
      </c>
      <c r="U59" s="49">
        <v>1000000</v>
      </c>
      <c r="V59" s="329"/>
      <c r="W59" s="329"/>
    </row>
    <row r="60" spans="1:23">
      <c r="A60" s="270" t="s">
        <v>1618</v>
      </c>
      <c r="B60" s="268" t="s">
        <v>1442</v>
      </c>
      <c r="C60" s="219">
        <v>24.79</v>
      </c>
      <c r="D60" s="219">
        <v>5000</v>
      </c>
      <c r="E60" s="285">
        <f t="shared" si="7"/>
        <v>4.0338846308995562E-4</v>
      </c>
      <c r="F60" s="219"/>
      <c r="G60" s="286">
        <v>6.9999999999999999E-4</v>
      </c>
      <c r="H60" s="286">
        <v>1E-3</v>
      </c>
      <c r="I60" s="287">
        <f t="shared" si="8"/>
        <v>2.1033884630899556E-3</v>
      </c>
      <c r="J60" s="219">
        <v>5000</v>
      </c>
      <c r="K60" s="285">
        <f t="shared" si="9"/>
        <v>4.0338846308995562E-4</v>
      </c>
      <c r="L60" s="219"/>
      <c r="M60" s="286">
        <v>6.9999999999999999E-4</v>
      </c>
      <c r="N60" s="267">
        <f t="shared" si="10"/>
        <v>1.1033884630899556E-3</v>
      </c>
      <c r="O60" s="253"/>
      <c r="P60" s="325">
        <v>8.8999999999999999E-3</v>
      </c>
      <c r="Q60" s="326" t="s">
        <v>1619</v>
      </c>
      <c r="R60" s="325">
        <v>2E-3</v>
      </c>
      <c r="S60" s="325">
        <v>2.9999999999999997E-4</v>
      </c>
      <c r="T60" s="285">
        <f t="shared" si="11"/>
        <v>1.12E-2</v>
      </c>
      <c r="U60" s="49">
        <v>1000000</v>
      </c>
      <c r="V60" s="329"/>
      <c r="W60" s="329"/>
    </row>
    <row r="61" spans="1:23">
      <c r="A61" s="270" t="s">
        <v>1620</v>
      </c>
      <c r="B61" s="268" t="s">
        <v>1441</v>
      </c>
      <c r="C61" s="219">
        <v>17.39</v>
      </c>
      <c r="D61" s="219">
        <v>5000</v>
      </c>
      <c r="E61" s="285">
        <f t="shared" si="7"/>
        <v>5.750431282346176E-4</v>
      </c>
      <c r="F61" s="219"/>
      <c r="G61" s="286">
        <v>2.0000000000000001E-4</v>
      </c>
      <c r="H61" s="286">
        <v>1E-3</v>
      </c>
      <c r="I61" s="287">
        <f t="shared" si="8"/>
        <v>1.7750431282346178E-3</v>
      </c>
      <c r="J61" s="219">
        <v>5000</v>
      </c>
      <c r="K61" s="285">
        <f t="shared" si="9"/>
        <v>5.750431282346176E-4</v>
      </c>
      <c r="L61" s="219"/>
      <c r="M61" s="286">
        <v>2.0000000000000001E-4</v>
      </c>
      <c r="N61" s="267">
        <f t="shared" si="10"/>
        <v>7.7504312823461759E-4</v>
      </c>
      <c r="O61" s="253"/>
      <c r="P61" s="325">
        <v>8.8999999999999999E-3</v>
      </c>
      <c r="Q61" s="326" t="s">
        <v>1619</v>
      </c>
      <c r="R61" s="325">
        <v>1.8E-3</v>
      </c>
      <c r="S61" s="325">
        <v>2.9999999999999997E-4</v>
      </c>
      <c r="T61" s="285">
        <f t="shared" si="11"/>
        <v>1.0999999999999999E-2</v>
      </c>
      <c r="U61" s="49">
        <v>1000000</v>
      </c>
      <c r="V61" s="329"/>
      <c r="W61" s="329"/>
    </row>
    <row r="62" spans="1:23">
      <c r="A62" s="270" t="s">
        <v>1621</v>
      </c>
      <c r="B62" s="268" t="s">
        <v>1449</v>
      </c>
      <c r="C62" s="219">
        <v>20.9</v>
      </c>
      <c r="D62" s="219">
        <v>5000</v>
      </c>
      <c r="E62" s="285">
        <f t="shared" si="7"/>
        <v>4.7846889952153111E-4</v>
      </c>
      <c r="F62" s="219"/>
      <c r="G62" s="286">
        <v>1.5E-3</v>
      </c>
      <c r="H62" s="286">
        <v>1E-3</v>
      </c>
      <c r="I62" s="287">
        <f t="shared" si="8"/>
        <v>2.9784688995215312E-3</v>
      </c>
      <c r="J62" s="219">
        <v>5000</v>
      </c>
      <c r="K62" s="285">
        <f t="shared" si="9"/>
        <v>4.7846889952153111E-4</v>
      </c>
      <c r="L62" s="219"/>
      <c r="M62" s="286">
        <v>1.5E-3</v>
      </c>
      <c r="N62" s="267">
        <f t="shared" si="10"/>
        <v>1.9784688995215312E-3</v>
      </c>
      <c r="O62" s="253"/>
      <c r="P62" s="325">
        <v>5.0000000000000001E-3</v>
      </c>
      <c r="Q62" s="326" t="s">
        <v>1622</v>
      </c>
      <c r="R62" s="325">
        <v>2.8999999999999998E-3</v>
      </c>
      <c r="S62" s="325">
        <v>2.9999999999999997E-4</v>
      </c>
      <c r="T62" s="285">
        <f t="shared" si="11"/>
        <v>8.2000000000000007E-3</v>
      </c>
      <c r="U62" s="49">
        <v>1000000</v>
      </c>
      <c r="V62" s="329"/>
      <c r="W62" s="329"/>
    </row>
    <row r="63" spans="1:23">
      <c r="A63" s="284" t="s">
        <v>1623</v>
      </c>
      <c r="B63" s="268" t="s">
        <v>1499</v>
      </c>
      <c r="C63" s="288">
        <v>40.520000000000003</v>
      </c>
      <c r="D63" s="219">
        <v>5000</v>
      </c>
      <c r="E63" s="285">
        <f t="shared" si="7"/>
        <v>2.4679170779861795E-4</v>
      </c>
      <c r="F63" s="219"/>
      <c r="G63" s="286">
        <v>2.9999999999999997E-4</v>
      </c>
      <c r="H63" s="286">
        <v>0</v>
      </c>
      <c r="I63" s="287">
        <f t="shared" si="8"/>
        <v>5.4679170779861792E-4</v>
      </c>
      <c r="J63" s="219">
        <v>5000</v>
      </c>
      <c r="K63" s="285">
        <f t="shared" si="9"/>
        <v>2.4679170779861795E-4</v>
      </c>
      <c r="L63" s="219"/>
      <c r="M63" s="286">
        <v>2.9999999999999997E-4</v>
      </c>
      <c r="N63" s="267">
        <f t="shared" si="10"/>
        <v>5.4679170779861792E-4</v>
      </c>
      <c r="O63" s="253"/>
      <c r="P63" s="325">
        <v>1.5E-3</v>
      </c>
      <c r="Q63" s="326" t="s">
        <v>1624</v>
      </c>
      <c r="R63" s="326" t="s">
        <v>1625</v>
      </c>
      <c r="S63" s="325">
        <v>2.9999999999999997E-4</v>
      </c>
      <c r="T63" s="285">
        <f t="shared" si="11"/>
        <v>1.8E-3</v>
      </c>
      <c r="U63" s="49">
        <v>1000000</v>
      </c>
      <c r="V63" s="329"/>
      <c r="W63" s="329"/>
    </row>
    <row r="64" spans="1:23">
      <c r="A64" s="284" t="s">
        <v>1626</v>
      </c>
      <c r="B64" s="268" t="s">
        <v>1500</v>
      </c>
      <c r="C64" s="288">
        <v>40.14</v>
      </c>
      <c r="D64" s="219">
        <v>5000</v>
      </c>
      <c r="E64" s="285">
        <f t="shared" si="7"/>
        <v>2.4912805181863477E-4</v>
      </c>
      <c r="F64" s="219"/>
      <c r="G64" s="286">
        <v>2.9999999999999997E-4</v>
      </c>
      <c r="H64" s="286">
        <v>0</v>
      </c>
      <c r="I64" s="287">
        <f t="shared" si="8"/>
        <v>5.4912805181863474E-4</v>
      </c>
      <c r="J64" s="219">
        <v>5000</v>
      </c>
      <c r="K64" s="285">
        <f t="shared" si="9"/>
        <v>2.4912805181863477E-4</v>
      </c>
      <c r="L64" s="219"/>
      <c r="M64" s="286">
        <v>2.9999999999999997E-4</v>
      </c>
      <c r="N64" s="267">
        <f t="shared" si="10"/>
        <v>5.4912805181863474E-4</v>
      </c>
      <c r="O64" s="253"/>
      <c r="P64" s="325">
        <v>2E-3</v>
      </c>
      <c r="Q64" s="326" t="s">
        <v>1624</v>
      </c>
      <c r="R64" s="326" t="s">
        <v>1627</v>
      </c>
      <c r="S64" s="325">
        <v>2.9999999999999997E-4</v>
      </c>
      <c r="T64" s="285">
        <f t="shared" si="11"/>
        <v>2.3E-3</v>
      </c>
      <c r="U64" s="49">
        <v>1000000</v>
      </c>
      <c r="V64" s="329"/>
      <c r="W64" s="329"/>
    </row>
    <row r="65" spans="1:23" ht="16.8" thickBot="1">
      <c r="A65" s="272" t="s">
        <v>1628</v>
      </c>
      <c r="B65" s="289" t="s">
        <v>1447</v>
      </c>
      <c r="C65" s="290">
        <v>40.33</v>
      </c>
      <c r="D65" s="273">
        <v>5000</v>
      </c>
      <c r="E65" s="291">
        <f t="shared" si="7"/>
        <v>2.4795437639474338E-4</v>
      </c>
      <c r="F65" s="273"/>
      <c r="G65" s="292">
        <v>2.9999999999999997E-4</v>
      </c>
      <c r="H65" s="292">
        <v>0</v>
      </c>
      <c r="I65" s="293">
        <f t="shared" si="8"/>
        <v>5.479543763947433E-4</v>
      </c>
      <c r="J65" s="273">
        <v>5000</v>
      </c>
      <c r="K65" s="291">
        <f t="shared" si="9"/>
        <v>2.4795437639474338E-4</v>
      </c>
      <c r="L65" s="273"/>
      <c r="M65" s="292">
        <v>2.9999999999999997E-4</v>
      </c>
      <c r="N65" s="278">
        <f t="shared" si="10"/>
        <v>5.479543763947433E-4</v>
      </c>
      <c r="O65" s="253"/>
      <c r="P65" s="325">
        <v>2E-3</v>
      </c>
      <c r="Q65" s="326" t="s">
        <v>1624</v>
      </c>
      <c r="R65" s="326" t="s">
        <v>1629</v>
      </c>
      <c r="S65" s="325">
        <v>2.9999999999999997E-4</v>
      </c>
      <c r="T65" s="285">
        <f t="shared" si="11"/>
        <v>2.3E-3</v>
      </c>
      <c r="U65" s="49">
        <v>1000000</v>
      </c>
      <c r="V65" s="329"/>
      <c r="W65" s="329"/>
    </row>
    <row r="66" spans="1:23">
      <c r="O66" s="253"/>
      <c r="P66" s="253"/>
    </row>
    <row r="67" spans="1:23" ht="16.8" thickBot="1">
      <c r="O67" s="253"/>
      <c r="P67" s="253"/>
    </row>
    <row r="68" spans="1:23" ht="25.2" thickBot="1">
      <c r="A68" s="545" t="s">
        <v>1630</v>
      </c>
      <c r="B68" s="546"/>
      <c r="C68" s="546"/>
      <c r="D68" s="546"/>
      <c r="E68" s="546"/>
      <c r="F68" s="546"/>
      <c r="G68" s="546"/>
      <c r="H68" s="546"/>
      <c r="I68" s="546"/>
      <c r="J68" s="546"/>
      <c r="K68" s="546"/>
      <c r="L68" s="546"/>
      <c r="M68" s="546"/>
      <c r="N68" s="547"/>
      <c r="O68" s="253"/>
      <c r="P68" s="253"/>
    </row>
    <row r="69" spans="1:23">
      <c r="A69" s="518" t="s">
        <v>1587</v>
      </c>
      <c r="B69" s="520" t="s">
        <v>1507</v>
      </c>
      <c r="C69" s="522" t="s">
        <v>1508</v>
      </c>
      <c r="D69" s="524" t="s">
        <v>1509</v>
      </c>
      <c r="E69" s="525"/>
      <c r="F69" s="526"/>
      <c r="G69" s="526"/>
      <c r="H69" s="526"/>
      <c r="I69" s="527"/>
      <c r="J69" s="528" t="s">
        <v>1510</v>
      </c>
      <c r="K69" s="529"/>
      <c r="L69" s="530"/>
      <c r="M69" s="530"/>
      <c r="N69" s="531"/>
      <c r="O69" s="253"/>
      <c r="P69" s="253"/>
      <c r="S69" s="321" t="s">
        <v>1512</v>
      </c>
    </row>
    <row r="70" spans="1:23" ht="41.4">
      <c r="A70" s="519"/>
      <c r="B70" s="521"/>
      <c r="C70" s="523"/>
      <c r="D70" s="255" t="s">
        <v>1509</v>
      </c>
      <c r="E70" s="256" t="s">
        <v>1514</v>
      </c>
      <c r="F70" s="257" t="s">
        <v>1515</v>
      </c>
      <c r="G70" s="256" t="s">
        <v>1516</v>
      </c>
      <c r="H70" s="258" t="s">
        <v>1517</v>
      </c>
      <c r="I70" s="259" t="s">
        <v>1518</v>
      </c>
      <c r="J70" s="255" t="s">
        <v>1510</v>
      </c>
      <c r="K70" s="256" t="s">
        <v>1514</v>
      </c>
      <c r="L70" s="257" t="s">
        <v>1519</v>
      </c>
      <c r="M70" s="256" t="s">
        <v>1520</v>
      </c>
      <c r="N70" s="260" t="s">
        <v>1521</v>
      </c>
      <c r="O70" s="253"/>
      <c r="P70" s="257" t="s">
        <v>1522</v>
      </c>
      <c r="Q70" s="257" t="s">
        <v>1631</v>
      </c>
      <c r="R70" s="257" t="s">
        <v>1524</v>
      </c>
      <c r="S70" s="257" t="s">
        <v>1525</v>
      </c>
      <c r="T70" s="257" t="s">
        <v>1632</v>
      </c>
      <c r="U70" s="257" t="s">
        <v>1527</v>
      </c>
      <c r="V70" s="322"/>
      <c r="W70" s="322"/>
    </row>
    <row r="71" spans="1:23">
      <c r="A71" s="284" t="s">
        <v>1633</v>
      </c>
      <c r="B71" s="294" t="s">
        <v>1431</v>
      </c>
      <c r="C71" s="263">
        <v>31.61</v>
      </c>
      <c r="D71" s="271">
        <v>2000</v>
      </c>
      <c r="E71" s="285">
        <f t="shared" ref="E71:E83" si="12">D71/(C71*1000*500)</f>
        <v>1.2654223347042075E-4</v>
      </c>
      <c r="F71" s="219"/>
      <c r="G71" s="286">
        <v>5.9999999999999995E-4</v>
      </c>
      <c r="H71" s="286">
        <v>1E-3</v>
      </c>
      <c r="I71" s="267">
        <f>E71+H71+G71</f>
        <v>1.7265422334704207E-3</v>
      </c>
      <c r="J71" s="271">
        <v>2000</v>
      </c>
      <c r="K71" s="285">
        <f t="shared" ref="K71:K83" si="13">J71/(C71*1000*500)</f>
        <v>1.2654223347042075E-4</v>
      </c>
      <c r="L71" s="219"/>
      <c r="M71" s="286">
        <v>8.0000000000000004E-4</v>
      </c>
      <c r="N71" s="267">
        <f t="shared" ref="N71:N83" si="14">K71+M71</f>
        <v>9.2654223347042076E-4</v>
      </c>
      <c r="O71" s="253"/>
      <c r="P71" s="325">
        <v>7.4999999999999997E-3</v>
      </c>
      <c r="Q71" s="326" t="s">
        <v>1634</v>
      </c>
      <c r="R71" s="325">
        <v>4.0000000000000002E-4</v>
      </c>
      <c r="S71" s="325">
        <v>2.9999999999999997E-4</v>
      </c>
      <c r="T71" s="330">
        <f>SUM(P71:S71)</f>
        <v>8.199999999999999E-3</v>
      </c>
      <c r="U71" s="49">
        <v>1000000</v>
      </c>
      <c r="V71" s="329"/>
      <c r="W71" s="329"/>
    </row>
    <row r="72" spans="1:23">
      <c r="A72" s="284" t="s">
        <v>1635</v>
      </c>
      <c r="B72" s="294" t="s">
        <v>1432</v>
      </c>
      <c r="C72" s="263">
        <v>15.3</v>
      </c>
      <c r="D72" s="271">
        <v>2000</v>
      </c>
      <c r="E72" s="285">
        <f t="shared" si="12"/>
        <v>2.6143790849673205E-4</v>
      </c>
      <c r="F72" s="219"/>
      <c r="G72" s="286">
        <v>2.0000000000000001E-4</v>
      </c>
      <c r="H72" s="286">
        <v>1E-3</v>
      </c>
      <c r="I72" s="267">
        <f t="shared" ref="I72:I83" si="15">E72+H72+G72</f>
        <v>1.4614379084967322E-3</v>
      </c>
      <c r="J72" s="271">
        <v>2000</v>
      </c>
      <c r="K72" s="285">
        <f t="shared" si="13"/>
        <v>2.6143790849673205E-4</v>
      </c>
      <c r="L72" s="219"/>
      <c r="M72" s="286">
        <v>2.0000000000000001E-4</v>
      </c>
      <c r="N72" s="267">
        <f t="shared" si="14"/>
        <v>4.6143790849673203E-4</v>
      </c>
      <c r="O72" s="253"/>
      <c r="P72" s="325">
        <v>7.4999999999999997E-3</v>
      </c>
      <c r="Q72" s="326" t="s">
        <v>1634</v>
      </c>
      <c r="R72" s="325">
        <v>4.0000000000000002E-4</v>
      </c>
      <c r="S72" s="325">
        <v>2.9999999999999997E-4</v>
      </c>
      <c r="T72" s="330">
        <f t="shared" ref="T72:T85" si="16">SUM(P72:S72)</f>
        <v>8.199999999999999E-3</v>
      </c>
      <c r="U72" s="49">
        <v>1000000</v>
      </c>
      <c r="V72" s="329"/>
      <c r="W72" s="329"/>
    </row>
    <row r="73" spans="1:23">
      <c r="A73" s="284" t="s">
        <v>1636</v>
      </c>
      <c r="B73" s="294" t="s">
        <v>1411</v>
      </c>
      <c r="C73" s="263">
        <v>19.38</v>
      </c>
      <c r="D73" s="271">
        <v>2000</v>
      </c>
      <c r="E73" s="285">
        <f t="shared" si="12"/>
        <v>2.0639834881320949E-4</v>
      </c>
      <c r="F73" s="219"/>
      <c r="G73" s="286">
        <f>0.2%</f>
        <v>2E-3</v>
      </c>
      <c r="H73" s="286">
        <v>1E-3</v>
      </c>
      <c r="I73" s="267">
        <f t="shared" si="15"/>
        <v>3.2063983488132093E-3</v>
      </c>
      <c r="J73" s="271">
        <v>2000</v>
      </c>
      <c r="K73" s="285">
        <f t="shared" si="13"/>
        <v>2.0639834881320949E-4</v>
      </c>
      <c r="L73" s="219"/>
      <c r="M73" s="286">
        <v>4.0000000000000001E-3</v>
      </c>
      <c r="N73" s="267">
        <f t="shared" si="14"/>
        <v>4.2063983488132093E-3</v>
      </c>
      <c r="O73" s="253"/>
      <c r="P73" s="325">
        <v>9.4999999999999998E-3</v>
      </c>
      <c r="Q73" s="326">
        <f>P73*10%</f>
        <v>9.5E-4</v>
      </c>
      <c r="R73" s="325">
        <v>1E-3</v>
      </c>
      <c r="S73" s="325">
        <v>2.9999999999999997E-4</v>
      </c>
      <c r="T73" s="330">
        <f t="shared" si="16"/>
        <v>1.1749999999999998E-2</v>
      </c>
      <c r="U73" s="49">
        <v>1000000</v>
      </c>
      <c r="V73" s="329"/>
      <c r="W73" s="329"/>
    </row>
    <row r="74" spans="1:23">
      <c r="A74" s="284" t="s">
        <v>1637</v>
      </c>
      <c r="B74" s="294" t="s">
        <v>1416</v>
      </c>
      <c r="C74" s="263">
        <v>32.020000000000003</v>
      </c>
      <c r="D74" s="271">
        <v>2000</v>
      </c>
      <c r="E74" s="285">
        <f t="shared" si="12"/>
        <v>1.2492192379762648E-4</v>
      </c>
      <c r="F74" s="219"/>
      <c r="G74" s="286">
        <v>1E-3</v>
      </c>
      <c r="H74" s="286">
        <v>1E-3</v>
      </c>
      <c r="I74" s="267">
        <f t="shared" si="15"/>
        <v>2.1249219237976266E-3</v>
      </c>
      <c r="J74" s="271">
        <v>2000</v>
      </c>
      <c r="K74" s="285">
        <f t="shared" si="13"/>
        <v>1.2492192379762648E-4</v>
      </c>
      <c r="L74" s="219"/>
      <c r="M74" s="286">
        <v>2E-3</v>
      </c>
      <c r="N74" s="267">
        <f t="shared" si="14"/>
        <v>2.1249219237976266E-3</v>
      </c>
      <c r="O74" s="253"/>
      <c r="P74" s="325">
        <v>9.4999999999999998E-3</v>
      </c>
      <c r="Q74" s="326">
        <f>P74*10%</f>
        <v>9.5E-4</v>
      </c>
      <c r="R74" s="325">
        <v>2.0999999999999999E-3</v>
      </c>
      <c r="S74" s="325">
        <v>2.9999999999999997E-4</v>
      </c>
      <c r="T74" s="330">
        <f t="shared" si="16"/>
        <v>1.2849999999999999E-2</v>
      </c>
      <c r="U74" s="49">
        <v>1000000</v>
      </c>
      <c r="V74" s="329"/>
      <c r="W74" s="329"/>
    </row>
    <row r="75" spans="1:23">
      <c r="A75" s="284" t="s">
        <v>1638</v>
      </c>
      <c r="B75" s="294" t="s">
        <v>1417</v>
      </c>
      <c r="C75" s="263">
        <v>14.3</v>
      </c>
      <c r="D75" s="271">
        <v>2000</v>
      </c>
      <c r="E75" s="285">
        <f t="shared" si="12"/>
        <v>2.7972027972027972E-4</v>
      </c>
      <c r="F75" s="219"/>
      <c r="G75" s="286">
        <v>5.0000000000000001E-4</v>
      </c>
      <c r="H75" s="286">
        <v>1E-3</v>
      </c>
      <c r="I75" s="267">
        <f t="shared" si="15"/>
        <v>1.7797202797202798E-3</v>
      </c>
      <c r="J75" s="271">
        <v>2000</v>
      </c>
      <c r="K75" s="285">
        <f t="shared" si="13"/>
        <v>2.7972027972027972E-4</v>
      </c>
      <c r="L75" s="219"/>
      <c r="M75" s="286">
        <v>5.0000000000000001E-4</v>
      </c>
      <c r="N75" s="267">
        <f t="shared" si="14"/>
        <v>7.7972027972027973E-4</v>
      </c>
      <c r="O75" s="253"/>
      <c r="P75" s="325">
        <v>9.4999999999999998E-3</v>
      </c>
      <c r="Q75" s="326">
        <f>P75*10%</f>
        <v>9.5E-4</v>
      </c>
      <c r="R75" s="325">
        <v>1.8E-3</v>
      </c>
      <c r="S75" s="325">
        <v>2.9999999999999997E-4</v>
      </c>
      <c r="T75" s="330">
        <f t="shared" si="16"/>
        <v>1.2549999999999999E-2</v>
      </c>
      <c r="U75" s="49">
        <v>1000000</v>
      </c>
      <c r="V75" s="329"/>
      <c r="W75" s="329"/>
    </row>
    <row r="76" spans="1:23">
      <c r="A76" s="284" t="s">
        <v>1639</v>
      </c>
      <c r="B76" s="294" t="s">
        <v>1426</v>
      </c>
      <c r="C76" s="263">
        <v>24.88</v>
      </c>
      <c r="D76" s="271">
        <v>2000</v>
      </c>
      <c r="E76" s="285">
        <f t="shared" si="12"/>
        <v>1.6077170418006431E-4</v>
      </c>
      <c r="F76" s="219"/>
      <c r="G76" s="286">
        <v>1.6000000000000001E-3</v>
      </c>
      <c r="H76" s="286">
        <v>1E-3</v>
      </c>
      <c r="I76" s="267">
        <f t="shared" si="15"/>
        <v>2.7607717041800645E-3</v>
      </c>
      <c r="J76" s="271">
        <v>2000</v>
      </c>
      <c r="K76" s="285">
        <f t="shared" si="13"/>
        <v>1.6077170418006431E-4</v>
      </c>
      <c r="L76" s="219"/>
      <c r="M76" s="286">
        <v>1.6000000000000001E-3</v>
      </c>
      <c r="N76" s="267">
        <f t="shared" si="14"/>
        <v>1.7607717041800645E-3</v>
      </c>
      <c r="O76" s="253"/>
      <c r="P76" s="325">
        <v>4.4999999999999997E-3</v>
      </c>
      <c r="Q76" s="326">
        <v>5.0000000000000001E-4</v>
      </c>
      <c r="R76" s="325">
        <v>2E-3</v>
      </c>
      <c r="S76" s="325">
        <v>2.9999999999999997E-4</v>
      </c>
      <c r="T76" s="330">
        <f t="shared" si="16"/>
        <v>7.2999999999999992E-3</v>
      </c>
      <c r="U76" s="49">
        <v>1000000</v>
      </c>
      <c r="V76" s="329"/>
      <c r="W76" s="329"/>
    </row>
    <row r="77" spans="1:23">
      <c r="A77" s="284" t="s">
        <v>1640</v>
      </c>
      <c r="B77" s="294" t="s">
        <v>1427</v>
      </c>
      <c r="C77" s="263">
        <v>30.88</v>
      </c>
      <c r="D77" s="271">
        <v>2000</v>
      </c>
      <c r="E77" s="285">
        <f t="shared" si="12"/>
        <v>1.2953367875647668E-4</v>
      </c>
      <c r="F77" s="219"/>
      <c r="G77" s="286">
        <v>8.0000000000000004E-4</v>
      </c>
      <c r="H77" s="286">
        <v>1E-3</v>
      </c>
      <c r="I77" s="267">
        <f t="shared" si="15"/>
        <v>1.9295336787564766E-3</v>
      </c>
      <c r="J77" s="271">
        <v>2000</v>
      </c>
      <c r="K77" s="285">
        <f t="shared" si="13"/>
        <v>1.2953367875647668E-4</v>
      </c>
      <c r="L77" s="219"/>
      <c r="M77" s="286">
        <v>8.0000000000000004E-4</v>
      </c>
      <c r="N77" s="267">
        <f t="shared" si="14"/>
        <v>9.2953367875647677E-4</v>
      </c>
      <c r="O77" s="253"/>
      <c r="P77" s="325">
        <v>9.4999999999999998E-3</v>
      </c>
      <c r="Q77" s="326">
        <v>4.0000000000000002E-4</v>
      </c>
      <c r="R77" s="325">
        <v>2.0999999999999999E-3</v>
      </c>
      <c r="S77" s="325">
        <v>2.9999999999999997E-4</v>
      </c>
      <c r="T77" s="330">
        <f t="shared" si="16"/>
        <v>1.2299999999999998E-2</v>
      </c>
      <c r="U77" s="49">
        <v>1000000</v>
      </c>
      <c r="V77" s="329"/>
      <c r="W77" s="329"/>
    </row>
    <row r="78" spans="1:23">
      <c r="A78" s="284" t="s">
        <v>1641</v>
      </c>
      <c r="B78" s="294" t="s">
        <v>1428</v>
      </c>
      <c r="C78" s="263">
        <v>14.5</v>
      </c>
      <c r="D78" s="271">
        <v>2000</v>
      </c>
      <c r="E78" s="285">
        <f t="shared" si="12"/>
        <v>2.7586206896551725E-4</v>
      </c>
      <c r="F78" s="219"/>
      <c r="G78" s="286">
        <v>2.0000000000000001E-4</v>
      </c>
      <c r="H78" s="286">
        <v>1E-3</v>
      </c>
      <c r="I78" s="267">
        <f t="shared" si="15"/>
        <v>1.4758620689655174E-3</v>
      </c>
      <c r="J78" s="271">
        <v>2000</v>
      </c>
      <c r="K78" s="285">
        <f t="shared" si="13"/>
        <v>2.7586206896551725E-4</v>
      </c>
      <c r="L78" s="219"/>
      <c r="M78" s="286">
        <v>2.0000000000000001E-4</v>
      </c>
      <c r="N78" s="267">
        <f t="shared" si="14"/>
        <v>4.7586206896551729E-4</v>
      </c>
      <c r="O78" s="253"/>
      <c r="P78" s="325">
        <v>9.4999999999999998E-3</v>
      </c>
      <c r="Q78" s="326">
        <v>4.0000000000000002E-4</v>
      </c>
      <c r="R78" s="325">
        <v>1.8E-3</v>
      </c>
      <c r="S78" s="325">
        <v>2.9999999999999997E-4</v>
      </c>
      <c r="T78" s="330">
        <f t="shared" si="16"/>
        <v>1.1999999999999999E-2</v>
      </c>
      <c r="U78" s="49">
        <v>1000000</v>
      </c>
      <c r="V78" s="329"/>
      <c r="W78" s="329"/>
    </row>
    <row r="79" spans="1:23">
      <c r="A79" s="284" t="s">
        <v>1642</v>
      </c>
      <c r="B79" s="294" t="s">
        <v>1435</v>
      </c>
      <c r="C79" s="263">
        <v>24.08</v>
      </c>
      <c r="D79" s="271">
        <v>2000</v>
      </c>
      <c r="E79" s="285">
        <f t="shared" si="12"/>
        <v>1.6611295681063124E-4</v>
      </c>
      <c r="F79" s="219"/>
      <c r="G79" s="286">
        <v>5.0000000000000001E-4</v>
      </c>
      <c r="H79" s="286">
        <v>1E-3</v>
      </c>
      <c r="I79" s="267">
        <f t="shared" si="15"/>
        <v>1.6661129568106314E-3</v>
      </c>
      <c r="J79" s="271">
        <v>2000</v>
      </c>
      <c r="K79" s="285">
        <f t="shared" si="13"/>
        <v>1.6611295681063124E-4</v>
      </c>
      <c r="L79" s="219"/>
      <c r="M79" s="286">
        <v>5.0000000000000001E-4</v>
      </c>
      <c r="N79" s="267">
        <f t="shared" si="14"/>
        <v>6.6611295681063122E-4</v>
      </c>
      <c r="O79" s="253"/>
      <c r="P79" s="325">
        <v>4.4999999999999997E-3</v>
      </c>
      <c r="Q79" s="326" t="s">
        <v>1643</v>
      </c>
      <c r="R79" s="325">
        <v>1.8E-3</v>
      </c>
      <c r="S79" s="325">
        <v>2.9999999999999997E-4</v>
      </c>
      <c r="T79" s="330">
        <f t="shared" si="16"/>
        <v>6.6E-3</v>
      </c>
      <c r="U79" s="49">
        <v>1000000</v>
      </c>
      <c r="V79" s="329"/>
      <c r="W79" s="329"/>
    </row>
    <row r="80" spans="1:23">
      <c r="A80" s="284" t="s">
        <v>1644</v>
      </c>
      <c r="B80" s="294" t="s">
        <v>1436</v>
      </c>
      <c r="C80" s="263">
        <v>15.56</v>
      </c>
      <c r="D80" s="271">
        <v>2000</v>
      </c>
      <c r="E80" s="285">
        <f t="shared" si="12"/>
        <v>2.5706940874035988E-4</v>
      </c>
      <c r="F80" s="219"/>
      <c r="G80" s="286">
        <v>2.0000000000000001E-4</v>
      </c>
      <c r="H80" s="286">
        <v>1E-3</v>
      </c>
      <c r="I80" s="267">
        <f t="shared" si="15"/>
        <v>1.45706940874036E-3</v>
      </c>
      <c r="J80" s="271">
        <v>2000</v>
      </c>
      <c r="K80" s="285">
        <f t="shared" si="13"/>
        <v>2.5706940874035988E-4</v>
      </c>
      <c r="L80" s="219"/>
      <c r="M80" s="286">
        <v>2.0000000000000001E-4</v>
      </c>
      <c r="N80" s="267">
        <f t="shared" si="14"/>
        <v>4.5706940874035986E-4</v>
      </c>
      <c r="O80" s="253"/>
      <c r="P80" s="325">
        <v>8.5000000000000006E-3</v>
      </c>
      <c r="Q80" s="326" t="s">
        <v>1643</v>
      </c>
      <c r="R80" s="325">
        <v>1.8E-3</v>
      </c>
      <c r="S80" s="325">
        <v>2.9999999999999997E-4</v>
      </c>
      <c r="T80" s="330">
        <f t="shared" si="16"/>
        <v>1.06E-2</v>
      </c>
      <c r="U80" s="49">
        <v>1000000</v>
      </c>
      <c r="V80" s="329"/>
      <c r="W80" s="329"/>
    </row>
    <row r="81" spans="1:23">
      <c r="A81" s="284" t="s">
        <v>1645</v>
      </c>
      <c r="B81" s="294" t="s">
        <v>1646</v>
      </c>
      <c r="C81" s="263">
        <v>40.909999999999997</v>
      </c>
      <c r="D81" s="271">
        <v>2000</v>
      </c>
      <c r="E81" s="285">
        <f t="shared" si="12"/>
        <v>9.7775604986555852E-5</v>
      </c>
      <c r="F81" s="219"/>
      <c r="G81" s="286">
        <v>2.0000000000000001E-4</v>
      </c>
      <c r="H81" s="286">
        <v>0</v>
      </c>
      <c r="I81" s="267">
        <f t="shared" si="15"/>
        <v>2.9777560498655588E-4</v>
      </c>
      <c r="J81" s="271">
        <v>2000</v>
      </c>
      <c r="K81" s="285">
        <f t="shared" si="13"/>
        <v>9.7775604986555852E-5</v>
      </c>
      <c r="L81" s="219"/>
      <c r="M81" s="286">
        <v>2.9999999999999997E-4</v>
      </c>
      <c r="N81" s="267">
        <f t="shared" si="14"/>
        <v>3.9777560498655581E-4</v>
      </c>
      <c r="O81" s="253"/>
      <c r="P81" s="325">
        <v>2E-3</v>
      </c>
      <c r="Q81" s="326" t="s">
        <v>1581</v>
      </c>
      <c r="R81" s="325">
        <v>1.6999999999999999E-3</v>
      </c>
      <c r="S81" s="325">
        <v>2.9999999999999997E-4</v>
      </c>
      <c r="T81" s="330">
        <f t="shared" si="16"/>
        <v>4.0000000000000001E-3</v>
      </c>
      <c r="U81" s="49">
        <v>1000000</v>
      </c>
      <c r="V81" s="329"/>
      <c r="W81" s="329"/>
    </row>
    <row r="82" spans="1:23">
      <c r="A82" s="271" t="s">
        <v>1647</v>
      </c>
      <c r="B82" s="294" t="s">
        <v>1648</v>
      </c>
      <c r="C82" s="263">
        <v>20.86</v>
      </c>
      <c r="D82" s="271">
        <v>2000</v>
      </c>
      <c r="E82" s="285">
        <f t="shared" si="12"/>
        <v>1.9175455417066154E-4</v>
      </c>
      <c r="F82" s="219"/>
      <c r="G82" s="286">
        <v>1E-4</v>
      </c>
      <c r="H82" s="286">
        <v>0</v>
      </c>
      <c r="I82" s="267">
        <f t="shared" si="15"/>
        <v>2.9175455417066153E-4</v>
      </c>
      <c r="J82" s="271">
        <v>2000</v>
      </c>
      <c r="K82" s="285">
        <f t="shared" si="13"/>
        <v>1.9175455417066154E-4</v>
      </c>
      <c r="L82" s="219"/>
      <c r="M82" s="286">
        <v>1E-4</v>
      </c>
      <c r="N82" s="267">
        <f t="shared" si="14"/>
        <v>2.9175455417066153E-4</v>
      </c>
      <c r="O82" s="253"/>
      <c r="P82" s="325">
        <v>6.4999999999999997E-3</v>
      </c>
      <c r="Q82" s="326" t="s">
        <v>1581</v>
      </c>
      <c r="R82" s="325">
        <v>1E-3</v>
      </c>
      <c r="S82" s="325">
        <v>2.9999999999999997E-4</v>
      </c>
      <c r="T82" s="330">
        <f t="shared" si="16"/>
        <v>7.7999999999999996E-3</v>
      </c>
      <c r="U82" s="49">
        <v>1000000</v>
      </c>
      <c r="V82" s="329"/>
      <c r="W82" s="329"/>
    </row>
    <row r="83" spans="1:23">
      <c r="A83" s="271" t="s">
        <v>1649</v>
      </c>
      <c r="B83" s="294" t="s">
        <v>1650</v>
      </c>
      <c r="C83" s="263">
        <v>19.28</v>
      </c>
      <c r="D83" s="271">
        <v>2000</v>
      </c>
      <c r="E83" s="285">
        <f t="shared" si="12"/>
        <v>2.0746887966804979E-4</v>
      </c>
      <c r="F83" s="219"/>
      <c r="G83" s="286">
        <v>1E-4</v>
      </c>
      <c r="H83" s="286">
        <v>0</v>
      </c>
      <c r="I83" s="267">
        <f t="shared" si="15"/>
        <v>3.0746887966804981E-4</v>
      </c>
      <c r="J83" s="271">
        <v>2000</v>
      </c>
      <c r="K83" s="285">
        <f t="shared" si="13"/>
        <v>2.0746887966804979E-4</v>
      </c>
      <c r="L83" s="219"/>
      <c r="M83" s="286">
        <v>1E-4</v>
      </c>
      <c r="N83" s="267">
        <f t="shared" si="14"/>
        <v>3.0746887966804981E-4</v>
      </c>
      <c r="O83" s="253"/>
      <c r="P83" s="325">
        <v>6.4999999999999997E-3</v>
      </c>
      <c r="Q83" s="326" t="s">
        <v>1581</v>
      </c>
      <c r="R83" s="325">
        <v>6.9999999999999999E-4</v>
      </c>
      <c r="S83" s="325">
        <v>2.9999999999999997E-4</v>
      </c>
      <c r="T83" s="330">
        <f t="shared" si="16"/>
        <v>7.4999999999999997E-3</v>
      </c>
      <c r="U83" s="49">
        <v>1000000</v>
      </c>
      <c r="V83" s="329"/>
      <c r="W83" s="329"/>
    </row>
    <row r="84" spans="1:23">
      <c r="A84" s="284" t="s">
        <v>1651</v>
      </c>
      <c r="B84" s="294" t="s">
        <v>1652</v>
      </c>
      <c r="C84" s="263">
        <v>19.78</v>
      </c>
      <c r="D84" s="271">
        <v>2000</v>
      </c>
      <c r="E84" s="285">
        <f>D84/(C84*1000*500)</f>
        <v>2.0222446916076846E-4</v>
      </c>
      <c r="F84" s="219"/>
      <c r="G84" s="286">
        <v>1E-3</v>
      </c>
      <c r="H84" s="286">
        <v>1E-3</v>
      </c>
      <c r="I84" s="267">
        <f>E84+H84+G84</f>
        <v>2.2022244691607684E-3</v>
      </c>
      <c r="J84" s="271">
        <v>2000</v>
      </c>
      <c r="K84" s="285">
        <f>J84/(C84*1000*500)</f>
        <v>2.0222446916076846E-4</v>
      </c>
      <c r="L84" s="219"/>
      <c r="M84" s="286">
        <v>4.0000000000000001E-3</v>
      </c>
      <c r="N84" s="267">
        <f>K84+M84</f>
        <v>4.2022244691607685E-3</v>
      </c>
      <c r="O84" s="253"/>
      <c r="P84" s="325">
        <v>3.0000000000000001E-3</v>
      </c>
      <c r="Q84" s="326" t="s">
        <v>1653</v>
      </c>
      <c r="R84" s="325">
        <v>3.5E-4</v>
      </c>
      <c r="S84" s="325">
        <v>2.9999999999999997E-4</v>
      </c>
      <c r="T84" s="330">
        <f t="shared" si="16"/>
        <v>3.65E-3</v>
      </c>
      <c r="U84" s="49">
        <v>1000000</v>
      </c>
      <c r="V84" s="329"/>
      <c r="W84" s="329"/>
    </row>
    <row r="85" spans="1:23" ht="16.8" thickBot="1">
      <c r="A85" s="295" t="s">
        <v>1654</v>
      </c>
      <c r="B85" s="296" t="s">
        <v>1655</v>
      </c>
      <c r="C85" s="274">
        <v>20.57</v>
      </c>
      <c r="D85" s="272">
        <v>2000</v>
      </c>
      <c r="E85" s="291">
        <f>D85/(C85*1000*500)</f>
        <v>1.9445794846864364E-4</v>
      </c>
      <c r="F85" s="273"/>
      <c r="G85" s="292">
        <v>1E-3</v>
      </c>
      <c r="H85" s="292">
        <v>1E-3</v>
      </c>
      <c r="I85" s="278">
        <f>E85+H85+G85</f>
        <v>2.1944579484686434E-3</v>
      </c>
      <c r="J85" s="272">
        <v>2000</v>
      </c>
      <c r="K85" s="291">
        <f>J85/(C85*1000*500)</f>
        <v>1.9445794846864364E-4</v>
      </c>
      <c r="L85" s="273"/>
      <c r="M85" s="292">
        <v>1E-3</v>
      </c>
      <c r="N85" s="278">
        <f>K85+M85</f>
        <v>1.1944579484686436E-3</v>
      </c>
      <c r="O85" s="253"/>
      <c r="P85" s="325">
        <v>3.5000000000000001E-3</v>
      </c>
      <c r="Q85" s="326" t="s">
        <v>1656</v>
      </c>
      <c r="R85" s="325">
        <v>1.5E-3</v>
      </c>
      <c r="S85" s="325">
        <v>2.9999999999999997E-4</v>
      </c>
      <c r="T85" s="330">
        <f t="shared" si="16"/>
        <v>5.3E-3</v>
      </c>
      <c r="U85" s="49">
        <v>1000000</v>
      </c>
      <c r="V85" s="329"/>
      <c r="W85" s="329"/>
    </row>
    <row r="86" spans="1:23">
      <c r="O86" s="253"/>
      <c r="P86" s="253"/>
    </row>
    <row r="87" spans="1:23">
      <c r="O87" s="253"/>
      <c r="P87" s="253"/>
    </row>
    <row r="88" spans="1:23" ht="25.2" thickBot="1">
      <c r="A88" s="538" t="s">
        <v>1657</v>
      </c>
      <c r="B88" s="538"/>
      <c r="C88" s="538"/>
      <c r="D88" s="538"/>
      <c r="E88" s="538"/>
      <c r="F88" s="538"/>
      <c r="G88" s="538"/>
      <c r="H88" s="538"/>
      <c r="I88" s="538"/>
      <c r="J88" s="538"/>
      <c r="K88" s="538"/>
      <c r="L88" s="538"/>
      <c r="M88" s="538"/>
      <c r="N88" s="538"/>
      <c r="O88" s="253"/>
    </row>
    <row r="89" spans="1:23">
      <c r="A89" s="539" t="s">
        <v>1587</v>
      </c>
      <c r="B89" s="541" t="s">
        <v>1507</v>
      </c>
      <c r="C89" s="543" t="s">
        <v>1508</v>
      </c>
      <c r="D89" s="524" t="s">
        <v>1509</v>
      </c>
      <c r="E89" s="525"/>
      <c r="F89" s="526"/>
      <c r="G89" s="526"/>
      <c r="H89" s="526"/>
      <c r="I89" s="527"/>
      <c r="J89" s="528" t="s">
        <v>1510</v>
      </c>
      <c r="K89" s="529"/>
      <c r="L89" s="530"/>
      <c r="M89" s="530"/>
      <c r="N89" s="531"/>
    </row>
    <row r="90" spans="1:23" ht="41.4">
      <c r="A90" s="540"/>
      <c r="B90" s="542"/>
      <c r="C90" s="544"/>
      <c r="D90" s="255" t="s">
        <v>1509</v>
      </c>
      <c r="E90" s="256" t="s">
        <v>1514</v>
      </c>
      <c r="F90" s="257" t="s">
        <v>1515</v>
      </c>
      <c r="G90" s="256" t="s">
        <v>1516</v>
      </c>
      <c r="H90" s="258" t="s">
        <v>1517</v>
      </c>
      <c r="I90" s="259" t="s">
        <v>1518</v>
      </c>
      <c r="J90" s="255" t="s">
        <v>1510</v>
      </c>
      <c r="K90" s="256" t="s">
        <v>1514</v>
      </c>
      <c r="L90" s="257" t="s">
        <v>1519</v>
      </c>
      <c r="M90" s="256" t="s">
        <v>1520</v>
      </c>
      <c r="N90" s="260" t="s">
        <v>1521</v>
      </c>
      <c r="P90" s="257" t="s">
        <v>1522</v>
      </c>
      <c r="Q90" s="257" t="s">
        <v>1631</v>
      </c>
      <c r="R90" s="257" t="s">
        <v>1524</v>
      </c>
      <c r="S90" s="257" t="s">
        <v>1525</v>
      </c>
      <c r="T90" s="257" t="s">
        <v>1632</v>
      </c>
      <c r="U90" s="257" t="s">
        <v>1527</v>
      </c>
      <c r="V90" s="322"/>
      <c r="W90" s="322"/>
    </row>
    <row r="91" spans="1:23">
      <c r="A91" s="270" t="s">
        <v>43</v>
      </c>
      <c r="B91" s="6" t="s">
        <v>1410</v>
      </c>
      <c r="C91" s="297">
        <v>23.57</v>
      </c>
      <c r="D91" s="270">
        <v>10000</v>
      </c>
      <c r="E91" s="207">
        <f>D91/(C91*1000*500)</f>
        <v>8.4853627492575306E-4</v>
      </c>
      <c r="F91" s="6"/>
      <c r="G91" s="207">
        <v>7.4999999999999997E-3</v>
      </c>
      <c r="H91" s="207">
        <v>1E-3</v>
      </c>
      <c r="I91" s="267">
        <f>E91+G91+H91</f>
        <v>9.3485362749257533E-3</v>
      </c>
      <c r="J91" s="270">
        <v>10000</v>
      </c>
      <c r="K91" s="207">
        <f>J91/(C91*1000*500)</f>
        <v>8.4853627492575306E-4</v>
      </c>
      <c r="L91" s="6"/>
      <c r="M91" s="207">
        <v>8.9999999999999993E-3</v>
      </c>
      <c r="N91" s="267">
        <f>M91+K91</f>
        <v>9.8485362749257521E-3</v>
      </c>
      <c r="P91" s="325">
        <v>7.4999999999999997E-3</v>
      </c>
      <c r="Q91" s="326" t="s">
        <v>1658</v>
      </c>
      <c r="R91" s="325">
        <v>1E-3</v>
      </c>
      <c r="S91" s="325">
        <v>2.9999999999999997E-4</v>
      </c>
      <c r="T91" s="330">
        <f>SUM(P91:S91)</f>
        <v>8.8000000000000005E-3</v>
      </c>
      <c r="U91" s="49">
        <v>1000000</v>
      </c>
      <c r="V91" s="329"/>
      <c r="W91" s="329"/>
    </row>
    <row r="92" spans="1:23">
      <c r="A92" s="270" t="s">
        <v>83</v>
      </c>
      <c r="B92" s="6" t="s">
        <v>1421</v>
      </c>
      <c r="C92" s="297">
        <v>20.43</v>
      </c>
      <c r="D92" s="270">
        <v>5000</v>
      </c>
      <c r="E92" s="207">
        <f t="shared" ref="E92:E97" si="17">D92/(C92*1000*500)</f>
        <v>4.8947626040137058E-4</v>
      </c>
      <c r="F92" s="6"/>
      <c r="G92" s="207">
        <v>3.0000000000000001E-3</v>
      </c>
      <c r="H92" s="207">
        <v>1E-3</v>
      </c>
      <c r="I92" s="267">
        <f t="shared" ref="I92:I97" si="18">E92+G92+H92</f>
        <v>4.4894762604013707E-3</v>
      </c>
      <c r="J92" s="270">
        <v>5000</v>
      </c>
      <c r="K92" s="207">
        <f t="shared" ref="K92:K97" si="19">J92/(C92*1000*500)</f>
        <v>4.8947626040137058E-4</v>
      </c>
      <c r="L92" s="6"/>
      <c r="M92" s="207">
        <v>3.0000000000000001E-3</v>
      </c>
      <c r="N92" s="267">
        <f t="shared" ref="N92:N97" si="20">M92+K92</f>
        <v>3.4894762604013706E-3</v>
      </c>
      <c r="P92" s="325">
        <v>9.4999999999999998E-3</v>
      </c>
      <c r="Q92" s="326" t="s">
        <v>1659</v>
      </c>
      <c r="R92" s="325">
        <v>1.8E-3</v>
      </c>
      <c r="S92" s="325">
        <v>2.9999999999999997E-4</v>
      </c>
      <c r="T92" s="330">
        <f t="shared" ref="T92:T97" si="21">SUM(P92:S92)</f>
        <v>1.1599999999999999E-2</v>
      </c>
      <c r="U92" s="49">
        <v>1000000</v>
      </c>
      <c r="V92" s="329"/>
      <c r="W92" s="329"/>
    </row>
    <row r="93" spans="1:23">
      <c r="A93" s="270" t="s">
        <v>84</v>
      </c>
      <c r="B93" s="6" t="s">
        <v>1422</v>
      </c>
      <c r="C93" s="297">
        <v>30.8</v>
      </c>
      <c r="D93" s="270">
        <v>5000</v>
      </c>
      <c r="E93" s="207">
        <f t="shared" si="17"/>
        <v>3.2467532467532468E-4</v>
      </c>
      <c r="F93" s="6"/>
      <c r="G93" s="207">
        <v>1E-3</v>
      </c>
      <c r="H93" s="207">
        <v>1E-3</v>
      </c>
      <c r="I93" s="267">
        <f t="shared" si="18"/>
        <v>2.3246753246753248E-3</v>
      </c>
      <c r="J93" s="270">
        <v>5000</v>
      </c>
      <c r="K93" s="207">
        <f t="shared" si="19"/>
        <v>3.2467532467532468E-4</v>
      </c>
      <c r="L93" s="6"/>
      <c r="M93" s="207">
        <v>2E-3</v>
      </c>
      <c r="N93" s="267">
        <f t="shared" si="20"/>
        <v>2.3246753246753248E-3</v>
      </c>
      <c r="P93" s="325">
        <v>9.4999999999999998E-3</v>
      </c>
      <c r="Q93" s="326" t="s">
        <v>1659</v>
      </c>
      <c r="R93" s="325">
        <v>1.6999999999999999E-3</v>
      </c>
      <c r="S93" s="325">
        <v>2.9999999999999997E-4</v>
      </c>
      <c r="T93" s="330">
        <f t="shared" si="21"/>
        <v>1.15E-2</v>
      </c>
      <c r="U93" s="49">
        <v>1000000</v>
      </c>
      <c r="V93" s="329"/>
      <c r="W93" s="329"/>
    </row>
    <row r="94" spans="1:23">
      <c r="A94" s="270" t="s">
        <v>85</v>
      </c>
      <c r="B94" s="6" t="s">
        <v>1423</v>
      </c>
      <c r="C94" s="297">
        <v>9.3800000000000008</v>
      </c>
      <c r="D94" s="270">
        <v>5000</v>
      </c>
      <c r="E94" s="207">
        <f t="shared" si="17"/>
        <v>1.0660980810234541E-3</v>
      </c>
      <c r="F94" s="6"/>
      <c r="G94" s="207">
        <v>5.0000000000000001E-4</v>
      </c>
      <c r="H94" s="207">
        <v>1E-3</v>
      </c>
      <c r="I94" s="267">
        <f t="shared" si="18"/>
        <v>2.5660980810234542E-3</v>
      </c>
      <c r="J94" s="270">
        <v>5000</v>
      </c>
      <c r="K94" s="207">
        <f t="shared" si="19"/>
        <v>1.0660980810234541E-3</v>
      </c>
      <c r="L94" s="6"/>
      <c r="M94" s="207">
        <v>5.0000000000000001E-4</v>
      </c>
      <c r="N94" s="267">
        <f t="shared" si="20"/>
        <v>1.5660980810234541E-3</v>
      </c>
      <c r="O94" s="279" t="s">
        <v>1660</v>
      </c>
      <c r="P94" s="325">
        <v>9.4999999999999998E-3</v>
      </c>
      <c r="Q94" s="326" t="s">
        <v>1659</v>
      </c>
      <c r="R94" s="325">
        <v>1.6999999999999999E-3</v>
      </c>
      <c r="S94" s="325">
        <v>2.9999999999999997E-4</v>
      </c>
      <c r="T94" s="330">
        <f t="shared" si="21"/>
        <v>1.15E-2</v>
      </c>
      <c r="U94" s="49">
        <v>1000000</v>
      </c>
      <c r="V94" s="329"/>
      <c r="W94" s="329"/>
    </row>
    <row r="95" spans="1:23">
      <c r="A95" s="298" t="s">
        <v>1661</v>
      </c>
      <c r="B95" s="6" t="s">
        <v>1662</v>
      </c>
      <c r="C95" s="297">
        <v>20.21</v>
      </c>
      <c r="D95" s="270">
        <v>50000</v>
      </c>
      <c r="E95" s="207">
        <f>D95/(C95*1000*5000)</f>
        <v>4.9480455220188031E-4</v>
      </c>
      <c r="F95" s="6"/>
      <c r="G95" s="299">
        <v>1E-3</v>
      </c>
      <c r="H95" s="207">
        <v>0</v>
      </c>
      <c r="I95" s="267">
        <f t="shared" si="18"/>
        <v>1.4948045522018803E-3</v>
      </c>
      <c r="J95" s="270">
        <v>50000</v>
      </c>
      <c r="K95" s="207">
        <f>J95/(C95*1000*5000)</f>
        <v>4.9480455220188031E-4</v>
      </c>
      <c r="L95" s="6"/>
      <c r="M95" s="299">
        <v>1E-3</v>
      </c>
      <c r="N95" s="267">
        <f t="shared" si="20"/>
        <v>1.4948045522018803E-3</v>
      </c>
      <c r="O95" s="279" t="s">
        <v>1663</v>
      </c>
      <c r="P95" s="325">
        <v>4.5999999999999999E-3</v>
      </c>
      <c r="Q95" s="326" t="s">
        <v>1664</v>
      </c>
      <c r="R95" s="325">
        <v>1.6000000000000001E-3</v>
      </c>
      <c r="S95" s="325">
        <v>2.9999999999999997E-4</v>
      </c>
      <c r="T95" s="330">
        <f t="shared" si="21"/>
        <v>6.4999999999999997E-3</v>
      </c>
      <c r="U95" s="49">
        <v>1000000</v>
      </c>
      <c r="V95" s="329"/>
      <c r="W95" s="329"/>
    </row>
    <row r="96" spans="1:23">
      <c r="A96" s="298" t="s">
        <v>1665</v>
      </c>
      <c r="B96" s="6" t="s">
        <v>1666</v>
      </c>
      <c r="C96" s="297">
        <v>20.32</v>
      </c>
      <c r="D96" s="270">
        <v>50000</v>
      </c>
      <c r="E96" s="207">
        <f>D96/(C96*1000*5000)</f>
        <v>4.921259842519685E-4</v>
      </c>
      <c r="F96" s="6"/>
      <c r="G96" s="299">
        <v>1E-3</v>
      </c>
      <c r="H96" s="207">
        <v>0</v>
      </c>
      <c r="I96" s="267">
        <f t="shared" si="18"/>
        <v>1.4921259842519685E-3</v>
      </c>
      <c r="J96" s="270">
        <v>50000</v>
      </c>
      <c r="K96" s="207">
        <f>J96/(C96*1000*5000)</f>
        <v>4.921259842519685E-4</v>
      </c>
      <c r="L96" s="6"/>
      <c r="M96" s="299">
        <v>1E-3</v>
      </c>
      <c r="N96" s="267">
        <f t="shared" si="20"/>
        <v>1.4921259842519685E-3</v>
      </c>
      <c r="O96" s="279" t="s">
        <v>1663</v>
      </c>
      <c r="P96" s="325">
        <v>5.0000000000000001E-3</v>
      </c>
      <c r="Q96" s="326" t="s">
        <v>1664</v>
      </c>
      <c r="R96" s="325">
        <v>1.6000000000000001E-3</v>
      </c>
      <c r="S96" s="325">
        <v>2.9999999999999997E-4</v>
      </c>
      <c r="T96" s="330">
        <f t="shared" si="21"/>
        <v>6.8999999999999999E-3</v>
      </c>
      <c r="U96" s="49">
        <v>1000000</v>
      </c>
      <c r="V96" s="329"/>
      <c r="W96" s="329"/>
    </row>
    <row r="97" spans="1:23" ht="16.8" thickBot="1">
      <c r="A97" s="300" t="s">
        <v>1667</v>
      </c>
      <c r="B97" s="301" t="s">
        <v>1668</v>
      </c>
      <c r="C97" s="302">
        <v>20.43</v>
      </c>
      <c r="D97" s="303">
        <v>5000</v>
      </c>
      <c r="E97" s="304">
        <f t="shared" si="17"/>
        <v>4.8947626040137058E-4</v>
      </c>
      <c r="F97" s="301"/>
      <c r="G97" s="304">
        <v>1E-3</v>
      </c>
      <c r="H97" s="304">
        <v>0</v>
      </c>
      <c r="I97" s="278">
        <f t="shared" si="18"/>
        <v>1.4894762604013706E-3</v>
      </c>
      <c r="J97" s="303">
        <v>5000</v>
      </c>
      <c r="K97" s="304">
        <f t="shared" si="19"/>
        <v>4.8947626040137058E-4</v>
      </c>
      <c r="L97" s="301"/>
      <c r="M97" s="304">
        <v>1E-3</v>
      </c>
      <c r="N97" s="278">
        <f t="shared" si="20"/>
        <v>1.4894762604013706E-3</v>
      </c>
      <c r="P97" s="325">
        <v>3.5000000000000001E-3</v>
      </c>
      <c r="Q97" s="325">
        <v>4.0000000000000002E-4</v>
      </c>
      <c r="R97" s="325">
        <v>1.6000000000000001E-3</v>
      </c>
      <c r="S97" s="325">
        <v>2.9999999999999997E-4</v>
      </c>
      <c r="T97" s="330">
        <f t="shared" si="21"/>
        <v>5.8000000000000005E-3</v>
      </c>
      <c r="U97" s="49">
        <v>1000000</v>
      </c>
      <c r="V97" s="329"/>
      <c r="W97" s="329"/>
    </row>
    <row r="98" spans="1:23">
      <c r="O98" s="253"/>
      <c r="P98" s="253"/>
    </row>
    <row r="99" spans="1:23">
      <c r="O99" s="253"/>
      <c r="P99" s="253"/>
    </row>
    <row r="100" spans="1:23" ht="25.2" thickBot="1">
      <c r="A100" s="515" t="s">
        <v>1669</v>
      </c>
      <c r="B100" s="516"/>
      <c r="C100" s="516"/>
      <c r="D100" s="533"/>
      <c r="E100" s="533"/>
      <c r="F100" s="533"/>
      <c r="G100" s="533"/>
      <c r="H100" s="533"/>
      <c r="I100" s="533"/>
      <c r="J100" s="533"/>
      <c r="K100" s="533"/>
      <c r="L100" s="533"/>
      <c r="M100" s="533"/>
      <c r="N100" s="534"/>
      <c r="P100" s="253"/>
    </row>
    <row r="101" spans="1:23" ht="16.5" customHeight="1">
      <c r="A101" s="518" t="s">
        <v>1587</v>
      </c>
      <c r="B101" s="520" t="s">
        <v>1507</v>
      </c>
      <c r="C101" s="522" t="s">
        <v>1508</v>
      </c>
      <c r="D101" s="524" t="s">
        <v>1509</v>
      </c>
      <c r="E101" s="525"/>
      <c r="F101" s="526"/>
      <c r="G101" s="526"/>
      <c r="H101" s="526"/>
      <c r="I101" s="527"/>
      <c r="J101" s="528" t="s">
        <v>1510</v>
      </c>
      <c r="K101" s="529"/>
      <c r="L101" s="530"/>
      <c r="M101" s="530"/>
      <c r="N101" s="531"/>
    </row>
    <row r="102" spans="1:23" ht="42" thickBot="1">
      <c r="A102" s="535"/>
      <c r="B102" s="536"/>
      <c r="C102" s="537"/>
      <c r="D102" s="305" t="s">
        <v>1509</v>
      </c>
      <c r="E102" s="306" t="s">
        <v>1514</v>
      </c>
      <c r="F102" s="307" t="s">
        <v>1515</v>
      </c>
      <c r="G102" s="306" t="s">
        <v>1516</v>
      </c>
      <c r="H102" s="308" t="s">
        <v>1517</v>
      </c>
      <c r="I102" s="309" t="s">
        <v>1518</v>
      </c>
      <c r="J102" s="305" t="s">
        <v>1510</v>
      </c>
      <c r="K102" s="306" t="s">
        <v>1514</v>
      </c>
      <c r="L102" s="307" t="s">
        <v>1519</v>
      </c>
      <c r="M102" s="306" t="s">
        <v>1520</v>
      </c>
      <c r="N102" s="310" t="s">
        <v>1521</v>
      </c>
      <c r="P102" s="257" t="s">
        <v>1522</v>
      </c>
      <c r="Q102" s="257" t="s">
        <v>1631</v>
      </c>
      <c r="R102" s="257" t="s">
        <v>1524</v>
      </c>
      <c r="S102" s="257" t="s">
        <v>1525</v>
      </c>
      <c r="T102" s="257" t="s">
        <v>1632</v>
      </c>
      <c r="U102" s="257" t="s">
        <v>1527</v>
      </c>
      <c r="V102" s="322"/>
      <c r="W102" s="322"/>
    </row>
    <row r="103" spans="1:23">
      <c r="A103" s="311" t="s">
        <v>59</v>
      </c>
      <c r="B103" s="312" t="s">
        <v>1413</v>
      </c>
      <c r="C103" s="313">
        <v>15.97</v>
      </c>
      <c r="D103" s="331">
        <v>5000</v>
      </c>
      <c r="E103" s="314">
        <f>D103/(C103*1000*500)</f>
        <v>6.2617407639323729E-4</v>
      </c>
      <c r="F103" s="312"/>
      <c r="G103" s="314">
        <v>2E-3</v>
      </c>
      <c r="H103" s="314">
        <v>1E-3</v>
      </c>
      <c r="I103" s="315">
        <f>E103+G103+H103</f>
        <v>3.6261740763932375E-3</v>
      </c>
      <c r="J103" s="331">
        <v>5000</v>
      </c>
      <c r="K103" s="314">
        <f>J103/(C103*1000*500)</f>
        <v>6.2617407639323729E-4</v>
      </c>
      <c r="L103" s="314"/>
      <c r="M103" s="314">
        <v>4.0000000000000001E-3</v>
      </c>
      <c r="N103" s="316">
        <f>K103+M103</f>
        <v>4.6261740763932375E-3</v>
      </c>
      <c r="P103" s="325">
        <v>9.4999999999999998E-3</v>
      </c>
      <c r="Q103" s="326" t="s">
        <v>1670</v>
      </c>
      <c r="R103" s="325">
        <v>1.2999999999999999E-3</v>
      </c>
      <c r="S103" s="325">
        <v>2.9999999999999997E-4</v>
      </c>
      <c r="T103" s="330">
        <f>SUM(P103:S103)</f>
        <v>1.11E-2</v>
      </c>
      <c r="U103" s="49">
        <v>1000000</v>
      </c>
      <c r="V103" s="329"/>
      <c r="W103" s="329"/>
    </row>
    <row r="104" spans="1:23">
      <c r="A104" s="270" t="s">
        <v>105</v>
      </c>
      <c r="B104" s="6" t="s">
        <v>1440</v>
      </c>
      <c r="C104" s="317">
        <v>23.03</v>
      </c>
      <c r="D104" s="271">
        <v>5000</v>
      </c>
      <c r="E104" s="207">
        <f>D104/(C104*1000*500)</f>
        <v>4.3421623968736432E-4</v>
      </c>
      <c r="F104" s="6"/>
      <c r="G104" s="207">
        <v>1.1999999999999999E-3</v>
      </c>
      <c r="H104" s="207">
        <v>1E-3</v>
      </c>
      <c r="I104" s="287">
        <f>E104+G104+H104</f>
        <v>2.6342162396873641E-3</v>
      </c>
      <c r="J104" s="271">
        <v>5000</v>
      </c>
      <c r="K104" s="207">
        <f>J104/(C104*1000*500)</f>
        <v>4.3421623968736432E-4</v>
      </c>
      <c r="L104" s="6"/>
      <c r="M104" s="207">
        <v>1.1999999999999999E-3</v>
      </c>
      <c r="N104" s="267">
        <f>K104+M104</f>
        <v>1.6342162396873641E-3</v>
      </c>
      <c r="P104" s="325">
        <v>8.5000000000000006E-3</v>
      </c>
      <c r="Q104" s="326" t="s">
        <v>1671</v>
      </c>
      <c r="R104" s="325">
        <v>1.6000000000000001E-3</v>
      </c>
      <c r="S104" s="325">
        <v>2.9999999999999997E-4</v>
      </c>
      <c r="T104" s="330">
        <f>SUM(P104:S104)</f>
        <v>1.0400000000000001E-2</v>
      </c>
      <c r="U104" s="49">
        <v>1000000</v>
      </c>
      <c r="V104" s="329"/>
      <c r="W104" s="329"/>
    </row>
    <row r="105" spans="1:23">
      <c r="A105" s="270" t="s">
        <v>111</v>
      </c>
      <c r="B105" s="6" t="s">
        <v>1443</v>
      </c>
      <c r="C105" s="317">
        <v>12.01</v>
      </c>
      <c r="D105" s="271">
        <v>2000</v>
      </c>
      <c r="E105" s="207">
        <f>D105/(C105*1000*500)</f>
        <v>3.3305578684429644E-4</v>
      </c>
      <c r="F105" s="6"/>
      <c r="G105" s="207">
        <v>2.0000000000000001E-4</v>
      </c>
      <c r="H105" s="207">
        <v>1E-3</v>
      </c>
      <c r="I105" s="287">
        <f>E105+G105+H105</f>
        <v>1.5330557868442965E-3</v>
      </c>
      <c r="J105" s="271">
        <v>2000</v>
      </c>
      <c r="K105" s="207">
        <f>J105/(C105*1000*500)</f>
        <v>3.3305578684429644E-4</v>
      </c>
      <c r="L105" s="6"/>
      <c r="M105" s="207">
        <v>2.0000000000000001E-4</v>
      </c>
      <c r="N105" s="267">
        <f>K105+M105</f>
        <v>5.3305578684429648E-4</v>
      </c>
      <c r="P105" s="325">
        <v>3.0000000000000001E-3</v>
      </c>
      <c r="Q105" s="326" t="s">
        <v>1592</v>
      </c>
      <c r="R105" s="325">
        <v>4.0000000000000002E-4</v>
      </c>
      <c r="S105" s="325">
        <v>2.9999999999999997E-4</v>
      </c>
      <c r="T105" s="330">
        <f>SUM(P105:S105)</f>
        <v>3.7000000000000002E-3</v>
      </c>
      <c r="U105" s="49">
        <v>1000000</v>
      </c>
      <c r="V105" s="329"/>
      <c r="W105" s="329"/>
    </row>
    <row r="106" spans="1:23" ht="16.8" thickBot="1">
      <c r="A106" s="303" t="s">
        <v>112</v>
      </c>
      <c r="B106" s="301" t="s">
        <v>1444</v>
      </c>
      <c r="C106" s="318">
        <v>9.0399999999999991</v>
      </c>
      <c r="D106" s="272">
        <v>2000</v>
      </c>
      <c r="E106" s="304">
        <f>D106/(C106*1000*500)</f>
        <v>4.4247787610619468E-4</v>
      </c>
      <c r="F106" s="301"/>
      <c r="G106" s="304">
        <v>1E-4</v>
      </c>
      <c r="H106" s="304">
        <v>1E-3</v>
      </c>
      <c r="I106" s="293">
        <f>E106+G106+H106</f>
        <v>1.5424778761061948E-3</v>
      </c>
      <c r="J106" s="272">
        <v>2000</v>
      </c>
      <c r="K106" s="304">
        <f>J106/(C106*1000*500)</f>
        <v>4.4247787610619468E-4</v>
      </c>
      <c r="L106" s="301"/>
      <c r="M106" s="304">
        <v>1E-4</v>
      </c>
      <c r="N106" s="278">
        <f>K106+M106</f>
        <v>5.4247787610619473E-4</v>
      </c>
      <c r="P106" s="325">
        <v>3.0000000000000001E-3</v>
      </c>
      <c r="Q106" s="326" t="s">
        <v>1592</v>
      </c>
      <c r="R106" s="325">
        <v>4.0000000000000002E-4</v>
      </c>
      <c r="S106" s="325">
        <v>2.9999999999999997E-4</v>
      </c>
      <c r="T106" s="330">
        <f>SUM(P106:S106)</f>
        <v>3.7000000000000002E-3</v>
      </c>
      <c r="U106" s="49">
        <v>1000000</v>
      </c>
      <c r="V106" s="329"/>
      <c r="W106" s="329"/>
    </row>
    <row r="107" spans="1:23">
      <c r="O107" s="253"/>
      <c r="P107" s="253"/>
    </row>
    <row r="108" spans="1:23">
      <c r="O108" s="253"/>
      <c r="P108" s="253"/>
    </row>
    <row r="109" spans="1:23">
      <c r="P109" s="253"/>
    </row>
    <row r="110" spans="1:23" ht="25.2" thickBot="1">
      <c r="A110" s="515" t="s">
        <v>1672</v>
      </c>
      <c r="B110" s="516"/>
      <c r="C110" s="516"/>
      <c r="D110" s="516"/>
      <c r="E110" s="516"/>
      <c r="F110" s="516"/>
      <c r="G110" s="516"/>
      <c r="H110" s="516"/>
      <c r="I110" s="516"/>
      <c r="J110" s="516"/>
      <c r="K110" s="516"/>
      <c r="L110" s="516"/>
      <c r="M110" s="516"/>
      <c r="N110" s="517"/>
      <c r="P110" s="253"/>
    </row>
    <row r="111" spans="1:23" ht="16.5" customHeight="1">
      <c r="A111" s="518" t="s">
        <v>1587</v>
      </c>
      <c r="B111" s="520" t="s">
        <v>1507</v>
      </c>
      <c r="C111" s="522" t="s">
        <v>1508</v>
      </c>
      <c r="D111" s="524" t="s">
        <v>1509</v>
      </c>
      <c r="E111" s="525"/>
      <c r="F111" s="526"/>
      <c r="G111" s="526"/>
      <c r="H111" s="526"/>
      <c r="I111" s="527"/>
      <c r="J111" s="528" t="s">
        <v>1510</v>
      </c>
      <c r="K111" s="529"/>
      <c r="L111" s="530"/>
      <c r="M111" s="530"/>
      <c r="N111" s="531"/>
      <c r="P111" s="253"/>
      <c r="V111" s="30"/>
      <c r="W111" s="30"/>
    </row>
    <row r="112" spans="1:23" ht="41.4">
      <c r="A112" s="519"/>
      <c r="B112" s="521"/>
      <c r="C112" s="523"/>
      <c r="D112" s="255" t="s">
        <v>1509</v>
      </c>
      <c r="E112" s="256" t="s">
        <v>1514</v>
      </c>
      <c r="F112" s="257" t="s">
        <v>1515</v>
      </c>
      <c r="G112" s="256" t="s">
        <v>1516</v>
      </c>
      <c r="H112" s="258" t="s">
        <v>1517</v>
      </c>
      <c r="I112" s="259" t="s">
        <v>1518</v>
      </c>
      <c r="J112" s="255" t="s">
        <v>1510</v>
      </c>
      <c r="K112" s="256" t="s">
        <v>1514</v>
      </c>
      <c r="L112" s="257" t="s">
        <v>1519</v>
      </c>
      <c r="M112" s="256" t="s">
        <v>1520</v>
      </c>
      <c r="N112" s="260" t="s">
        <v>1521</v>
      </c>
      <c r="P112" s="257" t="s">
        <v>1522</v>
      </c>
      <c r="Q112" s="257" t="s">
        <v>1631</v>
      </c>
      <c r="R112" s="257" t="s">
        <v>1524</v>
      </c>
      <c r="S112" s="257" t="s">
        <v>1525</v>
      </c>
      <c r="T112" s="257" t="s">
        <v>1632</v>
      </c>
      <c r="U112" s="257" t="s">
        <v>1527</v>
      </c>
      <c r="V112" s="322"/>
      <c r="W112" s="322"/>
    </row>
    <row r="113" spans="1:23" ht="16.8" thickBot="1">
      <c r="A113" s="303" t="s">
        <v>1673</v>
      </c>
      <c r="B113" s="301" t="s">
        <v>1501</v>
      </c>
      <c r="C113" s="319">
        <v>19.600000000000001</v>
      </c>
      <c r="D113" s="303">
        <v>5000</v>
      </c>
      <c r="E113" s="304">
        <f>D113/(C113*1000*500)</f>
        <v>5.1020408163265311E-4</v>
      </c>
      <c r="F113" s="301">
        <v>2000</v>
      </c>
      <c r="G113" s="304">
        <f>F113/(C113*1000*500)</f>
        <v>2.0408163265306123E-4</v>
      </c>
      <c r="H113" s="304">
        <v>1E-3</v>
      </c>
      <c r="I113" s="278">
        <f>E113+G113+H113</f>
        <v>1.7142857142857144E-3</v>
      </c>
      <c r="J113" s="303">
        <v>5000</v>
      </c>
      <c r="K113" s="304">
        <f>J113/(C113*1000*500)</f>
        <v>5.1020408163265311E-4</v>
      </c>
      <c r="L113" s="301">
        <v>2000</v>
      </c>
      <c r="M113" s="304">
        <f>L113/(C113*1000*500)</f>
        <v>2.0408163265306123E-4</v>
      </c>
      <c r="N113" s="278">
        <f>K113+M113</f>
        <v>7.1428571428571439E-4</v>
      </c>
      <c r="P113" s="325">
        <v>0.01</v>
      </c>
      <c r="Q113" s="326" t="s">
        <v>1556</v>
      </c>
      <c r="R113" s="325">
        <v>1.5E-3</v>
      </c>
      <c r="S113" s="325">
        <v>2.9999999999999997E-4</v>
      </c>
      <c r="T113" s="325">
        <f>SUM(P113:S113)</f>
        <v>1.18E-2</v>
      </c>
      <c r="U113" s="49">
        <v>1000000</v>
      </c>
      <c r="V113" s="329"/>
      <c r="W113" s="329"/>
    </row>
    <row r="114" spans="1:23">
      <c r="P114" s="30"/>
      <c r="Q114" s="30"/>
      <c r="R114" s="30"/>
      <c r="S114" s="30"/>
      <c r="T114" s="30"/>
      <c r="U114" s="30"/>
      <c r="V114" s="30"/>
      <c r="W114" s="30"/>
    </row>
    <row r="115" spans="1:23">
      <c r="P115" s="30"/>
      <c r="Q115" s="30"/>
      <c r="R115" s="30"/>
      <c r="S115" s="30"/>
      <c r="T115" s="30"/>
      <c r="U115" s="30"/>
      <c r="V115" s="30"/>
      <c r="W115" s="30"/>
    </row>
    <row r="116" spans="1:23" ht="25.2" thickBot="1">
      <c r="A116" s="532" t="s">
        <v>1674</v>
      </c>
      <c r="B116" s="532"/>
      <c r="C116" s="532"/>
      <c r="D116" s="532"/>
      <c r="E116" s="532"/>
      <c r="F116" s="532"/>
      <c r="G116" s="532"/>
      <c r="H116" s="532"/>
      <c r="I116" s="532"/>
      <c r="J116" s="532"/>
      <c r="K116" s="532"/>
      <c r="L116" s="532"/>
      <c r="M116" s="532"/>
      <c r="N116" s="532"/>
      <c r="P116" s="30"/>
      <c r="Q116" s="30"/>
      <c r="R116" s="30"/>
      <c r="S116" s="30"/>
      <c r="T116" s="30"/>
      <c r="U116" s="30"/>
      <c r="V116" s="30"/>
      <c r="W116" s="30"/>
    </row>
    <row r="117" spans="1:23" ht="16.5" customHeight="1">
      <c r="A117" s="518" t="s">
        <v>1587</v>
      </c>
      <c r="B117" s="520" t="s">
        <v>1507</v>
      </c>
      <c r="C117" s="522" t="s">
        <v>1508</v>
      </c>
      <c r="D117" s="524" t="s">
        <v>1509</v>
      </c>
      <c r="E117" s="525"/>
      <c r="F117" s="526"/>
      <c r="G117" s="526"/>
      <c r="H117" s="526"/>
      <c r="I117" s="527"/>
      <c r="J117" s="528" t="s">
        <v>1510</v>
      </c>
      <c r="K117" s="529"/>
      <c r="L117" s="530"/>
      <c r="M117" s="530"/>
      <c r="N117" s="531"/>
      <c r="Q117" s="30"/>
      <c r="R117" s="30"/>
      <c r="S117" s="30"/>
      <c r="T117" s="30"/>
      <c r="U117" s="30"/>
      <c r="V117" s="30"/>
      <c r="W117" s="30"/>
    </row>
    <row r="118" spans="1:23" ht="41.4">
      <c r="A118" s="519"/>
      <c r="B118" s="521"/>
      <c r="C118" s="523"/>
      <c r="D118" s="255" t="s">
        <v>1509</v>
      </c>
      <c r="E118" s="256" t="s">
        <v>1514</v>
      </c>
      <c r="F118" s="257" t="s">
        <v>1515</v>
      </c>
      <c r="G118" s="256" t="s">
        <v>1516</v>
      </c>
      <c r="H118" s="258" t="s">
        <v>1517</v>
      </c>
      <c r="I118" s="259" t="s">
        <v>1518</v>
      </c>
      <c r="J118" s="255" t="s">
        <v>1510</v>
      </c>
      <c r="K118" s="256" t="s">
        <v>1514</v>
      </c>
      <c r="L118" s="257" t="s">
        <v>1519</v>
      </c>
      <c r="M118" s="256" t="s">
        <v>1520</v>
      </c>
      <c r="N118" s="260" t="s">
        <v>1521</v>
      </c>
      <c r="P118" s="257" t="s">
        <v>1522</v>
      </c>
      <c r="Q118" s="257" t="s">
        <v>1631</v>
      </c>
      <c r="R118" s="257" t="s">
        <v>1524</v>
      </c>
      <c r="S118" s="257" t="s">
        <v>1525</v>
      </c>
      <c r="T118" s="257" t="s">
        <v>1632</v>
      </c>
      <c r="U118" s="257" t="s">
        <v>1527</v>
      </c>
      <c r="V118" s="322"/>
      <c r="W118" s="322"/>
    </row>
    <row r="119" spans="1:23">
      <c r="A119" s="270" t="s">
        <v>114</v>
      </c>
      <c r="B119" s="6" t="s">
        <v>1445</v>
      </c>
      <c r="C119" s="320">
        <v>21.44</v>
      </c>
      <c r="D119" s="270">
        <v>2000</v>
      </c>
      <c r="E119" s="207">
        <f>D119/(C119*1000*500)</f>
        <v>1.8656716417910448E-4</v>
      </c>
      <c r="F119" s="6"/>
      <c r="G119" s="207">
        <v>1E-3</v>
      </c>
      <c r="H119" s="207">
        <v>1E-3</v>
      </c>
      <c r="I119" s="267">
        <f>E119+G119+H119</f>
        <v>2.1865671641791047E-3</v>
      </c>
      <c r="J119" s="270">
        <v>2000</v>
      </c>
      <c r="K119" s="207">
        <f>J119/(C119*1000*500)</f>
        <v>1.8656716417910448E-4</v>
      </c>
      <c r="L119" s="6"/>
      <c r="M119" s="207">
        <v>4.0000000000000001E-3</v>
      </c>
      <c r="N119" s="267">
        <f>K119+M119</f>
        <v>4.1865671641791048E-3</v>
      </c>
      <c r="P119" s="325">
        <v>3.2000000000000002E-3</v>
      </c>
      <c r="Q119" s="326" t="s">
        <v>1675</v>
      </c>
      <c r="R119" s="325">
        <v>3.5E-4</v>
      </c>
      <c r="S119" s="325">
        <v>2.9999999999999997E-4</v>
      </c>
      <c r="T119" s="325">
        <f>SUM(P119:S119)</f>
        <v>3.8500000000000001E-3</v>
      </c>
      <c r="U119" s="49">
        <v>1000000</v>
      </c>
      <c r="V119" s="329"/>
      <c r="W119" s="329"/>
    </row>
    <row r="120" spans="1:23" ht="16.8" thickBot="1">
      <c r="A120" s="303" t="s">
        <v>113</v>
      </c>
      <c r="B120" s="301" t="s">
        <v>1502</v>
      </c>
      <c r="C120" s="319">
        <v>18.149999999999999</v>
      </c>
      <c r="D120" s="303">
        <v>2000</v>
      </c>
      <c r="E120" s="304">
        <f>D120/(C120*1000*500)</f>
        <v>2.2038567493112948E-4</v>
      </c>
      <c r="F120" s="301"/>
      <c r="G120" s="304">
        <v>2.0000000000000001E-4</v>
      </c>
      <c r="H120" s="304">
        <v>1E-3</v>
      </c>
      <c r="I120" s="278">
        <f>E120+G120+H120</f>
        <v>1.4203856749311296E-3</v>
      </c>
      <c r="J120" s="303">
        <v>2000</v>
      </c>
      <c r="K120" s="304">
        <f>J120/(C120*1000*500)</f>
        <v>2.2038567493112948E-4</v>
      </c>
      <c r="L120" s="301"/>
      <c r="M120" s="304">
        <v>2.0000000000000001E-4</v>
      </c>
      <c r="N120" s="278">
        <f>K120+M120</f>
        <v>4.2038567493112949E-4</v>
      </c>
      <c r="P120" s="325">
        <v>6.4999999999999997E-3</v>
      </c>
      <c r="Q120" s="326" t="s">
        <v>1676</v>
      </c>
      <c r="R120" s="325">
        <v>4.0000000000000002E-4</v>
      </c>
      <c r="S120" s="325">
        <v>2.9999999999999997E-4</v>
      </c>
      <c r="T120" s="325">
        <f>SUM(P120:S120)</f>
        <v>7.1999999999999998E-3</v>
      </c>
      <c r="U120" s="49">
        <v>1000000</v>
      </c>
      <c r="V120" s="329"/>
      <c r="W120" s="329"/>
    </row>
    <row r="121" spans="1:23">
      <c r="P121" s="253"/>
    </row>
    <row r="122" spans="1:23">
      <c r="P122" s="253"/>
    </row>
    <row r="123" spans="1:23" ht="25.2" thickBot="1">
      <c r="A123" s="515" t="s">
        <v>1677</v>
      </c>
      <c r="B123" s="516"/>
      <c r="C123" s="516"/>
      <c r="D123" s="516"/>
      <c r="E123" s="516"/>
      <c r="F123" s="516"/>
      <c r="G123" s="516"/>
      <c r="H123" s="516"/>
      <c r="I123" s="516"/>
      <c r="J123" s="516"/>
      <c r="K123" s="516"/>
      <c r="L123" s="516"/>
      <c r="M123" s="516"/>
      <c r="N123" s="517"/>
      <c r="P123" s="253"/>
    </row>
    <row r="124" spans="1:23" ht="16.5" customHeight="1">
      <c r="A124" s="518" t="s">
        <v>1587</v>
      </c>
      <c r="B124" s="520" t="s">
        <v>1507</v>
      </c>
      <c r="C124" s="522" t="s">
        <v>1508</v>
      </c>
      <c r="D124" s="524" t="s">
        <v>1509</v>
      </c>
      <c r="E124" s="525"/>
      <c r="F124" s="526"/>
      <c r="G124" s="526"/>
      <c r="H124" s="526"/>
      <c r="I124" s="527"/>
      <c r="J124" s="528" t="s">
        <v>1510</v>
      </c>
      <c r="K124" s="529"/>
      <c r="L124" s="530"/>
      <c r="M124" s="530"/>
      <c r="N124" s="531"/>
    </row>
    <row r="125" spans="1:23" ht="41.4">
      <c r="A125" s="519"/>
      <c r="B125" s="521"/>
      <c r="C125" s="523"/>
      <c r="D125" s="255" t="s">
        <v>1509</v>
      </c>
      <c r="E125" s="256" t="s">
        <v>1514</v>
      </c>
      <c r="F125" s="257" t="s">
        <v>1515</v>
      </c>
      <c r="G125" s="256" t="s">
        <v>1516</v>
      </c>
      <c r="H125" s="258" t="s">
        <v>1517</v>
      </c>
      <c r="I125" s="259" t="s">
        <v>1518</v>
      </c>
      <c r="J125" s="255" t="s">
        <v>1510</v>
      </c>
      <c r="K125" s="256" t="s">
        <v>1514</v>
      </c>
      <c r="L125" s="257" t="s">
        <v>1519</v>
      </c>
      <c r="M125" s="256" t="s">
        <v>1520</v>
      </c>
      <c r="N125" s="260" t="s">
        <v>1521</v>
      </c>
      <c r="P125" s="257" t="s">
        <v>1522</v>
      </c>
      <c r="Q125" s="257" t="s">
        <v>1631</v>
      </c>
      <c r="R125" s="257" t="s">
        <v>1524</v>
      </c>
      <c r="S125" s="257" t="s">
        <v>1525</v>
      </c>
      <c r="T125" s="257" t="s">
        <v>1632</v>
      </c>
      <c r="U125" s="257" t="s">
        <v>1527</v>
      </c>
      <c r="V125" s="322"/>
      <c r="W125" s="322"/>
    </row>
    <row r="126" spans="1:23">
      <c r="A126" s="270" t="s">
        <v>338</v>
      </c>
      <c r="B126" s="6" t="s">
        <v>1503</v>
      </c>
      <c r="C126" s="320">
        <v>21</v>
      </c>
      <c r="D126" s="271">
        <v>2000</v>
      </c>
      <c r="E126" s="207">
        <f>D126/(C126*1000*500)</f>
        <v>1.9047619047619048E-4</v>
      </c>
      <c r="F126" s="6"/>
      <c r="G126" s="207">
        <v>3.5000000000000001E-3</v>
      </c>
      <c r="H126" s="207">
        <v>1E-3</v>
      </c>
      <c r="I126" s="267">
        <f>E126+G126+H126</f>
        <v>4.6904761904761911E-3</v>
      </c>
      <c r="J126" s="271">
        <v>2000</v>
      </c>
      <c r="K126" s="207">
        <f>J126/(C126*1000*500)</f>
        <v>1.9047619047619048E-4</v>
      </c>
      <c r="L126" s="6"/>
      <c r="M126" s="207">
        <v>3.5000000000000001E-3</v>
      </c>
      <c r="N126" s="267">
        <f>K126+M126</f>
        <v>3.6904761904761906E-3</v>
      </c>
      <c r="P126" s="325">
        <v>8.9999999999999993E-3</v>
      </c>
      <c r="Q126" s="326" t="s">
        <v>1678</v>
      </c>
      <c r="R126" s="325">
        <v>2E-3</v>
      </c>
      <c r="S126" s="325">
        <v>2.9999999999999997E-4</v>
      </c>
      <c r="T126" s="325">
        <f>SUM(P126:S126)</f>
        <v>1.1299999999999999E-2</v>
      </c>
      <c r="U126" s="49">
        <v>1000000</v>
      </c>
      <c r="V126" s="329"/>
      <c r="W126" s="329"/>
    </row>
    <row r="127" spans="1:23">
      <c r="A127" s="270" t="s">
        <v>339</v>
      </c>
      <c r="B127" s="6" t="s">
        <v>1504</v>
      </c>
      <c r="C127" s="320">
        <v>20.21</v>
      </c>
      <c r="D127" s="271">
        <v>2000</v>
      </c>
      <c r="E127" s="207">
        <f>D127/(C127*1000*500)</f>
        <v>1.9792182088075209E-4</v>
      </c>
      <c r="F127" s="6"/>
      <c r="G127" s="207">
        <v>2.5000000000000001E-3</v>
      </c>
      <c r="H127" s="207">
        <v>1E-3</v>
      </c>
      <c r="I127" s="267">
        <f>E127+G127+H127</f>
        <v>3.6979218208807521E-3</v>
      </c>
      <c r="J127" s="271">
        <v>2000</v>
      </c>
      <c r="K127" s="207">
        <f>J127/(C127*1000*500)</f>
        <v>1.9792182088075209E-4</v>
      </c>
      <c r="L127" s="6"/>
      <c r="M127" s="207">
        <v>2.5000000000000001E-3</v>
      </c>
      <c r="N127" s="267">
        <f>K127+M127</f>
        <v>2.6979218208807521E-3</v>
      </c>
      <c r="P127" s="325">
        <v>7.4999999999999997E-3</v>
      </c>
      <c r="Q127" s="326" t="s">
        <v>1679</v>
      </c>
      <c r="R127" s="325">
        <v>4.0000000000000002E-4</v>
      </c>
      <c r="S127" s="325">
        <v>2.9999999999999997E-4</v>
      </c>
      <c r="T127" s="325">
        <f>SUM(P127:S127)</f>
        <v>8.199999999999999E-3</v>
      </c>
      <c r="U127" s="49">
        <v>1000000</v>
      </c>
      <c r="V127" s="329"/>
      <c r="W127" s="329"/>
    </row>
    <row r="128" spans="1:23" ht="16.8" thickBot="1">
      <c r="A128" s="303" t="s">
        <v>340</v>
      </c>
      <c r="B128" s="301" t="s">
        <v>1504</v>
      </c>
      <c r="C128" s="319">
        <v>19.97</v>
      </c>
      <c r="D128" s="272">
        <v>2000</v>
      </c>
      <c r="E128" s="304">
        <f>D128/(C128*1000*500)</f>
        <v>2.0030045067601402E-4</v>
      </c>
      <c r="F128" s="301"/>
      <c r="G128" s="304">
        <v>2.5000000000000001E-3</v>
      </c>
      <c r="H128" s="304">
        <v>1E-3</v>
      </c>
      <c r="I128" s="278">
        <f>E128+G128+H128</f>
        <v>3.700300450676014E-3</v>
      </c>
      <c r="J128" s="272">
        <v>2000</v>
      </c>
      <c r="K128" s="304">
        <f>J128/(C128*1000*500)</f>
        <v>2.0030045067601402E-4</v>
      </c>
      <c r="L128" s="301"/>
      <c r="M128" s="304">
        <v>2.5000000000000001E-3</v>
      </c>
      <c r="N128" s="278">
        <f>K128+M128</f>
        <v>2.700300450676014E-3</v>
      </c>
      <c r="P128" s="325">
        <v>7.4999999999999997E-3</v>
      </c>
      <c r="Q128" s="326" t="s">
        <v>1679</v>
      </c>
      <c r="R128" s="325">
        <v>4.0000000000000002E-4</v>
      </c>
      <c r="S128" s="325">
        <v>2.9999999999999997E-4</v>
      </c>
      <c r="T128" s="325">
        <f>SUM(P128:S128)</f>
        <v>8.199999999999999E-3</v>
      </c>
      <c r="U128" s="49">
        <v>1000000</v>
      </c>
      <c r="V128" s="329"/>
      <c r="W128" s="329"/>
    </row>
    <row r="129" s="253" customFormat="1"/>
    <row r="130" s="253" customFormat="1"/>
    <row r="131" s="253" customFormat="1"/>
    <row r="132" s="253" customFormat="1"/>
    <row r="133" s="253" customFormat="1"/>
    <row r="134" s="253" customFormat="1"/>
    <row r="135" s="253" customFormat="1"/>
    <row r="136" s="253" customFormat="1"/>
    <row r="137" s="253" customFormat="1"/>
    <row r="138" s="253" customFormat="1"/>
  </sheetData>
  <sortState ref="A1:A102">
    <sortCondition ref="A1"/>
  </sortState>
  <mergeCells count="49">
    <mergeCell ref="X2:Y2"/>
    <mergeCell ref="A1:N1"/>
    <mergeCell ref="A2:A3"/>
    <mergeCell ref="B2:B3"/>
    <mergeCell ref="C2:C3"/>
    <mergeCell ref="D2:I2"/>
    <mergeCell ref="J2:N2"/>
    <mergeCell ref="A38:N38"/>
    <mergeCell ref="A39:A40"/>
    <mergeCell ref="B39:B40"/>
    <mergeCell ref="C39:C40"/>
    <mergeCell ref="D39:I39"/>
    <mergeCell ref="J39:N39"/>
    <mergeCell ref="A68:N68"/>
    <mergeCell ref="A69:A70"/>
    <mergeCell ref="B69:B70"/>
    <mergeCell ref="C69:C70"/>
    <mergeCell ref="D69:I69"/>
    <mergeCell ref="J69:N69"/>
    <mergeCell ref="A88:N88"/>
    <mergeCell ref="A89:A90"/>
    <mergeCell ref="B89:B90"/>
    <mergeCell ref="C89:C90"/>
    <mergeCell ref="D89:I89"/>
    <mergeCell ref="J89:N89"/>
    <mergeCell ref="A100:N100"/>
    <mergeCell ref="A101:A102"/>
    <mergeCell ref="B101:B102"/>
    <mergeCell ref="C101:C102"/>
    <mergeCell ref="D101:I101"/>
    <mergeCell ref="J101:N101"/>
    <mergeCell ref="A110:N110"/>
    <mergeCell ref="A111:A112"/>
    <mergeCell ref="B111:B112"/>
    <mergeCell ref="C111:C112"/>
    <mergeCell ref="D111:I111"/>
    <mergeCell ref="J111:N111"/>
    <mergeCell ref="A116:N116"/>
    <mergeCell ref="A117:A118"/>
    <mergeCell ref="B117:B118"/>
    <mergeCell ref="C117:C118"/>
    <mergeCell ref="D117:I117"/>
    <mergeCell ref="J117:N117"/>
    <mergeCell ref="A123:N123"/>
    <mergeCell ref="A124:A125"/>
    <mergeCell ref="B124:B125"/>
    <mergeCell ref="C124:C125"/>
    <mergeCell ref="D124:I124"/>
    <mergeCell ref="J124:N124"/>
  </mergeCells>
  <phoneticPr fontId="8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F58"/>
  <sheetViews>
    <sheetView topLeftCell="A40" workbookViewId="0">
      <selection activeCell="A2" sqref="A2"/>
    </sheetView>
  </sheetViews>
  <sheetFormatPr defaultColWidth="9" defaultRowHeight="16.2"/>
  <cols>
    <col min="1" max="16384" width="9" style="252"/>
  </cols>
  <sheetData>
    <row r="1" spans="1:1">
      <c r="A1" s="252" t="s">
        <v>1452</v>
      </c>
    </row>
    <row r="2" spans="1:1">
      <c r="A2" s="252" t="s">
        <v>1493</v>
      </c>
    </row>
    <row r="3" spans="1:1">
      <c r="A3" s="252" t="s">
        <v>1453</v>
      </c>
    </row>
    <row r="5" spans="1:1">
      <c r="A5" s="252" t="s">
        <v>1454</v>
      </c>
    </row>
    <row r="6" spans="1:1">
      <c r="A6" s="252" t="s">
        <v>1455</v>
      </c>
    </row>
    <row r="7" spans="1:1">
      <c r="A7" s="252" t="s">
        <v>1456</v>
      </c>
    </row>
    <row r="9" spans="1:1">
      <c r="A9" s="252" t="s">
        <v>1457</v>
      </c>
    </row>
    <row r="10" spans="1:1">
      <c r="A10" s="252" t="s">
        <v>1458</v>
      </c>
    </row>
    <row r="12" spans="1:1">
      <c r="A12" s="252" t="s">
        <v>1459</v>
      </c>
    </row>
    <row r="13" spans="1:1">
      <c r="A13" s="252" t="s">
        <v>1460</v>
      </c>
    </row>
    <row r="15" spans="1:1">
      <c r="A15" s="252" t="s">
        <v>1461</v>
      </c>
    </row>
    <row r="16" spans="1:1">
      <c r="A16" s="252" t="s">
        <v>1462</v>
      </c>
    </row>
    <row r="18" spans="1:2">
      <c r="A18" s="252" t="s">
        <v>1463</v>
      </c>
    </row>
    <row r="19" spans="1:2">
      <c r="A19" s="252" t="s">
        <v>1464</v>
      </c>
    </row>
    <row r="21" spans="1:2">
      <c r="A21" s="252" t="s">
        <v>1465</v>
      </c>
    </row>
    <row r="22" spans="1:2">
      <c r="A22" s="252" t="s">
        <v>1466</v>
      </c>
    </row>
    <row r="23" spans="1:2">
      <c r="A23" s="252" t="s">
        <v>1467</v>
      </c>
    </row>
    <row r="24" spans="1:2">
      <c r="B24" s="252" t="s">
        <v>1177</v>
      </c>
    </row>
    <row r="26" spans="1:2">
      <c r="A26" s="252" t="s">
        <v>1468</v>
      </c>
    </row>
    <row r="27" spans="1:2">
      <c r="A27" s="252" t="s">
        <v>1469</v>
      </c>
    </row>
    <row r="28" spans="1:2">
      <c r="B28" s="252" t="s">
        <v>1470</v>
      </c>
    </row>
    <row r="30" spans="1:2">
      <c r="A30" s="252" t="s">
        <v>1471</v>
      </c>
    </row>
    <row r="31" spans="1:2">
      <c r="A31" s="252" t="s">
        <v>1472</v>
      </c>
    </row>
    <row r="32" spans="1:2">
      <c r="A32" s="252" t="s">
        <v>1473</v>
      </c>
      <c r="B32" s="254" t="s">
        <v>1495</v>
      </c>
    </row>
    <row r="33" spans="1:6">
      <c r="A33" s="252" t="s">
        <v>1474</v>
      </c>
      <c r="B33" s="252" t="s">
        <v>1475</v>
      </c>
    </row>
    <row r="34" spans="1:6">
      <c r="A34" s="252" t="s">
        <v>1474</v>
      </c>
      <c r="B34" s="252" t="s">
        <v>1476</v>
      </c>
    </row>
    <row r="35" spans="1:6">
      <c r="B35" s="252" t="s">
        <v>1477</v>
      </c>
    </row>
    <row r="36" spans="1:6">
      <c r="B36" s="254" t="s">
        <v>1496</v>
      </c>
      <c r="F36" s="252" t="s">
        <v>1497</v>
      </c>
    </row>
    <row r="37" spans="1:6">
      <c r="A37" s="252" t="s">
        <v>1478</v>
      </c>
    </row>
    <row r="38" spans="1:6">
      <c r="A38" s="252" t="s">
        <v>1479</v>
      </c>
      <c r="B38" s="254" t="s">
        <v>1494</v>
      </c>
    </row>
    <row r="39" spans="1:6">
      <c r="B39" s="252" t="s">
        <v>1480</v>
      </c>
    </row>
    <row r="41" spans="1:6">
      <c r="A41" s="252" t="s">
        <v>1481</v>
      </c>
    </row>
    <row r="42" spans="1:6">
      <c r="A42" s="252" t="s">
        <v>1482</v>
      </c>
    </row>
    <row r="43" spans="1:6">
      <c r="B43" s="252" t="s">
        <v>1483</v>
      </c>
    </row>
    <row r="45" spans="1:6">
      <c r="A45" s="252" t="s">
        <v>1484</v>
      </c>
    </row>
    <row r="46" spans="1:6">
      <c r="A46" s="252" t="s">
        <v>1473</v>
      </c>
      <c r="B46" s="252" t="s">
        <v>1485</v>
      </c>
    </row>
    <row r="47" spans="1:6">
      <c r="A47" s="252" t="s">
        <v>1474</v>
      </c>
      <c r="B47" s="252" t="s">
        <v>1486</v>
      </c>
    </row>
    <row r="48" spans="1:6">
      <c r="A48" s="252" t="s">
        <v>1474</v>
      </c>
      <c r="B48" s="252" t="s">
        <v>1487</v>
      </c>
    </row>
    <row r="50" spans="1:2">
      <c r="A50" s="252" t="s">
        <v>1488</v>
      </c>
    </row>
    <row r="51" spans="1:2">
      <c r="A51" s="252" t="s">
        <v>1482</v>
      </c>
    </row>
    <row r="52" spans="1:2">
      <c r="B52" s="252" t="s">
        <v>1489</v>
      </c>
    </row>
    <row r="53" spans="1:2">
      <c r="A53" s="252" t="s">
        <v>1479</v>
      </c>
    </row>
    <row r="54" spans="1:2">
      <c r="A54" s="252" t="s">
        <v>1490</v>
      </c>
    </row>
    <row r="55" spans="1:2">
      <c r="A55" s="252" t="s">
        <v>1479</v>
      </c>
    </row>
    <row r="56" spans="1:2">
      <c r="A56" s="252" t="s">
        <v>1479</v>
      </c>
    </row>
    <row r="57" spans="1:2">
      <c r="A57" s="252" t="s">
        <v>1491</v>
      </c>
    </row>
    <row r="58" spans="1:2">
      <c r="A58" s="252" t="s">
        <v>1492</v>
      </c>
    </row>
  </sheetData>
  <phoneticPr fontId="8" type="noConversion"/>
  <hyperlinks>
    <hyperlink ref="B32" r:id="rId1"/>
    <hyperlink ref="B38" r:id="rId2"/>
    <hyperlink ref="B36" r:id="rId3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I136"/>
  <sheetViews>
    <sheetView workbookViewId="0">
      <selection activeCell="A2" sqref="A2"/>
    </sheetView>
  </sheetViews>
  <sheetFormatPr defaultColWidth="9" defaultRowHeight="16.2"/>
  <cols>
    <col min="1" max="1" width="19.33203125" style="50" customWidth="1"/>
    <col min="2" max="2" width="98.21875" style="245" customWidth="1"/>
    <col min="3" max="3" width="29.33203125" style="22" customWidth="1"/>
    <col min="4" max="6" width="9" style="245"/>
    <col min="7" max="7" width="19.88671875" style="252" customWidth="1"/>
    <col min="8" max="8" width="16.44140625" style="252" customWidth="1"/>
    <col min="9" max="9" width="36.44140625" style="252" customWidth="1"/>
    <col min="10" max="16384" width="9" style="245"/>
  </cols>
  <sheetData>
    <row r="1" spans="1:9" s="252" customFormat="1" ht="22.2">
      <c r="A1" s="574" t="s">
        <v>1450</v>
      </c>
      <c r="B1" s="574"/>
      <c r="C1" s="574"/>
      <c r="G1" s="574" t="s">
        <v>1451</v>
      </c>
      <c r="H1" s="574"/>
      <c r="I1" s="574"/>
    </row>
    <row r="2" spans="1:9" s="252" customFormat="1">
      <c r="A2" s="246" t="s">
        <v>1118</v>
      </c>
      <c r="B2" s="6" t="s">
        <v>1119</v>
      </c>
      <c r="C2" s="25" t="s">
        <v>1120</v>
      </c>
      <c r="G2" s="6" t="s">
        <v>1118</v>
      </c>
      <c r="H2" s="6" t="s">
        <v>1119</v>
      </c>
      <c r="I2" s="6" t="s">
        <v>1120</v>
      </c>
    </row>
    <row r="3" spans="1:9">
      <c r="A3" s="246" t="s">
        <v>68</v>
      </c>
      <c r="B3" s="247" t="s">
        <v>1283</v>
      </c>
      <c r="C3" s="25" t="s">
        <v>1121</v>
      </c>
      <c r="G3" s="6">
        <v>53</v>
      </c>
      <c r="H3" s="6" t="s">
        <v>1185</v>
      </c>
      <c r="I3" s="6" t="s">
        <v>1123</v>
      </c>
    </row>
    <row r="4" spans="1:9">
      <c r="A4" s="246" t="s">
        <v>69</v>
      </c>
      <c r="B4" s="6" t="s">
        <v>1122</v>
      </c>
      <c r="C4" s="25" t="s">
        <v>1121</v>
      </c>
      <c r="G4" s="6">
        <v>61</v>
      </c>
      <c r="H4" s="6" t="s">
        <v>1186</v>
      </c>
      <c r="I4" s="6" t="s">
        <v>1123</v>
      </c>
    </row>
    <row r="5" spans="1:9">
      <c r="A5" s="246">
        <v>50</v>
      </c>
      <c r="B5" s="247" t="s">
        <v>1284</v>
      </c>
      <c r="C5" s="25" t="s">
        <v>1123</v>
      </c>
      <c r="G5" s="6">
        <v>61</v>
      </c>
      <c r="H5" s="6" t="s">
        <v>1187</v>
      </c>
      <c r="I5" s="6" t="s">
        <v>1123</v>
      </c>
    </row>
    <row r="6" spans="1:9">
      <c r="A6" s="246">
        <v>643</v>
      </c>
      <c r="B6" s="247" t="s">
        <v>1285</v>
      </c>
      <c r="C6" s="25" t="s">
        <v>1124</v>
      </c>
      <c r="G6" s="6">
        <v>61</v>
      </c>
      <c r="H6" s="6" t="s">
        <v>1188</v>
      </c>
      <c r="I6" s="6" t="s">
        <v>1123</v>
      </c>
    </row>
    <row r="7" spans="1:9">
      <c r="A7" s="246">
        <v>6208</v>
      </c>
      <c r="B7" s="247" t="s">
        <v>1286</v>
      </c>
      <c r="C7" s="25" t="s">
        <v>1121</v>
      </c>
      <c r="G7" s="6">
        <v>6201</v>
      </c>
      <c r="H7" s="6" t="s">
        <v>1189</v>
      </c>
      <c r="I7" s="6" t="s">
        <v>1123</v>
      </c>
    </row>
    <row r="8" spans="1:9">
      <c r="A8" s="246">
        <v>6205</v>
      </c>
      <c r="B8" s="247" t="s">
        <v>1287</v>
      </c>
      <c r="C8" s="25" t="s">
        <v>1121</v>
      </c>
      <c r="G8" s="6">
        <v>6203</v>
      </c>
      <c r="H8" s="6" t="s">
        <v>1190</v>
      </c>
      <c r="I8" s="6" t="s">
        <v>1123</v>
      </c>
    </row>
    <row r="9" spans="1:9">
      <c r="A9" s="246" t="s">
        <v>91</v>
      </c>
      <c r="B9" s="247" t="s">
        <v>1288</v>
      </c>
      <c r="C9" s="25" t="s">
        <v>1121</v>
      </c>
      <c r="G9" s="6">
        <v>6206</v>
      </c>
      <c r="H9" s="6" t="s">
        <v>1191</v>
      </c>
      <c r="I9" s="6" t="s">
        <v>1123</v>
      </c>
    </row>
    <row r="10" spans="1:9">
      <c r="A10" s="246">
        <v>639</v>
      </c>
      <c r="B10" s="247" t="s">
        <v>1289</v>
      </c>
      <c r="C10" s="25" t="s">
        <v>1121</v>
      </c>
      <c r="G10" s="6">
        <v>6206</v>
      </c>
      <c r="H10" s="6" t="s">
        <v>1192</v>
      </c>
      <c r="I10" s="6" t="s">
        <v>1123</v>
      </c>
    </row>
    <row r="11" spans="1:9">
      <c r="A11" s="246" t="s">
        <v>50</v>
      </c>
      <c r="B11" s="6" t="s">
        <v>1128</v>
      </c>
      <c r="C11" s="25" t="s">
        <v>1121</v>
      </c>
      <c r="G11" s="6">
        <v>6206</v>
      </c>
      <c r="H11" s="6" t="s">
        <v>1193</v>
      </c>
      <c r="I11" s="6" t="s">
        <v>1123</v>
      </c>
    </row>
    <row r="12" spans="1:9">
      <c r="A12" s="246" t="s">
        <v>51</v>
      </c>
      <c r="B12" s="6" t="s">
        <v>1129</v>
      </c>
      <c r="C12" s="25" t="s">
        <v>1121</v>
      </c>
      <c r="G12" s="6" t="s">
        <v>45</v>
      </c>
      <c r="H12" s="6" t="s">
        <v>1194</v>
      </c>
      <c r="I12" s="6" t="s">
        <v>1123</v>
      </c>
    </row>
    <row r="13" spans="1:9">
      <c r="A13" s="246" t="s">
        <v>94</v>
      </c>
      <c r="B13" s="6" t="s">
        <v>1130</v>
      </c>
      <c r="C13" s="25" t="s">
        <v>1121</v>
      </c>
      <c r="G13" s="6" t="s">
        <v>45</v>
      </c>
      <c r="H13" s="6" t="s">
        <v>1195</v>
      </c>
      <c r="I13" s="6" t="s">
        <v>1123</v>
      </c>
    </row>
    <row r="14" spans="1:9">
      <c r="A14" s="246" t="s">
        <v>95</v>
      </c>
      <c r="B14" s="6" t="s">
        <v>1131</v>
      </c>
      <c r="C14" s="25" t="s">
        <v>1121</v>
      </c>
      <c r="G14" s="6" t="s">
        <v>45</v>
      </c>
      <c r="H14" s="6" t="s">
        <v>1196</v>
      </c>
      <c r="I14" s="6" t="s">
        <v>1123</v>
      </c>
    </row>
    <row r="15" spans="1:9">
      <c r="A15" s="246">
        <v>652</v>
      </c>
      <c r="B15" s="6" t="s">
        <v>1132</v>
      </c>
      <c r="C15" s="25" t="s">
        <v>1121</v>
      </c>
      <c r="G15" s="6" t="s">
        <v>25</v>
      </c>
      <c r="H15" s="6" t="s">
        <v>1197</v>
      </c>
      <c r="I15" s="6" t="s">
        <v>1123</v>
      </c>
    </row>
    <row r="16" spans="1:9">
      <c r="A16" s="246">
        <v>636</v>
      </c>
      <c r="B16" s="247" t="s">
        <v>1290</v>
      </c>
      <c r="C16" s="25" t="s">
        <v>1133</v>
      </c>
      <c r="G16" s="6" t="s">
        <v>25</v>
      </c>
      <c r="H16" s="6" t="s">
        <v>1198</v>
      </c>
      <c r="I16" s="6" t="s">
        <v>1123</v>
      </c>
    </row>
    <row r="17" spans="1:9">
      <c r="A17" s="246" t="s">
        <v>1291</v>
      </c>
      <c r="B17" s="247" t="s">
        <v>1292</v>
      </c>
      <c r="C17" s="25" t="s">
        <v>1133</v>
      </c>
      <c r="G17" s="6" t="s">
        <v>25</v>
      </c>
      <c r="H17" s="6" t="s">
        <v>1199</v>
      </c>
      <c r="I17" s="6" t="s">
        <v>1123</v>
      </c>
    </row>
    <row r="18" spans="1:9">
      <c r="A18" s="246" t="s">
        <v>1293</v>
      </c>
      <c r="B18" s="247" t="s">
        <v>1294</v>
      </c>
      <c r="C18" s="25" t="s">
        <v>1133</v>
      </c>
      <c r="G18" s="6" t="s">
        <v>60</v>
      </c>
      <c r="H18" s="6" t="s">
        <v>1200</v>
      </c>
      <c r="I18" s="6" t="s">
        <v>1123</v>
      </c>
    </row>
    <row r="19" spans="1:9">
      <c r="A19" s="246">
        <v>645</v>
      </c>
      <c r="B19" s="247" t="s">
        <v>1295</v>
      </c>
      <c r="C19" s="25" t="s">
        <v>1121</v>
      </c>
      <c r="G19" s="6" t="s">
        <v>60</v>
      </c>
      <c r="H19" s="6" t="s">
        <v>1201</v>
      </c>
      <c r="I19" s="6" t="s">
        <v>1123</v>
      </c>
    </row>
    <row r="20" spans="1:9">
      <c r="A20" s="246" t="s">
        <v>77</v>
      </c>
      <c r="B20" s="247" t="s">
        <v>1296</v>
      </c>
      <c r="C20" s="25" t="s">
        <v>1121</v>
      </c>
      <c r="G20" s="6" t="s">
        <v>60</v>
      </c>
      <c r="H20" s="6" t="s">
        <v>1202</v>
      </c>
      <c r="I20" s="6" t="s">
        <v>1123</v>
      </c>
    </row>
    <row r="21" spans="1:9">
      <c r="A21" s="246" t="s">
        <v>78</v>
      </c>
      <c r="B21" s="6" t="s">
        <v>1137</v>
      </c>
      <c r="C21" s="25" t="s">
        <v>1121</v>
      </c>
      <c r="G21" s="6" t="s">
        <v>61</v>
      </c>
      <c r="H21" s="6" t="s">
        <v>1203</v>
      </c>
      <c r="I21" s="6" t="s">
        <v>1123</v>
      </c>
    </row>
    <row r="22" spans="1:9">
      <c r="A22" s="246">
        <v>662</v>
      </c>
      <c r="B22" s="6" t="s">
        <v>1138</v>
      </c>
      <c r="C22" s="25" t="s">
        <v>1121</v>
      </c>
      <c r="G22" s="6" t="s">
        <v>61</v>
      </c>
      <c r="H22" s="6" t="s">
        <v>1204</v>
      </c>
      <c r="I22" s="6" t="s">
        <v>1123</v>
      </c>
    </row>
    <row r="23" spans="1:9">
      <c r="A23" s="246" t="s">
        <v>82</v>
      </c>
      <c r="B23" s="6" t="s">
        <v>1139</v>
      </c>
      <c r="C23" s="25" t="s">
        <v>1133</v>
      </c>
      <c r="G23" s="6" t="s">
        <v>61</v>
      </c>
      <c r="H23" s="6" t="s">
        <v>1205</v>
      </c>
      <c r="I23" s="6" t="s">
        <v>1123</v>
      </c>
    </row>
    <row r="24" spans="1:9">
      <c r="A24" s="246">
        <v>657</v>
      </c>
      <c r="B24" s="6" t="s">
        <v>1140</v>
      </c>
      <c r="C24" s="25" t="s">
        <v>1133</v>
      </c>
      <c r="G24" s="6">
        <v>646</v>
      </c>
      <c r="H24" s="6" t="s">
        <v>1206</v>
      </c>
      <c r="I24" s="6" t="s">
        <v>1123</v>
      </c>
    </row>
    <row r="25" spans="1:9">
      <c r="A25" s="246" t="s">
        <v>79</v>
      </c>
      <c r="B25" s="6" t="s">
        <v>1141</v>
      </c>
      <c r="C25" s="25" t="s">
        <v>1133</v>
      </c>
      <c r="G25" s="6">
        <v>646</v>
      </c>
      <c r="H25" s="6" t="s">
        <v>1207</v>
      </c>
      <c r="I25" s="6" t="s">
        <v>1123</v>
      </c>
    </row>
    <row r="26" spans="1:9">
      <c r="A26" s="246">
        <v>52</v>
      </c>
      <c r="B26" s="6" t="s">
        <v>1142</v>
      </c>
      <c r="C26" s="25" t="s">
        <v>1121</v>
      </c>
      <c r="G26" s="6">
        <v>646</v>
      </c>
      <c r="H26" s="6" t="s">
        <v>1208</v>
      </c>
      <c r="I26" s="6" t="s">
        <v>1123</v>
      </c>
    </row>
    <row r="27" spans="1:9">
      <c r="A27" s="246">
        <v>57</v>
      </c>
      <c r="B27" s="6" t="s">
        <v>1143</v>
      </c>
      <c r="C27" s="25" t="s">
        <v>1121</v>
      </c>
      <c r="G27" s="6" t="s">
        <v>65</v>
      </c>
      <c r="H27" s="6" t="s">
        <v>1209</v>
      </c>
      <c r="I27" s="6" t="s">
        <v>1123</v>
      </c>
    </row>
    <row r="28" spans="1:9">
      <c r="A28" s="246">
        <v>58</v>
      </c>
      <c r="B28" s="6" t="s">
        <v>1144</v>
      </c>
      <c r="C28" s="25" t="s">
        <v>1121</v>
      </c>
      <c r="G28" s="6" t="s">
        <v>65</v>
      </c>
      <c r="H28" s="6" t="s">
        <v>1210</v>
      </c>
      <c r="I28" s="6" t="s">
        <v>1123</v>
      </c>
    </row>
    <row r="29" spans="1:9">
      <c r="A29" s="246">
        <v>59</v>
      </c>
      <c r="B29" s="6" t="s">
        <v>1145</v>
      </c>
      <c r="C29" s="25" t="s">
        <v>1121</v>
      </c>
      <c r="G29" s="6" t="s">
        <v>65</v>
      </c>
      <c r="H29" s="6" t="s">
        <v>1211</v>
      </c>
      <c r="I29" s="6" t="s">
        <v>1123</v>
      </c>
    </row>
    <row r="30" spans="1:9">
      <c r="A30" s="246" t="s">
        <v>80</v>
      </c>
      <c r="B30" s="6" t="s">
        <v>1146</v>
      </c>
      <c r="C30" s="25" t="s">
        <v>1133</v>
      </c>
      <c r="G30" s="6" t="s">
        <v>66</v>
      </c>
      <c r="H30" s="6" t="s">
        <v>1212</v>
      </c>
      <c r="I30" s="6" t="s">
        <v>1123</v>
      </c>
    </row>
    <row r="31" spans="1:9">
      <c r="A31" s="246" t="s">
        <v>92</v>
      </c>
      <c r="B31" s="6" t="s">
        <v>1147</v>
      </c>
      <c r="C31" s="25" t="s">
        <v>1133</v>
      </c>
      <c r="G31" s="6" t="s">
        <v>66</v>
      </c>
      <c r="H31" s="6" t="s">
        <v>1213</v>
      </c>
      <c r="I31" s="6" t="s">
        <v>1123</v>
      </c>
    </row>
    <row r="32" spans="1:9">
      <c r="A32" s="246" t="s">
        <v>93</v>
      </c>
      <c r="B32" s="6" t="s">
        <v>1148</v>
      </c>
      <c r="C32" s="25" t="s">
        <v>1133</v>
      </c>
      <c r="G32" s="6" t="s">
        <v>66</v>
      </c>
      <c r="H32" s="6" t="s">
        <v>1214</v>
      </c>
      <c r="I32" s="6" t="s">
        <v>1123</v>
      </c>
    </row>
    <row r="33" spans="1:9">
      <c r="A33" s="246">
        <v>51</v>
      </c>
      <c r="B33" s="247" t="s">
        <v>1297</v>
      </c>
      <c r="C33" s="25" t="s">
        <v>1123</v>
      </c>
      <c r="G33" s="6">
        <v>660</v>
      </c>
      <c r="H33" s="6" t="s">
        <v>1215</v>
      </c>
      <c r="I33" s="6" t="s">
        <v>1123</v>
      </c>
    </row>
    <row r="34" spans="1:9">
      <c r="A34" s="246">
        <v>6207</v>
      </c>
      <c r="B34" s="247" t="s">
        <v>1298</v>
      </c>
      <c r="C34" s="25" t="s">
        <v>1149</v>
      </c>
      <c r="G34" s="6">
        <v>660</v>
      </c>
      <c r="H34" s="6" t="s">
        <v>1216</v>
      </c>
      <c r="I34" s="6" t="s">
        <v>1123</v>
      </c>
    </row>
    <row r="35" spans="1:9">
      <c r="A35" s="246">
        <v>649</v>
      </c>
      <c r="B35" s="247" t="s">
        <v>1299</v>
      </c>
      <c r="C35" s="25" t="s">
        <v>1149</v>
      </c>
      <c r="G35" s="6">
        <v>660</v>
      </c>
      <c r="H35" s="6" t="s">
        <v>1217</v>
      </c>
      <c r="I35" s="6" t="s">
        <v>1123</v>
      </c>
    </row>
    <row r="36" spans="1:9">
      <c r="A36" s="246" t="s">
        <v>84</v>
      </c>
      <c r="B36" s="6" t="s">
        <v>1150</v>
      </c>
      <c r="C36" s="25" t="s">
        <v>1149</v>
      </c>
      <c r="G36" s="6">
        <v>661</v>
      </c>
      <c r="H36" s="6" t="s">
        <v>1218</v>
      </c>
      <c r="I36" s="6" t="s">
        <v>1123</v>
      </c>
    </row>
    <row r="37" spans="1:9">
      <c r="A37" s="246" t="s">
        <v>85</v>
      </c>
      <c r="B37" s="6" t="s">
        <v>1151</v>
      </c>
      <c r="C37" s="25" t="s">
        <v>1149</v>
      </c>
      <c r="G37" s="6">
        <v>661</v>
      </c>
      <c r="H37" s="6" t="s">
        <v>1219</v>
      </c>
      <c r="I37" s="6" t="s">
        <v>1123</v>
      </c>
    </row>
    <row r="38" spans="1:9">
      <c r="A38" s="246">
        <v>53</v>
      </c>
      <c r="B38" s="247" t="s">
        <v>1300</v>
      </c>
      <c r="C38" s="25" t="s">
        <v>1123</v>
      </c>
      <c r="G38" s="6">
        <v>661</v>
      </c>
      <c r="H38" s="6" t="s">
        <v>1220</v>
      </c>
      <c r="I38" s="6" t="s">
        <v>1123</v>
      </c>
    </row>
    <row r="39" spans="1:9">
      <c r="A39" s="246">
        <v>54</v>
      </c>
      <c r="B39" s="6" t="s">
        <v>1152</v>
      </c>
      <c r="C39" s="25" t="s">
        <v>1123</v>
      </c>
      <c r="G39" s="6" t="s">
        <v>62</v>
      </c>
      <c r="H39" s="6" t="s">
        <v>1221</v>
      </c>
      <c r="I39" s="6" t="s">
        <v>1123</v>
      </c>
    </row>
    <row r="40" spans="1:9">
      <c r="A40" s="246">
        <v>55</v>
      </c>
      <c r="B40" s="6" t="s">
        <v>1153</v>
      </c>
      <c r="C40" s="25" t="s">
        <v>1123</v>
      </c>
      <c r="G40" s="6" t="s">
        <v>62</v>
      </c>
      <c r="H40" s="6" t="s">
        <v>1222</v>
      </c>
      <c r="I40" s="6" t="s">
        <v>1123</v>
      </c>
    </row>
    <row r="41" spans="1:9">
      <c r="A41" s="246">
        <v>56</v>
      </c>
      <c r="B41" s="6" t="s">
        <v>1154</v>
      </c>
      <c r="C41" s="25" t="s">
        <v>1123</v>
      </c>
      <c r="G41" s="6" t="s">
        <v>62</v>
      </c>
      <c r="H41" s="6" t="s">
        <v>1223</v>
      </c>
      <c r="I41" s="6" t="s">
        <v>1123</v>
      </c>
    </row>
    <row r="42" spans="1:9">
      <c r="A42" s="246">
        <v>61</v>
      </c>
      <c r="B42" s="6" t="s">
        <v>1155</v>
      </c>
      <c r="C42" s="25" t="s">
        <v>1123</v>
      </c>
      <c r="G42" s="6" t="s">
        <v>63</v>
      </c>
      <c r="H42" s="6" t="s">
        <v>1224</v>
      </c>
      <c r="I42" s="6" t="s">
        <v>1123</v>
      </c>
    </row>
    <row r="43" spans="1:9">
      <c r="A43" s="246">
        <v>6201</v>
      </c>
      <c r="B43" s="6" t="s">
        <v>1156</v>
      </c>
      <c r="C43" s="25" t="s">
        <v>1123</v>
      </c>
      <c r="G43" s="6" t="s">
        <v>63</v>
      </c>
      <c r="H43" s="6" t="s">
        <v>1225</v>
      </c>
      <c r="I43" s="6" t="s">
        <v>1123</v>
      </c>
    </row>
    <row r="44" spans="1:9">
      <c r="A44" s="246">
        <v>6203</v>
      </c>
      <c r="B44" s="6" t="s">
        <v>1157</v>
      </c>
      <c r="C44" s="25" t="s">
        <v>1123</v>
      </c>
      <c r="G44" s="6" t="s">
        <v>63</v>
      </c>
      <c r="H44" s="6" t="s">
        <v>1226</v>
      </c>
      <c r="I44" s="6" t="s">
        <v>1123</v>
      </c>
    </row>
    <row r="45" spans="1:9">
      <c r="A45" s="246">
        <v>6206</v>
      </c>
      <c r="B45" s="6" t="s">
        <v>1158</v>
      </c>
      <c r="C45" s="25" t="s">
        <v>1123</v>
      </c>
      <c r="G45" s="6">
        <v>636</v>
      </c>
      <c r="H45" s="6" t="s">
        <v>1227</v>
      </c>
      <c r="I45" s="6"/>
    </row>
    <row r="46" spans="1:9">
      <c r="A46" s="246" t="s">
        <v>45</v>
      </c>
      <c r="B46" s="6" t="s">
        <v>1159</v>
      </c>
      <c r="C46" s="25" t="s">
        <v>1123</v>
      </c>
      <c r="G46" s="6"/>
      <c r="H46" s="6" t="s">
        <v>1133</v>
      </c>
      <c r="I46" s="6"/>
    </row>
    <row r="47" spans="1:9">
      <c r="A47" s="246" t="s">
        <v>25</v>
      </c>
      <c r="B47" s="6" t="s">
        <v>1160</v>
      </c>
      <c r="C47" s="25" t="s">
        <v>1123</v>
      </c>
      <c r="G47" s="6" t="s">
        <v>81</v>
      </c>
      <c r="H47" s="6"/>
      <c r="I47" s="6"/>
    </row>
    <row r="48" spans="1:9">
      <c r="A48" s="246" t="s">
        <v>60</v>
      </c>
      <c r="B48" s="6" t="s">
        <v>1161</v>
      </c>
      <c r="C48" s="25" t="s">
        <v>1123</v>
      </c>
      <c r="G48" s="6" t="s">
        <v>1134</v>
      </c>
      <c r="H48" s="6" t="s">
        <v>1133</v>
      </c>
      <c r="I48" s="6"/>
    </row>
    <row r="49" spans="1:9">
      <c r="A49" s="246" t="s">
        <v>61</v>
      </c>
      <c r="B49" s="6" t="s">
        <v>1162</v>
      </c>
      <c r="C49" s="25" t="s">
        <v>1123</v>
      </c>
      <c r="G49" s="6" t="s">
        <v>82</v>
      </c>
      <c r="H49" s="6" t="s">
        <v>1139</v>
      </c>
      <c r="I49" s="6" t="s">
        <v>1133</v>
      </c>
    </row>
    <row r="50" spans="1:9">
      <c r="A50" s="246">
        <v>646</v>
      </c>
      <c r="B50" s="6" t="s">
        <v>1163</v>
      </c>
      <c r="C50" s="25" t="s">
        <v>1123</v>
      </c>
      <c r="G50" s="6">
        <v>657</v>
      </c>
      <c r="H50" s="6" t="s">
        <v>1140</v>
      </c>
      <c r="I50" s="6" t="s">
        <v>1133</v>
      </c>
    </row>
    <row r="51" spans="1:9">
      <c r="A51" s="246" t="s">
        <v>65</v>
      </c>
      <c r="B51" s="6" t="s">
        <v>1164</v>
      </c>
      <c r="C51" s="25" t="s">
        <v>1123</v>
      </c>
      <c r="G51" s="6" t="s">
        <v>79</v>
      </c>
      <c r="H51" s="6" t="s">
        <v>1141</v>
      </c>
      <c r="I51" s="6" t="s">
        <v>1133</v>
      </c>
    </row>
    <row r="52" spans="1:9">
      <c r="A52" s="246" t="s">
        <v>66</v>
      </c>
      <c r="B52" s="6" t="s">
        <v>1165</v>
      </c>
      <c r="C52" s="25" t="s">
        <v>1123</v>
      </c>
      <c r="G52" s="6" t="s">
        <v>80</v>
      </c>
      <c r="H52" s="6" t="s">
        <v>1146</v>
      </c>
      <c r="I52" s="6" t="s">
        <v>1133</v>
      </c>
    </row>
    <row r="53" spans="1:9">
      <c r="A53" s="246">
        <v>660</v>
      </c>
      <c r="B53" s="6" t="s">
        <v>1166</v>
      </c>
      <c r="C53" s="25" t="s">
        <v>1123</v>
      </c>
      <c r="G53" s="6" t="s">
        <v>92</v>
      </c>
      <c r="H53" s="6" t="s">
        <v>1147</v>
      </c>
      <c r="I53" s="6" t="s">
        <v>1133</v>
      </c>
    </row>
    <row r="54" spans="1:9">
      <c r="A54" s="246">
        <v>661</v>
      </c>
      <c r="B54" s="6" t="s">
        <v>1167</v>
      </c>
      <c r="C54" s="25" t="s">
        <v>1123</v>
      </c>
      <c r="G54" s="6" t="s">
        <v>93</v>
      </c>
      <c r="H54" s="6" t="s">
        <v>1148</v>
      </c>
      <c r="I54" s="6" t="s">
        <v>1133</v>
      </c>
    </row>
    <row r="55" spans="1:9">
      <c r="A55" s="246" t="s">
        <v>62</v>
      </c>
      <c r="B55" s="6" t="s">
        <v>1168</v>
      </c>
      <c r="C55" s="25" t="s">
        <v>1123</v>
      </c>
      <c r="G55" s="6">
        <v>6205</v>
      </c>
      <c r="H55" s="6" t="s">
        <v>1125</v>
      </c>
      <c r="I55" s="6" t="s">
        <v>1121</v>
      </c>
    </row>
    <row r="56" spans="1:9">
      <c r="A56" s="246" t="s">
        <v>63</v>
      </c>
      <c r="B56" s="6" t="s">
        <v>1169</v>
      </c>
      <c r="C56" s="25" t="s">
        <v>1123</v>
      </c>
      <c r="G56" s="6" t="s">
        <v>91</v>
      </c>
      <c r="H56" s="6" t="s">
        <v>1126</v>
      </c>
      <c r="I56" s="6" t="s">
        <v>1121</v>
      </c>
    </row>
    <row r="57" spans="1:9">
      <c r="A57" s="246">
        <v>668</v>
      </c>
      <c r="B57" s="247" t="s">
        <v>1301</v>
      </c>
      <c r="C57" s="25" t="s">
        <v>1133</v>
      </c>
      <c r="G57" s="6">
        <v>639</v>
      </c>
      <c r="H57" s="6" t="s">
        <v>1127</v>
      </c>
      <c r="I57" s="6" t="s">
        <v>1121</v>
      </c>
    </row>
    <row r="58" spans="1:9">
      <c r="A58" s="246" t="s">
        <v>101</v>
      </c>
      <c r="B58" s="247" t="s">
        <v>1302</v>
      </c>
      <c r="C58" s="25" t="s">
        <v>1133</v>
      </c>
      <c r="G58" s="6" t="s">
        <v>50</v>
      </c>
      <c r="H58" s="6" t="s">
        <v>1128</v>
      </c>
      <c r="I58" s="6" t="s">
        <v>1121</v>
      </c>
    </row>
    <row r="59" spans="1:9">
      <c r="A59" s="246">
        <v>667</v>
      </c>
      <c r="B59" s="6" t="s">
        <v>1172</v>
      </c>
      <c r="C59" s="25" t="s">
        <v>1123</v>
      </c>
      <c r="G59" s="6" t="s">
        <v>51</v>
      </c>
      <c r="H59" s="6" t="s">
        <v>1129</v>
      </c>
      <c r="I59" s="6" t="s">
        <v>1121</v>
      </c>
    </row>
    <row r="60" spans="1:9">
      <c r="A60" s="246" t="s">
        <v>97</v>
      </c>
      <c r="B60" s="247" t="s">
        <v>1303</v>
      </c>
      <c r="C60" s="25" t="s">
        <v>1123</v>
      </c>
      <c r="G60" s="6" t="s">
        <v>94</v>
      </c>
      <c r="H60" s="6" t="s">
        <v>1130</v>
      </c>
      <c r="I60" s="6" t="s">
        <v>1121</v>
      </c>
    </row>
    <row r="61" spans="1:9">
      <c r="A61" s="246" t="s">
        <v>98</v>
      </c>
      <c r="B61" s="6" t="s">
        <v>1173</v>
      </c>
      <c r="C61" s="25" t="s">
        <v>1123</v>
      </c>
      <c r="G61" s="6" t="s">
        <v>95</v>
      </c>
      <c r="H61" s="6" t="s">
        <v>1131</v>
      </c>
      <c r="I61" s="6" t="s">
        <v>1121</v>
      </c>
    </row>
    <row r="62" spans="1:9">
      <c r="A62" s="246" t="s">
        <v>99</v>
      </c>
      <c r="B62" s="6" t="s">
        <v>1174</v>
      </c>
      <c r="C62" s="25" t="s">
        <v>1123</v>
      </c>
      <c r="G62" s="6">
        <v>652</v>
      </c>
      <c r="H62" s="6" t="s">
        <v>1132</v>
      </c>
      <c r="I62" s="6" t="s">
        <v>1121</v>
      </c>
    </row>
    <row r="63" spans="1:9">
      <c r="A63" s="246" t="s">
        <v>102</v>
      </c>
      <c r="B63" s="247" t="s">
        <v>1304</v>
      </c>
      <c r="C63" s="25" t="s">
        <v>1121</v>
      </c>
      <c r="G63" s="6" t="s">
        <v>68</v>
      </c>
      <c r="H63" s="6" t="s">
        <v>1228</v>
      </c>
      <c r="I63" s="6" t="s">
        <v>1121</v>
      </c>
    </row>
    <row r="64" spans="1:9">
      <c r="A64" s="246" t="s">
        <v>103</v>
      </c>
      <c r="B64" s="247" t="s">
        <v>1305</v>
      </c>
      <c r="C64" s="25" t="s">
        <v>1121</v>
      </c>
      <c r="G64" s="6" t="s">
        <v>69</v>
      </c>
      <c r="H64" s="6" t="s">
        <v>1122</v>
      </c>
      <c r="I64" s="6" t="s">
        <v>1121</v>
      </c>
    </row>
    <row r="65" spans="1:9">
      <c r="A65" s="246" t="s">
        <v>104</v>
      </c>
      <c r="B65" s="247" t="s">
        <v>1306</v>
      </c>
      <c r="C65" s="25" t="s">
        <v>1121</v>
      </c>
      <c r="G65" s="6">
        <v>645</v>
      </c>
      <c r="H65" s="6" t="s">
        <v>1135</v>
      </c>
      <c r="I65" s="6" t="s">
        <v>1121</v>
      </c>
    </row>
    <row r="66" spans="1:9">
      <c r="A66" s="246">
        <v>690</v>
      </c>
      <c r="B66" s="247" t="s">
        <v>1307</v>
      </c>
      <c r="C66" s="25" t="s">
        <v>1178</v>
      </c>
      <c r="G66" s="6" t="s">
        <v>77</v>
      </c>
      <c r="H66" s="6" t="s">
        <v>1136</v>
      </c>
      <c r="I66" s="6" t="s">
        <v>1121</v>
      </c>
    </row>
    <row r="67" spans="1:9">
      <c r="A67" s="246" t="s">
        <v>1308</v>
      </c>
      <c r="B67" s="247" t="s">
        <v>1179</v>
      </c>
      <c r="C67" s="25" t="s">
        <v>1178</v>
      </c>
      <c r="G67" s="6" t="s">
        <v>78</v>
      </c>
      <c r="H67" s="6" t="s">
        <v>1137</v>
      </c>
      <c r="I67" s="6" t="s">
        <v>1121</v>
      </c>
    </row>
    <row r="68" spans="1:9">
      <c r="A68" s="246" t="s">
        <v>111</v>
      </c>
      <c r="B68" s="247" t="s">
        <v>1309</v>
      </c>
      <c r="C68" s="25" t="s">
        <v>1124</v>
      </c>
      <c r="G68" s="6">
        <v>662</v>
      </c>
      <c r="H68" s="6" t="s">
        <v>1138</v>
      </c>
      <c r="I68" s="6" t="s">
        <v>1121</v>
      </c>
    </row>
    <row r="69" spans="1:9">
      <c r="A69" s="246" t="s">
        <v>112</v>
      </c>
      <c r="B69" s="247" t="s">
        <v>1310</v>
      </c>
      <c r="C69" s="25" t="s">
        <v>1124</v>
      </c>
      <c r="G69" s="6">
        <v>52</v>
      </c>
      <c r="H69" s="6" t="s">
        <v>1142</v>
      </c>
      <c r="I69" s="6" t="s">
        <v>1121</v>
      </c>
    </row>
    <row r="70" spans="1:9">
      <c r="A70" s="246" t="s">
        <v>113</v>
      </c>
      <c r="B70" s="247" t="s">
        <v>1311</v>
      </c>
      <c r="C70" s="25" t="s">
        <v>1178</v>
      </c>
      <c r="G70" s="6">
        <v>57</v>
      </c>
      <c r="H70" s="6" t="s">
        <v>1143</v>
      </c>
      <c r="I70" s="6" t="s">
        <v>1121</v>
      </c>
    </row>
    <row r="71" spans="1:9">
      <c r="A71" s="246" t="s">
        <v>334</v>
      </c>
      <c r="B71" s="247" t="s">
        <v>1312</v>
      </c>
      <c r="C71" s="25" t="s">
        <v>1133</v>
      </c>
      <c r="G71" s="6">
        <v>58</v>
      </c>
      <c r="H71" s="6" t="s">
        <v>1144</v>
      </c>
      <c r="I71" s="6" t="s">
        <v>1121</v>
      </c>
    </row>
    <row r="72" spans="1:9">
      <c r="A72" s="246" t="s">
        <v>335</v>
      </c>
      <c r="B72" s="247" t="s">
        <v>1313</v>
      </c>
      <c r="C72" s="25" t="s">
        <v>1133</v>
      </c>
      <c r="G72" s="6">
        <v>59</v>
      </c>
      <c r="H72" s="6" t="s">
        <v>1145</v>
      </c>
      <c r="I72" s="6" t="s">
        <v>1121</v>
      </c>
    </row>
    <row r="73" spans="1:9">
      <c r="A73" s="246" t="s">
        <v>336</v>
      </c>
      <c r="B73" s="247" t="s">
        <v>1314</v>
      </c>
      <c r="C73" s="25" t="s">
        <v>1133</v>
      </c>
      <c r="G73" s="6">
        <v>6208</v>
      </c>
      <c r="H73" s="6" t="s">
        <v>1229</v>
      </c>
      <c r="I73" s="6" t="s">
        <v>1121</v>
      </c>
    </row>
    <row r="74" spans="1:9">
      <c r="A74" s="246">
        <v>692</v>
      </c>
      <c r="B74" s="247" t="s">
        <v>1315</v>
      </c>
      <c r="C74" s="25" t="s">
        <v>1121</v>
      </c>
      <c r="G74" s="6">
        <v>6207</v>
      </c>
      <c r="H74" s="6" t="s">
        <v>1230</v>
      </c>
      <c r="I74" s="6" t="s">
        <v>1149</v>
      </c>
    </row>
    <row r="75" spans="1:9">
      <c r="A75" s="246">
        <v>703</v>
      </c>
      <c r="B75" s="247" t="s">
        <v>1316</v>
      </c>
      <c r="C75" s="25" t="s">
        <v>1184</v>
      </c>
      <c r="G75" s="6">
        <v>667</v>
      </c>
      <c r="H75" s="6" t="s">
        <v>1231</v>
      </c>
      <c r="I75" s="6" t="s">
        <v>1123</v>
      </c>
    </row>
    <row r="76" spans="1:9">
      <c r="A76" s="246" t="s">
        <v>339</v>
      </c>
      <c r="B76" s="247" t="s">
        <v>1317</v>
      </c>
      <c r="C76" s="25" t="s">
        <v>1184</v>
      </c>
      <c r="G76" s="6">
        <v>643</v>
      </c>
      <c r="H76" s="6" t="s">
        <v>1232</v>
      </c>
      <c r="I76" s="6" t="s">
        <v>1124</v>
      </c>
    </row>
    <row r="77" spans="1:9">
      <c r="A77" s="246" t="s">
        <v>340</v>
      </c>
      <c r="B77" s="247" t="s">
        <v>1318</v>
      </c>
      <c r="C77" s="25" t="s">
        <v>1184</v>
      </c>
      <c r="G77" s="6">
        <v>643</v>
      </c>
      <c r="H77" s="6" t="s">
        <v>1233</v>
      </c>
      <c r="I77" s="6" t="s">
        <v>1124</v>
      </c>
    </row>
    <row r="78" spans="1:9">
      <c r="A78" s="246" t="s">
        <v>1319</v>
      </c>
      <c r="B78" s="247" t="s">
        <v>1320</v>
      </c>
      <c r="C78" s="25" t="s">
        <v>1321</v>
      </c>
      <c r="G78" s="6">
        <v>649</v>
      </c>
      <c r="H78" s="6" t="s">
        <v>1234</v>
      </c>
      <c r="I78" s="6" t="s">
        <v>1149</v>
      </c>
    </row>
    <row r="79" spans="1:9">
      <c r="A79" s="347" t="s">
        <v>1748</v>
      </c>
      <c r="B79" s="247" t="s">
        <v>1750</v>
      </c>
      <c r="C79" s="25" t="s">
        <v>1749</v>
      </c>
      <c r="G79" s="6" t="s">
        <v>84</v>
      </c>
      <c r="H79" s="6" t="s">
        <v>1235</v>
      </c>
      <c r="I79" s="6" t="s">
        <v>1149</v>
      </c>
    </row>
    <row r="80" spans="1:9">
      <c r="G80" s="6" t="s">
        <v>85</v>
      </c>
      <c r="H80" s="6" t="s">
        <v>1236</v>
      </c>
      <c r="I80" s="6" t="s">
        <v>1149</v>
      </c>
    </row>
    <row r="81" spans="7:9">
      <c r="G81" s="6">
        <v>50</v>
      </c>
      <c r="H81" s="6" t="s">
        <v>1237</v>
      </c>
      <c r="I81" s="6" t="s">
        <v>1123</v>
      </c>
    </row>
    <row r="82" spans="7:9">
      <c r="G82" s="6">
        <v>50</v>
      </c>
      <c r="H82" s="6" t="s">
        <v>1238</v>
      </c>
      <c r="I82" s="6" t="s">
        <v>1123</v>
      </c>
    </row>
    <row r="83" spans="7:9">
      <c r="G83" s="6">
        <v>50</v>
      </c>
      <c r="H83" s="6" t="s">
        <v>1239</v>
      </c>
      <c r="I83" s="6" t="s">
        <v>1123</v>
      </c>
    </row>
    <row r="84" spans="7:9">
      <c r="G84" s="6">
        <v>51</v>
      </c>
      <c r="H84" s="6" t="s">
        <v>1240</v>
      </c>
      <c r="I84" s="6" t="s">
        <v>1123</v>
      </c>
    </row>
    <row r="85" spans="7:9">
      <c r="G85" s="6">
        <v>51</v>
      </c>
      <c r="H85" s="6"/>
      <c r="I85" s="6"/>
    </row>
    <row r="86" spans="7:9">
      <c r="G86" s="6" t="s">
        <v>1241</v>
      </c>
      <c r="H86" s="6" t="s">
        <v>1123</v>
      </c>
      <c r="I86" s="6"/>
    </row>
    <row r="87" spans="7:9">
      <c r="G87" s="6">
        <v>51</v>
      </c>
      <c r="H87" s="6" t="s">
        <v>1242</v>
      </c>
      <c r="I87" s="6" t="s">
        <v>1123</v>
      </c>
    </row>
    <row r="88" spans="7:9">
      <c r="G88" s="6">
        <v>53</v>
      </c>
      <c r="H88" s="6" t="s">
        <v>1243</v>
      </c>
      <c r="I88" s="6" t="s">
        <v>1123</v>
      </c>
    </row>
    <row r="89" spans="7:9">
      <c r="G89" s="6">
        <v>53</v>
      </c>
      <c r="H89" s="6" t="s">
        <v>1244</v>
      </c>
      <c r="I89" s="6" t="s">
        <v>1123</v>
      </c>
    </row>
    <row r="90" spans="7:9">
      <c r="G90" s="6">
        <v>54</v>
      </c>
      <c r="H90" s="6" t="s">
        <v>1245</v>
      </c>
      <c r="I90" s="6" t="s">
        <v>1123</v>
      </c>
    </row>
    <row r="91" spans="7:9">
      <c r="G91" s="6">
        <v>54</v>
      </c>
      <c r="H91" s="6" t="s">
        <v>1246</v>
      </c>
      <c r="I91" s="6" t="s">
        <v>1123</v>
      </c>
    </row>
    <row r="92" spans="7:9">
      <c r="G92" s="6">
        <v>54</v>
      </c>
      <c r="H92" s="6" t="s">
        <v>1247</v>
      </c>
      <c r="I92" s="6" t="s">
        <v>1123</v>
      </c>
    </row>
    <row r="93" spans="7:9">
      <c r="G93" s="6">
        <v>55</v>
      </c>
      <c r="H93" s="6" t="s">
        <v>1248</v>
      </c>
      <c r="I93" s="6" t="s">
        <v>1123</v>
      </c>
    </row>
    <row r="94" spans="7:9">
      <c r="G94" s="6">
        <v>55</v>
      </c>
      <c r="H94" s="6" t="s">
        <v>1249</v>
      </c>
      <c r="I94" s="6" t="s">
        <v>1123</v>
      </c>
    </row>
    <row r="95" spans="7:9">
      <c r="G95" s="6">
        <v>55</v>
      </c>
      <c r="H95" s="6" t="s">
        <v>1250</v>
      </c>
      <c r="I95" s="6" t="s">
        <v>1123</v>
      </c>
    </row>
    <row r="96" spans="7:9">
      <c r="G96" s="6">
        <v>56</v>
      </c>
      <c r="H96" s="6" t="s">
        <v>1251</v>
      </c>
      <c r="I96" s="6" t="s">
        <v>1123</v>
      </c>
    </row>
    <row r="97" spans="7:9">
      <c r="G97" s="6">
        <v>56</v>
      </c>
      <c r="H97" s="6" t="s">
        <v>1252</v>
      </c>
      <c r="I97" s="6" t="s">
        <v>1123</v>
      </c>
    </row>
    <row r="98" spans="7:9">
      <c r="G98" s="6">
        <v>56</v>
      </c>
      <c r="H98" s="6" t="s">
        <v>1253</v>
      </c>
      <c r="I98" s="6" t="s">
        <v>1123</v>
      </c>
    </row>
    <row r="99" spans="7:9">
      <c r="G99" s="6">
        <v>667</v>
      </c>
      <c r="H99" s="6" t="s">
        <v>1254</v>
      </c>
      <c r="I99" s="6" t="s">
        <v>1123</v>
      </c>
    </row>
    <row r="100" spans="7:9">
      <c r="G100" s="6">
        <v>667</v>
      </c>
      <c r="H100" s="6" t="s">
        <v>1255</v>
      </c>
      <c r="I100" s="6" t="s">
        <v>1123</v>
      </c>
    </row>
    <row r="101" spans="7:9">
      <c r="G101" s="6" t="s">
        <v>97</v>
      </c>
      <c r="H101" s="6" t="s">
        <v>1256</v>
      </c>
      <c r="I101" s="6" t="s">
        <v>1123</v>
      </c>
    </row>
    <row r="102" spans="7:9">
      <c r="G102" s="6" t="s">
        <v>97</v>
      </c>
      <c r="H102" s="6" t="s">
        <v>1257</v>
      </c>
      <c r="I102" s="6" t="s">
        <v>1123</v>
      </c>
    </row>
    <row r="103" spans="7:9">
      <c r="G103" s="6" t="s">
        <v>97</v>
      </c>
      <c r="H103" s="6" t="s">
        <v>1258</v>
      </c>
      <c r="I103" s="6" t="s">
        <v>1123</v>
      </c>
    </row>
    <row r="104" spans="7:9">
      <c r="G104" s="6" t="s">
        <v>98</v>
      </c>
      <c r="H104" s="6" t="s">
        <v>1259</v>
      </c>
      <c r="I104" s="6" t="s">
        <v>1123</v>
      </c>
    </row>
    <row r="105" spans="7:9">
      <c r="G105" s="6" t="s">
        <v>98</v>
      </c>
      <c r="H105" s="6" t="s">
        <v>1260</v>
      </c>
      <c r="I105" s="6" t="s">
        <v>1123</v>
      </c>
    </row>
    <row r="106" spans="7:9">
      <c r="G106" s="6" t="s">
        <v>98</v>
      </c>
      <c r="H106" s="6" t="s">
        <v>1261</v>
      </c>
      <c r="I106" s="6" t="s">
        <v>1123</v>
      </c>
    </row>
    <row r="107" spans="7:9">
      <c r="G107" s="6" t="s">
        <v>99</v>
      </c>
      <c r="H107" s="6" t="s">
        <v>1262</v>
      </c>
      <c r="I107" s="6" t="s">
        <v>1123</v>
      </c>
    </row>
    <row r="108" spans="7:9">
      <c r="G108" s="6" t="s">
        <v>99</v>
      </c>
      <c r="H108" s="6" t="s">
        <v>1263</v>
      </c>
      <c r="I108" s="6" t="s">
        <v>1123</v>
      </c>
    </row>
    <row r="109" spans="7:9">
      <c r="G109" s="6" t="s">
        <v>99</v>
      </c>
      <c r="H109" s="6" t="s">
        <v>1264</v>
      </c>
      <c r="I109" s="6" t="s">
        <v>1123</v>
      </c>
    </row>
    <row r="110" spans="7:9">
      <c r="G110" s="6">
        <v>668</v>
      </c>
      <c r="H110" s="6" t="s">
        <v>1170</v>
      </c>
      <c r="I110" s="6" t="s">
        <v>1133</v>
      </c>
    </row>
    <row r="111" spans="7:9">
      <c r="G111" s="6" t="s">
        <v>101</v>
      </c>
      <c r="H111" s="6" t="s">
        <v>1171</v>
      </c>
      <c r="I111" s="6" t="s">
        <v>1133</v>
      </c>
    </row>
    <row r="112" spans="7:9">
      <c r="G112" s="6" t="s">
        <v>102</v>
      </c>
      <c r="H112" s="6" t="s">
        <v>1175</v>
      </c>
      <c r="I112" s="6" t="s">
        <v>1121</v>
      </c>
    </row>
    <row r="113" spans="7:9">
      <c r="G113" s="6" t="s">
        <v>103</v>
      </c>
      <c r="H113" s="6" t="s">
        <v>1176</v>
      </c>
      <c r="I113" s="6" t="s">
        <v>1121</v>
      </c>
    </row>
    <row r="114" spans="7:9">
      <c r="G114" s="6" t="s">
        <v>104</v>
      </c>
      <c r="H114" s="6" t="s">
        <v>1177</v>
      </c>
      <c r="I114" s="6" t="s">
        <v>1121</v>
      </c>
    </row>
    <row r="115" spans="7:9">
      <c r="G115" s="6">
        <v>678</v>
      </c>
      <c r="H115" s="6" t="s">
        <v>1265</v>
      </c>
      <c r="I115" s="6" t="s">
        <v>1124</v>
      </c>
    </row>
    <row r="116" spans="7:9">
      <c r="G116" s="6">
        <v>678</v>
      </c>
      <c r="H116" s="6" t="s">
        <v>1266</v>
      </c>
      <c r="I116" s="6" t="s">
        <v>1124</v>
      </c>
    </row>
    <row r="117" spans="7:9">
      <c r="G117" s="6" t="s">
        <v>111</v>
      </c>
      <c r="H117" s="6" t="s">
        <v>1267</v>
      </c>
      <c r="I117" s="6" t="s">
        <v>1124</v>
      </c>
    </row>
    <row r="118" spans="7:9">
      <c r="G118" s="6" t="s">
        <v>111</v>
      </c>
      <c r="H118" s="6" t="s">
        <v>1268</v>
      </c>
      <c r="I118" s="6" t="s">
        <v>1124</v>
      </c>
    </row>
    <row r="119" spans="7:9">
      <c r="G119" s="6" t="s">
        <v>112</v>
      </c>
      <c r="H119" s="6" t="s">
        <v>1269</v>
      </c>
      <c r="I119" s="6" t="s">
        <v>1124</v>
      </c>
    </row>
    <row r="120" spans="7:9">
      <c r="G120" s="6" t="s">
        <v>112</v>
      </c>
      <c r="H120" s="6" t="s">
        <v>1270</v>
      </c>
      <c r="I120" s="6" t="s">
        <v>1124</v>
      </c>
    </row>
    <row r="121" spans="7:9">
      <c r="G121" s="6">
        <v>690</v>
      </c>
      <c r="H121" s="6" t="s">
        <v>1271</v>
      </c>
      <c r="I121" s="6" t="s">
        <v>1178</v>
      </c>
    </row>
    <row r="122" spans="7:9">
      <c r="G122" s="6">
        <v>690</v>
      </c>
      <c r="H122" s="6" t="s">
        <v>1272</v>
      </c>
      <c r="I122" s="6" t="s">
        <v>1178</v>
      </c>
    </row>
    <row r="123" spans="7:9">
      <c r="G123" s="6" t="s">
        <v>113</v>
      </c>
      <c r="H123" s="6" t="s">
        <v>1273</v>
      </c>
      <c r="I123" s="6" t="s">
        <v>1178</v>
      </c>
    </row>
    <row r="124" spans="7:9">
      <c r="G124" s="6" t="s">
        <v>113</v>
      </c>
      <c r="H124" s="6" t="s">
        <v>1274</v>
      </c>
      <c r="I124" s="6" t="s">
        <v>1178</v>
      </c>
    </row>
    <row r="125" spans="7:9">
      <c r="G125" s="6" t="s">
        <v>334</v>
      </c>
      <c r="H125" s="6" t="s">
        <v>1180</v>
      </c>
      <c r="I125" s="6" t="s">
        <v>1133</v>
      </c>
    </row>
    <row r="126" spans="7:9">
      <c r="G126" s="6" t="s">
        <v>335</v>
      </c>
      <c r="H126" s="6" t="s">
        <v>1181</v>
      </c>
      <c r="I126" s="6" t="s">
        <v>1133</v>
      </c>
    </row>
    <row r="127" spans="7:9">
      <c r="G127" s="6" t="s">
        <v>336</v>
      </c>
      <c r="H127" s="6" t="s">
        <v>1182</v>
      </c>
      <c r="I127" s="6" t="s">
        <v>1133</v>
      </c>
    </row>
    <row r="128" spans="7:9">
      <c r="G128" s="6">
        <v>692</v>
      </c>
      <c r="H128" s="6" t="s">
        <v>1183</v>
      </c>
      <c r="I128" s="6" t="s">
        <v>1121</v>
      </c>
    </row>
    <row r="129" spans="7:9">
      <c r="G129" s="6" t="s">
        <v>62</v>
      </c>
      <c r="H129" s="6" t="s">
        <v>1275</v>
      </c>
      <c r="I129" s="6" t="s">
        <v>1123</v>
      </c>
    </row>
    <row r="130" spans="7:9">
      <c r="G130" s="6" t="s">
        <v>340</v>
      </c>
      <c r="H130" s="6" t="s">
        <v>1276</v>
      </c>
      <c r="I130" s="6" t="s">
        <v>1184</v>
      </c>
    </row>
    <row r="131" spans="7:9">
      <c r="G131" s="6">
        <v>703</v>
      </c>
      <c r="H131" s="6" t="s">
        <v>1277</v>
      </c>
      <c r="I131" s="6" t="s">
        <v>1184</v>
      </c>
    </row>
    <row r="132" spans="7:9">
      <c r="G132" s="6" t="s">
        <v>97</v>
      </c>
      <c r="H132" s="6" t="s">
        <v>1278</v>
      </c>
      <c r="I132" s="6" t="s">
        <v>1123</v>
      </c>
    </row>
    <row r="133" spans="7:9">
      <c r="G133" s="6" t="s">
        <v>98</v>
      </c>
      <c r="H133" s="6" t="s">
        <v>1279</v>
      </c>
      <c r="I133" s="6" t="s">
        <v>1123</v>
      </c>
    </row>
    <row r="134" spans="7:9">
      <c r="G134" s="6" t="s">
        <v>99</v>
      </c>
      <c r="H134" s="6" t="s">
        <v>1280</v>
      </c>
      <c r="I134" s="6" t="s">
        <v>1123</v>
      </c>
    </row>
    <row r="135" spans="7:9">
      <c r="G135" s="6" t="s">
        <v>63</v>
      </c>
      <c r="H135" s="6" t="s">
        <v>1281</v>
      </c>
      <c r="I135" s="6" t="s">
        <v>1123</v>
      </c>
    </row>
    <row r="136" spans="7:9">
      <c r="G136" s="6" t="s">
        <v>339</v>
      </c>
      <c r="H136" s="6" t="s">
        <v>1282</v>
      </c>
      <c r="I136" s="6" t="s">
        <v>1184</v>
      </c>
    </row>
  </sheetData>
  <mergeCells count="2">
    <mergeCell ref="A1:C1"/>
    <mergeCell ref="G1:I1"/>
  </mergeCells>
  <phoneticPr fontId="8" type="noConversion"/>
  <hyperlinks>
    <hyperlink ref="B3" r:id="rId1"/>
    <hyperlink ref="B5" r:id="rId2"/>
    <hyperlink ref="B7" r:id="rId3"/>
    <hyperlink ref="B16" r:id="rId4"/>
    <hyperlink ref="B69" r:id="rId5"/>
    <hyperlink ref="B60" r:id="rId6"/>
    <hyperlink ref="B6" r:id="rId7"/>
    <hyperlink ref="B8" r:id="rId8"/>
    <hyperlink ref="B38" r:id="rId9"/>
    <hyperlink ref="B76" r:id="rId10"/>
    <hyperlink ref="B77" r:id="rId11"/>
    <hyperlink ref="B75" r:id="rId12"/>
    <hyperlink ref="B68" r:id="rId13"/>
    <hyperlink ref="B70" r:id="rId14"/>
    <hyperlink ref="B71" r:id="rId15"/>
    <hyperlink ref="B72" r:id="rId16"/>
    <hyperlink ref="B73" r:id="rId17"/>
    <hyperlink ref="B74" r:id="rId18"/>
    <hyperlink ref="B9" r:id="rId19"/>
    <hyperlink ref="B10" r:id="rId20"/>
    <hyperlink ref="B17" r:id="rId21"/>
    <hyperlink ref="B18" r:id="rId22"/>
    <hyperlink ref="B20" r:id="rId23"/>
    <hyperlink ref="B19" r:id="rId24"/>
    <hyperlink ref="B33" r:id="rId25"/>
    <hyperlink ref="B34" r:id="rId26"/>
    <hyperlink ref="B35" r:id="rId27"/>
    <hyperlink ref="B63" r:id="rId28"/>
    <hyperlink ref="B64" r:id="rId29"/>
    <hyperlink ref="B65" r:id="rId30"/>
    <hyperlink ref="B66" r:id="rId31"/>
    <hyperlink ref="B67" r:id="rId32" display="http://www.megafunds.com.tw/ETF/api/Orders/X001"/>
    <hyperlink ref="B58" r:id="rId33"/>
    <hyperlink ref="B57" r:id="rId34"/>
    <hyperlink ref="B78" r:id="rId35"/>
    <hyperlink ref="B79" r:id="rId36" display="http://sitc.sinopac.com/newweb/sitcFundUnitPurchase/getTradeinfo.do?stock_id=37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U205"/>
  <sheetViews>
    <sheetView workbookViewId="0">
      <selection activeCell="M35" sqref="M35"/>
    </sheetView>
  </sheetViews>
  <sheetFormatPr defaultRowHeight="16.2"/>
  <cols>
    <col min="5" max="5" width="12.109375" customWidth="1"/>
  </cols>
  <sheetData>
    <row r="1" spans="1:21">
      <c r="A1" s="380" t="s">
        <v>115</v>
      </c>
      <c r="B1" s="380" t="s">
        <v>2211</v>
      </c>
      <c r="C1" s="380" t="s">
        <v>2212</v>
      </c>
      <c r="D1" s="380" t="s">
        <v>2213</v>
      </c>
      <c r="E1" s="380" t="s">
        <v>2214</v>
      </c>
      <c r="F1" s="380" t="s">
        <v>2215</v>
      </c>
      <c r="G1" s="380" t="s">
        <v>2216</v>
      </c>
      <c r="H1" s="380" t="s">
        <v>2217</v>
      </c>
      <c r="I1" s="380" t="s">
        <v>2218</v>
      </c>
      <c r="J1" s="380" t="s">
        <v>2219</v>
      </c>
      <c r="K1" s="380" t="s">
        <v>120</v>
      </c>
      <c r="L1" s="380" t="s">
        <v>2220</v>
      </c>
      <c r="M1" s="380" t="s">
        <v>121</v>
      </c>
      <c r="N1" s="380" t="s">
        <v>122</v>
      </c>
      <c r="O1" s="380" t="s">
        <v>2221</v>
      </c>
      <c r="P1" s="380" t="s">
        <v>2222</v>
      </c>
      <c r="Q1" s="380" t="s">
        <v>123</v>
      </c>
      <c r="R1" s="380" t="s">
        <v>2223</v>
      </c>
      <c r="S1" s="380" t="s">
        <v>2224</v>
      </c>
      <c r="T1" s="380" t="s">
        <v>2225</v>
      </c>
      <c r="U1" s="380" t="s">
        <v>2226</v>
      </c>
    </row>
    <row r="2" spans="1:21">
      <c r="A2" s="380" t="s">
        <v>127</v>
      </c>
      <c r="B2" s="380" t="s">
        <v>128</v>
      </c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0"/>
      <c r="U2" s="380"/>
    </row>
    <row r="3" spans="1:21">
      <c r="A3" s="380" t="s">
        <v>129</v>
      </c>
      <c r="B3" s="380" t="s">
        <v>130</v>
      </c>
      <c r="C3" s="380" t="s">
        <v>2227</v>
      </c>
      <c r="D3" s="380" t="s">
        <v>2228</v>
      </c>
      <c r="E3" s="380" t="s">
        <v>2229</v>
      </c>
      <c r="F3" s="380" t="s">
        <v>2230</v>
      </c>
      <c r="G3" s="380" t="s">
        <v>2231</v>
      </c>
      <c r="H3" s="380" t="s">
        <v>2232</v>
      </c>
      <c r="I3" s="380" t="s">
        <v>2233</v>
      </c>
      <c r="J3" s="380" t="s">
        <v>2234</v>
      </c>
      <c r="K3" s="380" t="s">
        <v>2235</v>
      </c>
      <c r="L3" s="380" t="s">
        <v>2236</v>
      </c>
      <c r="M3" s="380" t="s">
        <v>2237</v>
      </c>
      <c r="N3" s="380" t="s">
        <v>2238</v>
      </c>
      <c r="O3" s="380" t="s">
        <v>2239</v>
      </c>
      <c r="P3" s="380" t="s">
        <v>2240</v>
      </c>
      <c r="Q3" s="380" t="s">
        <v>2241</v>
      </c>
      <c r="R3" s="380" t="s">
        <v>2242</v>
      </c>
      <c r="S3" s="380" t="s">
        <v>2243</v>
      </c>
      <c r="T3" s="380" t="s">
        <v>2244</v>
      </c>
      <c r="U3" s="380" t="s">
        <v>2245</v>
      </c>
    </row>
    <row r="5" spans="1:21">
      <c r="A5" s="378" t="s">
        <v>57</v>
      </c>
      <c r="B5" s="378" t="s">
        <v>55</v>
      </c>
      <c r="C5" s="378" t="s">
        <v>2227</v>
      </c>
      <c r="D5" s="378" t="s">
        <v>2228</v>
      </c>
      <c r="E5" s="378" t="s">
        <v>2229</v>
      </c>
      <c r="F5" s="378" t="s">
        <v>2230</v>
      </c>
      <c r="G5" s="378" t="s">
        <v>2231</v>
      </c>
      <c r="H5" s="378" t="s">
        <v>2232</v>
      </c>
      <c r="I5" s="378" t="s">
        <v>2233</v>
      </c>
      <c r="J5" s="378" t="s">
        <v>2234</v>
      </c>
      <c r="K5" s="378" t="s">
        <v>2235</v>
      </c>
      <c r="L5" s="378" t="s">
        <v>2236</v>
      </c>
      <c r="M5" s="378" t="s">
        <v>2237</v>
      </c>
      <c r="N5" s="378" t="s">
        <v>2238</v>
      </c>
      <c r="O5" s="378" t="s">
        <v>2239</v>
      </c>
      <c r="P5" s="378" t="s">
        <v>2240</v>
      </c>
      <c r="Q5" s="378" t="s">
        <v>2241</v>
      </c>
      <c r="R5" s="378" t="s">
        <v>2242</v>
      </c>
      <c r="S5" s="378" t="s">
        <v>2243</v>
      </c>
      <c r="T5" s="378" t="s">
        <v>2244</v>
      </c>
      <c r="U5" s="378" t="s">
        <v>2245</v>
      </c>
    </row>
    <row r="6" spans="1:21">
      <c r="A6" s="379" t="s">
        <v>27</v>
      </c>
      <c r="B6" s="378" t="s">
        <v>363</v>
      </c>
      <c r="C6" s="381">
        <v>43657</v>
      </c>
      <c r="D6" s="378">
        <v>82.55</v>
      </c>
      <c r="E6" s="378">
        <v>140095040</v>
      </c>
      <c r="F6" s="378">
        <v>1638977</v>
      </c>
      <c r="G6" s="378">
        <v>1697000</v>
      </c>
      <c r="H6" s="378">
        <v>0</v>
      </c>
      <c r="I6" s="378">
        <v>1697000</v>
      </c>
      <c r="J6" s="378">
        <v>0</v>
      </c>
      <c r="K6" s="378">
        <v>500</v>
      </c>
      <c r="L6" s="377"/>
      <c r="M6" s="378">
        <v>41277266</v>
      </c>
      <c r="N6" s="377"/>
      <c r="O6" s="378">
        <v>8023</v>
      </c>
      <c r="P6" s="378">
        <v>0</v>
      </c>
      <c r="Q6" s="378">
        <v>0</v>
      </c>
      <c r="R6" s="378">
        <v>14570</v>
      </c>
      <c r="S6" s="377"/>
      <c r="T6" s="377"/>
      <c r="U6" s="378">
        <v>0</v>
      </c>
    </row>
    <row r="7" spans="1:21">
      <c r="A7" s="379" t="s">
        <v>28</v>
      </c>
      <c r="B7" s="378" t="s">
        <v>364</v>
      </c>
      <c r="C7" s="381">
        <v>43657</v>
      </c>
      <c r="D7" s="378">
        <v>32.909999999999997</v>
      </c>
      <c r="E7" s="378">
        <v>312661</v>
      </c>
      <c r="F7" s="378">
        <v>2407</v>
      </c>
      <c r="G7" s="378">
        <v>9500</v>
      </c>
      <c r="H7" s="378">
        <v>0</v>
      </c>
      <c r="I7" s="378">
        <v>9500</v>
      </c>
      <c r="J7" s="378">
        <v>0</v>
      </c>
      <c r="K7" s="378">
        <v>500</v>
      </c>
      <c r="L7" s="377"/>
      <c r="M7" s="378">
        <v>16455826</v>
      </c>
      <c r="N7" s="377"/>
      <c r="O7" s="378">
        <v>10389</v>
      </c>
      <c r="P7" s="378">
        <v>0</v>
      </c>
      <c r="Q7" s="378">
        <v>0</v>
      </c>
      <c r="R7" s="378">
        <v>10641</v>
      </c>
      <c r="S7" s="377"/>
      <c r="T7" s="377"/>
      <c r="U7" s="378">
        <v>0</v>
      </c>
    </row>
    <row r="8" spans="1:21">
      <c r="A8" s="379" t="s">
        <v>29</v>
      </c>
      <c r="B8" s="378" t="s">
        <v>2246</v>
      </c>
      <c r="C8" s="381">
        <v>43657</v>
      </c>
      <c r="D8" s="378">
        <v>54.6</v>
      </c>
      <c r="E8" s="378">
        <v>1037458</v>
      </c>
      <c r="F8" s="378">
        <v>18441</v>
      </c>
      <c r="G8" s="378">
        <v>19000</v>
      </c>
      <c r="H8" s="378">
        <v>0</v>
      </c>
      <c r="I8" s="378">
        <v>19000</v>
      </c>
      <c r="J8" s="378">
        <v>0</v>
      </c>
      <c r="K8" s="378">
        <v>500</v>
      </c>
      <c r="L8" s="377"/>
      <c r="M8" s="378">
        <v>27301534</v>
      </c>
      <c r="N8" s="377"/>
      <c r="O8" s="377"/>
      <c r="P8" s="377"/>
      <c r="Q8" s="378">
        <v>27333836</v>
      </c>
      <c r="R8" s="378">
        <v>-1666164</v>
      </c>
      <c r="S8" s="377"/>
      <c r="T8" s="378">
        <v>29520000</v>
      </c>
      <c r="U8" s="377"/>
    </row>
    <row r="9" spans="1:21">
      <c r="A9" s="379" t="s">
        <v>30</v>
      </c>
      <c r="B9" s="378" t="s">
        <v>365</v>
      </c>
      <c r="C9" s="381">
        <v>43657</v>
      </c>
      <c r="D9" s="378">
        <v>35.46</v>
      </c>
      <c r="E9" s="378">
        <v>230042</v>
      </c>
      <c r="F9" s="378">
        <v>3153</v>
      </c>
      <c r="G9" s="378">
        <v>6488</v>
      </c>
      <c r="H9" s="378">
        <v>0</v>
      </c>
      <c r="I9" s="378">
        <v>6488</v>
      </c>
      <c r="J9" s="378">
        <v>0</v>
      </c>
      <c r="K9" s="378">
        <v>500</v>
      </c>
      <c r="L9" s="377"/>
      <c r="M9" s="378">
        <v>17728274</v>
      </c>
      <c r="N9" s="377"/>
      <c r="O9" s="378">
        <v>5201</v>
      </c>
      <c r="P9" s="378">
        <v>0</v>
      </c>
      <c r="Q9" s="378">
        <v>0</v>
      </c>
      <c r="R9" s="378">
        <v>19159</v>
      </c>
      <c r="S9" s="377"/>
      <c r="T9" s="377"/>
      <c r="U9" s="378">
        <v>0</v>
      </c>
    </row>
    <row r="10" spans="1:21">
      <c r="A10" s="379" t="s">
        <v>31</v>
      </c>
      <c r="B10" s="378" t="s">
        <v>366</v>
      </c>
      <c r="C10" s="381">
        <v>43657</v>
      </c>
      <c r="D10" s="378">
        <v>22.77</v>
      </c>
      <c r="E10" s="378">
        <v>241875</v>
      </c>
      <c r="F10" s="378">
        <v>1343</v>
      </c>
      <c r="G10" s="378">
        <v>10624</v>
      </c>
      <c r="H10" s="378">
        <v>0</v>
      </c>
      <c r="I10" s="378">
        <v>10624</v>
      </c>
      <c r="J10" s="378">
        <v>0</v>
      </c>
      <c r="K10" s="378">
        <v>500</v>
      </c>
      <c r="L10" s="377"/>
      <c r="M10" s="378">
        <v>11383412</v>
      </c>
      <c r="N10" s="377"/>
      <c r="O10" s="378">
        <v>7203</v>
      </c>
      <c r="P10" s="378">
        <v>0</v>
      </c>
      <c r="Q10" s="378">
        <v>0</v>
      </c>
      <c r="R10" s="378">
        <v>6173</v>
      </c>
      <c r="S10" s="377"/>
      <c r="T10" s="377"/>
      <c r="U10" s="378">
        <v>0</v>
      </c>
    </row>
    <row r="11" spans="1:21">
      <c r="A11" s="379" t="s">
        <v>32</v>
      </c>
      <c r="B11" s="378" t="s">
        <v>367</v>
      </c>
      <c r="C11" s="381">
        <v>43657</v>
      </c>
      <c r="D11" s="378">
        <v>18.54</v>
      </c>
      <c r="E11" s="378">
        <v>698272</v>
      </c>
      <c r="F11" s="378">
        <v>4017</v>
      </c>
      <c r="G11" s="378">
        <v>37654</v>
      </c>
      <c r="H11" s="378">
        <v>0</v>
      </c>
      <c r="I11" s="378">
        <v>37654</v>
      </c>
      <c r="J11" s="378">
        <v>0</v>
      </c>
      <c r="K11" s="378">
        <v>500</v>
      </c>
      <c r="L11" s="377"/>
      <c r="M11" s="378">
        <v>9272222</v>
      </c>
      <c r="N11" s="377"/>
      <c r="O11" s="378">
        <v>2547</v>
      </c>
      <c r="P11" s="378">
        <v>0</v>
      </c>
      <c r="Q11" s="378">
        <v>0</v>
      </c>
      <c r="R11" s="378">
        <v>3105</v>
      </c>
      <c r="S11" s="377"/>
      <c r="T11" s="377"/>
      <c r="U11" s="378">
        <v>0</v>
      </c>
    </row>
    <row r="12" spans="1:21">
      <c r="A12" s="379" t="s">
        <v>33</v>
      </c>
      <c r="B12" s="378" t="s">
        <v>368</v>
      </c>
      <c r="C12" s="381">
        <v>43657</v>
      </c>
      <c r="D12" s="378">
        <v>27.06</v>
      </c>
      <c r="E12" s="378">
        <v>23326304</v>
      </c>
      <c r="F12" s="378">
        <v>146207</v>
      </c>
      <c r="G12" s="378">
        <v>862034</v>
      </c>
      <c r="H12" s="378">
        <v>-1500</v>
      </c>
      <c r="I12" s="378">
        <v>862034</v>
      </c>
      <c r="J12" s="378">
        <v>-1500</v>
      </c>
      <c r="K12" s="378">
        <v>500</v>
      </c>
      <c r="L12" s="377"/>
      <c r="M12" s="378">
        <v>13529805</v>
      </c>
      <c r="N12" s="377"/>
      <c r="O12" s="378">
        <v>8894</v>
      </c>
      <c r="P12" s="378">
        <v>0</v>
      </c>
      <c r="Q12" s="378">
        <v>0</v>
      </c>
      <c r="R12" s="378">
        <v>9350</v>
      </c>
      <c r="S12" s="377"/>
      <c r="T12" s="377"/>
      <c r="U12" s="378">
        <v>0</v>
      </c>
    </row>
    <row r="13" spans="1:21">
      <c r="A13" s="379" t="s">
        <v>34</v>
      </c>
      <c r="B13" s="378" t="s">
        <v>2247</v>
      </c>
      <c r="C13" s="381">
        <v>43657</v>
      </c>
      <c r="D13" s="378">
        <v>52.45</v>
      </c>
      <c r="E13" s="378">
        <v>263681</v>
      </c>
      <c r="F13" s="378">
        <v>2988</v>
      </c>
      <c r="G13" s="378">
        <v>5027</v>
      </c>
      <c r="H13" s="378">
        <v>0</v>
      </c>
      <c r="I13" s="378">
        <v>5027</v>
      </c>
      <c r="J13" s="378">
        <v>0</v>
      </c>
      <c r="K13" s="378">
        <v>500</v>
      </c>
      <c r="L13" s="378">
        <v>26226497</v>
      </c>
      <c r="M13" s="378">
        <v>26220826</v>
      </c>
      <c r="N13" s="378">
        <v>5671</v>
      </c>
      <c r="O13" s="377"/>
      <c r="P13" s="377"/>
      <c r="Q13" s="377"/>
      <c r="R13" s="377"/>
      <c r="S13" s="377"/>
      <c r="T13" s="377"/>
      <c r="U13" s="377"/>
    </row>
    <row r="14" spans="1:21">
      <c r="A14" s="379" t="s">
        <v>35</v>
      </c>
      <c r="B14" s="378" t="s">
        <v>2248</v>
      </c>
      <c r="C14" s="381">
        <v>43657</v>
      </c>
      <c r="D14" s="378">
        <v>47.09</v>
      </c>
      <c r="E14" s="378">
        <v>197571</v>
      </c>
      <c r="F14" s="378">
        <v>1123</v>
      </c>
      <c r="G14" s="378">
        <v>4196</v>
      </c>
      <c r="H14" s="378">
        <v>0</v>
      </c>
      <c r="I14" s="378">
        <v>4196</v>
      </c>
      <c r="J14" s="378">
        <v>0</v>
      </c>
      <c r="K14" s="378">
        <v>500</v>
      </c>
      <c r="L14" s="378">
        <v>23542800</v>
      </c>
      <c r="M14" s="378">
        <v>23536964</v>
      </c>
      <c r="N14" s="378">
        <v>5836</v>
      </c>
      <c r="O14" s="377"/>
      <c r="P14" s="377"/>
      <c r="Q14" s="377"/>
      <c r="R14" s="377"/>
      <c r="S14" s="377"/>
      <c r="T14" s="377"/>
      <c r="U14" s="377"/>
    </row>
    <row r="15" spans="1:21">
      <c r="A15" s="379" t="s">
        <v>36</v>
      </c>
      <c r="B15" s="378" t="s">
        <v>2249</v>
      </c>
      <c r="C15" s="381">
        <v>43657</v>
      </c>
      <c r="D15" s="378">
        <v>47.14</v>
      </c>
      <c r="E15" s="378">
        <v>234426</v>
      </c>
      <c r="F15" s="378">
        <v>1289</v>
      </c>
      <c r="G15" s="378">
        <v>4973</v>
      </c>
      <c r="H15" s="378">
        <v>0</v>
      </c>
      <c r="I15" s="378">
        <v>4973</v>
      </c>
      <c r="J15" s="378">
        <v>0</v>
      </c>
      <c r="K15" s="378">
        <v>500</v>
      </c>
      <c r="L15" s="378">
        <v>23569871</v>
      </c>
      <c r="M15" s="378">
        <v>23564829</v>
      </c>
      <c r="N15" s="378">
        <v>5042</v>
      </c>
      <c r="O15" s="377"/>
      <c r="P15" s="377"/>
      <c r="Q15" s="377"/>
      <c r="R15" s="377"/>
      <c r="S15" s="377"/>
      <c r="T15" s="377"/>
      <c r="U15" s="377"/>
    </row>
    <row r="16" spans="1:21">
      <c r="A16" s="379" t="s">
        <v>37</v>
      </c>
      <c r="B16" s="378" t="s">
        <v>369</v>
      </c>
      <c r="C16" s="381">
        <v>43657</v>
      </c>
      <c r="D16" s="378">
        <v>18.190000000000001</v>
      </c>
      <c r="E16" s="378">
        <v>6003639</v>
      </c>
      <c r="F16" s="378">
        <v>-10392</v>
      </c>
      <c r="G16" s="378">
        <v>330116</v>
      </c>
      <c r="H16" s="378">
        <v>0</v>
      </c>
      <c r="I16" s="378">
        <v>330116</v>
      </c>
      <c r="J16" s="378">
        <v>0</v>
      </c>
      <c r="K16" s="378">
        <v>500</v>
      </c>
      <c r="L16" s="377"/>
      <c r="M16" s="378">
        <v>9093226</v>
      </c>
      <c r="N16" s="377"/>
      <c r="O16" s="378">
        <v>0</v>
      </c>
      <c r="P16" s="378">
        <v>10027554</v>
      </c>
      <c r="Q16" s="378">
        <v>9116412</v>
      </c>
      <c r="R16" s="378">
        <v>-928490</v>
      </c>
      <c r="S16" s="377"/>
      <c r="T16" s="377"/>
      <c r="U16" s="378">
        <v>330116000</v>
      </c>
    </row>
    <row r="17" spans="1:21">
      <c r="A17" s="379" t="s">
        <v>38</v>
      </c>
      <c r="B17" s="378" t="s">
        <v>370</v>
      </c>
      <c r="C17" s="381">
        <v>43657</v>
      </c>
      <c r="D17" s="378">
        <v>12.82</v>
      </c>
      <c r="E17" s="378">
        <v>550555</v>
      </c>
      <c r="F17" s="378">
        <v>3318</v>
      </c>
      <c r="G17" s="378">
        <v>42946</v>
      </c>
      <c r="H17" s="378">
        <v>0</v>
      </c>
      <c r="I17" s="378">
        <v>42946</v>
      </c>
      <c r="J17" s="378">
        <v>0</v>
      </c>
      <c r="K17" s="378">
        <v>500</v>
      </c>
      <c r="L17" s="377"/>
      <c r="M17" s="378">
        <v>6409850</v>
      </c>
      <c r="N17" s="377"/>
      <c r="O17" s="378">
        <v>0</v>
      </c>
      <c r="P17" s="378">
        <v>7060000</v>
      </c>
      <c r="Q17" s="378">
        <v>6421262</v>
      </c>
      <c r="R17" s="378">
        <v>-598738</v>
      </c>
      <c r="S17" s="377"/>
      <c r="T17" s="377"/>
      <c r="U17" s="378">
        <v>42946000</v>
      </c>
    </row>
    <row r="18" spans="1:21">
      <c r="A18" s="379" t="s">
        <v>39</v>
      </c>
      <c r="B18" s="378" t="s">
        <v>371</v>
      </c>
      <c r="C18" s="381">
        <v>43657</v>
      </c>
      <c r="D18" s="378">
        <v>38.659999999999997</v>
      </c>
      <c r="E18" s="378">
        <v>394993</v>
      </c>
      <c r="F18" s="378">
        <v>4513</v>
      </c>
      <c r="G18" s="378">
        <v>10218</v>
      </c>
      <c r="H18" s="378">
        <v>0</v>
      </c>
      <c r="I18" s="378">
        <v>10218</v>
      </c>
      <c r="J18" s="378">
        <v>0</v>
      </c>
      <c r="K18" s="378">
        <v>500</v>
      </c>
      <c r="L18" s="377"/>
      <c r="M18" s="378">
        <v>19328307</v>
      </c>
      <c r="N18" s="377"/>
      <c r="O18" s="378">
        <v>16042</v>
      </c>
      <c r="P18" s="378">
        <v>0</v>
      </c>
      <c r="Q18" s="378">
        <v>0</v>
      </c>
      <c r="R18" s="378">
        <v>18868</v>
      </c>
      <c r="S18" s="377"/>
      <c r="T18" s="377"/>
      <c r="U18" s="378">
        <v>0</v>
      </c>
    </row>
    <row r="19" spans="1:21">
      <c r="A19" s="379" t="s">
        <v>40</v>
      </c>
      <c r="B19" s="378" t="s">
        <v>2250</v>
      </c>
      <c r="C19" s="381">
        <v>43657</v>
      </c>
      <c r="D19" s="378">
        <v>54.35</v>
      </c>
      <c r="E19" s="378">
        <v>326126</v>
      </c>
      <c r="F19" s="378">
        <v>3067</v>
      </c>
      <c r="G19" s="378">
        <v>6000</v>
      </c>
      <c r="H19" s="378">
        <v>0</v>
      </c>
      <c r="I19" s="378">
        <v>6000</v>
      </c>
      <c r="J19" s="378">
        <v>0</v>
      </c>
      <c r="K19" s="378">
        <v>1000</v>
      </c>
      <c r="L19" s="377"/>
      <c r="M19" s="378">
        <v>54354293</v>
      </c>
      <c r="N19" s="377"/>
      <c r="O19" s="377"/>
      <c r="P19" s="378">
        <v>59855000</v>
      </c>
      <c r="Q19" s="377"/>
      <c r="R19" s="378">
        <v>-4878353</v>
      </c>
      <c r="S19" s="377"/>
      <c r="T19" s="377"/>
      <c r="U19" s="377"/>
    </row>
    <row r="20" spans="1:21">
      <c r="A20" s="379" t="s">
        <v>41</v>
      </c>
      <c r="B20" s="378" t="s">
        <v>1409</v>
      </c>
      <c r="C20" s="381">
        <v>43657</v>
      </c>
      <c r="D20" s="378">
        <v>31.62</v>
      </c>
      <c r="E20" s="378">
        <v>10742658</v>
      </c>
      <c r="F20" s="378">
        <v>-35385</v>
      </c>
      <c r="G20" s="378">
        <v>339236</v>
      </c>
      <c r="H20" s="378">
        <v>0</v>
      </c>
      <c r="I20" s="378">
        <v>339772</v>
      </c>
      <c r="J20" s="378">
        <v>0</v>
      </c>
      <c r="K20" s="378">
        <v>500</v>
      </c>
      <c r="L20" s="377"/>
      <c r="M20" s="378">
        <v>15808628</v>
      </c>
      <c r="N20" s="377"/>
      <c r="O20" s="377"/>
      <c r="P20" s="377"/>
      <c r="Q20" s="378">
        <v>15824694</v>
      </c>
      <c r="R20" s="378">
        <v>-1635306</v>
      </c>
      <c r="S20" s="377"/>
      <c r="T20" s="378">
        <v>17410000</v>
      </c>
      <c r="U20" s="377"/>
    </row>
    <row r="21" spans="1:21">
      <c r="A21" s="379" t="s">
        <v>42</v>
      </c>
      <c r="B21" s="378" t="s">
        <v>374</v>
      </c>
      <c r="C21" s="381">
        <v>43657</v>
      </c>
      <c r="D21" s="378">
        <v>33.28</v>
      </c>
      <c r="E21" s="378">
        <v>4169857</v>
      </c>
      <c r="F21" s="378">
        <v>-10924</v>
      </c>
      <c r="G21" s="378">
        <v>125278</v>
      </c>
      <c r="H21" s="378">
        <v>0</v>
      </c>
      <c r="I21" s="378">
        <v>125278</v>
      </c>
      <c r="J21" s="378">
        <v>0</v>
      </c>
      <c r="K21" s="378">
        <v>500</v>
      </c>
      <c r="L21" s="377"/>
      <c r="M21" s="378">
        <v>16642416</v>
      </c>
      <c r="N21" s="377"/>
      <c r="O21" s="378">
        <v>0</v>
      </c>
      <c r="P21" s="378">
        <v>18320000</v>
      </c>
      <c r="Q21" s="378">
        <v>16667406</v>
      </c>
      <c r="R21" s="378">
        <v>-1692594</v>
      </c>
      <c r="S21" s="377"/>
      <c r="T21" s="377"/>
      <c r="U21" s="378">
        <v>125278000</v>
      </c>
    </row>
    <row r="22" spans="1:21">
      <c r="A22" s="379" t="s">
        <v>43</v>
      </c>
      <c r="B22" s="378" t="s">
        <v>1410</v>
      </c>
      <c r="C22" s="381">
        <v>43657</v>
      </c>
      <c r="D22" s="378">
        <v>23.66</v>
      </c>
      <c r="E22" s="378">
        <v>2292641</v>
      </c>
      <c r="F22" s="378">
        <v>-7115</v>
      </c>
      <c r="G22" s="378">
        <v>96892</v>
      </c>
      <c r="H22" s="378">
        <v>0</v>
      </c>
      <c r="I22" s="378">
        <v>96892</v>
      </c>
      <c r="J22" s="378">
        <v>0</v>
      </c>
      <c r="K22" s="378">
        <v>500</v>
      </c>
      <c r="L22" s="378">
        <v>11830908</v>
      </c>
      <c r="M22" s="378">
        <v>11814803</v>
      </c>
      <c r="N22" s="378">
        <v>16105</v>
      </c>
      <c r="O22" s="377"/>
      <c r="P22" s="377"/>
      <c r="Q22" s="378">
        <v>11847739</v>
      </c>
      <c r="R22" s="378">
        <v>-1224699</v>
      </c>
      <c r="S22" s="377"/>
      <c r="T22" s="378">
        <v>13032012</v>
      </c>
      <c r="U22" s="377"/>
    </row>
    <row r="23" spans="1:21">
      <c r="A23" s="379" t="s">
        <v>44</v>
      </c>
      <c r="B23" s="378" t="s">
        <v>1408</v>
      </c>
      <c r="C23" s="381">
        <v>43657</v>
      </c>
      <c r="D23" s="378">
        <v>46.9</v>
      </c>
      <c r="E23" s="378">
        <v>1666949</v>
      </c>
      <c r="F23" s="378">
        <v>112080</v>
      </c>
      <c r="G23" s="378">
        <v>35540</v>
      </c>
      <c r="H23" s="378">
        <v>2000</v>
      </c>
      <c r="I23" s="378">
        <v>35540</v>
      </c>
      <c r="J23" s="378">
        <v>2000</v>
      </c>
      <c r="K23" s="378">
        <v>500</v>
      </c>
      <c r="L23" s="377"/>
      <c r="M23" s="378">
        <v>23451732</v>
      </c>
      <c r="N23" s="377"/>
      <c r="O23" s="377"/>
      <c r="P23" s="377"/>
      <c r="Q23" s="378">
        <v>23480184</v>
      </c>
      <c r="R23" s="378">
        <v>-1579816</v>
      </c>
      <c r="S23" s="377"/>
      <c r="T23" s="378">
        <v>25360000</v>
      </c>
      <c r="U23" s="377"/>
    </row>
    <row r="24" spans="1:21">
      <c r="A24" s="379" t="s">
        <v>91</v>
      </c>
      <c r="B24" s="378" t="s">
        <v>2251</v>
      </c>
      <c r="C24" s="381"/>
      <c r="D24" s="377"/>
      <c r="E24" s="377"/>
      <c r="F24" s="377"/>
      <c r="G24" s="377"/>
      <c r="H24" s="377"/>
      <c r="I24" s="377"/>
      <c r="J24" s="377"/>
      <c r="K24" s="377"/>
      <c r="L24" s="377"/>
      <c r="M24" s="377"/>
      <c r="N24" s="377"/>
      <c r="O24" s="377"/>
      <c r="P24" s="377"/>
      <c r="Q24" s="377"/>
      <c r="R24" s="377"/>
      <c r="S24" s="377"/>
      <c r="T24" s="377"/>
      <c r="U24" s="377"/>
    </row>
    <row r="25" spans="1:21">
      <c r="A25" s="379" t="s">
        <v>45</v>
      </c>
      <c r="B25" s="378" t="s">
        <v>372</v>
      </c>
      <c r="C25" s="381">
        <v>43657</v>
      </c>
      <c r="D25" s="378">
        <v>39.96</v>
      </c>
      <c r="E25" s="378">
        <v>942444</v>
      </c>
      <c r="F25" s="378">
        <v>14857</v>
      </c>
      <c r="G25" s="378">
        <v>23584</v>
      </c>
      <c r="H25" s="378">
        <v>0</v>
      </c>
      <c r="I25" s="378">
        <v>23584</v>
      </c>
      <c r="J25" s="378">
        <v>0</v>
      </c>
      <c r="K25" s="378">
        <v>500</v>
      </c>
      <c r="L25" s="377"/>
      <c r="M25" s="378">
        <v>19980573</v>
      </c>
      <c r="N25" s="377"/>
      <c r="O25" s="378">
        <v>0</v>
      </c>
      <c r="P25" s="378">
        <v>22990000</v>
      </c>
      <c r="Q25" s="378">
        <v>20005576</v>
      </c>
      <c r="R25" s="378">
        <v>-2624424</v>
      </c>
      <c r="S25" s="377"/>
      <c r="T25" s="377"/>
      <c r="U25" s="378">
        <v>23584000</v>
      </c>
    </row>
    <row r="26" spans="1:21">
      <c r="A26" s="379" t="s">
        <v>25</v>
      </c>
      <c r="B26" s="378" t="s">
        <v>373</v>
      </c>
      <c r="C26" s="381">
        <v>43657</v>
      </c>
      <c r="D26" s="378">
        <v>11.58</v>
      </c>
      <c r="E26" s="378">
        <v>53408228</v>
      </c>
      <c r="F26" s="378">
        <v>-419335</v>
      </c>
      <c r="G26" s="378">
        <v>4612649</v>
      </c>
      <c r="H26" s="378">
        <v>0</v>
      </c>
      <c r="I26" s="378">
        <v>4612649</v>
      </c>
      <c r="J26" s="378">
        <v>0</v>
      </c>
      <c r="K26" s="378">
        <v>500</v>
      </c>
      <c r="L26" s="377"/>
      <c r="M26" s="378">
        <v>5789323</v>
      </c>
      <c r="N26" s="377"/>
      <c r="O26" s="378">
        <v>0</v>
      </c>
      <c r="P26" s="378">
        <v>6260000</v>
      </c>
      <c r="Q26" s="378">
        <v>5795487</v>
      </c>
      <c r="R26" s="378">
        <v>-514513</v>
      </c>
      <c r="S26" s="377"/>
      <c r="T26" s="377"/>
      <c r="U26" s="378">
        <v>4612649000</v>
      </c>
    </row>
    <row r="27" spans="1:21">
      <c r="A27" s="379" t="s">
        <v>50</v>
      </c>
      <c r="B27" s="378" t="s">
        <v>1414</v>
      </c>
      <c r="C27" s="381">
        <v>43657</v>
      </c>
      <c r="D27" s="378">
        <v>46.22</v>
      </c>
      <c r="E27" s="378">
        <v>20636442</v>
      </c>
      <c r="F27" s="378">
        <v>-10382</v>
      </c>
      <c r="G27" s="378">
        <v>446458</v>
      </c>
      <c r="H27" s="378">
        <v>0</v>
      </c>
      <c r="I27" s="378">
        <v>446458</v>
      </c>
      <c r="J27" s="378">
        <v>0</v>
      </c>
      <c r="K27" s="378">
        <v>500</v>
      </c>
      <c r="L27" s="377"/>
      <c r="M27" s="378">
        <v>23111291</v>
      </c>
      <c r="N27" s="377"/>
      <c r="O27" s="377"/>
      <c r="P27" s="377"/>
      <c r="Q27" s="378">
        <v>23127847</v>
      </c>
      <c r="R27" s="378">
        <v>-4642153</v>
      </c>
      <c r="S27" s="377"/>
      <c r="T27" s="378">
        <v>27750000</v>
      </c>
      <c r="U27" s="377"/>
    </row>
    <row r="28" spans="1:21">
      <c r="A28" s="379" t="s">
        <v>51</v>
      </c>
      <c r="B28" s="378" t="s">
        <v>1415</v>
      </c>
      <c r="C28" s="381">
        <v>43657</v>
      </c>
      <c r="D28" s="378">
        <v>6.17</v>
      </c>
      <c r="E28" s="378">
        <v>790960</v>
      </c>
      <c r="F28" s="378">
        <v>-631</v>
      </c>
      <c r="G28" s="378">
        <v>128256</v>
      </c>
      <c r="H28" s="378">
        <v>0</v>
      </c>
      <c r="I28" s="378">
        <v>128256</v>
      </c>
      <c r="J28" s="378">
        <v>0</v>
      </c>
      <c r="K28" s="378">
        <v>500</v>
      </c>
      <c r="L28" s="377"/>
      <c r="M28" s="378">
        <v>3083519</v>
      </c>
      <c r="N28" s="377"/>
      <c r="O28" s="377"/>
      <c r="P28" s="377"/>
      <c r="Q28" s="378">
        <v>3089290</v>
      </c>
      <c r="R28" s="378">
        <v>-310710</v>
      </c>
      <c r="S28" s="377"/>
      <c r="T28" s="378">
        <v>3400000</v>
      </c>
      <c r="U28" s="377"/>
    </row>
    <row r="29" spans="1:21">
      <c r="A29" s="379" t="s">
        <v>62</v>
      </c>
      <c r="B29" s="378" t="s">
        <v>377</v>
      </c>
      <c r="C29" s="381">
        <v>43657</v>
      </c>
      <c r="D29" s="378">
        <v>20.49</v>
      </c>
      <c r="E29" s="378">
        <v>1086263</v>
      </c>
      <c r="F29" s="378">
        <v>398</v>
      </c>
      <c r="G29" s="378">
        <v>53014</v>
      </c>
      <c r="H29" s="378">
        <v>0</v>
      </c>
      <c r="I29" s="378">
        <v>53014</v>
      </c>
      <c r="J29" s="378">
        <v>0</v>
      </c>
      <c r="K29" s="378">
        <v>500</v>
      </c>
      <c r="L29" s="377"/>
      <c r="M29" s="378">
        <v>10245062</v>
      </c>
      <c r="N29" s="377"/>
      <c r="O29" s="378">
        <v>0</v>
      </c>
      <c r="P29" s="378">
        <v>11280000</v>
      </c>
      <c r="Q29" s="378">
        <v>10252077</v>
      </c>
      <c r="R29" s="378">
        <v>-1017923</v>
      </c>
      <c r="S29" s="377"/>
      <c r="T29" s="377"/>
      <c r="U29" s="378">
        <v>54014000</v>
      </c>
    </row>
    <row r="30" spans="1:21">
      <c r="A30" s="379" t="s">
        <v>56</v>
      </c>
      <c r="B30" s="378" t="s">
        <v>1411</v>
      </c>
      <c r="C30" s="381">
        <v>43657</v>
      </c>
      <c r="D30" s="378">
        <v>21.93</v>
      </c>
      <c r="E30" s="378">
        <v>8310643</v>
      </c>
      <c r="F30" s="378">
        <v>-11899</v>
      </c>
      <c r="G30" s="378">
        <v>377684</v>
      </c>
      <c r="H30" s="378">
        <v>0</v>
      </c>
      <c r="I30" s="378">
        <v>378946</v>
      </c>
      <c r="J30" s="378">
        <v>0</v>
      </c>
      <c r="K30" s="378">
        <v>500</v>
      </c>
      <c r="L30" s="378">
        <v>10965000</v>
      </c>
      <c r="M30" s="378">
        <v>10792431</v>
      </c>
      <c r="N30" s="378">
        <v>172569</v>
      </c>
      <c r="O30" s="377"/>
      <c r="P30" s="377"/>
      <c r="Q30" s="377"/>
      <c r="R30" s="377"/>
      <c r="S30" s="377"/>
      <c r="T30" s="378">
        <v>12076000</v>
      </c>
      <c r="U30" s="377"/>
    </row>
    <row r="31" spans="1:21">
      <c r="A31" s="379" t="s">
        <v>2033</v>
      </c>
      <c r="B31" s="378" t="s">
        <v>2252</v>
      </c>
      <c r="C31" s="381">
        <v>43657</v>
      </c>
      <c r="D31" s="378">
        <v>7.04</v>
      </c>
      <c r="E31" s="377"/>
      <c r="F31" s="377"/>
      <c r="G31" s="378">
        <v>126</v>
      </c>
      <c r="H31" s="378">
        <v>0</v>
      </c>
      <c r="I31" s="378">
        <v>378946</v>
      </c>
      <c r="J31" s="378">
        <v>0</v>
      </c>
      <c r="K31" s="377"/>
      <c r="L31" s="377"/>
      <c r="M31" s="377"/>
      <c r="N31" s="377"/>
      <c r="O31" s="377"/>
      <c r="P31" s="377"/>
      <c r="Q31" s="377"/>
      <c r="R31" s="377"/>
      <c r="S31" s="377"/>
      <c r="T31" s="377"/>
      <c r="U31" s="377"/>
    </row>
    <row r="32" spans="1:21">
      <c r="A32" s="379" t="s">
        <v>60</v>
      </c>
      <c r="B32" s="378" t="s">
        <v>375</v>
      </c>
      <c r="C32" s="381">
        <v>43657</v>
      </c>
      <c r="D32" s="378">
        <v>17.670000000000002</v>
      </c>
      <c r="E32" s="378">
        <v>32607291</v>
      </c>
      <c r="F32" s="378">
        <v>-14655</v>
      </c>
      <c r="G32" s="378">
        <v>1845606</v>
      </c>
      <c r="H32" s="378">
        <v>0</v>
      </c>
      <c r="I32" s="378">
        <v>1845606</v>
      </c>
      <c r="J32" s="378">
        <v>0</v>
      </c>
      <c r="K32" s="378">
        <v>500</v>
      </c>
      <c r="L32" s="377"/>
      <c r="M32" s="378">
        <v>8833763</v>
      </c>
      <c r="N32" s="377"/>
      <c r="O32" s="378">
        <v>0</v>
      </c>
      <c r="P32" s="378">
        <v>10610000</v>
      </c>
      <c r="Q32" s="378">
        <v>8843190</v>
      </c>
      <c r="R32" s="378">
        <v>-1776810</v>
      </c>
      <c r="S32" s="377"/>
      <c r="T32" s="377"/>
      <c r="U32" s="378">
        <v>1845606000</v>
      </c>
    </row>
    <row r="33" spans="1:21">
      <c r="A33" s="379" t="s">
        <v>61</v>
      </c>
      <c r="B33" s="378" t="s">
        <v>376</v>
      </c>
      <c r="C33" s="381">
        <v>43657</v>
      </c>
      <c r="D33" s="378">
        <v>12.45</v>
      </c>
      <c r="E33" s="378">
        <v>740006</v>
      </c>
      <c r="F33" s="378">
        <v>-581</v>
      </c>
      <c r="G33" s="378">
        <v>59448</v>
      </c>
      <c r="H33" s="378">
        <v>0</v>
      </c>
      <c r="I33" s="378">
        <v>59448</v>
      </c>
      <c r="J33" s="378">
        <v>0</v>
      </c>
      <c r="K33" s="378">
        <v>500</v>
      </c>
      <c r="L33" s="377"/>
      <c r="M33" s="378">
        <v>6223976</v>
      </c>
      <c r="N33" s="377"/>
      <c r="O33" s="378">
        <v>0</v>
      </c>
      <c r="P33" s="378">
        <v>6860000</v>
      </c>
      <c r="Q33" s="378">
        <v>6230539</v>
      </c>
      <c r="R33" s="378">
        <v>-629461</v>
      </c>
      <c r="S33" s="377"/>
      <c r="T33" s="377"/>
      <c r="U33" s="378">
        <v>59448000</v>
      </c>
    </row>
    <row r="34" spans="1:21">
      <c r="A34" s="379" t="s">
        <v>58</v>
      </c>
      <c r="B34" s="378" t="s">
        <v>1412</v>
      </c>
      <c r="C34" s="381">
        <v>43657</v>
      </c>
      <c r="D34" s="378">
        <v>10.43</v>
      </c>
      <c r="E34" s="378">
        <v>2522521</v>
      </c>
      <c r="F34" s="378">
        <v>-1940</v>
      </c>
      <c r="G34" s="378">
        <v>241903</v>
      </c>
      <c r="H34" s="378">
        <v>0</v>
      </c>
      <c r="I34" s="378">
        <v>241903</v>
      </c>
      <c r="J34" s="378">
        <v>0</v>
      </c>
      <c r="K34" s="378">
        <v>500</v>
      </c>
      <c r="L34" s="377"/>
      <c r="M34" s="378">
        <v>5213911</v>
      </c>
      <c r="N34" s="377"/>
      <c r="O34" s="377"/>
      <c r="P34" s="377"/>
      <c r="Q34" s="378">
        <v>5224125</v>
      </c>
      <c r="R34" s="378">
        <v>-525875</v>
      </c>
      <c r="S34" s="377"/>
      <c r="T34" s="378">
        <v>5750000</v>
      </c>
      <c r="U34" s="377"/>
    </row>
    <row r="35" spans="1:21">
      <c r="A35" s="379" t="s">
        <v>77</v>
      </c>
      <c r="B35" s="378" t="s">
        <v>1424</v>
      </c>
      <c r="C35" s="381">
        <v>43657</v>
      </c>
      <c r="D35" s="378">
        <v>18.850000000000001</v>
      </c>
      <c r="E35" s="378">
        <v>234057</v>
      </c>
      <c r="F35" s="378">
        <v>-437</v>
      </c>
      <c r="G35" s="378">
        <v>12419</v>
      </c>
      <c r="H35" s="378">
        <v>0</v>
      </c>
      <c r="I35" s="378">
        <v>12419</v>
      </c>
      <c r="J35" s="378">
        <v>0</v>
      </c>
      <c r="K35" s="378">
        <v>500</v>
      </c>
      <c r="L35" s="377"/>
      <c r="M35" s="378">
        <v>9423331</v>
      </c>
      <c r="N35" s="377"/>
      <c r="O35" s="377"/>
      <c r="P35" s="377"/>
      <c r="Q35" s="378">
        <v>9434927</v>
      </c>
      <c r="R35" s="378">
        <v>-1905073</v>
      </c>
      <c r="S35" s="377"/>
      <c r="T35" s="378">
        <v>11320000</v>
      </c>
      <c r="U35" s="377"/>
    </row>
    <row r="36" spans="1:21">
      <c r="A36" s="379" t="s">
        <v>78</v>
      </c>
      <c r="B36" s="378" t="s">
        <v>1425</v>
      </c>
      <c r="C36" s="381">
        <v>43657</v>
      </c>
      <c r="D36" s="378">
        <v>15.21</v>
      </c>
      <c r="E36" s="378">
        <v>323347</v>
      </c>
      <c r="F36" s="378">
        <v>290</v>
      </c>
      <c r="G36" s="378">
        <v>21258</v>
      </c>
      <c r="H36" s="378">
        <v>0</v>
      </c>
      <c r="I36" s="378">
        <v>21258</v>
      </c>
      <c r="J36" s="378">
        <v>0</v>
      </c>
      <c r="K36" s="378">
        <v>500</v>
      </c>
      <c r="L36" s="377"/>
      <c r="M36" s="378">
        <v>7605293</v>
      </c>
      <c r="N36" s="377"/>
      <c r="O36" s="377"/>
      <c r="P36" s="377"/>
      <c r="Q36" s="378">
        <v>7611814</v>
      </c>
      <c r="R36" s="378">
        <v>-748186</v>
      </c>
      <c r="S36" s="377"/>
      <c r="T36" s="378">
        <v>8370000</v>
      </c>
      <c r="U36" s="377"/>
    </row>
    <row r="37" spans="1:21">
      <c r="A37" s="379" t="s">
        <v>63</v>
      </c>
      <c r="B37" s="378" t="s">
        <v>378</v>
      </c>
      <c r="C37" s="381">
        <v>43657</v>
      </c>
      <c r="D37" s="378">
        <v>17.100000000000001</v>
      </c>
      <c r="E37" s="378">
        <v>1800930</v>
      </c>
      <c r="F37" s="378">
        <v>5681</v>
      </c>
      <c r="G37" s="378">
        <v>105321</v>
      </c>
      <c r="H37" s="378">
        <v>0</v>
      </c>
      <c r="I37" s="378">
        <v>105321</v>
      </c>
      <c r="J37" s="378">
        <v>0</v>
      </c>
      <c r="K37" s="378">
        <v>500</v>
      </c>
      <c r="L37" s="377"/>
      <c r="M37" s="378">
        <v>8549717</v>
      </c>
      <c r="N37" s="377"/>
      <c r="O37" s="378">
        <v>0</v>
      </c>
      <c r="P37" s="378">
        <v>9410000</v>
      </c>
      <c r="Q37" s="378">
        <v>8556730</v>
      </c>
      <c r="R37" s="378">
        <v>-793270</v>
      </c>
      <c r="S37" s="377"/>
      <c r="T37" s="377"/>
      <c r="U37" s="378">
        <v>105321000</v>
      </c>
    </row>
    <row r="38" spans="1:21">
      <c r="A38" s="379" t="s">
        <v>59</v>
      </c>
      <c r="B38" s="378" t="s">
        <v>1413</v>
      </c>
      <c r="C38" s="381">
        <v>43657</v>
      </c>
      <c r="D38" s="378">
        <v>11.66</v>
      </c>
      <c r="E38" s="378">
        <v>2999625</v>
      </c>
      <c r="F38" s="378">
        <v>-19322</v>
      </c>
      <c r="G38" s="378">
        <v>257089</v>
      </c>
      <c r="H38" s="378">
        <v>0</v>
      </c>
      <c r="I38" s="378">
        <v>257200</v>
      </c>
      <c r="J38" s="378">
        <v>0</v>
      </c>
      <c r="K38" s="378">
        <v>500</v>
      </c>
      <c r="L38" s="377"/>
      <c r="M38" s="378">
        <v>5831309</v>
      </c>
      <c r="N38" s="377"/>
      <c r="O38" s="377"/>
      <c r="P38" s="378">
        <v>6419440</v>
      </c>
      <c r="Q38" s="378">
        <v>5847972</v>
      </c>
      <c r="R38" s="378">
        <v>-612787</v>
      </c>
      <c r="S38" s="377"/>
      <c r="T38" s="377"/>
      <c r="U38" s="377"/>
    </row>
    <row r="39" spans="1:21">
      <c r="A39" s="379" t="s">
        <v>2034</v>
      </c>
      <c r="B39" s="378" t="s">
        <v>2253</v>
      </c>
      <c r="C39" s="381">
        <v>43657</v>
      </c>
      <c r="D39" s="378">
        <v>2.57</v>
      </c>
      <c r="E39" s="377"/>
      <c r="F39" s="377"/>
      <c r="G39" s="378">
        <v>111</v>
      </c>
      <c r="H39" s="378">
        <v>0</v>
      </c>
      <c r="I39" s="378">
        <v>257200</v>
      </c>
      <c r="J39" s="378">
        <v>0</v>
      </c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7"/>
    </row>
    <row r="40" spans="1:21">
      <c r="A40" s="379" t="s">
        <v>90</v>
      </c>
      <c r="B40" s="378" t="s">
        <v>1430</v>
      </c>
      <c r="C40" s="381">
        <v>43657</v>
      </c>
      <c r="D40" s="378">
        <v>20.29</v>
      </c>
      <c r="E40" s="378">
        <v>365112</v>
      </c>
      <c r="F40" s="378">
        <v>-830</v>
      </c>
      <c r="G40" s="378">
        <v>17997</v>
      </c>
      <c r="H40" s="378">
        <v>0</v>
      </c>
      <c r="I40" s="378">
        <v>17997</v>
      </c>
      <c r="J40" s="378">
        <v>0</v>
      </c>
      <c r="K40" s="378">
        <v>500</v>
      </c>
      <c r="L40" s="377"/>
      <c r="M40" s="378">
        <v>10143685</v>
      </c>
      <c r="N40" s="377"/>
      <c r="O40" s="377"/>
      <c r="P40" s="377"/>
      <c r="Q40" s="378">
        <v>10165929</v>
      </c>
      <c r="R40" s="378">
        <v>-1044071</v>
      </c>
      <c r="S40" s="377"/>
      <c r="T40" s="378">
        <v>11180000</v>
      </c>
      <c r="U40" s="377"/>
    </row>
    <row r="41" spans="1:21">
      <c r="A41" s="379" t="s">
        <v>64</v>
      </c>
      <c r="B41" s="378" t="s">
        <v>379</v>
      </c>
      <c r="C41" s="381">
        <v>43657</v>
      </c>
      <c r="D41" s="378">
        <v>28.19</v>
      </c>
      <c r="E41" s="378">
        <v>4369327</v>
      </c>
      <c r="F41" s="378">
        <v>7299</v>
      </c>
      <c r="G41" s="378">
        <v>154985</v>
      </c>
      <c r="H41" s="378">
        <v>0</v>
      </c>
      <c r="I41" s="378">
        <v>154985</v>
      </c>
      <c r="J41" s="378">
        <v>0</v>
      </c>
      <c r="K41" s="378">
        <v>500</v>
      </c>
      <c r="L41" s="377"/>
      <c r="M41" s="378">
        <v>14095969</v>
      </c>
      <c r="N41" s="377"/>
      <c r="O41" s="378">
        <v>0</v>
      </c>
      <c r="P41" s="378">
        <v>15520000</v>
      </c>
      <c r="Q41" s="378">
        <v>14115085</v>
      </c>
      <c r="R41" s="378">
        <v>-1424915</v>
      </c>
      <c r="S41" s="377"/>
      <c r="T41" s="377"/>
      <c r="U41" s="378">
        <v>164485000</v>
      </c>
    </row>
    <row r="42" spans="1:21">
      <c r="A42" s="379" t="s">
        <v>65</v>
      </c>
      <c r="B42" s="378" t="s">
        <v>380</v>
      </c>
      <c r="C42" s="381">
        <v>43657</v>
      </c>
      <c r="D42" s="378">
        <v>37.18</v>
      </c>
      <c r="E42" s="378">
        <v>164176</v>
      </c>
      <c r="F42" s="378">
        <v>396</v>
      </c>
      <c r="G42" s="378">
        <v>4416</v>
      </c>
      <c r="H42" s="378">
        <v>0</v>
      </c>
      <c r="I42" s="378">
        <v>4416</v>
      </c>
      <c r="J42" s="378">
        <v>0</v>
      </c>
      <c r="K42" s="378">
        <v>500</v>
      </c>
      <c r="L42" s="377"/>
      <c r="M42" s="378">
        <v>18588823</v>
      </c>
      <c r="N42" s="377"/>
      <c r="O42" s="378">
        <v>0</v>
      </c>
      <c r="P42" s="378">
        <v>22320000</v>
      </c>
      <c r="Q42" s="378">
        <v>18608721</v>
      </c>
      <c r="R42" s="378">
        <v>-3821279</v>
      </c>
      <c r="S42" s="377"/>
      <c r="T42" s="377"/>
      <c r="U42" s="378">
        <v>4416000</v>
      </c>
    </row>
    <row r="43" spans="1:21">
      <c r="A43" s="379" t="s">
        <v>66</v>
      </c>
      <c r="B43" s="378" t="s">
        <v>381</v>
      </c>
      <c r="C43" s="381">
        <v>43657</v>
      </c>
      <c r="D43" s="378">
        <v>12.13</v>
      </c>
      <c r="E43" s="378">
        <v>2058776</v>
      </c>
      <c r="F43" s="378">
        <v>-2429</v>
      </c>
      <c r="G43" s="378">
        <v>169688</v>
      </c>
      <c r="H43" s="378">
        <v>0</v>
      </c>
      <c r="I43" s="378">
        <v>169688</v>
      </c>
      <c r="J43" s="378">
        <v>0</v>
      </c>
      <c r="K43" s="378">
        <v>500</v>
      </c>
      <c r="L43" s="377"/>
      <c r="M43" s="378">
        <v>6066358</v>
      </c>
      <c r="N43" s="377"/>
      <c r="O43" s="378">
        <v>0</v>
      </c>
      <c r="P43" s="378">
        <v>6680000</v>
      </c>
      <c r="Q43" s="378">
        <v>6072580</v>
      </c>
      <c r="R43" s="378">
        <v>-587420</v>
      </c>
      <c r="S43" s="377"/>
      <c r="T43" s="377"/>
      <c r="U43" s="378">
        <v>169688000</v>
      </c>
    </row>
    <row r="44" spans="1:21">
      <c r="A44" s="379" t="s">
        <v>83</v>
      </c>
      <c r="B44" s="378" t="s">
        <v>1421</v>
      </c>
      <c r="C44" s="381">
        <v>43657</v>
      </c>
      <c r="D44" s="378">
        <v>21.83</v>
      </c>
      <c r="E44" s="378">
        <v>115111</v>
      </c>
      <c r="F44" s="378">
        <v>159</v>
      </c>
      <c r="G44" s="378">
        <v>5272</v>
      </c>
      <c r="H44" s="378">
        <v>0</v>
      </c>
      <c r="I44" s="378">
        <v>5272</v>
      </c>
      <c r="J44" s="378">
        <v>0</v>
      </c>
      <c r="K44" s="378">
        <v>500</v>
      </c>
      <c r="L44" s="378">
        <v>10917240</v>
      </c>
      <c r="M44" s="378">
        <v>10917240</v>
      </c>
      <c r="N44" s="378">
        <v>0</v>
      </c>
      <c r="O44" s="377"/>
      <c r="P44" s="377"/>
      <c r="Q44" s="378">
        <v>10954991</v>
      </c>
      <c r="R44" s="378">
        <v>-1078361</v>
      </c>
      <c r="S44" s="377"/>
      <c r="T44" s="378">
        <v>12049990</v>
      </c>
      <c r="U44" s="377"/>
    </row>
    <row r="45" spans="1:21">
      <c r="A45" s="379" t="s">
        <v>84</v>
      </c>
      <c r="B45" s="378" t="s">
        <v>1422</v>
      </c>
      <c r="C45" s="381">
        <v>43657</v>
      </c>
      <c r="D45" s="378">
        <v>31.7</v>
      </c>
      <c r="E45" s="378">
        <v>137526</v>
      </c>
      <c r="F45" s="378">
        <v>900</v>
      </c>
      <c r="G45" s="378">
        <v>4338</v>
      </c>
      <c r="H45" s="378">
        <v>0</v>
      </c>
      <c r="I45" s="378">
        <v>4338</v>
      </c>
      <c r="J45" s="378">
        <v>0</v>
      </c>
      <c r="K45" s="378">
        <v>500</v>
      </c>
      <c r="L45" s="378">
        <v>15851347</v>
      </c>
      <c r="M45" s="378">
        <v>15851347</v>
      </c>
      <c r="N45" s="378">
        <v>0</v>
      </c>
      <c r="O45" s="377"/>
      <c r="P45" s="377"/>
      <c r="Q45" s="378">
        <v>15872198</v>
      </c>
      <c r="R45" s="378">
        <v>-3048792</v>
      </c>
      <c r="S45" s="377"/>
      <c r="T45" s="378">
        <v>19045638</v>
      </c>
      <c r="U45" s="377"/>
    </row>
    <row r="46" spans="1:21">
      <c r="A46" s="379" t="s">
        <v>85</v>
      </c>
      <c r="B46" s="378" t="s">
        <v>1423</v>
      </c>
      <c r="C46" s="381">
        <v>43657</v>
      </c>
      <c r="D46" s="378">
        <v>8.18</v>
      </c>
      <c r="E46" s="378">
        <v>165124</v>
      </c>
      <c r="F46" s="378">
        <v>-590</v>
      </c>
      <c r="G46" s="378">
        <v>20192</v>
      </c>
      <c r="H46" s="378">
        <v>0</v>
      </c>
      <c r="I46" s="378">
        <v>20192</v>
      </c>
      <c r="J46" s="378">
        <v>0</v>
      </c>
      <c r="K46" s="378">
        <v>500</v>
      </c>
      <c r="L46" s="378">
        <v>4088854</v>
      </c>
      <c r="M46" s="378">
        <v>4088854</v>
      </c>
      <c r="N46" s="378">
        <v>0</v>
      </c>
      <c r="O46" s="377"/>
      <c r="P46" s="377"/>
      <c r="Q46" s="378">
        <v>4095898</v>
      </c>
      <c r="R46" s="378">
        <v>-425177</v>
      </c>
      <c r="S46" s="377"/>
      <c r="T46" s="378">
        <v>4504988</v>
      </c>
      <c r="U46" s="377"/>
    </row>
    <row r="47" spans="1:21">
      <c r="A47" s="379" t="s">
        <v>67</v>
      </c>
      <c r="B47" s="378" t="s">
        <v>1418</v>
      </c>
      <c r="C47" s="381">
        <v>43657</v>
      </c>
      <c r="D47" s="378">
        <v>24.66</v>
      </c>
      <c r="E47" s="378">
        <v>309157</v>
      </c>
      <c r="F47" s="378">
        <v>135</v>
      </c>
      <c r="G47" s="378">
        <v>12535</v>
      </c>
      <c r="H47" s="378">
        <v>0</v>
      </c>
      <c r="I47" s="378">
        <v>12535</v>
      </c>
      <c r="J47" s="378">
        <v>0</v>
      </c>
      <c r="K47" s="378">
        <v>500</v>
      </c>
      <c r="L47" s="377"/>
      <c r="M47" s="378">
        <v>12331747</v>
      </c>
      <c r="N47" s="377"/>
      <c r="O47" s="377"/>
      <c r="P47" s="377"/>
      <c r="Q47" s="378">
        <v>12361410</v>
      </c>
      <c r="R47" s="378">
        <v>-1228590</v>
      </c>
      <c r="S47" s="377"/>
      <c r="T47" s="378">
        <v>13600000</v>
      </c>
      <c r="U47" s="378">
        <v>12535000</v>
      </c>
    </row>
    <row r="48" spans="1:21">
      <c r="A48" s="379" t="s">
        <v>68</v>
      </c>
      <c r="B48" s="378" t="s">
        <v>1419</v>
      </c>
      <c r="C48" s="381">
        <v>43657</v>
      </c>
      <c r="D48" s="378">
        <v>29.77</v>
      </c>
      <c r="E48" s="378">
        <v>205522</v>
      </c>
      <c r="F48" s="378">
        <v>-220</v>
      </c>
      <c r="G48" s="378">
        <v>6903</v>
      </c>
      <c r="H48" s="378">
        <v>0</v>
      </c>
      <c r="I48" s="378">
        <v>6903</v>
      </c>
      <c r="J48" s="378">
        <v>0</v>
      </c>
      <c r="K48" s="378">
        <v>500</v>
      </c>
      <c r="L48" s="377"/>
      <c r="M48" s="378">
        <v>14886437</v>
      </c>
      <c r="N48" s="377"/>
      <c r="O48" s="377"/>
      <c r="P48" s="377"/>
      <c r="Q48" s="378">
        <v>14906323</v>
      </c>
      <c r="R48" s="378">
        <v>-3003677</v>
      </c>
      <c r="S48" s="377"/>
      <c r="T48" s="378">
        <v>17890000</v>
      </c>
      <c r="U48" s="378">
        <v>6903000</v>
      </c>
    </row>
    <row r="49" spans="1:21">
      <c r="A49" s="379" t="s">
        <v>69</v>
      </c>
      <c r="B49" s="378" t="s">
        <v>1420</v>
      </c>
      <c r="C49" s="381">
        <v>43657</v>
      </c>
      <c r="D49" s="378">
        <v>14.03</v>
      </c>
      <c r="E49" s="378">
        <v>111739</v>
      </c>
      <c r="F49" s="378">
        <v>75</v>
      </c>
      <c r="G49" s="378">
        <v>7966</v>
      </c>
      <c r="H49" s="378">
        <v>0</v>
      </c>
      <c r="I49" s="378">
        <v>7966</v>
      </c>
      <c r="J49" s="378">
        <v>0</v>
      </c>
      <c r="K49" s="378">
        <v>500</v>
      </c>
      <c r="L49" s="377"/>
      <c r="M49" s="378">
        <v>7013521</v>
      </c>
      <c r="N49" s="377"/>
      <c r="O49" s="377"/>
      <c r="P49" s="377"/>
      <c r="Q49" s="378">
        <v>7022028</v>
      </c>
      <c r="R49" s="378">
        <v>-697972</v>
      </c>
      <c r="S49" s="377"/>
      <c r="T49" s="378">
        <v>7720000</v>
      </c>
      <c r="U49" s="378">
        <v>7966000</v>
      </c>
    </row>
    <row r="50" spans="1:21">
      <c r="A50" s="379" t="s">
        <v>81</v>
      </c>
      <c r="B50" s="378" t="s">
        <v>1416</v>
      </c>
      <c r="C50" s="381">
        <v>43657</v>
      </c>
      <c r="D50" s="378">
        <v>33.119999999999997</v>
      </c>
      <c r="E50" s="378">
        <v>8726407</v>
      </c>
      <c r="F50" s="378">
        <v>3137</v>
      </c>
      <c r="G50" s="378">
        <v>263458</v>
      </c>
      <c r="H50" s="378">
        <v>0</v>
      </c>
      <c r="I50" s="378">
        <v>263458</v>
      </c>
      <c r="J50" s="378">
        <v>0</v>
      </c>
      <c r="K50" s="378">
        <v>500</v>
      </c>
      <c r="L50" s="377"/>
      <c r="M50" s="378">
        <v>16560000</v>
      </c>
      <c r="N50" s="377"/>
      <c r="O50" s="377"/>
      <c r="P50" s="377"/>
      <c r="Q50" s="378">
        <v>16569912</v>
      </c>
      <c r="R50" s="378">
        <v>-3306088</v>
      </c>
      <c r="S50" s="377"/>
      <c r="T50" s="378">
        <v>19882000</v>
      </c>
      <c r="U50" s="377"/>
    </row>
    <row r="51" spans="1:21">
      <c r="A51" s="379" t="s">
        <v>82</v>
      </c>
      <c r="B51" s="378" t="s">
        <v>1417</v>
      </c>
      <c r="C51" s="381">
        <v>43657</v>
      </c>
      <c r="D51" s="378">
        <v>11.33</v>
      </c>
      <c r="E51" s="378">
        <v>315559</v>
      </c>
      <c r="F51" s="378">
        <v>-182</v>
      </c>
      <c r="G51" s="378">
        <v>27857</v>
      </c>
      <c r="H51" s="378">
        <v>0</v>
      </c>
      <c r="I51" s="378">
        <v>27857</v>
      </c>
      <c r="J51" s="378">
        <v>0</v>
      </c>
      <c r="K51" s="378">
        <v>500</v>
      </c>
      <c r="L51" s="377"/>
      <c r="M51" s="378">
        <v>5665000</v>
      </c>
      <c r="N51" s="377"/>
      <c r="O51" s="377"/>
      <c r="P51" s="377"/>
      <c r="Q51" s="378">
        <v>5667038</v>
      </c>
      <c r="R51" s="378">
        <v>-567962</v>
      </c>
      <c r="S51" s="377"/>
      <c r="T51" s="378">
        <v>6235000</v>
      </c>
      <c r="U51" s="377"/>
    </row>
    <row r="52" spans="1:21">
      <c r="A52" s="379" t="s">
        <v>86</v>
      </c>
      <c r="B52" s="378" t="s">
        <v>1426</v>
      </c>
      <c r="C52" s="381">
        <v>43657</v>
      </c>
      <c r="D52" s="378">
        <v>26.71</v>
      </c>
      <c r="E52" s="378">
        <v>149948</v>
      </c>
      <c r="F52" s="378">
        <v>-205</v>
      </c>
      <c r="G52" s="378">
        <v>5314</v>
      </c>
      <c r="H52" s="378">
        <v>0</v>
      </c>
      <c r="I52" s="378">
        <v>5613</v>
      </c>
      <c r="J52" s="378">
        <v>0</v>
      </c>
      <c r="K52" s="378">
        <v>500</v>
      </c>
      <c r="L52" s="378">
        <v>13355000</v>
      </c>
      <c r="M52" s="378">
        <v>13173120</v>
      </c>
      <c r="N52" s="378">
        <v>181880</v>
      </c>
      <c r="O52" s="377"/>
      <c r="P52" s="377"/>
      <c r="Q52" s="377"/>
      <c r="R52" s="377"/>
      <c r="S52" s="377"/>
      <c r="T52" s="378">
        <v>14716000</v>
      </c>
      <c r="U52" s="377"/>
    </row>
    <row r="53" spans="1:21">
      <c r="A53" s="379" t="s">
        <v>2035</v>
      </c>
      <c r="B53" s="378" t="s">
        <v>2254</v>
      </c>
      <c r="C53" s="381">
        <v>43657</v>
      </c>
      <c r="D53" s="378">
        <v>8.58</v>
      </c>
      <c r="E53" s="377"/>
      <c r="F53" s="377"/>
      <c r="G53" s="378">
        <v>30</v>
      </c>
      <c r="H53" s="378">
        <v>0</v>
      </c>
      <c r="I53" s="378">
        <v>5613</v>
      </c>
      <c r="J53" s="378">
        <v>0</v>
      </c>
      <c r="K53" s="377"/>
      <c r="L53" s="377"/>
      <c r="M53" s="377"/>
      <c r="N53" s="377"/>
      <c r="O53" s="377"/>
      <c r="P53" s="377"/>
      <c r="Q53" s="377"/>
      <c r="R53" s="377"/>
      <c r="S53" s="377"/>
      <c r="T53" s="377"/>
      <c r="U53" s="377"/>
    </row>
    <row r="54" spans="1:21">
      <c r="A54" s="379" t="s">
        <v>79</v>
      </c>
      <c r="B54" s="378" t="s">
        <v>1427</v>
      </c>
      <c r="C54" s="381">
        <v>43657</v>
      </c>
      <c r="D54" s="378">
        <v>32.56</v>
      </c>
      <c r="E54" s="378">
        <v>157775</v>
      </c>
      <c r="F54" s="378">
        <v>36</v>
      </c>
      <c r="G54" s="378">
        <v>4845</v>
      </c>
      <c r="H54" s="378">
        <v>0</v>
      </c>
      <c r="I54" s="378">
        <v>4845</v>
      </c>
      <c r="J54" s="378">
        <v>0</v>
      </c>
      <c r="K54" s="378">
        <v>500</v>
      </c>
      <c r="L54" s="377"/>
      <c r="M54" s="378">
        <v>16280000</v>
      </c>
      <c r="N54" s="377"/>
      <c r="O54" s="377"/>
      <c r="P54" s="377"/>
      <c r="Q54" s="378">
        <v>16297254</v>
      </c>
      <c r="R54" s="378">
        <v>-3256746</v>
      </c>
      <c r="S54" s="377"/>
      <c r="T54" s="378">
        <v>19554000</v>
      </c>
      <c r="U54" s="377"/>
    </row>
    <row r="55" spans="1:21">
      <c r="A55" s="379" t="s">
        <v>80</v>
      </c>
      <c r="B55" s="378" t="s">
        <v>1428</v>
      </c>
      <c r="C55" s="381">
        <v>43657</v>
      </c>
      <c r="D55" s="378">
        <v>12.39</v>
      </c>
      <c r="E55" s="378">
        <v>174462</v>
      </c>
      <c r="F55" s="378">
        <v>-26</v>
      </c>
      <c r="G55" s="378">
        <v>14080</v>
      </c>
      <c r="H55" s="378">
        <v>0</v>
      </c>
      <c r="I55" s="378">
        <v>14080</v>
      </c>
      <c r="J55" s="378">
        <v>0</v>
      </c>
      <c r="K55" s="378">
        <v>500</v>
      </c>
      <c r="L55" s="377"/>
      <c r="M55" s="378">
        <v>6195000</v>
      </c>
      <c r="N55" s="377"/>
      <c r="O55" s="377"/>
      <c r="P55" s="377"/>
      <c r="Q55" s="378">
        <v>6198610</v>
      </c>
      <c r="R55" s="378">
        <v>-619390</v>
      </c>
      <c r="S55" s="377"/>
      <c r="T55" s="378">
        <v>6818000</v>
      </c>
      <c r="U55" s="377"/>
    </row>
    <row r="56" spans="1:21">
      <c r="A56" s="379" t="s">
        <v>87</v>
      </c>
      <c r="B56" s="378" t="s">
        <v>382</v>
      </c>
      <c r="C56" s="381">
        <v>43657</v>
      </c>
      <c r="D56" s="378">
        <v>25.66</v>
      </c>
      <c r="E56" s="378">
        <v>167557</v>
      </c>
      <c r="F56" s="378">
        <v>-655</v>
      </c>
      <c r="G56" s="378">
        <v>6531</v>
      </c>
      <c r="H56" s="378">
        <v>0</v>
      </c>
      <c r="I56" s="378">
        <v>6531</v>
      </c>
      <c r="J56" s="378">
        <v>0</v>
      </c>
      <c r="K56" s="378">
        <v>500</v>
      </c>
      <c r="L56" s="377"/>
      <c r="M56" s="378">
        <v>12827856</v>
      </c>
      <c r="N56" s="377"/>
      <c r="O56" s="378">
        <v>0</v>
      </c>
      <c r="P56" s="378">
        <v>14120000</v>
      </c>
      <c r="Q56" s="378">
        <v>12852117</v>
      </c>
      <c r="R56" s="378">
        <v>-1347883</v>
      </c>
      <c r="S56" s="377"/>
      <c r="T56" s="377"/>
      <c r="U56" s="378">
        <v>6531000</v>
      </c>
    </row>
    <row r="57" spans="1:21">
      <c r="A57" s="379" t="s">
        <v>88</v>
      </c>
      <c r="B57" s="378" t="s">
        <v>383</v>
      </c>
      <c r="C57" s="381">
        <v>43657</v>
      </c>
      <c r="D57" s="378">
        <v>27.34</v>
      </c>
      <c r="E57" s="378">
        <v>107303</v>
      </c>
      <c r="F57" s="378">
        <v>-143</v>
      </c>
      <c r="G57" s="378">
        <v>3925</v>
      </c>
      <c r="H57" s="378">
        <v>0</v>
      </c>
      <c r="I57" s="378">
        <v>3925</v>
      </c>
      <c r="J57" s="378">
        <v>0</v>
      </c>
      <c r="K57" s="378">
        <v>500</v>
      </c>
      <c r="L57" s="377"/>
      <c r="M57" s="378">
        <v>13669158</v>
      </c>
      <c r="N57" s="377"/>
      <c r="O57" s="378">
        <v>0</v>
      </c>
      <c r="P57" s="378">
        <v>15050000</v>
      </c>
      <c r="Q57" s="378">
        <v>13697416</v>
      </c>
      <c r="R57" s="378">
        <v>-1372584</v>
      </c>
      <c r="S57" s="377"/>
      <c r="T57" s="377"/>
      <c r="U57" s="378">
        <v>3925000</v>
      </c>
    </row>
    <row r="58" spans="1:21">
      <c r="A58" s="379" t="s">
        <v>89</v>
      </c>
      <c r="B58" s="378" t="s">
        <v>1429</v>
      </c>
      <c r="C58" s="381">
        <v>43657</v>
      </c>
      <c r="D58" s="378">
        <v>33.119999999999997</v>
      </c>
      <c r="E58" s="378">
        <v>2484989</v>
      </c>
      <c r="F58" s="378">
        <v>276993</v>
      </c>
      <c r="G58" s="378">
        <v>75029</v>
      </c>
      <c r="H58" s="378">
        <v>8000</v>
      </c>
      <c r="I58" s="378">
        <v>75029</v>
      </c>
      <c r="J58" s="378">
        <v>8000</v>
      </c>
      <c r="K58" s="378">
        <v>500</v>
      </c>
      <c r="L58" s="377"/>
      <c r="M58" s="378">
        <v>16560193</v>
      </c>
      <c r="N58" s="377"/>
      <c r="O58" s="377"/>
      <c r="P58" s="377"/>
      <c r="Q58" s="378">
        <v>16581753</v>
      </c>
      <c r="R58" s="378">
        <v>-1558247</v>
      </c>
      <c r="S58" s="377"/>
      <c r="T58" s="378">
        <v>18240000</v>
      </c>
      <c r="U58" s="378">
        <v>75029000</v>
      </c>
    </row>
    <row r="59" spans="1:21">
      <c r="A59" s="379" t="s">
        <v>92</v>
      </c>
      <c r="B59" s="378" t="s">
        <v>1431</v>
      </c>
      <c r="C59" s="381">
        <v>43657</v>
      </c>
      <c r="D59" s="378">
        <v>36.92</v>
      </c>
      <c r="E59" s="378">
        <v>325264</v>
      </c>
      <c r="F59" s="378">
        <v>4928</v>
      </c>
      <c r="G59" s="378">
        <v>8809</v>
      </c>
      <c r="H59" s="378">
        <v>0</v>
      </c>
      <c r="I59" s="378">
        <v>8809</v>
      </c>
      <c r="J59" s="378">
        <v>0</v>
      </c>
      <c r="K59" s="378">
        <v>500</v>
      </c>
      <c r="L59" s="377"/>
      <c r="M59" s="378">
        <v>18460000</v>
      </c>
      <c r="N59" s="377"/>
      <c r="O59" s="377"/>
      <c r="P59" s="377"/>
      <c r="Q59" s="378">
        <v>18475089</v>
      </c>
      <c r="R59" s="378">
        <v>-3355911</v>
      </c>
      <c r="S59" s="377"/>
      <c r="T59" s="378">
        <v>22167000</v>
      </c>
      <c r="U59" s="377"/>
    </row>
    <row r="60" spans="1:21">
      <c r="A60" s="379" t="s">
        <v>93</v>
      </c>
      <c r="B60" s="378" t="s">
        <v>1432</v>
      </c>
      <c r="C60" s="381">
        <v>43657</v>
      </c>
      <c r="D60" s="378">
        <v>13.13</v>
      </c>
      <c r="E60" s="378">
        <v>1754448</v>
      </c>
      <c r="F60" s="378">
        <v>-126109</v>
      </c>
      <c r="G60" s="378">
        <v>133575</v>
      </c>
      <c r="H60" s="378">
        <v>-8500</v>
      </c>
      <c r="I60" s="378">
        <v>133575</v>
      </c>
      <c r="J60" s="378">
        <v>-8500</v>
      </c>
      <c r="K60" s="378">
        <v>500</v>
      </c>
      <c r="L60" s="377"/>
      <c r="M60" s="378">
        <v>6565000</v>
      </c>
      <c r="N60" s="377"/>
      <c r="O60" s="377"/>
      <c r="P60" s="377"/>
      <c r="Q60" s="378">
        <v>6570589</v>
      </c>
      <c r="R60" s="378">
        <v>-714411</v>
      </c>
      <c r="S60" s="377"/>
      <c r="T60" s="378">
        <v>7225000</v>
      </c>
      <c r="U60" s="377"/>
    </row>
    <row r="61" spans="1:21">
      <c r="A61" s="379" t="s">
        <v>94</v>
      </c>
      <c r="B61" s="378" t="s">
        <v>2255</v>
      </c>
      <c r="C61" s="381">
        <v>43657</v>
      </c>
      <c r="D61" s="378">
        <v>27.41</v>
      </c>
      <c r="E61" s="378">
        <v>437625</v>
      </c>
      <c r="F61" s="378">
        <v>3554</v>
      </c>
      <c r="G61" s="378">
        <v>15965</v>
      </c>
      <c r="H61" s="378">
        <v>0</v>
      </c>
      <c r="I61" s="378">
        <v>15965</v>
      </c>
      <c r="J61" s="378">
        <v>0</v>
      </c>
      <c r="K61" s="378">
        <v>500</v>
      </c>
      <c r="L61" s="377"/>
      <c r="M61" s="378">
        <v>13705753</v>
      </c>
      <c r="N61" s="377"/>
      <c r="O61" s="377"/>
      <c r="P61" s="377"/>
      <c r="Q61" s="378">
        <v>13724459</v>
      </c>
      <c r="R61" s="378">
        <v>-2605541</v>
      </c>
      <c r="S61" s="377"/>
      <c r="T61" s="378">
        <v>16470000</v>
      </c>
      <c r="U61" s="377"/>
    </row>
    <row r="62" spans="1:21">
      <c r="A62" s="379" t="s">
        <v>95</v>
      </c>
      <c r="B62" s="378" t="s">
        <v>2256</v>
      </c>
      <c r="C62" s="381">
        <v>43657</v>
      </c>
      <c r="D62" s="378">
        <v>13.55</v>
      </c>
      <c r="E62" s="378">
        <v>110066</v>
      </c>
      <c r="F62" s="378">
        <v>-636</v>
      </c>
      <c r="G62" s="378">
        <v>8124</v>
      </c>
      <c r="H62" s="378">
        <v>0</v>
      </c>
      <c r="I62" s="378">
        <v>8124</v>
      </c>
      <c r="J62" s="378">
        <v>0</v>
      </c>
      <c r="K62" s="378">
        <v>500</v>
      </c>
      <c r="L62" s="377"/>
      <c r="M62" s="378">
        <v>6774102</v>
      </c>
      <c r="N62" s="377"/>
      <c r="O62" s="377"/>
      <c r="P62" s="377"/>
      <c r="Q62" s="378">
        <v>6782489</v>
      </c>
      <c r="R62" s="378">
        <v>-717511</v>
      </c>
      <c r="S62" s="377"/>
      <c r="T62" s="378">
        <v>7460000</v>
      </c>
      <c r="U62" s="377"/>
    </row>
    <row r="63" spans="1:21">
      <c r="A63" s="379" t="s">
        <v>100</v>
      </c>
      <c r="B63" s="378" t="s">
        <v>1435</v>
      </c>
      <c r="C63" s="381">
        <v>43657</v>
      </c>
      <c r="D63" s="378">
        <v>29.59</v>
      </c>
      <c r="E63" s="378">
        <v>2043448</v>
      </c>
      <c r="F63" s="378">
        <v>-2730</v>
      </c>
      <c r="G63" s="378">
        <v>68628</v>
      </c>
      <c r="H63" s="378">
        <v>0</v>
      </c>
      <c r="I63" s="378">
        <v>69058</v>
      </c>
      <c r="J63" s="378">
        <v>0</v>
      </c>
      <c r="K63" s="378">
        <v>500</v>
      </c>
      <c r="L63" s="378">
        <v>14795000</v>
      </c>
      <c r="M63" s="378">
        <v>14648156</v>
      </c>
      <c r="N63" s="378">
        <v>146844</v>
      </c>
      <c r="O63" s="377"/>
      <c r="P63" s="377"/>
      <c r="Q63" s="377"/>
      <c r="R63" s="377"/>
      <c r="S63" s="377"/>
      <c r="T63" s="378">
        <v>16285000</v>
      </c>
      <c r="U63" s="378">
        <v>67628000</v>
      </c>
    </row>
    <row r="64" spans="1:21">
      <c r="A64" s="379" t="s">
        <v>2036</v>
      </c>
      <c r="B64" s="378" t="s">
        <v>2257</v>
      </c>
      <c r="C64" s="381">
        <v>43657</v>
      </c>
      <c r="D64" s="378">
        <v>9.49</v>
      </c>
      <c r="E64" s="377"/>
      <c r="F64" s="377"/>
      <c r="G64" s="378">
        <v>43</v>
      </c>
      <c r="H64" s="378">
        <v>0</v>
      </c>
      <c r="I64" s="378">
        <v>69058</v>
      </c>
      <c r="J64" s="378">
        <v>0</v>
      </c>
      <c r="K64" s="377"/>
      <c r="L64" s="377"/>
      <c r="M64" s="377"/>
      <c r="N64" s="377"/>
      <c r="O64" s="377"/>
      <c r="P64" s="377"/>
      <c r="Q64" s="377"/>
      <c r="R64" s="377"/>
      <c r="S64" s="377"/>
      <c r="T64" s="377"/>
      <c r="U64" s="377"/>
    </row>
    <row r="65" spans="1:21">
      <c r="A65" s="379" t="s">
        <v>101</v>
      </c>
      <c r="B65" s="378" t="s">
        <v>1436</v>
      </c>
      <c r="C65" s="381">
        <v>43657</v>
      </c>
      <c r="D65" s="378">
        <v>12.37</v>
      </c>
      <c r="E65" s="378">
        <v>1497713</v>
      </c>
      <c r="F65" s="378">
        <v>548</v>
      </c>
      <c r="G65" s="378">
        <v>121117</v>
      </c>
      <c r="H65" s="378">
        <v>0</v>
      </c>
      <c r="I65" s="378">
        <v>121117</v>
      </c>
      <c r="J65" s="378">
        <v>0</v>
      </c>
      <c r="K65" s="378">
        <v>500</v>
      </c>
      <c r="L65" s="377"/>
      <c r="M65" s="378">
        <v>6185000</v>
      </c>
      <c r="N65" s="377"/>
      <c r="O65" s="377"/>
      <c r="P65" s="377"/>
      <c r="Q65" s="378">
        <v>6186153</v>
      </c>
      <c r="R65" s="378">
        <v>-614847</v>
      </c>
      <c r="S65" s="377"/>
      <c r="T65" s="378">
        <v>6807000</v>
      </c>
      <c r="U65" s="378">
        <v>121117000</v>
      </c>
    </row>
    <row r="66" spans="1:21">
      <c r="A66" s="379" t="s">
        <v>110</v>
      </c>
      <c r="B66" s="378" t="s">
        <v>1442</v>
      </c>
      <c r="C66" s="381">
        <v>43657</v>
      </c>
      <c r="D66" s="378">
        <v>36.549999999999997</v>
      </c>
      <c r="E66" s="378">
        <v>443862</v>
      </c>
      <c r="F66" s="378">
        <v>5105</v>
      </c>
      <c r="G66" s="378">
        <v>12145</v>
      </c>
      <c r="H66" s="378">
        <v>0</v>
      </c>
      <c r="I66" s="378">
        <v>12145</v>
      </c>
      <c r="J66" s="378">
        <v>0</v>
      </c>
      <c r="K66" s="378">
        <v>500</v>
      </c>
      <c r="L66" s="377"/>
      <c r="M66" s="378">
        <v>18273449</v>
      </c>
      <c r="N66" s="377"/>
      <c r="O66" s="377"/>
      <c r="P66" s="377"/>
      <c r="Q66" s="378">
        <v>18291240</v>
      </c>
      <c r="R66" s="378">
        <v>-3408760</v>
      </c>
      <c r="S66" s="377"/>
      <c r="T66" s="378">
        <v>21950000</v>
      </c>
      <c r="U66" s="378">
        <v>12145000</v>
      </c>
    </row>
    <row r="67" spans="1:21">
      <c r="A67" s="379" t="s">
        <v>109</v>
      </c>
      <c r="B67" s="378" t="s">
        <v>1441</v>
      </c>
      <c r="C67" s="381">
        <v>43657</v>
      </c>
      <c r="D67" s="378">
        <v>12.35</v>
      </c>
      <c r="E67" s="378">
        <v>1233161</v>
      </c>
      <c r="F67" s="378">
        <v>-13093</v>
      </c>
      <c r="G67" s="378">
        <v>99884</v>
      </c>
      <c r="H67" s="378">
        <v>-500</v>
      </c>
      <c r="I67" s="378">
        <v>99884</v>
      </c>
      <c r="J67" s="378">
        <v>-500</v>
      </c>
      <c r="K67" s="378">
        <v>500</v>
      </c>
      <c r="L67" s="377"/>
      <c r="M67" s="378">
        <v>6172966</v>
      </c>
      <c r="N67" s="377"/>
      <c r="O67" s="377"/>
      <c r="P67" s="377"/>
      <c r="Q67" s="378">
        <v>6179201</v>
      </c>
      <c r="R67" s="378">
        <v>-650799</v>
      </c>
      <c r="S67" s="377"/>
      <c r="T67" s="378">
        <v>6800000</v>
      </c>
      <c r="U67" s="378">
        <v>99884000</v>
      </c>
    </row>
    <row r="68" spans="1:21">
      <c r="A68" s="379" t="s">
        <v>97</v>
      </c>
      <c r="B68" s="378" t="s">
        <v>385</v>
      </c>
      <c r="C68" s="381">
        <v>43657</v>
      </c>
      <c r="D68" s="378">
        <v>16.3</v>
      </c>
      <c r="E68" s="378">
        <v>7462454</v>
      </c>
      <c r="F68" s="378">
        <v>36092</v>
      </c>
      <c r="G68" s="378">
        <v>457687</v>
      </c>
      <c r="H68" s="378">
        <v>-500</v>
      </c>
      <c r="I68" s="378">
        <v>457687</v>
      </c>
      <c r="J68" s="378">
        <v>-500</v>
      </c>
      <c r="K68" s="378">
        <v>500</v>
      </c>
      <c r="L68" s="377"/>
      <c r="M68" s="378">
        <v>8152355</v>
      </c>
      <c r="N68" s="377"/>
      <c r="O68" s="378">
        <v>0</v>
      </c>
      <c r="P68" s="378">
        <v>9790000</v>
      </c>
      <c r="Q68" s="378">
        <v>8162367</v>
      </c>
      <c r="R68" s="378">
        <v>-1517633</v>
      </c>
      <c r="S68" s="377"/>
      <c r="T68" s="377"/>
      <c r="U68" s="378">
        <v>454687000</v>
      </c>
    </row>
    <row r="69" spans="1:21">
      <c r="A69" s="379" t="s">
        <v>98</v>
      </c>
      <c r="B69" s="378" t="s">
        <v>386</v>
      </c>
      <c r="C69" s="381">
        <v>43657</v>
      </c>
      <c r="D69" s="378">
        <v>15.03</v>
      </c>
      <c r="E69" s="378">
        <v>837327</v>
      </c>
      <c r="F69" s="378">
        <v>-2519</v>
      </c>
      <c r="G69" s="378">
        <v>55703</v>
      </c>
      <c r="H69" s="378">
        <v>0</v>
      </c>
      <c r="I69" s="378">
        <v>55703</v>
      </c>
      <c r="J69" s="378">
        <v>0</v>
      </c>
      <c r="K69" s="378">
        <v>500</v>
      </c>
      <c r="L69" s="377"/>
      <c r="M69" s="378">
        <v>7515993</v>
      </c>
      <c r="N69" s="377"/>
      <c r="O69" s="378">
        <v>0</v>
      </c>
      <c r="P69" s="378">
        <v>8280000</v>
      </c>
      <c r="Q69" s="378">
        <v>7523004</v>
      </c>
      <c r="R69" s="378">
        <v>-796996</v>
      </c>
      <c r="S69" s="377"/>
      <c r="T69" s="377"/>
      <c r="U69" s="378">
        <v>55703000</v>
      </c>
    </row>
    <row r="70" spans="1:21">
      <c r="A70" s="379" t="s">
        <v>99</v>
      </c>
      <c r="B70" s="378" t="s">
        <v>387</v>
      </c>
      <c r="C70" s="381">
        <v>43657</v>
      </c>
      <c r="D70" s="378">
        <v>18.04</v>
      </c>
      <c r="E70" s="378">
        <v>92065</v>
      </c>
      <c r="F70" s="378">
        <v>-37</v>
      </c>
      <c r="G70" s="378">
        <v>5103</v>
      </c>
      <c r="H70" s="378">
        <v>0</v>
      </c>
      <c r="I70" s="378">
        <v>5103</v>
      </c>
      <c r="J70" s="378">
        <v>0</v>
      </c>
      <c r="K70" s="378">
        <v>500</v>
      </c>
      <c r="L70" s="377"/>
      <c r="M70" s="378">
        <v>9020701</v>
      </c>
      <c r="N70" s="377"/>
      <c r="O70" s="378">
        <v>0</v>
      </c>
      <c r="P70" s="378">
        <v>9930000</v>
      </c>
      <c r="Q70" s="378">
        <v>9027714</v>
      </c>
      <c r="R70" s="378">
        <v>-912286</v>
      </c>
      <c r="S70" s="377"/>
      <c r="T70" s="377"/>
      <c r="U70" s="378">
        <v>5103000</v>
      </c>
    </row>
    <row r="71" spans="1:21">
      <c r="A71" s="379" t="s">
        <v>102</v>
      </c>
      <c r="B71" s="378" t="s">
        <v>1437</v>
      </c>
      <c r="C71" s="381">
        <v>43657</v>
      </c>
      <c r="D71" s="378">
        <v>16.010000000000002</v>
      </c>
      <c r="E71" s="378">
        <v>268691</v>
      </c>
      <c r="F71" s="378">
        <v>-19542</v>
      </c>
      <c r="G71" s="378">
        <v>16786</v>
      </c>
      <c r="H71" s="378">
        <v>-1500</v>
      </c>
      <c r="I71" s="378">
        <v>16786</v>
      </c>
      <c r="J71" s="378">
        <v>-1500</v>
      </c>
      <c r="K71" s="378">
        <v>500</v>
      </c>
      <c r="L71" s="377"/>
      <c r="M71" s="378">
        <v>8003418</v>
      </c>
      <c r="N71" s="377"/>
      <c r="O71" s="377"/>
      <c r="P71" s="377"/>
      <c r="Q71" s="378">
        <v>8012420</v>
      </c>
      <c r="R71" s="378">
        <v>-1057580</v>
      </c>
      <c r="S71" s="377"/>
      <c r="T71" s="378">
        <v>9210000</v>
      </c>
      <c r="U71" s="377"/>
    </row>
    <row r="72" spans="1:21">
      <c r="A72" s="379" t="s">
        <v>103</v>
      </c>
      <c r="B72" s="378" t="s">
        <v>1438</v>
      </c>
      <c r="C72" s="381">
        <v>43657</v>
      </c>
      <c r="D72" s="378">
        <v>7.12</v>
      </c>
      <c r="E72" s="378">
        <v>961061</v>
      </c>
      <c r="F72" s="378">
        <v>-18199</v>
      </c>
      <c r="G72" s="378">
        <v>135011</v>
      </c>
      <c r="H72" s="378">
        <v>-1500</v>
      </c>
      <c r="I72" s="378">
        <v>135011</v>
      </c>
      <c r="J72" s="378">
        <v>-1500</v>
      </c>
      <c r="K72" s="378">
        <v>500</v>
      </c>
      <c r="L72" s="377"/>
      <c r="M72" s="378">
        <v>3559195</v>
      </c>
      <c r="N72" s="377"/>
      <c r="O72" s="377"/>
      <c r="P72" s="377"/>
      <c r="Q72" s="378">
        <v>3564907</v>
      </c>
      <c r="R72" s="378">
        <v>-315093</v>
      </c>
      <c r="S72" s="377"/>
      <c r="T72" s="378">
        <v>3850000</v>
      </c>
      <c r="U72" s="377"/>
    </row>
    <row r="73" spans="1:21">
      <c r="A73" s="379" t="s">
        <v>104</v>
      </c>
      <c r="B73" s="378" t="s">
        <v>1439</v>
      </c>
      <c r="C73" s="381">
        <v>43657</v>
      </c>
      <c r="D73" s="378">
        <v>4.63</v>
      </c>
      <c r="E73" s="378">
        <v>18510407</v>
      </c>
      <c r="F73" s="378">
        <v>24446</v>
      </c>
      <c r="G73" s="378">
        <v>3999708</v>
      </c>
      <c r="H73" s="378">
        <v>0</v>
      </c>
      <c r="I73" s="378">
        <v>3999708</v>
      </c>
      <c r="J73" s="378">
        <v>0</v>
      </c>
      <c r="K73" s="378">
        <v>500</v>
      </c>
      <c r="L73" s="377"/>
      <c r="M73" s="378">
        <v>2313970</v>
      </c>
      <c r="N73" s="377"/>
      <c r="O73" s="377"/>
      <c r="P73" s="377"/>
      <c r="Q73" s="378">
        <v>2320127</v>
      </c>
      <c r="R73" s="378">
        <v>-579873</v>
      </c>
      <c r="S73" s="377"/>
      <c r="T73" s="378">
        <v>2900000</v>
      </c>
      <c r="U73" s="378">
        <v>3999708000</v>
      </c>
    </row>
    <row r="74" spans="1:21">
      <c r="A74" s="379" t="s">
        <v>105</v>
      </c>
      <c r="B74" s="378" t="s">
        <v>1440</v>
      </c>
      <c r="C74" s="381">
        <v>43657</v>
      </c>
      <c r="D74" s="378">
        <v>22.36</v>
      </c>
      <c r="E74" s="378">
        <v>222419</v>
      </c>
      <c r="F74" s="378">
        <v>2179</v>
      </c>
      <c r="G74" s="378">
        <v>9948</v>
      </c>
      <c r="H74" s="378">
        <v>0</v>
      </c>
      <c r="I74" s="378">
        <v>9948</v>
      </c>
      <c r="J74" s="378">
        <v>0</v>
      </c>
      <c r="K74" s="378">
        <v>500</v>
      </c>
      <c r="L74" s="377"/>
      <c r="M74" s="378">
        <v>11179074</v>
      </c>
      <c r="N74" s="377"/>
      <c r="O74" s="377"/>
      <c r="P74" s="378">
        <v>12301982</v>
      </c>
      <c r="Q74" s="378">
        <v>11197489</v>
      </c>
      <c r="R74" s="378">
        <v>-1142525</v>
      </c>
      <c r="S74" s="377"/>
      <c r="T74" s="377"/>
      <c r="U74" s="378">
        <v>9948000</v>
      </c>
    </row>
    <row r="75" spans="1:21">
      <c r="A75" s="379" t="s">
        <v>106</v>
      </c>
      <c r="B75" s="378" t="s">
        <v>388</v>
      </c>
      <c r="C75" s="381">
        <v>43657</v>
      </c>
      <c r="D75" s="378">
        <v>42.581299999999999</v>
      </c>
      <c r="E75" s="378">
        <v>24577584</v>
      </c>
      <c r="F75" s="378">
        <v>-1030858</v>
      </c>
      <c r="G75" s="378">
        <v>577192</v>
      </c>
      <c r="H75" s="378">
        <v>-23000</v>
      </c>
      <c r="I75" s="378">
        <v>577192</v>
      </c>
      <c r="J75" s="378">
        <v>-23000</v>
      </c>
      <c r="K75" s="378">
        <v>500</v>
      </c>
      <c r="L75" s="377"/>
      <c r="M75" s="378">
        <v>21290649</v>
      </c>
      <c r="N75" s="377"/>
      <c r="O75" s="378">
        <v>0</v>
      </c>
      <c r="P75" s="378">
        <v>23000000</v>
      </c>
      <c r="Q75" s="378">
        <v>21302060</v>
      </c>
      <c r="R75" s="378">
        <v>-1587940</v>
      </c>
      <c r="S75" s="377"/>
      <c r="T75" s="377"/>
      <c r="U75" s="378">
        <v>537192000</v>
      </c>
    </row>
    <row r="76" spans="1:21">
      <c r="A76" s="379" t="s">
        <v>107</v>
      </c>
      <c r="B76" s="378" t="s">
        <v>389</v>
      </c>
      <c r="C76" s="381">
        <v>43657</v>
      </c>
      <c r="D76" s="378">
        <v>22.8017</v>
      </c>
      <c r="E76" s="378">
        <v>92940</v>
      </c>
      <c r="F76" s="378">
        <v>-391</v>
      </c>
      <c r="G76" s="378">
        <v>4076</v>
      </c>
      <c r="H76" s="378">
        <v>0</v>
      </c>
      <c r="I76" s="378">
        <v>4076</v>
      </c>
      <c r="J76" s="378">
        <v>0</v>
      </c>
      <c r="K76" s="378">
        <v>500</v>
      </c>
      <c r="L76" s="377"/>
      <c r="M76" s="378">
        <v>11400870</v>
      </c>
      <c r="N76" s="377"/>
      <c r="O76" s="378">
        <v>0</v>
      </c>
      <c r="P76" s="378">
        <v>13120000</v>
      </c>
      <c r="Q76" s="378">
        <v>11407027</v>
      </c>
      <c r="R76" s="378">
        <v>-1622973</v>
      </c>
      <c r="S76" s="377"/>
      <c r="T76" s="377"/>
      <c r="U76" s="378">
        <v>4076000</v>
      </c>
    </row>
    <row r="77" spans="1:21">
      <c r="A77" s="379" t="s">
        <v>108</v>
      </c>
      <c r="B77" s="378" t="s">
        <v>390</v>
      </c>
      <c r="C77" s="381">
        <v>43657</v>
      </c>
      <c r="D77" s="378">
        <v>16.8903</v>
      </c>
      <c r="E77" s="378">
        <v>102929</v>
      </c>
      <c r="F77" s="378">
        <v>209</v>
      </c>
      <c r="G77" s="378">
        <v>6094</v>
      </c>
      <c r="H77" s="378">
        <v>0</v>
      </c>
      <c r="I77" s="378">
        <v>6094</v>
      </c>
      <c r="J77" s="378">
        <v>0</v>
      </c>
      <c r="K77" s="378">
        <v>500</v>
      </c>
      <c r="L77" s="377"/>
      <c r="M77" s="378">
        <v>8445131</v>
      </c>
      <c r="N77" s="377"/>
      <c r="O77" s="378">
        <v>0</v>
      </c>
      <c r="P77" s="378">
        <v>9130000</v>
      </c>
      <c r="Q77" s="378">
        <v>8450988</v>
      </c>
      <c r="R77" s="378">
        <v>-709012</v>
      </c>
      <c r="S77" s="377"/>
      <c r="T77" s="377"/>
      <c r="U77" s="378">
        <v>6094000</v>
      </c>
    </row>
    <row r="78" spans="1:21">
      <c r="A78" s="379" t="s">
        <v>470</v>
      </c>
      <c r="B78" s="378" t="s">
        <v>391</v>
      </c>
      <c r="C78" s="381">
        <v>43657</v>
      </c>
      <c r="D78" s="378">
        <v>19.52</v>
      </c>
      <c r="E78" s="378">
        <v>80911</v>
      </c>
      <c r="F78" s="378">
        <v>94</v>
      </c>
      <c r="G78" s="378">
        <v>4144</v>
      </c>
      <c r="H78" s="378">
        <v>0</v>
      </c>
      <c r="I78" s="378">
        <v>4144</v>
      </c>
      <c r="J78" s="378">
        <v>0</v>
      </c>
      <c r="K78" s="378">
        <v>500</v>
      </c>
      <c r="L78" s="377"/>
      <c r="M78" s="378">
        <v>9762410</v>
      </c>
      <c r="N78" s="377"/>
      <c r="O78" s="378">
        <v>0</v>
      </c>
      <c r="P78" s="378">
        <v>10260000</v>
      </c>
      <c r="Q78" s="378">
        <v>9769433</v>
      </c>
      <c r="R78" s="378">
        <v>-470567</v>
      </c>
      <c r="S78" s="377"/>
      <c r="T78" s="377"/>
      <c r="U78" s="378">
        <v>4144000</v>
      </c>
    </row>
    <row r="79" spans="1:21">
      <c r="A79" s="379" t="s">
        <v>471</v>
      </c>
      <c r="B79" s="378" t="s">
        <v>392</v>
      </c>
      <c r="C79" s="381">
        <v>43657</v>
      </c>
      <c r="D79" s="378">
        <v>19.41</v>
      </c>
      <c r="E79" s="378">
        <v>124908</v>
      </c>
      <c r="F79" s="378">
        <v>285</v>
      </c>
      <c r="G79" s="378">
        <v>6434</v>
      </c>
      <c r="H79" s="378">
        <v>0</v>
      </c>
      <c r="I79" s="378">
        <v>6434</v>
      </c>
      <c r="J79" s="378">
        <v>0</v>
      </c>
      <c r="K79" s="378">
        <v>500</v>
      </c>
      <c r="L79" s="377"/>
      <c r="M79" s="378">
        <v>9706849</v>
      </c>
      <c r="N79" s="377"/>
      <c r="O79" s="378">
        <v>0</v>
      </c>
      <c r="P79" s="378">
        <v>10690000</v>
      </c>
      <c r="Q79" s="378">
        <v>9715871</v>
      </c>
      <c r="R79" s="378">
        <v>-924129</v>
      </c>
      <c r="S79" s="377"/>
      <c r="T79" s="377"/>
      <c r="U79" s="378">
        <v>6434000</v>
      </c>
    </row>
    <row r="80" spans="1:21">
      <c r="A80" s="379" t="s">
        <v>472</v>
      </c>
      <c r="B80" s="378" t="s">
        <v>393</v>
      </c>
      <c r="C80" s="381">
        <v>43657</v>
      </c>
      <c r="D80" s="378">
        <v>19.12</v>
      </c>
      <c r="E80" s="378">
        <v>60954</v>
      </c>
      <c r="F80" s="378">
        <v>-73</v>
      </c>
      <c r="G80" s="378">
        <v>3188</v>
      </c>
      <c r="H80" s="378">
        <v>0</v>
      </c>
      <c r="I80" s="378">
        <v>3188</v>
      </c>
      <c r="J80" s="378">
        <v>0</v>
      </c>
      <c r="K80" s="378">
        <v>500</v>
      </c>
      <c r="L80" s="377"/>
      <c r="M80" s="378">
        <v>9559904</v>
      </c>
      <c r="N80" s="377"/>
      <c r="O80" s="378">
        <v>0</v>
      </c>
      <c r="P80" s="378">
        <v>10050000</v>
      </c>
      <c r="Q80" s="378">
        <v>9566926</v>
      </c>
      <c r="R80" s="378">
        <v>-503074</v>
      </c>
      <c r="S80" s="377"/>
      <c r="T80" s="377"/>
      <c r="U80" s="378">
        <v>3188000</v>
      </c>
    </row>
    <row r="81" spans="1:21">
      <c r="A81" s="379" t="s">
        <v>111</v>
      </c>
      <c r="B81" s="378" t="s">
        <v>1443</v>
      </c>
      <c r="C81" s="381">
        <v>43657</v>
      </c>
      <c r="D81" s="378">
        <v>14.07</v>
      </c>
      <c r="E81" s="378">
        <v>128555</v>
      </c>
      <c r="F81" s="378">
        <v>1950</v>
      </c>
      <c r="G81" s="378">
        <v>9139</v>
      </c>
      <c r="H81" s="378">
        <v>0</v>
      </c>
      <c r="I81" s="378">
        <v>9139</v>
      </c>
      <c r="J81" s="378">
        <v>0</v>
      </c>
      <c r="K81" s="378">
        <v>500</v>
      </c>
      <c r="L81" s="377"/>
      <c r="M81" s="378">
        <v>7033294</v>
      </c>
      <c r="N81" s="377"/>
      <c r="O81" s="377"/>
      <c r="P81" s="378">
        <v>8444953</v>
      </c>
      <c r="Q81" s="378">
        <v>7039701</v>
      </c>
      <c r="R81" s="378">
        <v>-1277236</v>
      </c>
      <c r="S81" s="377"/>
      <c r="T81" s="377"/>
      <c r="U81" s="377"/>
    </row>
    <row r="82" spans="1:21">
      <c r="A82" s="379" t="s">
        <v>112</v>
      </c>
      <c r="B82" s="378" t="s">
        <v>1444</v>
      </c>
      <c r="C82" s="381">
        <v>43657</v>
      </c>
      <c r="D82" s="378">
        <v>7.77</v>
      </c>
      <c r="E82" s="378">
        <v>126421</v>
      </c>
      <c r="F82" s="378">
        <v>-986</v>
      </c>
      <c r="G82" s="378">
        <v>16276</v>
      </c>
      <c r="H82" s="378">
        <v>0</v>
      </c>
      <c r="I82" s="378">
        <v>16276</v>
      </c>
      <c r="J82" s="378">
        <v>0</v>
      </c>
      <c r="K82" s="378">
        <v>500</v>
      </c>
      <c r="L82" s="377"/>
      <c r="M82" s="378">
        <v>3883666</v>
      </c>
      <c r="N82" s="377"/>
      <c r="O82" s="377"/>
      <c r="P82" s="378">
        <v>4277033</v>
      </c>
      <c r="Q82" s="378">
        <v>3889054</v>
      </c>
      <c r="R82" s="378">
        <v>-421294</v>
      </c>
      <c r="S82" s="377"/>
      <c r="T82" s="377"/>
      <c r="U82" s="377"/>
    </row>
    <row r="83" spans="1:21">
      <c r="A83" s="379" t="s">
        <v>334</v>
      </c>
      <c r="B83" s="378" t="s">
        <v>2258</v>
      </c>
      <c r="C83" s="381">
        <v>43657</v>
      </c>
      <c r="D83" s="378">
        <v>44.3992</v>
      </c>
      <c r="E83" s="378">
        <v>19126603</v>
      </c>
      <c r="F83" s="378">
        <v>-51806</v>
      </c>
      <c r="G83" s="378">
        <v>430787</v>
      </c>
      <c r="H83" s="378">
        <v>0</v>
      </c>
      <c r="I83" s="378">
        <v>430787</v>
      </c>
      <c r="J83" s="378">
        <v>0</v>
      </c>
      <c r="K83" s="378">
        <v>500</v>
      </c>
      <c r="L83" s="377"/>
      <c r="M83" s="378">
        <v>22199600</v>
      </c>
      <c r="N83" s="377"/>
      <c r="O83" s="377"/>
      <c r="P83" s="377"/>
      <c r="Q83" s="378">
        <v>22206045</v>
      </c>
      <c r="R83" s="378">
        <v>-1840955</v>
      </c>
      <c r="S83" s="377"/>
      <c r="T83" s="378">
        <v>23982000</v>
      </c>
      <c r="U83" s="378">
        <v>390787000</v>
      </c>
    </row>
    <row r="84" spans="1:21">
      <c r="A84" s="379" t="s">
        <v>335</v>
      </c>
      <c r="B84" s="378" t="s">
        <v>2259</v>
      </c>
      <c r="C84" s="381">
        <v>43657</v>
      </c>
      <c r="D84" s="378">
        <v>23.3231</v>
      </c>
      <c r="E84" s="378">
        <v>130959</v>
      </c>
      <c r="F84" s="378">
        <v>81388</v>
      </c>
      <c r="G84" s="378">
        <v>5615</v>
      </c>
      <c r="H84" s="378">
        <v>3500</v>
      </c>
      <c r="I84" s="378">
        <v>5615</v>
      </c>
      <c r="J84" s="378">
        <v>3500</v>
      </c>
      <c r="K84" s="378">
        <v>500</v>
      </c>
      <c r="L84" s="377"/>
      <c r="M84" s="378">
        <v>11661550</v>
      </c>
      <c r="N84" s="377"/>
      <c r="O84" s="377"/>
      <c r="P84" s="377"/>
      <c r="Q84" s="378">
        <v>11664714</v>
      </c>
      <c r="R84" s="378">
        <v>-1815286</v>
      </c>
      <c r="S84" s="377"/>
      <c r="T84" s="378">
        <v>13414000</v>
      </c>
      <c r="U84" s="378">
        <v>5615000</v>
      </c>
    </row>
    <row r="85" spans="1:21">
      <c r="A85" s="379" t="s">
        <v>336</v>
      </c>
      <c r="B85" s="378" t="s">
        <v>2260</v>
      </c>
      <c r="C85" s="381">
        <v>43657</v>
      </c>
      <c r="D85" s="378">
        <v>17.282699999999998</v>
      </c>
      <c r="E85" s="378">
        <v>101778</v>
      </c>
      <c r="F85" s="378">
        <v>198</v>
      </c>
      <c r="G85" s="378">
        <v>5889</v>
      </c>
      <c r="H85" s="378">
        <v>0</v>
      </c>
      <c r="I85" s="378">
        <v>5889</v>
      </c>
      <c r="J85" s="378">
        <v>0</v>
      </c>
      <c r="K85" s="378">
        <v>500</v>
      </c>
      <c r="L85" s="377"/>
      <c r="M85" s="378">
        <v>8641350</v>
      </c>
      <c r="N85" s="377"/>
      <c r="O85" s="377"/>
      <c r="P85" s="377"/>
      <c r="Q85" s="378">
        <v>8644231</v>
      </c>
      <c r="R85" s="378">
        <v>-672769</v>
      </c>
      <c r="S85" s="377"/>
      <c r="T85" s="378">
        <v>9336000</v>
      </c>
      <c r="U85" s="378">
        <v>5889000</v>
      </c>
    </row>
    <row r="86" spans="1:21">
      <c r="A86" s="379" t="s">
        <v>114</v>
      </c>
      <c r="B86" s="378" t="s">
        <v>1445</v>
      </c>
      <c r="C86" s="381">
        <v>43657</v>
      </c>
      <c r="D86" s="378">
        <v>22.24</v>
      </c>
      <c r="E86" s="378">
        <v>441059</v>
      </c>
      <c r="F86" s="378">
        <v>4785</v>
      </c>
      <c r="G86" s="378">
        <v>19830</v>
      </c>
      <c r="H86" s="378">
        <v>0</v>
      </c>
      <c r="I86" s="378">
        <v>19830</v>
      </c>
      <c r="J86" s="378">
        <v>0</v>
      </c>
      <c r="K86" s="378">
        <v>500</v>
      </c>
      <c r="L86" s="377"/>
      <c r="M86" s="378">
        <v>11121009</v>
      </c>
      <c r="N86" s="377"/>
      <c r="O86" s="377"/>
      <c r="P86" s="378">
        <v>12250000</v>
      </c>
      <c r="Q86" s="378">
        <v>11134130</v>
      </c>
      <c r="R86" s="378">
        <v>-975870</v>
      </c>
      <c r="S86" s="377"/>
      <c r="T86" s="377"/>
      <c r="U86" s="377"/>
    </row>
    <row r="87" spans="1:21">
      <c r="A87" s="379" t="s">
        <v>113</v>
      </c>
      <c r="B87" s="378" t="s">
        <v>2261</v>
      </c>
      <c r="C87" s="381">
        <v>43657</v>
      </c>
      <c r="D87" s="378">
        <v>15.61</v>
      </c>
      <c r="E87" s="378">
        <v>103107</v>
      </c>
      <c r="F87" s="378">
        <v>-725</v>
      </c>
      <c r="G87" s="378">
        <v>6606</v>
      </c>
      <c r="H87" s="378">
        <v>0</v>
      </c>
      <c r="I87" s="378">
        <v>6606</v>
      </c>
      <c r="J87" s="378">
        <v>0</v>
      </c>
      <c r="K87" s="378">
        <v>500</v>
      </c>
      <c r="L87" s="377"/>
      <c r="M87" s="378">
        <v>7804036</v>
      </c>
      <c r="N87" s="377"/>
      <c r="O87" s="377"/>
      <c r="P87" s="378">
        <v>8590000</v>
      </c>
      <c r="Q87" s="378">
        <v>7807597</v>
      </c>
      <c r="R87" s="378">
        <v>-842403</v>
      </c>
      <c r="S87" s="377"/>
      <c r="T87" s="377"/>
      <c r="U87" s="377"/>
    </row>
    <row r="88" spans="1:21">
      <c r="A88" s="379" t="s">
        <v>333</v>
      </c>
      <c r="B88" s="378" t="s">
        <v>1446</v>
      </c>
      <c r="C88" s="381">
        <v>43657</v>
      </c>
      <c r="D88" s="378">
        <v>21.65</v>
      </c>
      <c r="E88" s="378">
        <v>3438033</v>
      </c>
      <c r="F88" s="378">
        <v>33366</v>
      </c>
      <c r="G88" s="378">
        <v>158780</v>
      </c>
      <c r="H88" s="378">
        <v>0</v>
      </c>
      <c r="I88" s="378">
        <v>158780</v>
      </c>
      <c r="J88" s="378">
        <v>0</v>
      </c>
      <c r="K88" s="378">
        <v>500</v>
      </c>
      <c r="L88" s="377"/>
      <c r="M88" s="378">
        <v>10826405</v>
      </c>
      <c r="N88" s="377"/>
      <c r="O88" s="377"/>
      <c r="P88" s="377"/>
      <c r="Q88" s="378">
        <v>10842231</v>
      </c>
      <c r="R88" s="378">
        <v>-757769</v>
      </c>
      <c r="S88" s="377"/>
      <c r="T88" s="378">
        <v>11710000</v>
      </c>
      <c r="U88" s="377"/>
    </row>
    <row r="89" spans="1:21">
      <c r="A89" s="379" t="s">
        <v>337</v>
      </c>
      <c r="B89" s="378" t="s">
        <v>2262</v>
      </c>
      <c r="C89" s="381">
        <v>43657</v>
      </c>
      <c r="D89" s="378">
        <v>15.5</v>
      </c>
      <c r="E89" s="378">
        <v>1204013</v>
      </c>
      <c r="F89" s="378">
        <v>8587</v>
      </c>
      <c r="G89" s="378">
        <v>77666</v>
      </c>
      <c r="H89" s="378">
        <v>0</v>
      </c>
      <c r="I89" s="378">
        <v>77666</v>
      </c>
      <c r="J89" s="378">
        <v>0</v>
      </c>
      <c r="K89" s="378">
        <v>500</v>
      </c>
      <c r="L89" s="377"/>
      <c r="M89" s="378">
        <v>7751224</v>
      </c>
      <c r="N89" s="377"/>
      <c r="O89" s="377"/>
      <c r="P89" s="377"/>
      <c r="Q89" s="378">
        <v>7758224</v>
      </c>
      <c r="R89" s="378">
        <v>681583</v>
      </c>
      <c r="S89" s="377"/>
      <c r="T89" s="378">
        <v>8533346</v>
      </c>
      <c r="U89" s="378">
        <v>77666000</v>
      </c>
    </row>
    <row r="90" spans="1:21">
      <c r="A90" s="379" t="s">
        <v>476</v>
      </c>
      <c r="B90" s="378" t="s">
        <v>2263</v>
      </c>
      <c r="C90" s="381">
        <v>43657</v>
      </c>
      <c r="D90" s="378">
        <v>41.462800000000001</v>
      </c>
      <c r="E90" s="378">
        <v>2615310</v>
      </c>
      <c r="F90" s="378">
        <v>-407</v>
      </c>
      <c r="G90" s="378">
        <v>63076</v>
      </c>
      <c r="H90" s="378">
        <v>0</v>
      </c>
      <c r="I90" s="378">
        <v>63076</v>
      </c>
      <c r="J90" s="378">
        <v>0</v>
      </c>
      <c r="K90" s="378">
        <v>500</v>
      </c>
      <c r="L90" s="377"/>
      <c r="M90" s="378">
        <v>20731419</v>
      </c>
      <c r="N90" s="377"/>
      <c r="O90" s="377"/>
      <c r="P90" s="377"/>
      <c r="Q90" s="378">
        <v>20738492</v>
      </c>
      <c r="R90" s="378">
        <v>-621508</v>
      </c>
      <c r="S90" s="377"/>
      <c r="T90" s="378">
        <v>21360000</v>
      </c>
      <c r="U90" s="378">
        <v>63076000</v>
      </c>
    </row>
    <row r="91" spans="1:21">
      <c r="A91" s="379" t="s">
        <v>477</v>
      </c>
      <c r="B91" s="378" t="s">
        <v>2264</v>
      </c>
      <c r="C91" s="381">
        <v>43657</v>
      </c>
      <c r="D91" s="378">
        <v>40.067100000000003</v>
      </c>
      <c r="E91" s="378">
        <v>548358</v>
      </c>
      <c r="F91" s="378">
        <v>-841</v>
      </c>
      <c r="G91" s="378">
        <v>13686</v>
      </c>
      <c r="H91" s="378">
        <v>0</v>
      </c>
      <c r="I91" s="378">
        <v>13686</v>
      </c>
      <c r="J91" s="378">
        <v>0</v>
      </c>
      <c r="K91" s="378">
        <v>500</v>
      </c>
      <c r="L91" s="377"/>
      <c r="M91" s="378">
        <v>20033544</v>
      </c>
      <c r="N91" s="377"/>
      <c r="O91" s="377"/>
      <c r="P91" s="377"/>
      <c r="Q91" s="378">
        <v>20040547</v>
      </c>
      <c r="R91" s="378">
        <v>-629453</v>
      </c>
      <c r="S91" s="377"/>
      <c r="T91" s="378">
        <v>20640000</v>
      </c>
      <c r="U91" s="378">
        <v>13686000</v>
      </c>
    </row>
    <row r="92" spans="1:21">
      <c r="A92" s="379" t="s">
        <v>478</v>
      </c>
      <c r="B92" s="378" t="s">
        <v>1447</v>
      </c>
      <c r="C92" s="381">
        <v>43657</v>
      </c>
      <c r="D92" s="378">
        <v>44.763100000000001</v>
      </c>
      <c r="E92" s="378">
        <v>19390529</v>
      </c>
      <c r="F92" s="378">
        <v>-35363</v>
      </c>
      <c r="G92" s="378">
        <v>433181</v>
      </c>
      <c r="H92" s="378">
        <v>0</v>
      </c>
      <c r="I92" s="378">
        <v>433181</v>
      </c>
      <c r="J92" s="378">
        <v>0</v>
      </c>
      <c r="K92" s="378">
        <v>500</v>
      </c>
      <c r="L92" s="377"/>
      <c r="M92" s="378">
        <v>22381555</v>
      </c>
      <c r="N92" s="377"/>
      <c r="O92" s="377"/>
      <c r="P92" s="377"/>
      <c r="Q92" s="378">
        <v>22388793</v>
      </c>
      <c r="R92" s="378">
        <v>-711207</v>
      </c>
      <c r="S92" s="377"/>
      <c r="T92" s="378">
        <v>23060000</v>
      </c>
      <c r="U92" s="378">
        <v>412181000</v>
      </c>
    </row>
    <row r="93" spans="1:21">
      <c r="A93" s="379" t="s">
        <v>473</v>
      </c>
      <c r="B93" s="378" t="s">
        <v>394</v>
      </c>
      <c r="C93" s="381">
        <v>43657</v>
      </c>
      <c r="D93" s="378">
        <v>42.175800000000002</v>
      </c>
      <c r="E93" s="378">
        <v>472875</v>
      </c>
      <c r="F93" s="378">
        <v>-702</v>
      </c>
      <c r="G93" s="378">
        <v>11212</v>
      </c>
      <c r="H93" s="378">
        <v>0</v>
      </c>
      <c r="I93" s="378">
        <v>11212</v>
      </c>
      <c r="J93" s="378">
        <v>0</v>
      </c>
      <c r="K93" s="378">
        <v>500</v>
      </c>
      <c r="L93" s="377"/>
      <c r="M93" s="378">
        <v>21087884</v>
      </c>
      <c r="N93" s="377"/>
      <c r="O93" s="378">
        <v>0</v>
      </c>
      <c r="P93" s="378">
        <v>22150000</v>
      </c>
      <c r="Q93" s="378">
        <v>21095052</v>
      </c>
      <c r="R93" s="378">
        <v>-1034948</v>
      </c>
      <c r="S93" s="377"/>
      <c r="T93" s="377"/>
      <c r="U93" s="378">
        <v>11712000</v>
      </c>
    </row>
    <row r="94" spans="1:21">
      <c r="A94" s="379" t="s">
        <v>479</v>
      </c>
      <c r="B94" s="378" t="s">
        <v>2265</v>
      </c>
      <c r="C94" s="381">
        <v>43657</v>
      </c>
      <c r="D94" s="378">
        <v>20.88</v>
      </c>
      <c r="E94" s="378">
        <v>135368</v>
      </c>
      <c r="F94" s="378">
        <v>432</v>
      </c>
      <c r="G94" s="378">
        <v>6483</v>
      </c>
      <c r="H94" s="378">
        <v>0</v>
      </c>
      <c r="I94" s="378">
        <v>6483</v>
      </c>
      <c r="J94" s="378">
        <v>0</v>
      </c>
      <c r="K94" s="378">
        <v>500</v>
      </c>
      <c r="L94" s="377"/>
      <c r="M94" s="378">
        <v>10440231</v>
      </c>
      <c r="N94" s="377"/>
      <c r="O94" s="377"/>
      <c r="P94" s="377"/>
      <c r="Q94" s="378">
        <v>10472376</v>
      </c>
      <c r="R94" s="378">
        <v>-1007624</v>
      </c>
      <c r="S94" s="377"/>
      <c r="T94" s="378">
        <v>11520000</v>
      </c>
      <c r="U94" s="377"/>
    </row>
    <row r="95" spans="1:21">
      <c r="A95" s="379" t="s">
        <v>481</v>
      </c>
      <c r="B95" s="378" t="s">
        <v>2266</v>
      </c>
      <c r="C95" s="381">
        <v>43657</v>
      </c>
      <c r="D95" s="378">
        <v>22.51</v>
      </c>
      <c r="E95" s="378">
        <v>324007</v>
      </c>
      <c r="F95" s="378">
        <v>1632</v>
      </c>
      <c r="G95" s="378">
        <v>14391</v>
      </c>
      <c r="H95" s="378">
        <v>0</v>
      </c>
      <c r="I95" s="378">
        <v>14391</v>
      </c>
      <c r="J95" s="378">
        <v>0</v>
      </c>
      <c r="K95" s="378">
        <v>500</v>
      </c>
      <c r="L95" s="378">
        <v>11255000</v>
      </c>
      <c r="M95" s="378">
        <v>11194730</v>
      </c>
      <c r="N95" s="378">
        <v>60270</v>
      </c>
      <c r="O95" s="377"/>
      <c r="P95" s="377"/>
      <c r="Q95" s="377"/>
      <c r="R95" s="377"/>
      <c r="S95" s="377"/>
      <c r="T95" s="378">
        <v>12395000</v>
      </c>
      <c r="U95" s="377"/>
    </row>
    <row r="96" spans="1:21">
      <c r="A96" s="379" t="s">
        <v>482</v>
      </c>
      <c r="B96" s="378" t="s">
        <v>2267</v>
      </c>
      <c r="C96" s="381">
        <v>43657</v>
      </c>
      <c r="D96" s="378">
        <v>21.62</v>
      </c>
      <c r="E96" s="378">
        <v>112173</v>
      </c>
      <c r="F96" s="378">
        <v>-243</v>
      </c>
      <c r="G96" s="378">
        <v>5188</v>
      </c>
      <c r="H96" s="378">
        <v>0</v>
      </c>
      <c r="I96" s="378">
        <v>5188</v>
      </c>
      <c r="J96" s="378">
        <v>0</v>
      </c>
      <c r="K96" s="378">
        <v>500</v>
      </c>
      <c r="L96" s="378">
        <v>10810000</v>
      </c>
      <c r="M96" s="378">
        <v>10552820</v>
      </c>
      <c r="N96" s="378">
        <v>257180</v>
      </c>
      <c r="O96" s="377"/>
      <c r="P96" s="377"/>
      <c r="Q96" s="377"/>
      <c r="R96" s="377"/>
      <c r="S96" s="377"/>
      <c r="T96" s="378">
        <v>11905000</v>
      </c>
      <c r="U96" s="378">
        <v>5188000</v>
      </c>
    </row>
    <row r="97" spans="1:21">
      <c r="A97" s="379" t="s">
        <v>338</v>
      </c>
      <c r="B97" s="378" t="s">
        <v>2268</v>
      </c>
      <c r="C97" s="381">
        <v>43657</v>
      </c>
      <c r="D97" s="378">
        <v>20.14</v>
      </c>
      <c r="E97" s="378">
        <v>1068434</v>
      </c>
      <c r="F97" s="378">
        <v>-5809</v>
      </c>
      <c r="G97" s="378">
        <v>53050</v>
      </c>
      <c r="H97" s="378">
        <v>0</v>
      </c>
      <c r="I97" s="378">
        <v>53050</v>
      </c>
      <c r="J97" s="378">
        <v>0</v>
      </c>
      <c r="K97" s="378">
        <v>500</v>
      </c>
      <c r="L97" s="377"/>
      <c r="M97" s="378">
        <v>10070070</v>
      </c>
      <c r="N97" s="377"/>
      <c r="O97" s="377"/>
      <c r="P97" s="378">
        <v>11101231</v>
      </c>
      <c r="Q97" s="378">
        <v>10092210</v>
      </c>
      <c r="R97" s="378">
        <v>-1276652</v>
      </c>
      <c r="S97" s="377"/>
      <c r="T97" s="377"/>
      <c r="U97" s="378">
        <v>53050000</v>
      </c>
    </row>
    <row r="98" spans="1:21">
      <c r="A98" s="379" t="s">
        <v>2037</v>
      </c>
      <c r="B98" s="378" t="s">
        <v>2269</v>
      </c>
      <c r="C98" s="381">
        <v>43657</v>
      </c>
      <c r="D98" s="378">
        <v>18.14</v>
      </c>
      <c r="E98" s="378">
        <v>119404</v>
      </c>
      <c r="F98" s="378">
        <v>-313</v>
      </c>
      <c r="G98" s="378">
        <v>6584</v>
      </c>
      <c r="H98" s="378">
        <v>0</v>
      </c>
      <c r="I98" s="378">
        <v>6584</v>
      </c>
      <c r="J98" s="378">
        <v>0</v>
      </c>
      <c r="K98" s="378">
        <v>500</v>
      </c>
      <c r="L98" s="377"/>
      <c r="M98" s="378">
        <v>9067778</v>
      </c>
      <c r="N98" s="377"/>
      <c r="O98" s="378">
        <v>0</v>
      </c>
      <c r="P98" s="378">
        <v>9980000</v>
      </c>
      <c r="Q98" s="378">
        <v>9076799</v>
      </c>
      <c r="R98" s="378">
        <v>-963201</v>
      </c>
      <c r="S98" s="377"/>
      <c r="T98" s="377"/>
      <c r="U98" s="378">
        <v>6584000</v>
      </c>
    </row>
    <row r="99" spans="1:21">
      <c r="A99" s="379" t="s">
        <v>2038</v>
      </c>
      <c r="B99" s="378" t="s">
        <v>2270</v>
      </c>
      <c r="C99" s="381">
        <v>43657</v>
      </c>
      <c r="D99" s="378">
        <v>20.059999999999999</v>
      </c>
      <c r="E99" s="378">
        <v>87357</v>
      </c>
      <c r="F99" s="378">
        <v>112</v>
      </c>
      <c r="G99" s="378">
        <v>4355</v>
      </c>
      <c r="H99" s="378">
        <v>0</v>
      </c>
      <c r="I99" s="378">
        <v>4355</v>
      </c>
      <c r="J99" s="378">
        <v>0</v>
      </c>
      <c r="K99" s="378">
        <v>500</v>
      </c>
      <c r="L99" s="377"/>
      <c r="M99" s="378">
        <v>10029520</v>
      </c>
      <c r="N99" s="377"/>
      <c r="O99" s="378">
        <v>0</v>
      </c>
      <c r="P99" s="378">
        <v>10540000</v>
      </c>
      <c r="Q99" s="378">
        <v>10036543</v>
      </c>
      <c r="R99" s="378">
        <v>-473457</v>
      </c>
      <c r="S99" s="377"/>
      <c r="T99" s="377"/>
      <c r="U99" s="378">
        <v>4355000</v>
      </c>
    </row>
    <row r="100" spans="1:21">
      <c r="A100" s="379" t="s">
        <v>2039</v>
      </c>
      <c r="B100" s="378" t="s">
        <v>2271</v>
      </c>
      <c r="C100" s="381">
        <v>43657</v>
      </c>
      <c r="D100" s="378">
        <v>19.940000000000001</v>
      </c>
      <c r="E100" s="378">
        <v>1407259</v>
      </c>
      <c r="F100" s="378">
        <v>70783</v>
      </c>
      <c r="G100" s="378">
        <v>70573</v>
      </c>
      <c r="H100" s="378">
        <v>3500</v>
      </c>
      <c r="I100" s="378">
        <v>70573</v>
      </c>
      <c r="J100" s="378">
        <v>3500</v>
      </c>
      <c r="K100" s="378">
        <v>500</v>
      </c>
      <c r="L100" s="377"/>
      <c r="M100" s="378">
        <v>9970235</v>
      </c>
      <c r="N100" s="377"/>
      <c r="O100" s="378">
        <v>0</v>
      </c>
      <c r="P100" s="378">
        <v>11970000</v>
      </c>
      <c r="Q100" s="378">
        <v>9979249</v>
      </c>
      <c r="R100" s="378">
        <v>-1980751</v>
      </c>
      <c r="S100" s="377"/>
      <c r="T100" s="377"/>
      <c r="U100" s="378">
        <v>74073000</v>
      </c>
    </row>
    <row r="101" spans="1:21">
      <c r="A101" s="379" t="s">
        <v>480</v>
      </c>
      <c r="B101" s="378" t="s">
        <v>1449</v>
      </c>
      <c r="C101" s="381">
        <v>43657</v>
      </c>
      <c r="D101" s="378">
        <v>21.1</v>
      </c>
      <c r="E101" s="378">
        <v>125773</v>
      </c>
      <c r="F101" s="378">
        <v>-777</v>
      </c>
      <c r="G101" s="378">
        <v>5960</v>
      </c>
      <c r="H101" s="378">
        <v>0</v>
      </c>
      <c r="I101" s="378">
        <v>5960</v>
      </c>
      <c r="J101" s="378">
        <v>0</v>
      </c>
      <c r="K101" s="378">
        <v>500</v>
      </c>
      <c r="L101" s="377"/>
      <c r="M101" s="378">
        <v>10551426</v>
      </c>
      <c r="N101" s="377"/>
      <c r="O101" s="377"/>
      <c r="P101" s="377"/>
      <c r="Q101" s="378">
        <v>10572253</v>
      </c>
      <c r="R101" s="378">
        <v>-1127747</v>
      </c>
      <c r="S101" s="377"/>
      <c r="T101" s="378">
        <v>11630000</v>
      </c>
      <c r="U101" s="378">
        <v>5960000</v>
      </c>
    </row>
    <row r="102" spans="1:21">
      <c r="A102" s="379" t="s">
        <v>483</v>
      </c>
      <c r="B102" s="378" t="s">
        <v>2272</v>
      </c>
      <c r="C102" s="381">
        <v>43657</v>
      </c>
      <c r="D102" s="378">
        <v>20.76</v>
      </c>
      <c r="E102" s="378">
        <v>10491262</v>
      </c>
      <c r="F102" s="378">
        <v>-9001</v>
      </c>
      <c r="G102" s="378">
        <v>505261</v>
      </c>
      <c r="H102" s="378">
        <v>0</v>
      </c>
      <c r="I102" s="378">
        <v>505261</v>
      </c>
      <c r="J102" s="378">
        <v>0</v>
      </c>
      <c r="K102" s="378">
        <v>1500</v>
      </c>
      <c r="L102" s="378">
        <v>31146067</v>
      </c>
      <c r="M102" s="378">
        <v>31146067</v>
      </c>
      <c r="N102" s="378">
        <v>0</v>
      </c>
      <c r="O102" s="377"/>
      <c r="P102" s="377"/>
      <c r="Q102" s="378">
        <v>31261087</v>
      </c>
      <c r="R102" s="378">
        <v>-2995822</v>
      </c>
      <c r="S102" s="377"/>
      <c r="T102" s="378">
        <v>34275674</v>
      </c>
      <c r="U102" s="377"/>
    </row>
    <row r="103" spans="1:21">
      <c r="A103" s="379" t="s">
        <v>484</v>
      </c>
      <c r="B103" s="378" t="s">
        <v>2273</v>
      </c>
      <c r="C103" s="381">
        <v>43657</v>
      </c>
      <c r="D103" s="378">
        <v>21.78</v>
      </c>
      <c r="E103" s="378">
        <v>10611622</v>
      </c>
      <c r="F103" s="378">
        <v>-22909</v>
      </c>
      <c r="G103" s="378">
        <v>487261</v>
      </c>
      <c r="H103" s="378">
        <v>0</v>
      </c>
      <c r="I103" s="378">
        <v>487261</v>
      </c>
      <c r="J103" s="378">
        <v>0</v>
      </c>
      <c r="K103" s="378">
        <v>1500</v>
      </c>
      <c r="L103" s="378">
        <v>32667161</v>
      </c>
      <c r="M103" s="378">
        <v>32667161</v>
      </c>
      <c r="N103" s="378">
        <v>0</v>
      </c>
      <c r="O103" s="377"/>
      <c r="P103" s="377"/>
      <c r="Q103" s="378">
        <v>32778499</v>
      </c>
      <c r="R103" s="378">
        <v>-3138340</v>
      </c>
      <c r="S103" s="377"/>
      <c r="T103" s="378">
        <v>35948877</v>
      </c>
      <c r="U103" s="377"/>
    </row>
    <row r="104" spans="1:21">
      <c r="A104" s="379" t="s">
        <v>485</v>
      </c>
      <c r="B104" s="378" t="s">
        <v>2274</v>
      </c>
      <c r="C104" s="381">
        <v>43657</v>
      </c>
      <c r="D104" s="378">
        <v>18.25</v>
      </c>
      <c r="E104" s="378">
        <v>3339575</v>
      </c>
      <c r="F104" s="378">
        <v>24970</v>
      </c>
      <c r="G104" s="378">
        <v>183011</v>
      </c>
      <c r="H104" s="378">
        <v>1000</v>
      </c>
      <c r="I104" s="378">
        <v>183011</v>
      </c>
      <c r="J104" s="378">
        <v>1000</v>
      </c>
      <c r="K104" s="378">
        <v>500</v>
      </c>
      <c r="L104" s="378">
        <v>9123974</v>
      </c>
      <c r="M104" s="378">
        <v>9123974</v>
      </c>
      <c r="N104" s="378">
        <v>0</v>
      </c>
      <c r="O104" s="377"/>
      <c r="P104" s="377"/>
      <c r="Q104" s="378">
        <v>9138098</v>
      </c>
      <c r="R104" s="378">
        <v>-881744</v>
      </c>
      <c r="S104" s="377"/>
      <c r="T104" s="378">
        <v>10051408</v>
      </c>
      <c r="U104" s="377"/>
    </row>
    <row r="105" spans="1:21">
      <c r="A105" s="379" t="s">
        <v>2040</v>
      </c>
      <c r="B105" s="378" t="s">
        <v>2275</v>
      </c>
      <c r="C105" s="381">
        <v>43657</v>
      </c>
      <c r="D105" s="378">
        <v>32.08</v>
      </c>
      <c r="E105" s="378">
        <v>3192288</v>
      </c>
      <c r="F105" s="378">
        <v>21291</v>
      </c>
      <c r="G105" s="378">
        <v>99512</v>
      </c>
      <c r="H105" s="378">
        <v>0</v>
      </c>
      <c r="I105" s="378">
        <v>99512</v>
      </c>
      <c r="J105" s="378">
        <v>0</v>
      </c>
      <c r="K105" s="378">
        <v>500</v>
      </c>
      <c r="L105" s="377"/>
      <c r="M105" s="378">
        <v>16039713</v>
      </c>
      <c r="N105" s="377"/>
      <c r="O105" s="378">
        <v>0</v>
      </c>
      <c r="P105" s="378">
        <v>17650000</v>
      </c>
      <c r="Q105" s="378">
        <v>16060768</v>
      </c>
      <c r="R105" s="378">
        <v>-1479232</v>
      </c>
      <c r="S105" s="377"/>
      <c r="T105" s="377"/>
      <c r="U105" s="378">
        <v>99512000</v>
      </c>
    </row>
    <row r="106" spans="1:21">
      <c r="A106" s="379" t="s">
        <v>2041</v>
      </c>
      <c r="B106" s="378" t="s">
        <v>2276</v>
      </c>
      <c r="C106" s="381">
        <v>43657</v>
      </c>
      <c r="D106" s="378">
        <v>22.51</v>
      </c>
      <c r="E106" s="378">
        <v>125306</v>
      </c>
      <c r="F106" s="378">
        <v>475</v>
      </c>
      <c r="G106" s="378">
        <v>5567</v>
      </c>
      <c r="H106" s="378">
        <v>0</v>
      </c>
      <c r="I106" s="378">
        <v>5567</v>
      </c>
      <c r="J106" s="378">
        <v>0</v>
      </c>
      <c r="K106" s="378">
        <v>500</v>
      </c>
      <c r="L106" s="377"/>
      <c r="M106" s="378">
        <v>11254353</v>
      </c>
      <c r="N106" s="377"/>
      <c r="O106" s="377"/>
      <c r="P106" s="378">
        <v>12384789</v>
      </c>
      <c r="Q106" s="378">
        <v>11270607</v>
      </c>
      <c r="R106" s="378">
        <v>-998731</v>
      </c>
      <c r="S106" s="377"/>
      <c r="T106" s="377"/>
      <c r="U106" s="378">
        <v>5567000</v>
      </c>
    </row>
    <row r="107" spans="1:21">
      <c r="A107" s="379" t="s">
        <v>2042</v>
      </c>
      <c r="B107" s="378" t="s">
        <v>2277</v>
      </c>
      <c r="C107" s="381">
        <v>43657</v>
      </c>
      <c r="D107" s="378">
        <v>21.69</v>
      </c>
      <c r="E107" s="378">
        <v>73413</v>
      </c>
      <c r="F107" s="378">
        <v>111</v>
      </c>
      <c r="G107" s="378">
        <v>3384</v>
      </c>
      <c r="H107" s="378">
        <v>0</v>
      </c>
      <c r="I107" s="378">
        <v>3384</v>
      </c>
      <c r="J107" s="378">
        <v>0</v>
      </c>
      <c r="K107" s="378">
        <v>500</v>
      </c>
      <c r="L107" s="377"/>
      <c r="M107" s="378">
        <v>10847009</v>
      </c>
      <c r="N107" s="377"/>
      <c r="O107" s="377"/>
      <c r="P107" s="377"/>
      <c r="Q107" s="378">
        <v>10857433</v>
      </c>
      <c r="R107" s="378">
        <v>2183527</v>
      </c>
      <c r="S107" s="377"/>
      <c r="T107" s="378">
        <v>13027919</v>
      </c>
      <c r="U107" s="378">
        <v>3384000</v>
      </c>
    </row>
    <row r="108" spans="1:21">
      <c r="A108" s="379" t="s">
        <v>2043</v>
      </c>
      <c r="B108" s="378" t="s">
        <v>2278</v>
      </c>
      <c r="C108" s="381">
        <v>43657</v>
      </c>
      <c r="D108" s="378">
        <v>15.68</v>
      </c>
      <c r="E108" s="378">
        <v>26004</v>
      </c>
      <c r="F108" s="378">
        <v>-35</v>
      </c>
      <c r="G108" s="378">
        <v>1658</v>
      </c>
      <c r="H108" s="378">
        <v>0</v>
      </c>
      <c r="I108" s="378">
        <v>1658</v>
      </c>
      <c r="J108" s="378">
        <v>0</v>
      </c>
      <c r="K108" s="378">
        <v>500</v>
      </c>
      <c r="L108" s="377"/>
      <c r="M108" s="378">
        <v>7841840</v>
      </c>
      <c r="N108" s="377"/>
      <c r="O108" s="377"/>
      <c r="P108" s="377"/>
      <c r="Q108" s="378">
        <v>7848408</v>
      </c>
      <c r="R108" s="378">
        <v>774100</v>
      </c>
      <c r="S108" s="377"/>
      <c r="T108" s="378">
        <v>8632749</v>
      </c>
      <c r="U108" s="378">
        <v>1158000</v>
      </c>
    </row>
    <row r="109" spans="1:21">
      <c r="A109" s="379" t="s">
        <v>2044</v>
      </c>
      <c r="B109" s="378" t="s">
        <v>2279</v>
      </c>
      <c r="C109" s="381">
        <v>43657</v>
      </c>
      <c r="D109" s="378">
        <v>19.96</v>
      </c>
      <c r="E109" s="378">
        <v>5581916</v>
      </c>
      <c r="F109" s="378">
        <v>-1543</v>
      </c>
      <c r="G109" s="378">
        <v>279605</v>
      </c>
      <c r="H109" s="378">
        <v>0</v>
      </c>
      <c r="I109" s="378">
        <v>279605</v>
      </c>
      <c r="J109" s="378">
        <v>0</v>
      </c>
      <c r="K109" s="378">
        <v>500</v>
      </c>
      <c r="L109" s="377"/>
      <c r="M109" s="378">
        <v>9981788</v>
      </c>
      <c r="N109" s="377"/>
      <c r="O109" s="377"/>
      <c r="P109" s="377"/>
      <c r="Q109" s="378">
        <v>9998766</v>
      </c>
      <c r="R109" s="378">
        <v>-1001234</v>
      </c>
      <c r="S109" s="377"/>
      <c r="T109" s="378">
        <v>11000000</v>
      </c>
      <c r="U109" s="378">
        <v>281105000</v>
      </c>
    </row>
    <row r="110" spans="1:21">
      <c r="A110" s="379" t="s">
        <v>2045</v>
      </c>
      <c r="B110" s="378" t="s">
        <v>2280</v>
      </c>
      <c r="C110" s="381">
        <v>43657</v>
      </c>
      <c r="D110" s="378">
        <v>20.8</v>
      </c>
      <c r="E110" s="378">
        <v>24658389</v>
      </c>
      <c r="F110" s="378">
        <v>-47244</v>
      </c>
      <c r="G110" s="378">
        <v>1185501</v>
      </c>
      <c r="H110" s="378">
        <v>0</v>
      </c>
      <c r="I110" s="378">
        <v>1185501</v>
      </c>
      <c r="J110" s="378">
        <v>0</v>
      </c>
      <c r="K110" s="378">
        <v>500</v>
      </c>
      <c r="L110" s="377"/>
      <c r="M110" s="378">
        <v>10399987</v>
      </c>
      <c r="N110" s="377"/>
      <c r="O110" s="377"/>
      <c r="P110" s="377"/>
      <c r="Q110" s="378">
        <v>10408107</v>
      </c>
      <c r="R110" s="378">
        <v>-331893</v>
      </c>
      <c r="S110" s="377"/>
      <c r="T110" s="378">
        <v>10720000</v>
      </c>
      <c r="U110" s="377"/>
    </row>
    <row r="111" spans="1:21">
      <c r="A111" s="379" t="s">
        <v>2046</v>
      </c>
      <c r="B111" s="378" t="s">
        <v>2281</v>
      </c>
      <c r="C111" s="381">
        <v>43657</v>
      </c>
      <c r="D111" s="378">
        <v>32.811500000000002</v>
      </c>
      <c r="E111" s="378">
        <v>1230891</v>
      </c>
      <c r="F111" s="378">
        <v>-218</v>
      </c>
      <c r="G111" s="378">
        <v>37514</v>
      </c>
      <c r="H111" s="378">
        <v>0</v>
      </c>
      <c r="I111" s="378">
        <v>37514</v>
      </c>
      <c r="J111" s="378">
        <v>0</v>
      </c>
      <c r="K111" s="378">
        <v>500</v>
      </c>
      <c r="L111" s="377"/>
      <c r="M111" s="378">
        <v>16405755</v>
      </c>
      <c r="N111" s="377"/>
      <c r="O111" s="378">
        <v>0</v>
      </c>
      <c r="P111" s="378">
        <v>16910000</v>
      </c>
      <c r="Q111" s="378">
        <v>16412423</v>
      </c>
      <c r="R111" s="378">
        <v>-467577</v>
      </c>
      <c r="S111" s="377"/>
      <c r="T111" s="377"/>
      <c r="U111" s="378">
        <v>37514000</v>
      </c>
    </row>
    <row r="112" spans="1:21">
      <c r="A112" s="379" t="s">
        <v>2047</v>
      </c>
      <c r="B112" s="378" t="s">
        <v>2282</v>
      </c>
      <c r="C112" s="381">
        <v>43657</v>
      </c>
      <c r="D112" s="378">
        <v>44.081800000000001</v>
      </c>
      <c r="E112" s="378">
        <v>35137971</v>
      </c>
      <c r="F112" s="378">
        <v>-166284</v>
      </c>
      <c r="G112" s="378">
        <v>797109</v>
      </c>
      <c r="H112" s="378">
        <v>0</v>
      </c>
      <c r="I112" s="378">
        <v>797109</v>
      </c>
      <c r="J112" s="378">
        <v>0</v>
      </c>
      <c r="K112" s="378">
        <v>500</v>
      </c>
      <c r="L112" s="377"/>
      <c r="M112" s="378">
        <v>22040882</v>
      </c>
      <c r="N112" s="377"/>
      <c r="O112" s="378">
        <v>0</v>
      </c>
      <c r="P112" s="378">
        <v>23810000</v>
      </c>
      <c r="Q112" s="378">
        <v>22078966</v>
      </c>
      <c r="R112" s="378">
        <v>-1791034</v>
      </c>
      <c r="S112" s="377"/>
      <c r="T112" s="377"/>
      <c r="U112" s="378">
        <v>797609000</v>
      </c>
    </row>
    <row r="113" spans="1:21">
      <c r="A113" s="379" t="s">
        <v>2048</v>
      </c>
      <c r="B113" s="378" t="s">
        <v>2283</v>
      </c>
      <c r="C113" s="381">
        <v>43657</v>
      </c>
      <c r="D113" s="378">
        <v>47.301400000000001</v>
      </c>
      <c r="E113" s="378">
        <v>12493352</v>
      </c>
      <c r="F113" s="378">
        <v>7084</v>
      </c>
      <c r="G113" s="378">
        <v>264122</v>
      </c>
      <c r="H113" s="378">
        <v>0</v>
      </c>
      <c r="I113" s="378">
        <v>264122</v>
      </c>
      <c r="J113" s="378">
        <v>0</v>
      </c>
      <c r="K113" s="378">
        <v>500</v>
      </c>
      <c r="L113" s="377"/>
      <c r="M113" s="378">
        <v>23650721</v>
      </c>
      <c r="N113" s="377"/>
      <c r="O113" s="378">
        <v>0</v>
      </c>
      <c r="P113" s="378">
        <v>24840000</v>
      </c>
      <c r="Q113" s="378">
        <v>23667572</v>
      </c>
      <c r="R113" s="378">
        <v>-1152428</v>
      </c>
      <c r="S113" s="377"/>
      <c r="T113" s="377"/>
      <c r="U113" s="378">
        <v>264122000</v>
      </c>
    </row>
    <row r="114" spans="1:21">
      <c r="A114" s="379" t="s">
        <v>2049</v>
      </c>
      <c r="B114" s="378" t="s">
        <v>2284</v>
      </c>
      <c r="C114" s="381">
        <v>43657</v>
      </c>
      <c r="D114" s="378">
        <v>46.2393</v>
      </c>
      <c r="E114" s="378">
        <v>19732110</v>
      </c>
      <c r="F114" s="378">
        <v>-92695</v>
      </c>
      <c r="G114" s="378">
        <v>426739</v>
      </c>
      <c r="H114" s="378">
        <v>0</v>
      </c>
      <c r="I114" s="378">
        <v>426739</v>
      </c>
      <c r="J114" s="378">
        <v>0</v>
      </c>
      <c r="K114" s="378">
        <v>500</v>
      </c>
      <c r="L114" s="377"/>
      <c r="M114" s="378">
        <v>23119647</v>
      </c>
      <c r="N114" s="377"/>
      <c r="O114" s="377"/>
      <c r="P114" s="378">
        <v>24508826</v>
      </c>
      <c r="Q114" s="378">
        <v>23204878</v>
      </c>
      <c r="R114" s="378">
        <v>-1311737</v>
      </c>
      <c r="S114" s="377"/>
      <c r="T114" s="377"/>
      <c r="U114" s="378">
        <v>426739000</v>
      </c>
    </row>
    <row r="115" spans="1:21">
      <c r="A115" s="379" t="s">
        <v>2050</v>
      </c>
      <c r="B115" s="378" t="s">
        <v>2285</v>
      </c>
      <c r="C115" s="381">
        <v>43657</v>
      </c>
      <c r="D115" s="378">
        <v>43.316000000000003</v>
      </c>
      <c r="E115" s="378">
        <v>42496576</v>
      </c>
      <c r="F115" s="378">
        <v>2031283</v>
      </c>
      <c r="G115" s="378">
        <v>981083</v>
      </c>
      <c r="H115" s="378">
        <v>50000</v>
      </c>
      <c r="I115" s="378">
        <v>981083</v>
      </c>
      <c r="J115" s="378">
        <v>50000</v>
      </c>
      <c r="K115" s="378">
        <v>500</v>
      </c>
      <c r="L115" s="377"/>
      <c r="M115" s="378">
        <v>21657992</v>
      </c>
      <c r="N115" s="377"/>
      <c r="O115" s="377"/>
      <c r="P115" s="378">
        <v>22959472</v>
      </c>
      <c r="Q115" s="378">
        <v>21753121</v>
      </c>
      <c r="R115" s="378">
        <v>-1153900</v>
      </c>
      <c r="S115" s="377"/>
      <c r="T115" s="377"/>
      <c r="U115" s="378">
        <v>981083000</v>
      </c>
    </row>
    <row r="116" spans="1:21">
      <c r="A116" s="379" t="s">
        <v>2051</v>
      </c>
      <c r="B116" s="378" t="s">
        <v>2286</v>
      </c>
      <c r="C116" s="381">
        <v>43657</v>
      </c>
      <c r="D116" s="378">
        <v>42.949399999999997</v>
      </c>
      <c r="E116" s="378">
        <v>60720771</v>
      </c>
      <c r="F116" s="378">
        <v>-228343</v>
      </c>
      <c r="G116" s="378">
        <v>1413775</v>
      </c>
      <c r="H116" s="378">
        <v>1000</v>
      </c>
      <c r="I116" s="378">
        <v>1413775</v>
      </c>
      <c r="J116" s="378">
        <v>1000</v>
      </c>
      <c r="K116" s="378">
        <v>500</v>
      </c>
      <c r="L116" s="377"/>
      <c r="M116" s="378">
        <v>21474694</v>
      </c>
      <c r="N116" s="377"/>
      <c r="O116" s="377"/>
      <c r="P116" s="378">
        <v>22765176</v>
      </c>
      <c r="Q116" s="378">
        <v>21541118</v>
      </c>
      <c r="R116" s="378">
        <v>-1185200</v>
      </c>
      <c r="S116" s="377"/>
      <c r="T116" s="377"/>
      <c r="U116" s="378">
        <v>1413775000</v>
      </c>
    </row>
    <row r="117" spans="1:21">
      <c r="A117" s="379" t="s">
        <v>2052</v>
      </c>
      <c r="B117" s="378" t="s">
        <v>2287</v>
      </c>
      <c r="C117" s="381">
        <v>43657</v>
      </c>
      <c r="D117" s="378">
        <v>44.906199999999998</v>
      </c>
      <c r="E117" s="378">
        <v>21878576</v>
      </c>
      <c r="F117" s="378">
        <v>-97355</v>
      </c>
      <c r="G117" s="378">
        <v>487206</v>
      </c>
      <c r="H117" s="378">
        <v>0</v>
      </c>
      <c r="I117" s="378">
        <v>487206</v>
      </c>
      <c r="J117" s="378">
        <v>0</v>
      </c>
      <c r="K117" s="378">
        <v>500</v>
      </c>
      <c r="L117" s="377"/>
      <c r="M117" s="378">
        <v>22453100</v>
      </c>
      <c r="N117" s="377"/>
      <c r="O117" s="377"/>
      <c r="P117" s="377"/>
      <c r="Q117" s="378">
        <v>22455107</v>
      </c>
      <c r="R117" s="378">
        <v>-1903893</v>
      </c>
      <c r="S117" s="377"/>
      <c r="T117" s="378">
        <v>24251000</v>
      </c>
      <c r="U117" s="378">
        <v>487206000</v>
      </c>
    </row>
    <row r="118" spans="1:21">
      <c r="A118" s="379" t="s">
        <v>2053</v>
      </c>
      <c r="B118" s="378" t="s">
        <v>2288</v>
      </c>
      <c r="C118" s="381">
        <v>43657</v>
      </c>
      <c r="D118" s="378">
        <v>45.5413</v>
      </c>
      <c r="E118" s="378">
        <v>18899127</v>
      </c>
      <c r="F118" s="378">
        <v>-44507</v>
      </c>
      <c r="G118" s="378">
        <v>414989</v>
      </c>
      <c r="H118" s="378">
        <v>0</v>
      </c>
      <c r="I118" s="378">
        <v>414989</v>
      </c>
      <c r="J118" s="378">
        <v>0</v>
      </c>
      <c r="K118" s="378">
        <v>500</v>
      </c>
      <c r="L118" s="377"/>
      <c r="M118" s="378">
        <v>22770650</v>
      </c>
      <c r="N118" s="377"/>
      <c r="O118" s="377"/>
      <c r="P118" s="377"/>
      <c r="Q118" s="378">
        <v>22772636</v>
      </c>
      <c r="R118" s="378">
        <v>-1879364</v>
      </c>
      <c r="S118" s="377"/>
      <c r="T118" s="378">
        <v>24594000</v>
      </c>
      <c r="U118" s="378">
        <v>393489000</v>
      </c>
    </row>
    <row r="119" spans="1:21">
      <c r="A119" s="379" t="s">
        <v>2054</v>
      </c>
      <c r="B119" s="378" t="s">
        <v>2289</v>
      </c>
      <c r="C119" s="381">
        <v>43657</v>
      </c>
      <c r="D119" s="378">
        <v>43.587000000000003</v>
      </c>
      <c r="E119" s="378">
        <v>6371939</v>
      </c>
      <c r="F119" s="378">
        <v>-12331</v>
      </c>
      <c r="G119" s="378">
        <v>146189</v>
      </c>
      <c r="H119" s="378">
        <v>0</v>
      </c>
      <c r="I119" s="378">
        <v>146189</v>
      </c>
      <c r="J119" s="378">
        <v>0</v>
      </c>
      <c r="K119" s="378">
        <v>500</v>
      </c>
      <c r="L119" s="377"/>
      <c r="M119" s="378">
        <v>21793500</v>
      </c>
      <c r="N119" s="377"/>
      <c r="O119" s="377"/>
      <c r="P119" s="377"/>
      <c r="Q119" s="378">
        <v>21795496</v>
      </c>
      <c r="R119" s="378">
        <v>-1789504</v>
      </c>
      <c r="S119" s="377"/>
      <c r="T119" s="378">
        <v>23539000</v>
      </c>
      <c r="U119" s="378">
        <v>146189000</v>
      </c>
    </row>
    <row r="120" spans="1:21">
      <c r="A120" s="379" t="s">
        <v>2055</v>
      </c>
      <c r="B120" s="378" t="s">
        <v>2290</v>
      </c>
      <c r="C120" s="381">
        <v>43657</v>
      </c>
      <c r="D120" s="378">
        <v>18.86</v>
      </c>
      <c r="E120" s="378">
        <v>281515</v>
      </c>
      <c r="F120" s="378">
        <v>3383</v>
      </c>
      <c r="G120" s="378">
        <v>14923</v>
      </c>
      <c r="H120" s="378">
        <v>0</v>
      </c>
      <c r="I120" s="378">
        <v>14923</v>
      </c>
      <c r="J120" s="378">
        <v>0</v>
      </c>
      <c r="K120" s="377"/>
      <c r="L120" s="377"/>
      <c r="M120" s="378">
        <v>9432238</v>
      </c>
      <c r="N120" s="377"/>
      <c r="O120" s="377"/>
      <c r="P120" s="378">
        <v>10390000</v>
      </c>
      <c r="Q120" s="378">
        <v>9443670</v>
      </c>
      <c r="R120" s="378">
        <v>-816330</v>
      </c>
      <c r="S120" s="377"/>
      <c r="T120" s="377"/>
      <c r="U120" s="377"/>
    </row>
    <row r="121" spans="1:21">
      <c r="A121" s="379" t="s">
        <v>2056</v>
      </c>
      <c r="B121" s="378" t="s">
        <v>2291</v>
      </c>
      <c r="C121" s="381">
        <v>43657</v>
      </c>
      <c r="D121" s="378">
        <v>18.63</v>
      </c>
      <c r="E121" s="378">
        <v>3027516</v>
      </c>
      <c r="F121" s="378">
        <v>26530</v>
      </c>
      <c r="G121" s="378">
        <v>162544</v>
      </c>
      <c r="H121" s="378">
        <v>500</v>
      </c>
      <c r="I121" s="378">
        <v>162544</v>
      </c>
      <c r="J121" s="378">
        <v>500</v>
      </c>
      <c r="K121" s="378">
        <v>500</v>
      </c>
      <c r="L121" s="377"/>
      <c r="M121" s="378">
        <v>9312913</v>
      </c>
      <c r="N121" s="377"/>
      <c r="O121" s="377"/>
      <c r="P121" s="377"/>
      <c r="Q121" s="378">
        <v>9327226</v>
      </c>
      <c r="R121" s="378">
        <v>-692774</v>
      </c>
      <c r="S121" s="377"/>
      <c r="T121" s="378">
        <v>10070000</v>
      </c>
      <c r="U121" s="377"/>
    </row>
    <row r="122" spans="1:21">
      <c r="A122" s="379" t="s">
        <v>2057</v>
      </c>
      <c r="B122" s="378" t="s">
        <v>2292</v>
      </c>
      <c r="C122" s="381">
        <v>43657</v>
      </c>
      <c r="D122" s="378">
        <v>49.9</v>
      </c>
      <c r="E122" s="378">
        <v>2824186</v>
      </c>
      <c r="F122" s="378">
        <v>9642</v>
      </c>
      <c r="G122" s="378">
        <v>56600</v>
      </c>
      <c r="H122" s="378">
        <v>0</v>
      </c>
      <c r="I122" s="378">
        <v>56600</v>
      </c>
      <c r="J122" s="378">
        <v>0</v>
      </c>
      <c r="K122" s="378">
        <v>500</v>
      </c>
      <c r="L122" s="378">
        <v>24948640</v>
      </c>
      <c r="M122" s="378">
        <v>24948640</v>
      </c>
      <c r="N122" s="378">
        <v>0</v>
      </c>
      <c r="O122" s="377"/>
      <c r="P122" s="377"/>
      <c r="Q122" s="378">
        <v>24978588</v>
      </c>
      <c r="R122" s="378">
        <v>-2403573</v>
      </c>
      <c r="S122" s="377"/>
      <c r="T122" s="378">
        <v>27475948</v>
      </c>
      <c r="U122" s="377"/>
    </row>
    <row r="123" spans="1:21">
      <c r="A123" s="379" t="s">
        <v>2058</v>
      </c>
      <c r="B123" s="378" t="s">
        <v>2293</v>
      </c>
      <c r="C123" s="381">
        <v>43657</v>
      </c>
      <c r="D123" s="378">
        <v>40.0212</v>
      </c>
      <c r="E123" s="378">
        <v>7895061</v>
      </c>
      <c r="F123" s="378">
        <v>7724</v>
      </c>
      <c r="G123" s="378">
        <v>197272</v>
      </c>
      <c r="H123" s="378">
        <v>0</v>
      </c>
      <c r="I123" s="378">
        <v>197272</v>
      </c>
      <c r="J123" s="378">
        <v>0</v>
      </c>
      <c r="K123" s="378">
        <v>1500</v>
      </c>
      <c r="L123" s="377"/>
      <c r="M123" s="378">
        <v>60031800</v>
      </c>
      <c r="N123" s="377"/>
      <c r="O123" s="377"/>
      <c r="P123" s="377"/>
      <c r="Q123" s="378">
        <v>60067809</v>
      </c>
      <c r="R123" s="378">
        <v>-2941191</v>
      </c>
      <c r="S123" s="377"/>
      <c r="T123" s="378">
        <v>63071000</v>
      </c>
      <c r="U123" s="378">
        <v>197272000</v>
      </c>
    </row>
    <row r="124" spans="1:21">
      <c r="A124" s="379" t="s">
        <v>2059</v>
      </c>
      <c r="B124" s="378" t="s">
        <v>2294</v>
      </c>
      <c r="C124" s="381">
        <v>43657</v>
      </c>
      <c r="D124" s="378">
        <v>17.78</v>
      </c>
      <c r="E124" s="378">
        <v>132742</v>
      </c>
      <c r="F124" s="378">
        <v>1044</v>
      </c>
      <c r="G124" s="378">
        <v>7466</v>
      </c>
      <c r="H124" s="378">
        <v>0</v>
      </c>
      <c r="I124" s="378">
        <v>7466</v>
      </c>
      <c r="J124" s="378">
        <v>0</v>
      </c>
      <c r="K124" s="378">
        <v>500</v>
      </c>
      <c r="L124" s="377"/>
      <c r="M124" s="378">
        <v>8889798</v>
      </c>
      <c r="N124" s="377"/>
      <c r="O124" s="377"/>
      <c r="P124" s="377"/>
      <c r="Q124" s="378">
        <v>8903688</v>
      </c>
      <c r="R124" s="378">
        <v>-636312</v>
      </c>
      <c r="S124" s="377"/>
      <c r="T124" s="378">
        <v>9620000</v>
      </c>
      <c r="U124" s="377"/>
    </row>
    <row r="125" spans="1:21">
      <c r="A125" s="379" t="s">
        <v>2060</v>
      </c>
      <c r="B125" s="378" t="s">
        <v>2295</v>
      </c>
      <c r="C125" s="381">
        <v>43657</v>
      </c>
      <c r="D125" s="378">
        <v>22.56</v>
      </c>
      <c r="E125" s="378">
        <v>371742</v>
      </c>
      <c r="F125" s="378">
        <v>-863</v>
      </c>
      <c r="G125" s="378">
        <v>16479</v>
      </c>
      <c r="H125" s="378">
        <v>0</v>
      </c>
      <c r="I125" s="378">
        <v>16479</v>
      </c>
      <c r="J125" s="378">
        <v>0</v>
      </c>
      <c r="K125" s="378">
        <v>2500</v>
      </c>
      <c r="L125" s="377"/>
      <c r="M125" s="378">
        <v>56396347</v>
      </c>
      <c r="N125" s="377"/>
      <c r="O125" s="377"/>
      <c r="P125" s="378">
        <v>62045981</v>
      </c>
      <c r="Q125" s="378">
        <v>56519140</v>
      </c>
      <c r="R125" s="378">
        <v>-5539609</v>
      </c>
      <c r="S125" s="377"/>
      <c r="T125" s="377"/>
      <c r="U125" s="378">
        <v>16479000</v>
      </c>
    </row>
    <row r="126" spans="1:21">
      <c r="A126" s="379" t="s">
        <v>2061</v>
      </c>
      <c r="B126" s="378" t="s">
        <v>2296</v>
      </c>
      <c r="C126" s="381">
        <v>43657</v>
      </c>
      <c r="D126" s="378">
        <v>17.829999999999998</v>
      </c>
      <c r="E126" s="378">
        <v>121061</v>
      </c>
      <c r="F126" s="378">
        <v>1410</v>
      </c>
      <c r="G126" s="378">
        <v>6789</v>
      </c>
      <c r="H126" s="378">
        <v>0</v>
      </c>
      <c r="I126" s="378">
        <v>6789</v>
      </c>
      <c r="J126" s="378">
        <v>0</v>
      </c>
      <c r="K126" s="378">
        <v>500</v>
      </c>
      <c r="L126" s="378">
        <v>8915000</v>
      </c>
      <c r="M126" s="378">
        <v>8825608</v>
      </c>
      <c r="N126" s="378">
        <v>89392</v>
      </c>
      <c r="O126" s="377"/>
      <c r="P126" s="377"/>
      <c r="Q126" s="377"/>
      <c r="R126" s="377"/>
      <c r="S126" s="377"/>
      <c r="T126" s="378">
        <v>9818000</v>
      </c>
      <c r="U126" s="377"/>
    </row>
    <row r="127" spans="1:21">
      <c r="A127" s="379" t="s">
        <v>2062</v>
      </c>
      <c r="B127" s="378" t="s">
        <v>2297</v>
      </c>
      <c r="C127" s="381">
        <v>43657</v>
      </c>
      <c r="D127" s="378">
        <v>20.21</v>
      </c>
      <c r="E127" s="378">
        <v>156197</v>
      </c>
      <c r="F127" s="378">
        <v>-702</v>
      </c>
      <c r="G127" s="378">
        <v>7727</v>
      </c>
      <c r="H127" s="378">
        <v>0</v>
      </c>
      <c r="I127" s="378">
        <v>7727</v>
      </c>
      <c r="J127" s="378">
        <v>0</v>
      </c>
      <c r="K127" s="378">
        <v>500</v>
      </c>
      <c r="L127" s="378">
        <v>10105000</v>
      </c>
      <c r="M127" s="378">
        <v>10105000</v>
      </c>
      <c r="N127" s="378">
        <v>0</v>
      </c>
      <c r="O127" s="377"/>
      <c r="P127" s="377"/>
      <c r="Q127" s="377"/>
      <c r="R127" s="377"/>
      <c r="S127" s="377"/>
      <c r="T127" s="378">
        <v>11134000</v>
      </c>
      <c r="U127" s="378">
        <v>7727000</v>
      </c>
    </row>
    <row r="128" spans="1:21">
      <c r="A128" s="379" t="s">
        <v>2063</v>
      </c>
      <c r="B128" s="378" t="s">
        <v>2298</v>
      </c>
      <c r="C128" s="381">
        <v>43657</v>
      </c>
      <c r="D128" s="378">
        <v>22.59</v>
      </c>
      <c r="E128" s="378">
        <v>1186917</v>
      </c>
      <c r="F128" s="378">
        <v>143</v>
      </c>
      <c r="G128" s="378">
        <v>52538</v>
      </c>
      <c r="H128" s="378">
        <v>0</v>
      </c>
      <c r="I128" s="378">
        <v>52538</v>
      </c>
      <c r="J128" s="378">
        <v>0</v>
      </c>
      <c r="K128" s="378">
        <v>500</v>
      </c>
      <c r="L128" s="378">
        <v>11295000</v>
      </c>
      <c r="M128" s="378">
        <v>11075329</v>
      </c>
      <c r="N128" s="378">
        <v>219671</v>
      </c>
      <c r="O128" s="377"/>
      <c r="P128" s="377"/>
      <c r="Q128" s="377"/>
      <c r="R128" s="377"/>
      <c r="S128" s="377"/>
      <c r="T128" s="378">
        <v>12439000</v>
      </c>
      <c r="U128" s="378">
        <v>52038000</v>
      </c>
    </row>
    <row r="129" spans="1:21">
      <c r="A129" s="379" t="s">
        <v>2064</v>
      </c>
      <c r="B129" s="378" t="s">
        <v>2299</v>
      </c>
      <c r="C129" s="381">
        <v>43657</v>
      </c>
      <c r="D129" s="378">
        <v>17.45</v>
      </c>
      <c r="E129" s="378">
        <v>563674</v>
      </c>
      <c r="F129" s="378">
        <v>3633</v>
      </c>
      <c r="G129" s="378">
        <v>32299</v>
      </c>
      <c r="H129" s="378">
        <v>0</v>
      </c>
      <c r="I129" s="378">
        <v>32299</v>
      </c>
      <c r="J129" s="378">
        <v>0</v>
      </c>
      <c r="K129" s="378">
        <v>500</v>
      </c>
      <c r="L129" s="377"/>
      <c r="M129" s="378">
        <v>8725872</v>
      </c>
      <c r="N129" s="377"/>
      <c r="O129" s="378">
        <v>0</v>
      </c>
      <c r="P129" s="378">
        <v>9610000</v>
      </c>
      <c r="Q129" s="378">
        <v>8732885</v>
      </c>
      <c r="R129" s="378">
        <v>-777115</v>
      </c>
      <c r="S129" s="377"/>
      <c r="T129" s="377"/>
      <c r="U129" s="378">
        <v>32299000</v>
      </c>
    </row>
    <row r="130" spans="1:21">
      <c r="A130" s="379" t="s">
        <v>2065</v>
      </c>
      <c r="B130" s="378" t="s">
        <v>2300</v>
      </c>
      <c r="C130" s="381">
        <v>43657</v>
      </c>
      <c r="D130" s="378">
        <v>21.08</v>
      </c>
      <c r="E130" s="378">
        <v>3014228</v>
      </c>
      <c r="F130" s="378">
        <v>-16519</v>
      </c>
      <c r="G130" s="378">
        <v>142988</v>
      </c>
      <c r="H130" s="378">
        <v>-500</v>
      </c>
      <c r="I130" s="378">
        <v>142988</v>
      </c>
      <c r="J130" s="378">
        <v>-500</v>
      </c>
      <c r="K130" s="378">
        <v>500</v>
      </c>
      <c r="L130" s="377"/>
      <c r="M130" s="378">
        <v>10540144</v>
      </c>
      <c r="N130" s="377"/>
      <c r="O130" s="378">
        <v>0</v>
      </c>
      <c r="P130" s="378">
        <v>11600000</v>
      </c>
      <c r="Q130" s="378">
        <v>10557804</v>
      </c>
      <c r="R130" s="378">
        <v>-1322196</v>
      </c>
      <c r="S130" s="377"/>
      <c r="T130" s="377"/>
      <c r="U130" s="378">
        <v>142988000</v>
      </c>
    </row>
    <row r="131" spans="1:21">
      <c r="A131" s="379" t="s">
        <v>2066</v>
      </c>
      <c r="B131" s="378" t="s">
        <v>2301</v>
      </c>
      <c r="C131" s="381">
        <v>43657</v>
      </c>
      <c r="D131" s="378">
        <v>47.551400000000001</v>
      </c>
      <c r="E131" s="378">
        <v>13122809</v>
      </c>
      <c r="F131" s="378">
        <v>-50623</v>
      </c>
      <c r="G131" s="378">
        <v>275971</v>
      </c>
      <c r="H131" s="378">
        <v>0</v>
      </c>
      <c r="I131" s="378">
        <v>275971</v>
      </c>
      <c r="J131" s="378">
        <v>0</v>
      </c>
      <c r="K131" s="378">
        <v>1000</v>
      </c>
      <c r="L131" s="377"/>
      <c r="M131" s="378">
        <v>47551405</v>
      </c>
      <c r="N131" s="377"/>
      <c r="O131" s="377"/>
      <c r="P131" s="377"/>
      <c r="Q131" s="378">
        <v>47772343</v>
      </c>
      <c r="R131" s="378">
        <v>-2357657</v>
      </c>
      <c r="S131" s="377"/>
      <c r="T131" s="378">
        <v>49940000</v>
      </c>
      <c r="U131" s="378">
        <v>275971000</v>
      </c>
    </row>
    <row r="132" spans="1:21">
      <c r="A132" s="379" t="s">
        <v>2067</v>
      </c>
      <c r="B132" s="378" t="s">
        <v>2302</v>
      </c>
      <c r="C132" s="381">
        <v>43657</v>
      </c>
      <c r="D132" s="378">
        <v>42.220599999999997</v>
      </c>
      <c r="E132" s="378">
        <v>406500</v>
      </c>
      <c r="F132" s="378">
        <v>-87</v>
      </c>
      <c r="G132" s="378">
        <v>9628</v>
      </c>
      <c r="H132" s="378">
        <v>0</v>
      </c>
      <c r="I132" s="378">
        <v>9628</v>
      </c>
      <c r="J132" s="378">
        <v>0</v>
      </c>
      <c r="K132" s="378">
        <v>1000</v>
      </c>
      <c r="L132" s="377"/>
      <c r="M132" s="378">
        <v>42220640</v>
      </c>
      <c r="N132" s="377"/>
      <c r="O132" s="377"/>
      <c r="P132" s="377"/>
      <c r="Q132" s="378">
        <v>42356162</v>
      </c>
      <c r="R132" s="378">
        <v>-3263838</v>
      </c>
      <c r="S132" s="377"/>
      <c r="T132" s="378">
        <v>45610000</v>
      </c>
      <c r="U132" s="378">
        <v>9628000</v>
      </c>
    </row>
    <row r="133" spans="1:21">
      <c r="A133" s="379" t="s">
        <v>2068</v>
      </c>
      <c r="B133" s="378" t="s">
        <v>2303</v>
      </c>
      <c r="C133" s="381">
        <v>43657</v>
      </c>
      <c r="D133" s="378">
        <v>21.4</v>
      </c>
      <c r="E133" s="378">
        <v>1008166</v>
      </c>
      <c r="F133" s="378">
        <v>1269</v>
      </c>
      <c r="G133" s="378">
        <v>47110</v>
      </c>
      <c r="H133" s="378">
        <v>0</v>
      </c>
      <c r="I133" s="378">
        <v>47110</v>
      </c>
      <c r="J133" s="378">
        <v>0</v>
      </c>
      <c r="K133" s="378">
        <v>500</v>
      </c>
      <c r="L133" s="377"/>
      <c r="M133" s="378">
        <v>10700130</v>
      </c>
      <c r="N133" s="377"/>
      <c r="O133" s="377"/>
      <c r="P133" s="378">
        <v>11790000</v>
      </c>
      <c r="Q133" s="378">
        <v>10715830</v>
      </c>
      <c r="R133" s="378">
        <v>-1054170</v>
      </c>
      <c r="S133" s="377"/>
      <c r="T133" s="377"/>
      <c r="U133" s="377"/>
    </row>
    <row r="134" spans="1:21">
      <c r="A134" s="379" t="s">
        <v>2069</v>
      </c>
      <c r="B134" s="378" t="s">
        <v>2304</v>
      </c>
      <c r="C134" s="381">
        <v>43657</v>
      </c>
      <c r="D134" s="378">
        <v>20.94</v>
      </c>
      <c r="E134" s="378">
        <v>185294</v>
      </c>
      <c r="F134" s="378">
        <v>-642</v>
      </c>
      <c r="G134" s="378">
        <v>8847</v>
      </c>
      <c r="H134" s="378">
        <v>0</v>
      </c>
      <c r="I134" s="378">
        <v>8847</v>
      </c>
      <c r="J134" s="378">
        <v>0</v>
      </c>
      <c r="K134" s="378">
        <v>500</v>
      </c>
      <c r="L134" s="378">
        <v>10470000</v>
      </c>
      <c r="M134" s="378">
        <v>10302933</v>
      </c>
      <c r="N134" s="378">
        <v>167067</v>
      </c>
      <c r="O134" s="377"/>
      <c r="P134" s="377"/>
      <c r="Q134" s="377"/>
      <c r="R134" s="377"/>
      <c r="S134" s="377"/>
      <c r="T134" s="378">
        <v>11542000</v>
      </c>
      <c r="U134" s="377"/>
    </row>
    <row r="135" spans="1:21">
      <c r="A135" s="379" t="s">
        <v>2070</v>
      </c>
      <c r="B135" s="378" t="s">
        <v>2305</v>
      </c>
      <c r="C135" s="381">
        <v>43657</v>
      </c>
      <c r="D135" s="378">
        <v>42.779600000000002</v>
      </c>
      <c r="E135" s="378">
        <v>29869918</v>
      </c>
      <c r="F135" s="378">
        <v>96845</v>
      </c>
      <c r="G135" s="378">
        <v>698228</v>
      </c>
      <c r="H135" s="378">
        <v>1500</v>
      </c>
      <c r="I135" s="378">
        <v>698228</v>
      </c>
      <c r="J135" s="378">
        <v>1500</v>
      </c>
      <c r="K135" s="378">
        <v>1500</v>
      </c>
      <c r="L135" s="377"/>
      <c r="M135" s="378">
        <v>64169400</v>
      </c>
      <c r="N135" s="377"/>
      <c r="O135" s="377"/>
      <c r="P135" s="377"/>
      <c r="Q135" s="378">
        <v>64207492</v>
      </c>
      <c r="R135" s="378">
        <v>-3136508</v>
      </c>
      <c r="S135" s="377"/>
      <c r="T135" s="378">
        <v>67418000</v>
      </c>
      <c r="U135" s="378">
        <v>698228000</v>
      </c>
    </row>
    <row r="136" spans="1:21">
      <c r="A136" s="379" t="s">
        <v>2071</v>
      </c>
      <c r="B136" s="378" t="s">
        <v>2306</v>
      </c>
      <c r="C136" s="381">
        <v>43657</v>
      </c>
      <c r="D136" s="378">
        <v>41.1873</v>
      </c>
      <c r="E136" s="378">
        <v>103627</v>
      </c>
      <c r="F136" s="378">
        <v>-200</v>
      </c>
      <c r="G136" s="378">
        <v>2516</v>
      </c>
      <c r="H136" s="378">
        <v>0</v>
      </c>
      <c r="I136" s="378">
        <v>2516</v>
      </c>
      <c r="J136" s="378">
        <v>0</v>
      </c>
      <c r="K136" s="378">
        <v>1500</v>
      </c>
      <c r="L136" s="377"/>
      <c r="M136" s="378">
        <v>61780923</v>
      </c>
      <c r="N136" s="377"/>
      <c r="O136" s="377"/>
      <c r="P136" s="377"/>
      <c r="Q136" s="378">
        <v>61814457</v>
      </c>
      <c r="R136" s="378">
        <v>-1975543</v>
      </c>
      <c r="S136" s="377"/>
      <c r="T136" s="378">
        <v>63670000</v>
      </c>
      <c r="U136" s="377"/>
    </row>
    <row r="137" spans="1:21">
      <c r="A137" s="379" t="s">
        <v>2072</v>
      </c>
      <c r="B137" s="378" t="s">
        <v>2307</v>
      </c>
      <c r="C137" s="381">
        <v>43657</v>
      </c>
      <c r="D137" s="378">
        <v>45.630400000000002</v>
      </c>
      <c r="E137" s="378">
        <v>24844107</v>
      </c>
      <c r="F137" s="378">
        <v>-57382</v>
      </c>
      <c r="G137" s="378">
        <v>544464</v>
      </c>
      <c r="H137" s="378">
        <v>0</v>
      </c>
      <c r="I137" s="378">
        <v>544464</v>
      </c>
      <c r="J137" s="378">
        <v>0</v>
      </c>
      <c r="K137" s="378">
        <v>1000</v>
      </c>
      <c r="L137" s="377"/>
      <c r="M137" s="378">
        <v>45630394</v>
      </c>
      <c r="N137" s="377"/>
      <c r="O137" s="377"/>
      <c r="P137" s="377"/>
      <c r="Q137" s="378">
        <v>45862066</v>
      </c>
      <c r="R137" s="378">
        <v>-2167934</v>
      </c>
      <c r="S137" s="377"/>
      <c r="T137" s="378">
        <v>47920000</v>
      </c>
      <c r="U137" s="378">
        <v>544464000</v>
      </c>
    </row>
    <row r="138" spans="1:21">
      <c r="A138" s="379" t="s">
        <v>2073</v>
      </c>
      <c r="B138" s="378" t="s">
        <v>2308</v>
      </c>
      <c r="C138" s="381">
        <v>43657</v>
      </c>
      <c r="D138" s="378">
        <v>52.8491</v>
      </c>
      <c r="E138" s="378">
        <v>34563333</v>
      </c>
      <c r="F138" s="378">
        <v>44833</v>
      </c>
      <c r="G138" s="378">
        <v>654000</v>
      </c>
      <c r="H138" s="378">
        <v>0</v>
      </c>
      <c r="I138" s="378">
        <v>654000</v>
      </c>
      <c r="J138" s="378">
        <v>0</v>
      </c>
      <c r="K138" s="378">
        <v>500</v>
      </c>
      <c r="L138" s="378">
        <v>26424566</v>
      </c>
      <c r="M138" s="378">
        <v>26424566</v>
      </c>
      <c r="N138" s="378">
        <v>0</v>
      </c>
      <c r="O138" s="377"/>
      <c r="P138" s="377"/>
      <c r="Q138" s="378">
        <v>26442778</v>
      </c>
      <c r="R138" s="378">
        <v>-1280255</v>
      </c>
      <c r="S138" s="377"/>
      <c r="T138" s="378">
        <v>27764667</v>
      </c>
      <c r="U138" s="377"/>
    </row>
    <row r="139" spans="1:21">
      <c r="A139" s="379" t="s">
        <v>2074</v>
      </c>
      <c r="B139" s="378" t="s">
        <v>2309</v>
      </c>
      <c r="C139" s="381">
        <v>43657</v>
      </c>
      <c r="D139" s="378">
        <v>42.839599999999997</v>
      </c>
      <c r="E139" s="378">
        <v>25510994</v>
      </c>
      <c r="F139" s="378">
        <v>1863373</v>
      </c>
      <c r="G139" s="378">
        <v>595500</v>
      </c>
      <c r="H139" s="378">
        <v>44000</v>
      </c>
      <c r="I139" s="378">
        <v>595500</v>
      </c>
      <c r="J139" s="378">
        <v>44000</v>
      </c>
      <c r="K139" s="377"/>
      <c r="L139" s="377"/>
      <c r="M139" s="378">
        <v>21421953</v>
      </c>
      <c r="N139" s="377"/>
      <c r="O139" s="377"/>
      <c r="P139" s="378">
        <v>22503000</v>
      </c>
      <c r="Q139" s="378">
        <v>21431236</v>
      </c>
      <c r="R139" s="378">
        <v>-1091764</v>
      </c>
      <c r="S139" s="377"/>
      <c r="T139" s="377"/>
      <c r="U139" s="377"/>
    </row>
    <row r="140" spans="1:21">
      <c r="A140" s="379" t="s">
        <v>2075</v>
      </c>
      <c r="B140" s="378" t="s">
        <v>2310</v>
      </c>
      <c r="C140" s="381">
        <v>43657</v>
      </c>
      <c r="D140" s="378">
        <v>46.188699999999997</v>
      </c>
      <c r="E140" s="378">
        <v>23579331</v>
      </c>
      <c r="F140" s="378">
        <v>-77815</v>
      </c>
      <c r="G140" s="378">
        <v>510500</v>
      </c>
      <c r="H140" s="378">
        <v>0</v>
      </c>
      <c r="I140" s="378">
        <v>510500</v>
      </c>
      <c r="J140" s="378">
        <v>0</v>
      </c>
      <c r="K140" s="377"/>
      <c r="L140" s="377"/>
      <c r="M140" s="378">
        <v>23094350</v>
      </c>
      <c r="N140" s="377"/>
      <c r="O140" s="377"/>
      <c r="P140" s="378">
        <v>25409000</v>
      </c>
      <c r="Q140" s="378">
        <v>23157086</v>
      </c>
      <c r="R140" s="378">
        <v>-2242914</v>
      </c>
      <c r="S140" s="377"/>
      <c r="T140" s="377"/>
      <c r="U140" s="378">
        <v>489000000</v>
      </c>
    </row>
    <row r="141" spans="1:21">
      <c r="A141" s="379" t="s">
        <v>2076</v>
      </c>
      <c r="B141" s="378" t="s">
        <v>2311</v>
      </c>
      <c r="C141" s="381">
        <v>43657</v>
      </c>
      <c r="D141" s="378">
        <v>44.768599999999999</v>
      </c>
      <c r="E141" s="378">
        <v>18981905</v>
      </c>
      <c r="F141" s="378">
        <v>-69201</v>
      </c>
      <c r="G141" s="378">
        <v>424000</v>
      </c>
      <c r="H141" s="378">
        <v>0</v>
      </c>
      <c r="I141" s="378">
        <v>424000</v>
      </c>
      <c r="J141" s="378">
        <v>0</v>
      </c>
      <c r="K141" s="377"/>
      <c r="L141" s="377"/>
      <c r="M141" s="378">
        <v>22379843</v>
      </c>
      <c r="N141" s="377"/>
      <c r="O141" s="377"/>
      <c r="P141" s="378">
        <v>24180000</v>
      </c>
      <c r="Q141" s="378">
        <v>22492289</v>
      </c>
      <c r="R141" s="378">
        <v>-1659711</v>
      </c>
      <c r="S141" s="377"/>
      <c r="T141" s="377"/>
      <c r="U141" s="378">
        <v>424000000</v>
      </c>
    </row>
    <row r="142" spans="1:21">
      <c r="A142" s="379" t="s">
        <v>2077</v>
      </c>
      <c r="B142" s="378" t="s">
        <v>2312</v>
      </c>
      <c r="C142" s="381">
        <v>43657</v>
      </c>
      <c r="D142" s="378">
        <v>45.863700000000001</v>
      </c>
      <c r="E142" s="378">
        <v>50133709</v>
      </c>
      <c r="F142" s="378">
        <v>-161768</v>
      </c>
      <c r="G142" s="378">
        <v>1093103</v>
      </c>
      <c r="H142" s="378">
        <v>0</v>
      </c>
      <c r="I142" s="378">
        <v>1093103</v>
      </c>
      <c r="J142" s="378">
        <v>0</v>
      </c>
      <c r="K142" s="378">
        <v>500</v>
      </c>
      <c r="L142" s="377"/>
      <c r="M142" s="378">
        <v>22931832</v>
      </c>
      <c r="N142" s="377"/>
      <c r="O142" s="378">
        <v>0</v>
      </c>
      <c r="P142" s="378">
        <v>24780000</v>
      </c>
      <c r="Q142" s="378">
        <v>22995323</v>
      </c>
      <c r="R142" s="378">
        <v>-1724677</v>
      </c>
      <c r="S142" s="377"/>
      <c r="T142" s="377"/>
      <c r="U142" s="378">
        <v>1093103000</v>
      </c>
    </row>
    <row r="143" spans="1:21">
      <c r="A143" s="379" t="s">
        <v>2078</v>
      </c>
      <c r="B143" s="378" t="s">
        <v>2313</v>
      </c>
      <c r="C143" s="381">
        <v>43657</v>
      </c>
      <c r="D143" s="378">
        <v>22.87</v>
      </c>
      <c r="E143" s="378">
        <v>279388</v>
      </c>
      <c r="F143" s="378">
        <v>-1087</v>
      </c>
      <c r="G143" s="378">
        <v>12216</v>
      </c>
      <c r="H143" s="378">
        <v>0</v>
      </c>
      <c r="I143" s="378">
        <v>12216</v>
      </c>
      <c r="J143" s="378">
        <v>0</v>
      </c>
      <c r="K143" s="378">
        <v>500</v>
      </c>
      <c r="L143" s="377"/>
      <c r="M143" s="378">
        <v>11435328</v>
      </c>
      <c r="N143" s="377"/>
      <c r="O143" s="377"/>
      <c r="P143" s="377"/>
      <c r="Q143" s="378">
        <v>11474634</v>
      </c>
      <c r="R143" s="378">
        <v>-1445091</v>
      </c>
      <c r="S143" s="377"/>
      <c r="T143" s="378">
        <v>12621598</v>
      </c>
      <c r="U143" s="377"/>
    </row>
    <row r="144" spans="1:21">
      <c r="A144" s="379" t="s">
        <v>2079</v>
      </c>
      <c r="B144" s="378" t="s">
        <v>2314</v>
      </c>
      <c r="C144" s="381">
        <v>43657</v>
      </c>
      <c r="D144" s="378">
        <v>24.18</v>
      </c>
      <c r="E144" s="378">
        <v>221401</v>
      </c>
      <c r="F144" s="378">
        <v>-5948</v>
      </c>
      <c r="G144" s="378">
        <v>9157</v>
      </c>
      <c r="H144" s="378">
        <v>0</v>
      </c>
      <c r="I144" s="378">
        <v>9157</v>
      </c>
      <c r="J144" s="378">
        <v>0</v>
      </c>
      <c r="K144" s="378">
        <v>500</v>
      </c>
      <c r="L144" s="377"/>
      <c r="M144" s="378">
        <v>12089152</v>
      </c>
      <c r="N144" s="377"/>
      <c r="O144" s="377"/>
      <c r="P144" s="377"/>
      <c r="Q144" s="378">
        <v>12100197</v>
      </c>
      <c r="R144" s="378">
        <v>-3308203</v>
      </c>
      <c r="S144" s="377"/>
      <c r="T144" s="378">
        <v>14519235</v>
      </c>
      <c r="U144" s="377"/>
    </row>
    <row r="145" spans="1:21">
      <c r="A145" s="379" t="s">
        <v>2080</v>
      </c>
      <c r="B145" s="378" t="s">
        <v>2315</v>
      </c>
      <c r="C145" s="381">
        <v>43657</v>
      </c>
      <c r="D145" s="378">
        <v>46.709000000000003</v>
      </c>
      <c r="E145" s="378">
        <v>9874277</v>
      </c>
      <c r="F145" s="378">
        <v>-42585</v>
      </c>
      <c r="G145" s="378">
        <v>211400</v>
      </c>
      <c r="H145" s="378">
        <v>0</v>
      </c>
      <c r="I145" s="378">
        <v>211400</v>
      </c>
      <c r="J145" s="378">
        <v>0</v>
      </c>
      <c r="K145" s="378">
        <v>500</v>
      </c>
      <c r="L145" s="377"/>
      <c r="M145" s="378">
        <v>23354486</v>
      </c>
      <c r="N145" s="377"/>
      <c r="O145" s="377"/>
      <c r="P145" s="378">
        <v>24757756</v>
      </c>
      <c r="Q145" s="378">
        <v>23414872</v>
      </c>
      <c r="R145" s="378">
        <v>-1301387</v>
      </c>
      <c r="S145" s="377"/>
      <c r="T145" s="377"/>
      <c r="U145" s="378">
        <v>211400000</v>
      </c>
    </row>
    <row r="146" spans="1:21">
      <c r="A146" s="379" t="s">
        <v>2081</v>
      </c>
      <c r="B146" s="378" t="s">
        <v>2316</v>
      </c>
      <c r="C146" s="381">
        <v>43657</v>
      </c>
      <c r="D146" s="378">
        <v>44.945799999999998</v>
      </c>
      <c r="E146" s="378">
        <v>3381271</v>
      </c>
      <c r="F146" s="378">
        <v>-3100</v>
      </c>
      <c r="G146" s="378">
        <v>75230</v>
      </c>
      <c r="H146" s="378">
        <v>0</v>
      </c>
      <c r="I146" s="378">
        <v>75230</v>
      </c>
      <c r="J146" s="378">
        <v>0</v>
      </c>
      <c r="K146" s="378">
        <v>500</v>
      </c>
      <c r="L146" s="377"/>
      <c r="M146" s="378">
        <v>22472889</v>
      </c>
      <c r="N146" s="377"/>
      <c r="O146" s="377"/>
      <c r="P146" s="378">
        <v>23823263</v>
      </c>
      <c r="Q146" s="378">
        <v>22616468</v>
      </c>
      <c r="R146" s="378">
        <v>-1037591</v>
      </c>
      <c r="S146" s="377"/>
      <c r="T146" s="377"/>
      <c r="U146" s="378">
        <v>75230000</v>
      </c>
    </row>
    <row r="147" spans="1:21">
      <c r="A147" s="379" t="s">
        <v>2082</v>
      </c>
      <c r="B147" s="378" t="s">
        <v>2317</v>
      </c>
      <c r="C147" s="381">
        <v>43657</v>
      </c>
      <c r="D147" s="378">
        <v>48.065800000000003</v>
      </c>
      <c r="E147" s="378">
        <v>29358606</v>
      </c>
      <c r="F147" s="378">
        <v>-1112237</v>
      </c>
      <c r="G147" s="378">
        <v>610800</v>
      </c>
      <c r="H147" s="378">
        <v>-21000</v>
      </c>
      <c r="I147" s="378">
        <v>610800</v>
      </c>
      <c r="J147" s="378">
        <v>-21000</v>
      </c>
      <c r="K147" s="378">
        <v>500</v>
      </c>
      <c r="L147" s="377"/>
      <c r="M147" s="378">
        <v>24032912</v>
      </c>
      <c r="N147" s="377"/>
      <c r="O147" s="377"/>
      <c r="P147" s="378">
        <v>25476887</v>
      </c>
      <c r="Q147" s="378">
        <v>24119027</v>
      </c>
      <c r="R147" s="378">
        <v>-1421245</v>
      </c>
      <c r="S147" s="377"/>
      <c r="T147" s="377"/>
      <c r="U147" s="378">
        <v>610800000</v>
      </c>
    </row>
    <row r="148" spans="1:21">
      <c r="A148" s="379" t="s">
        <v>2083</v>
      </c>
      <c r="B148" s="378" t="s">
        <v>2318</v>
      </c>
      <c r="C148" s="381">
        <v>43657</v>
      </c>
      <c r="D148" s="378">
        <v>20.32</v>
      </c>
      <c r="E148" s="378">
        <v>131952</v>
      </c>
      <c r="F148" s="378">
        <v>1346</v>
      </c>
      <c r="G148" s="378">
        <v>6494</v>
      </c>
      <c r="H148" s="378">
        <v>0</v>
      </c>
      <c r="I148" s="378">
        <v>6494</v>
      </c>
      <c r="J148" s="378">
        <v>0</v>
      </c>
      <c r="K148" s="378">
        <v>500</v>
      </c>
      <c r="L148" s="378">
        <v>10159563</v>
      </c>
      <c r="M148" s="377"/>
      <c r="N148" s="377"/>
      <c r="O148" s="377"/>
      <c r="P148" s="377"/>
      <c r="Q148" s="378">
        <v>10163563</v>
      </c>
      <c r="R148" s="378">
        <v>-1016437</v>
      </c>
      <c r="S148" s="377"/>
      <c r="T148" s="378">
        <v>11180000</v>
      </c>
      <c r="U148" s="378">
        <v>6494000</v>
      </c>
    </row>
    <row r="149" spans="1:21">
      <c r="A149" s="379" t="s">
        <v>2084</v>
      </c>
      <c r="B149" s="378" t="s">
        <v>2319</v>
      </c>
      <c r="C149" s="381">
        <v>43657</v>
      </c>
      <c r="D149" s="378">
        <v>68.849999999999994</v>
      </c>
      <c r="E149" s="378">
        <v>6301214</v>
      </c>
      <c r="F149" s="378">
        <v>-25553</v>
      </c>
      <c r="G149" s="378">
        <v>91525</v>
      </c>
      <c r="H149" s="378">
        <v>0</v>
      </c>
      <c r="I149" s="378">
        <v>91525</v>
      </c>
      <c r="J149" s="378">
        <v>0</v>
      </c>
      <c r="K149" s="378">
        <v>500</v>
      </c>
      <c r="L149" s="378">
        <v>34423457</v>
      </c>
      <c r="M149" s="378">
        <v>34423457</v>
      </c>
      <c r="N149" s="378">
        <v>0</v>
      </c>
      <c r="O149" s="377"/>
      <c r="P149" s="377"/>
      <c r="Q149" s="378">
        <v>34599810</v>
      </c>
      <c r="R149" s="378">
        <v>-1500990</v>
      </c>
      <c r="S149" s="377"/>
      <c r="T149" s="378">
        <v>36149630</v>
      </c>
      <c r="U149" s="377"/>
    </row>
    <row r="150" spans="1:21">
      <c r="A150" s="379" t="s">
        <v>2085</v>
      </c>
      <c r="B150" s="378" t="s">
        <v>2320</v>
      </c>
      <c r="C150" s="381">
        <v>43657</v>
      </c>
      <c r="D150" s="378">
        <v>69.41</v>
      </c>
      <c r="E150" s="378">
        <v>3367879</v>
      </c>
      <c r="F150" s="378">
        <v>-8721</v>
      </c>
      <c r="G150" s="378">
        <v>48525</v>
      </c>
      <c r="H150" s="378">
        <v>0</v>
      </c>
      <c r="I150" s="378">
        <v>48525</v>
      </c>
      <c r="J150" s="378">
        <v>0</v>
      </c>
      <c r="K150" s="378">
        <v>500</v>
      </c>
      <c r="L150" s="378">
        <v>34702514</v>
      </c>
      <c r="M150" s="378">
        <v>34702514</v>
      </c>
      <c r="N150" s="378">
        <v>0</v>
      </c>
      <c r="O150" s="377"/>
      <c r="P150" s="377"/>
      <c r="Q150" s="378">
        <v>34882282</v>
      </c>
      <c r="R150" s="378">
        <v>-1460970</v>
      </c>
      <c r="S150" s="377"/>
      <c r="T150" s="378">
        <v>36442640</v>
      </c>
      <c r="U150" s="377"/>
    </row>
    <row r="151" spans="1:21">
      <c r="A151" s="379" t="s">
        <v>2086</v>
      </c>
      <c r="B151" s="378" t="s">
        <v>2321</v>
      </c>
      <c r="C151" s="381">
        <v>43657</v>
      </c>
      <c r="D151" s="378">
        <v>68.83</v>
      </c>
      <c r="E151" s="378">
        <v>10222266</v>
      </c>
      <c r="F151" s="378">
        <v>-16215</v>
      </c>
      <c r="G151" s="378">
        <v>148520</v>
      </c>
      <c r="H151" s="378">
        <v>0</v>
      </c>
      <c r="I151" s="378">
        <v>148520</v>
      </c>
      <c r="J151" s="378">
        <v>0</v>
      </c>
      <c r="K151" s="378">
        <v>500</v>
      </c>
      <c r="L151" s="378">
        <v>34413770</v>
      </c>
      <c r="M151" s="378">
        <v>34413770</v>
      </c>
      <c r="N151" s="378">
        <v>0</v>
      </c>
      <c r="O151" s="377"/>
      <c r="P151" s="377"/>
      <c r="Q151" s="378">
        <v>34540521</v>
      </c>
      <c r="R151" s="378">
        <v>-1537470</v>
      </c>
      <c r="S151" s="377"/>
      <c r="T151" s="378">
        <v>36139459</v>
      </c>
      <c r="U151" s="377"/>
    </row>
    <row r="152" spans="1:21">
      <c r="A152" s="379" t="s">
        <v>2087</v>
      </c>
      <c r="B152" s="378" t="s">
        <v>2322</v>
      </c>
      <c r="C152" s="381">
        <v>43657</v>
      </c>
      <c r="D152" s="378">
        <v>47.071300000000001</v>
      </c>
      <c r="E152" s="378">
        <v>34436818</v>
      </c>
      <c r="F152" s="378">
        <v>-1053763</v>
      </c>
      <c r="G152" s="378">
        <v>731589</v>
      </c>
      <c r="H152" s="378">
        <v>-19500</v>
      </c>
      <c r="I152" s="378">
        <v>731589</v>
      </c>
      <c r="J152" s="378">
        <v>-19500</v>
      </c>
      <c r="K152" s="378">
        <v>500</v>
      </c>
      <c r="L152" s="377"/>
      <c r="M152" s="378">
        <v>23535650</v>
      </c>
      <c r="N152" s="377"/>
      <c r="O152" s="377"/>
      <c r="P152" s="377"/>
      <c r="Q152" s="378">
        <v>23537631</v>
      </c>
      <c r="R152" s="378">
        <v>-1980369</v>
      </c>
      <c r="S152" s="377"/>
      <c r="T152" s="378">
        <v>25421000</v>
      </c>
      <c r="U152" s="378">
        <v>734589000</v>
      </c>
    </row>
    <row r="153" spans="1:21">
      <c r="A153" s="379" t="s">
        <v>2088</v>
      </c>
      <c r="B153" s="378" t="s">
        <v>2323</v>
      </c>
      <c r="C153" s="381">
        <v>43657</v>
      </c>
      <c r="D153" s="378">
        <v>23.37</v>
      </c>
      <c r="E153" s="378">
        <v>496490</v>
      </c>
      <c r="F153" s="378">
        <v>4676</v>
      </c>
      <c r="G153" s="378">
        <v>21248</v>
      </c>
      <c r="H153" s="378">
        <v>0</v>
      </c>
      <c r="I153" s="378">
        <v>21248</v>
      </c>
      <c r="J153" s="378">
        <v>0</v>
      </c>
      <c r="K153" s="378">
        <v>500</v>
      </c>
      <c r="L153" s="377"/>
      <c r="M153" s="378">
        <v>11683221</v>
      </c>
      <c r="N153" s="377"/>
      <c r="O153" s="378">
        <v>0</v>
      </c>
      <c r="P153" s="378">
        <v>12860000</v>
      </c>
      <c r="Q153" s="378">
        <v>11699927</v>
      </c>
      <c r="R153" s="378">
        <v>-1110073</v>
      </c>
      <c r="S153" s="377"/>
      <c r="T153" s="377"/>
      <c r="U153" s="378">
        <v>21248000</v>
      </c>
    </row>
    <row r="154" spans="1:21">
      <c r="A154" s="379" t="s">
        <v>2089</v>
      </c>
      <c r="B154" s="378" t="s">
        <v>2324</v>
      </c>
      <c r="C154" s="381">
        <v>43657</v>
      </c>
      <c r="D154" s="378">
        <v>18.78</v>
      </c>
      <c r="E154" s="378">
        <v>57569</v>
      </c>
      <c r="F154" s="378">
        <v>-750</v>
      </c>
      <c r="G154" s="378">
        <v>3065</v>
      </c>
      <c r="H154" s="378">
        <v>0</v>
      </c>
      <c r="I154" s="378">
        <v>3065</v>
      </c>
      <c r="J154" s="378">
        <v>0</v>
      </c>
      <c r="K154" s="378">
        <v>500</v>
      </c>
      <c r="L154" s="377"/>
      <c r="M154" s="378">
        <v>9391406</v>
      </c>
      <c r="N154" s="377"/>
      <c r="O154" s="377"/>
      <c r="P154" s="377"/>
      <c r="Q154" s="378">
        <v>9398406</v>
      </c>
      <c r="R154" s="378">
        <v>1078921</v>
      </c>
      <c r="S154" s="377"/>
      <c r="T154" s="378">
        <v>10337547</v>
      </c>
      <c r="U154" s="378">
        <v>3065000</v>
      </c>
    </row>
    <row r="155" spans="1:21">
      <c r="A155" s="379" t="s">
        <v>2090</v>
      </c>
      <c r="B155" s="378" t="s">
        <v>2325</v>
      </c>
      <c r="C155" s="381">
        <v>43657</v>
      </c>
      <c r="D155" s="378">
        <v>44.133699999999997</v>
      </c>
      <c r="E155" s="378">
        <v>13394589</v>
      </c>
      <c r="F155" s="378">
        <v>-39681</v>
      </c>
      <c r="G155" s="378">
        <v>303500</v>
      </c>
      <c r="H155" s="378">
        <v>0</v>
      </c>
      <c r="I155" s="378">
        <v>303500</v>
      </c>
      <c r="J155" s="378">
        <v>0</v>
      </c>
      <c r="K155" s="378">
        <v>500</v>
      </c>
      <c r="L155" s="377"/>
      <c r="M155" s="378">
        <v>22066868</v>
      </c>
      <c r="N155" s="377"/>
      <c r="O155" s="377"/>
      <c r="P155" s="378">
        <v>23834218</v>
      </c>
      <c r="Q155" s="378">
        <v>22071075</v>
      </c>
      <c r="R155" s="378">
        <v>-1641889</v>
      </c>
      <c r="S155" s="377"/>
      <c r="T155" s="377"/>
      <c r="U155" s="378">
        <v>303500000</v>
      </c>
    </row>
    <row r="156" spans="1:21">
      <c r="A156" s="379" t="s">
        <v>2091</v>
      </c>
      <c r="B156" s="378" t="s">
        <v>2326</v>
      </c>
      <c r="C156" s="381">
        <v>43657</v>
      </c>
      <c r="D156" s="378">
        <v>41.331000000000003</v>
      </c>
      <c r="E156" s="378">
        <v>2045885</v>
      </c>
      <c r="F156" s="378">
        <v>2300</v>
      </c>
      <c r="G156" s="378">
        <v>49500</v>
      </c>
      <c r="H156" s="378">
        <v>0</v>
      </c>
      <c r="I156" s="378">
        <v>49500</v>
      </c>
      <c r="J156" s="378">
        <v>0</v>
      </c>
      <c r="K156" s="378">
        <v>500</v>
      </c>
      <c r="L156" s="377"/>
      <c r="M156" s="378">
        <v>20665502</v>
      </c>
      <c r="N156" s="377"/>
      <c r="O156" s="377"/>
      <c r="P156" s="378">
        <v>21700778</v>
      </c>
      <c r="Q156" s="378">
        <v>20673702</v>
      </c>
      <c r="R156" s="378">
        <v>-997573</v>
      </c>
      <c r="S156" s="377"/>
      <c r="T156" s="377"/>
      <c r="U156" s="378">
        <v>49500000</v>
      </c>
    </row>
    <row r="157" spans="1:21">
      <c r="A157" s="379" t="s">
        <v>2092</v>
      </c>
      <c r="B157" s="378" t="s">
        <v>2327</v>
      </c>
      <c r="C157" s="381">
        <v>43657</v>
      </c>
      <c r="D157" s="378">
        <v>10.199999999999999</v>
      </c>
      <c r="E157" s="378">
        <v>213556</v>
      </c>
      <c r="F157" s="378">
        <v>-3874</v>
      </c>
      <c r="G157" s="378">
        <v>20946</v>
      </c>
      <c r="H157" s="378">
        <v>0</v>
      </c>
      <c r="I157" s="378">
        <v>20946</v>
      </c>
      <c r="J157" s="378">
        <v>0</v>
      </c>
      <c r="K157" s="378">
        <v>1000</v>
      </c>
      <c r="L157" s="377"/>
      <c r="M157" s="378">
        <v>10195559</v>
      </c>
      <c r="N157" s="377"/>
      <c r="O157" s="377"/>
      <c r="P157" s="378">
        <v>12250000</v>
      </c>
      <c r="Q157" s="378">
        <v>10203637</v>
      </c>
      <c r="R157" s="378">
        <v>-2566363</v>
      </c>
      <c r="S157" s="377"/>
      <c r="T157" s="377"/>
      <c r="U157" s="378">
        <v>20946000</v>
      </c>
    </row>
    <row r="158" spans="1:21">
      <c r="A158" s="379" t="s">
        <v>2093</v>
      </c>
      <c r="B158" s="378" t="s">
        <v>2328</v>
      </c>
      <c r="C158" s="381">
        <v>43657</v>
      </c>
      <c r="D158" s="378">
        <v>22.52</v>
      </c>
      <c r="E158" s="378">
        <v>362377</v>
      </c>
      <c r="F158" s="378">
        <v>2093</v>
      </c>
      <c r="G158" s="378">
        <v>16090</v>
      </c>
      <c r="H158" s="378">
        <v>0</v>
      </c>
      <c r="I158" s="378">
        <v>16090</v>
      </c>
      <c r="J158" s="378">
        <v>0</v>
      </c>
      <c r="K158" s="378">
        <v>500</v>
      </c>
      <c r="L158" s="378">
        <v>11260945</v>
      </c>
      <c r="M158" s="378">
        <v>11260945</v>
      </c>
      <c r="N158" s="378">
        <v>0</v>
      </c>
      <c r="O158" s="377"/>
      <c r="P158" s="377"/>
      <c r="Q158" s="378">
        <v>11277205</v>
      </c>
      <c r="R158" s="378">
        <v>-1130844</v>
      </c>
      <c r="S158" s="377"/>
      <c r="T158" s="378">
        <v>12404426</v>
      </c>
      <c r="U158" s="377"/>
    </row>
    <row r="159" spans="1:21">
      <c r="A159" s="379" t="s">
        <v>2094</v>
      </c>
      <c r="B159" s="378" t="s">
        <v>2329</v>
      </c>
      <c r="C159" s="381">
        <v>43657</v>
      </c>
      <c r="D159" s="378">
        <v>68.239800000000002</v>
      </c>
      <c r="E159" s="378">
        <v>3657652</v>
      </c>
      <c r="F159" s="378">
        <v>-6712</v>
      </c>
      <c r="G159" s="378">
        <v>53600</v>
      </c>
      <c r="H159" s="378">
        <v>0</v>
      </c>
      <c r="I159" s="378">
        <v>53600</v>
      </c>
      <c r="J159" s="378">
        <v>0</v>
      </c>
      <c r="K159" s="378">
        <v>500</v>
      </c>
      <c r="L159" s="378">
        <v>34119887</v>
      </c>
      <c r="M159" s="378">
        <v>34119887</v>
      </c>
      <c r="N159" s="378">
        <v>0</v>
      </c>
      <c r="O159" s="377"/>
      <c r="P159" s="377"/>
      <c r="Q159" s="378">
        <v>34137286</v>
      </c>
      <c r="R159" s="378">
        <v>-838169</v>
      </c>
      <c r="S159" s="377"/>
      <c r="T159" s="378">
        <v>35148484</v>
      </c>
      <c r="U159" s="377"/>
    </row>
    <row r="160" spans="1:21">
      <c r="A160" s="379" t="s">
        <v>2095</v>
      </c>
      <c r="B160" s="378" t="s">
        <v>2330</v>
      </c>
      <c r="C160" s="381">
        <v>43657</v>
      </c>
      <c r="D160" s="378">
        <v>62.489600000000003</v>
      </c>
      <c r="E160" s="378">
        <v>1786577</v>
      </c>
      <c r="F160" s="378">
        <v>313</v>
      </c>
      <c r="G160" s="378">
        <v>28590</v>
      </c>
      <c r="H160" s="378">
        <v>0</v>
      </c>
      <c r="I160" s="378">
        <v>28590</v>
      </c>
      <c r="J160" s="378">
        <v>0</v>
      </c>
      <c r="K160" s="378">
        <v>500</v>
      </c>
      <c r="L160" s="378">
        <v>31244791</v>
      </c>
      <c r="M160" s="378">
        <v>31244791</v>
      </c>
      <c r="N160" s="378">
        <v>0</v>
      </c>
      <c r="O160" s="377"/>
      <c r="P160" s="377"/>
      <c r="Q160" s="378">
        <v>31301145</v>
      </c>
      <c r="R160" s="378">
        <v>-1425741</v>
      </c>
      <c r="S160" s="377"/>
      <c r="T160" s="378">
        <v>32812030</v>
      </c>
      <c r="U160" s="377"/>
    </row>
    <row r="161" spans="1:21">
      <c r="A161" s="379" t="s">
        <v>2096</v>
      </c>
      <c r="B161" s="378" t="s">
        <v>2331</v>
      </c>
      <c r="C161" s="381">
        <v>43657</v>
      </c>
      <c r="D161" s="378">
        <v>23.64</v>
      </c>
      <c r="E161" s="378">
        <v>211774</v>
      </c>
      <c r="F161" s="378">
        <v>1303</v>
      </c>
      <c r="G161" s="378">
        <v>8958</v>
      </c>
      <c r="H161" s="378">
        <v>0</v>
      </c>
      <c r="I161" s="378">
        <v>8958</v>
      </c>
      <c r="J161" s="378">
        <v>0</v>
      </c>
      <c r="K161" s="378">
        <v>500</v>
      </c>
      <c r="L161" s="378">
        <v>11820000</v>
      </c>
      <c r="M161" s="378">
        <v>11820000</v>
      </c>
      <c r="N161" s="378">
        <v>0</v>
      </c>
      <c r="O161" s="377"/>
      <c r="P161" s="377"/>
      <c r="Q161" s="377"/>
      <c r="R161" s="377"/>
      <c r="S161" s="377"/>
      <c r="T161" s="378">
        <v>13017000</v>
      </c>
      <c r="U161" s="378">
        <v>8958000</v>
      </c>
    </row>
    <row r="162" spans="1:21">
      <c r="A162" s="379" t="s">
        <v>2097</v>
      </c>
      <c r="B162" s="378" t="s">
        <v>2332</v>
      </c>
      <c r="C162" s="381">
        <v>43657</v>
      </c>
      <c r="D162" s="378">
        <v>20.58</v>
      </c>
      <c r="E162" s="378">
        <v>889614</v>
      </c>
      <c r="F162" s="378">
        <v>194</v>
      </c>
      <c r="G162" s="378">
        <v>43225</v>
      </c>
      <c r="H162" s="378">
        <v>0</v>
      </c>
      <c r="I162" s="378">
        <v>43225</v>
      </c>
      <c r="J162" s="378">
        <v>0</v>
      </c>
      <c r="K162" s="378">
        <v>500</v>
      </c>
      <c r="L162" s="377"/>
      <c r="M162" s="378">
        <v>10290506</v>
      </c>
      <c r="N162" s="377"/>
      <c r="O162" s="378">
        <v>0</v>
      </c>
      <c r="P162" s="378">
        <v>11330000</v>
      </c>
      <c r="Q162" s="378">
        <v>10307870</v>
      </c>
      <c r="R162" s="378">
        <v>-1012130</v>
      </c>
      <c r="S162" s="377"/>
      <c r="T162" s="377"/>
      <c r="U162" s="378">
        <v>43225000</v>
      </c>
    </row>
    <row r="163" spans="1:21">
      <c r="A163" s="379" t="s">
        <v>2098</v>
      </c>
      <c r="B163" s="378" t="s">
        <v>2333</v>
      </c>
      <c r="C163" s="381">
        <v>43657</v>
      </c>
      <c r="D163" s="378">
        <v>45.417099999999998</v>
      </c>
      <c r="E163" s="378">
        <v>22653615</v>
      </c>
      <c r="F163" s="378">
        <v>-15679</v>
      </c>
      <c r="G163" s="378">
        <v>498790</v>
      </c>
      <c r="H163" s="378">
        <v>1500</v>
      </c>
      <c r="I163" s="378">
        <v>498790</v>
      </c>
      <c r="J163" s="378">
        <v>1500</v>
      </c>
      <c r="K163" s="378">
        <v>500</v>
      </c>
      <c r="L163" s="377"/>
      <c r="M163" s="378">
        <v>22708569</v>
      </c>
      <c r="N163" s="377"/>
      <c r="O163" s="377"/>
      <c r="P163" s="377"/>
      <c r="Q163" s="378">
        <v>22770340</v>
      </c>
      <c r="R163" s="378">
        <v>-1719660</v>
      </c>
      <c r="S163" s="377"/>
      <c r="T163" s="378">
        <v>24540000</v>
      </c>
      <c r="U163" s="378">
        <v>498790000</v>
      </c>
    </row>
    <row r="164" spans="1:21">
      <c r="A164" s="379" t="s">
        <v>2099</v>
      </c>
      <c r="B164" s="378" t="s">
        <v>2334</v>
      </c>
      <c r="C164" s="381">
        <v>43657</v>
      </c>
      <c r="D164" s="378">
        <v>46.057499999999997</v>
      </c>
      <c r="E164" s="378">
        <v>27072163</v>
      </c>
      <c r="F164" s="378">
        <v>-120035</v>
      </c>
      <c r="G164" s="378">
        <v>587790</v>
      </c>
      <c r="H164" s="378">
        <v>0</v>
      </c>
      <c r="I164" s="378">
        <v>587790</v>
      </c>
      <c r="J164" s="378">
        <v>0</v>
      </c>
      <c r="K164" s="378">
        <v>500</v>
      </c>
      <c r="L164" s="377"/>
      <c r="M164" s="378">
        <v>23028771</v>
      </c>
      <c r="N164" s="377"/>
      <c r="O164" s="377"/>
      <c r="P164" s="377"/>
      <c r="Q164" s="378">
        <v>23091343</v>
      </c>
      <c r="R164" s="378">
        <v>-1768657</v>
      </c>
      <c r="S164" s="377"/>
      <c r="T164" s="378">
        <v>24880000</v>
      </c>
      <c r="U164" s="378">
        <v>587790000</v>
      </c>
    </row>
    <row r="165" spans="1:21">
      <c r="A165" s="379" t="s">
        <v>2100</v>
      </c>
      <c r="B165" s="378" t="s">
        <v>2335</v>
      </c>
      <c r="C165" s="381">
        <v>43657</v>
      </c>
      <c r="D165" s="378">
        <v>40.741300000000003</v>
      </c>
      <c r="E165" s="378">
        <v>14049643</v>
      </c>
      <c r="F165" s="378">
        <v>28490</v>
      </c>
      <c r="G165" s="378">
        <v>344850</v>
      </c>
      <c r="H165" s="378">
        <v>0</v>
      </c>
      <c r="I165" s="378">
        <v>344850</v>
      </c>
      <c r="J165" s="378">
        <v>0</v>
      </c>
      <c r="K165" s="378">
        <v>1500</v>
      </c>
      <c r="L165" s="377"/>
      <c r="M165" s="378">
        <v>61111973</v>
      </c>
      <c r="N165" s="377"/>
      <c r="O165" s="377"/>
      <c r="P165" s="378">
        <v>64780000</v>
      </c>
      <c r="Q165" s="378">
        <v>61148529</v>
      </c>
      <c r="R165" s="378">
        <v>-3501471</v>
      </c>
      <c r="S165" s="377"/>
      <c r="T165" s="377"/>
      <c r="U165" s="378">
        <v>344850000</v>
      </c>
    </row>
    <row r="166" spans="1:21">
      <c r="A166" s="379" t="s">
        <v>2101</v>
      </c>
      <c r="B166" s="378" t="s">
        <v>2336</v>
      </c>
      <c r="C166" s="381">
        <v>43657</v>
      </c>
      <c r="D166" s="378">
        <v>44.463700000000003</v>
      </c>
      <c r="E166" s="378">
        <v>293461</v>
      </c>
      <c r="F166" s="378">
        <v>-410</v>
      </c>
      <c r="G166" s="378">
        <v>6600</v>
      </c>
      <c r="H166" s="378">
        <v>0</v>
      </c>
      <c r="I166" s="378">
        <v>6600</v>
      </c>
      <c r="J166" s="378">
        <v>0</v>
      </c>
      <c r="K166" s="378">
        <v>1500</v>
      </c>
      <c r="L166" s="377"/>
      <c r="M166" s="378">
        <v>66695600</v>
      </c>
      <c r="N166" s="377"/>
      <c r="O166" s="377"/>
      <c r="P166" s="378">
        <v>70700000</v>
      </c>
      <c r="Q166" s="378">
        <v>67141791</v>
      </c>
      <c r="R166" s="378">
        <v>-3658209</v>
      </c>
      <c r="S166" s="377"/>
      <c r="T166" s="377"/>
      <c r="U166" s="378">
        <v>6600000</v>
      </c>
    </row>
    <row r="167" spans="1:21">
      <c r="A167" s="379" t="s">
        <v>2102</v>
      </c>
      <c r="B167" s="378" t="s">
        <v>2337</v>
      </c>
      <c r="C167" s="381">
        <v>43657</v>
      </c>
      <c r="D167" s="378">
        <v>22.02</v>
      </c>
      <c r="E167" s="378">
        <v>762040</v>
      </c>
      <c r="F167" s="378">
        <v>1977</v>
      </c>
      <c r="G167" s="378">
        <v>34600</v>
      </c>
      <c r="H167" s="378">
        <v>0</v>
      </c>
      <c r="I167" s="378">
        <v>34600</v>
      </c>
      <c r="J167" s="378">
        <v>0</v>
      </c>
      <c r="K167" s="378">
        <v>500</v>
      </c>
      <c r="L167" s="377"/>
      <c r="M167" s="378">
        <v>11012143</v>
      </c>
      <c r="N167" s="377"/>
      <c r="O167" s="377"/>
      <c r="P167" s="378">
        <v>12120000</v>
      </c>
      <c r="Q167" s="378">
        <v>11029155</v>
      </c>
      <c r="R167" s="378">
        <v>-1060845</v>
      </c>
      <c r="S167" s="377"/>
      <c r="T167" s="377"/>
      <c r="U167" s="378">
        <v>34600000</v>
      </c>
    </row>
    <row r="168" spans="1:21">
      <c r="A168" s="379" t="s">
        <v>2103</v>
      </c>
      <c r="B168" s="378" t="s">
        <v>2338</v>
      </c>
      <c r="C168" s="381">
        <v>43657</v>
      </c>
      <c r="D168" s="378">
        <v>44.722999999999999</v>
      </c>
      <c r="E168" s="378">
        <v>5843066</v>
      </c>
      <c r="F168" s="378">
        <v>-24787</v>
      </c>
      <c r="G168" s="378">
        <v>130650</v>
      </c>
      <c r="H168" s="378">
        <v>0</v>
      </c>
      <c r="I168" s="378">
        <v>130650</v>
      </c>
      <c r="J168" s="378">
        <v>0</v>
      </c>
      <c r="K168" s="377"/>
      <c r="L168" s="377"/>
      <c r="M168" s="378">
        <v>22359289</v>
      </c>
      <c r="N168" s="377"/>
      <c r="O168" s="377"/>
      <c r="P168" s="378">
        <v>24155000</v>
      </c>
      <c r="Q168" s="378">
        <v>22478331</v>
      </c>
      <c r="R168" s="378">
        <v>-1628669</v>
      </c>
      <c r="S168" s="377"/>
      <c r="T168" s="377"/>
      <c r="U168" s="378">
        <v>133650000</v>
      </c>
    </row>
    <row r="169" spans="1:21">
      <c r="A169" s="379" t="s">
        <v>2104</v>
      </c>
      <c r="B169" s="378" t="s">
        <v>2339</v>
      </c>
      <c r="C169" s="381">
        <v>43657</v>
      </c>
      <c r="D169" s="378">
        <v>45.694699999999997</v>
      </c>
      <c r="E169" s="378">
        <v>13966573</v>
      </c>
      <c r="F169" s="378">
        <v>-59275</v>
      </c>
      <c r="G169" s="378">
        <v>305650</v>
      </c>
      <c r="H169" s="378">
        <v>0</v>
      </c>
      <c r="I169" s="378">
        <v>305650</v>
      </c>
      <c r="J169" s="378">
        <v>0</v>
      </c>
      <c r="K169" s="377"/>
      <c r="L169" s="377"/>
      <c r="M169" s="378">
        <v>22845048</v>
      </c>
      <c r="N169" s="377"/>
      <c r="O169" s="377"/>
      <c r="P169" s="378">
        <v>24680000</v>
      </c>
      <c r="Q169" s="378">
        <v>22977991</v>
      </c>
      <c r="R169" s="378">
        <v>-1646009</v>
      </c>
      <c r="S169" s="377"/>
      <c r="T169" s="377"/>
      <c r="U169" s="378">
        <v>305650000</v>
      </c>
    </row>
    <row r="170" spans="1:21">
      <c r="A170" s="379" t="s">
        <v>2105</v>
      </c>
      <c r="B170" s="378" t="s">
        <v>2340</v>
      </c>
      <c r="C170" s="381">
        <v>43657</v>
      </c>
      <c r="D170" s="378">
        <v>44.516399999999997</v>
      </c>
      <c r="E170" s="378">
        <v>1319911</v>
      </c>
      <c r="F170" s="378">
        <v>-3516</v>
      </c>
      <c r="G170" s="378">
        <v>29650</v>
      </c>
      <c r="H170" s="378">
        <v>0</v>
      </c>
      <c r="I170" s="378">
        <v>29650</v>
      </c>
      <c r="J170" s="378">
        <v>0</v>
      </c>
      <c r="K170" s="377"/>
      <c r="L170" s="377"/>
      <c r="M170" s="378">
        <v>22258194</v>
      </c>
      <c r="N170" s="377"/>
      <c r="O170" s="377"/>
      <c r="P170" s="378">
        <v>24044000</v>
      </c>
      <c r="Q170" s="378">
        <v>22265417</v>
      </c>
      <c r="R170" s="378">
        <v>-1644583</v>
      </c>
      <c r="S170" s="377"/>
      <c r="T170" s="377"/>
      <c r="U170" s="378">
        <v>29650000</v>
      </c>
    </row>
    <row r="171" spans="1:21">
      <c r="A171" s="379" t="s">
        <v>2106</v>
      </c>
      <c r="B171" s="378" t="s">
        <v>2341</v>
      </c>
      <c r="C171" s="381">
        <v>43657</v>
      </c>
      <c r="D171" s="378">
        <v>42.714799999999997</v>
      </c>
      <c r="E171" s="378">
        <v>13075079</v>
      </c>
      <c r="F171" s="378">
        <v>-42974</v>
      </c>
      <c r="G171" s="378">
        <v>306102</v>
      </c>
      <c r="H171" s="378">
        <v>0</v>
      </c>
      <c r="I171" s="378">
        <v>306102</v>
      </c>
      <c r="J171" s="378">
        <v>0</v>
      </c>
      <c r="K171" s="378">
        <v>500</v>
      </c>
      <c r="L171" s="377"/>
      <c r="M171" s="378">
        <v>21357400</v>
      </c>
      <c r="N171" s="377"/>
      <c r="O171" s="377"/>
      <c r="P171" s="377"/>
      <c r="Q171" s="378">
        <v>21359389</v>
      </c>
      <c r="R171" s="378">
        <v>-1784611</v>
      </c>
      <c r="S171" s="377"/>
      <c r="T171" s="378">
        <v>23068000</v>
      </c>
      <c r="U171" s="378">
        <v>306102000</v>
      </c>
    </row>
    <row r="172" spans="1:21">
      <c r="A172" s="379" t="s">
        <v>2107</v>
      </c>
      <c r="B172" s="378" t="s">
        <v>2342</v>
      </c>
      <c r="C172" s="381">
        <v>43657</v>
      </c>
      <c r="D172" s="378">
        <v>44.9604</v>
      </c>
      <c r="E172" s="378">
        <v>2263127</v>
      </c>
      <c r="F172" s="378">
        <v>-8565</v>
      </c>
      <c r="G172" s="378">
        <v>50336</v>
      </c>
      <c r="H172" s="378">
        <v>0</v>
      </c>
      <c r="I172" s="378">
        <v>50336</v>
      </c>
      <c r="J172" s="378">
        <v>0</v>
      </c>
      <c r="K172" s="378">
        <v>500</v>
      </c>
      <c r="L172" s="377"/>
      <c r="M172" s="378">
        <v>22480200</v>
      </c>
      <c r="N172" s="377"/>
      <c r="O172" s="377"/>
      <c r="P172" s="377"/>
      <c r="Q172" s="378">
        <v>22482207</v>
      </c>
      <c r="R172" s="378">
        <v>-1890793</v>
      </c>
      <c r="S172" s="377"/>
      <c r="T172" s="378">
        <v>24281000</v>
      </c>
      <c r="U172" s="378">
        <v>50336000</v>
      </c>
    </row>
    <row r="173" spans="1:21">
      <c r="A173" s="379" t="s">
        <v>2108</v>
      </c>
      <c r="B173" s="378" t="s">
        <v>2343</v>
      </c>
      <c r="C173" s="381">
        <v>43657</v>
      </c>
      <c r="D173" s="378">
        <v>44.747399999999999</v>
      </c>
      <c r="E173" s="378">
        <v>1743670</v>
      </c>
      <c r="F173" s="378">
        <v>-2737</v>
      </c>
      <c r="G173" s="378">
        <v>38967</v>
      </c>
      <c r="H173" s="378">
        <v>0</v>
      </c>
      <c r="I173" s="378">
        <v>38967</v>
      </c>
      <c r="J173" s="378">
        <v>0</v>
      </c>
      <c r="K173" s="378">
        <v>500</v>
      </c>
      <c r="L173" s="377"/>
      <c r="M173" s="378">
        <v>22373700</v>
      </c>
      <c r="N173" s="377"/>
      <c r="O173" s="377"/>
      <c r="P173" s="377"/>
      <c r="Q173" s="378">
        <v>22375677</v>
      </c>
      <c r="R173" s="378">
        <v>-1828323</v>
      </c>
      <c r="S173" s="377"/>
      <c r="T173" s="378">
        <v>24166000</v>
      </c>
      <c r="U173" s="378">
        <v>38967000</v>
      </c>
    </row>
    <row r="174" spans="1:21">
      <c r="A174" s="379" t="s">
        <v>2109</v>
      </c>
      <c r="B174" s="378" t="s">
        <v>2344</v>
      </c>
      <c r="C174" s="381">
        <v>43657</v>
      </c>
      <c r="D174" s="378">
        <v>17.68</v>
      </c>
      <c r="E174" s="378">
        <v>1052245</v>
      </c>
      <c r="F174" s="378">
        <v>-9238</v>
      </c>
      <c r="G174" s="378">
        <v>59531</v>
      </c>
      <c r="H174" s="378">
        <v>0</v>
      </c>
      <c r="I174" s="378">
        <v>59531</v>
      </c>
      <c r="J174" s="378">
        <v>0</v>
      </c>
      <c r="K174" s="378">
        <v>500</v>
      </c>
      <c r="L174" s="377"/>
      <c r="M174" s="378">
        <v>8837789</v>
      </c>
      <c r="N174" s="377"/>
      <c r="O174" s="377"/>
      <c r="P174" s="377"/>
      <c r="Q174" s="378">
        <v>8851627</v>
      </c>
      <c r="R174" s="378">
        <v>-968373</v>
      </c>
      <c r="S174" s="377"/>
      <c r="T174" s="378">
        <v>9740000</v>
      </c>
      <c r="U174" s="377"/>
    </row>
    <row r="175" spans="1:21">
      <c r="A175" s="379" t="s">
        <v>2110</v>
      </c>
      <c r="B175" s="378" t="s">
        <v>2345</v>
      </c>
      <c r="C175" s="381">
        <v>43657</v>
      </c>
      <c r="D175" s="378">
        <v>41.473199999999999</v>
      </c>
      <c r="E175" s="378">
        <v>663281</v>
      </c>
      <c r="F175" s="378">
        <v>-567</v>
      </c>
      <c r="G175" s="378">
        <v>15993</v>
      </c>
      <c r="H175" s="378">
        <v>0</v>
      </c>
      <c r="I175" s="378">
        <v>15993</v>
      </c>
      <c r="J175" s="378">
        <v>0</v>
      </c>
      <c r="K175" s="378">
        <v>500</v>
      </c>
      <c r="L175" s="377"/>
      <c r="M175" s="378">
        <v>20736609</v>
      </c>
      <c r="N175" s="377"/>
      <c r="O175" s="377"/>
      <c r="P175" s="377"/>
      <c r="Q175" s="378">
        <v>20767032</v>
      </c>
      <c r="R175" s="378">
        <v>-1032968</v>
      </c>
      <c r="S175" s="377"/>
      <c r="T175" s="378">
        <v>21780000</v>
      </c>
      <c r="U175" s="378">
        <v>15993000</v>
      </c>
    </row>
    <row r="176" spans="1:21">
      <c r="A176" s="379" t="s">
        <v>2111</v>
      </c>
      <c r="B176" s="378" t="s">
        <v>2346</v>
      </c>
      <c r="C176" s="381">
        <v>43657</v>
      </c>
      <c r="D176" s="378">
        <v>43.830399999999997</v>
      </c>
      <c r="E176" s="378">
        <v>10013758</v>
      </c>
      <c r="F176" s="378">
        <v>-36477</v>
      </c>
      <c r="G176" s="378">
        <v>228466</v>
      </c>
      <c r="H176" s="378">
        <v>0</v>
      </c>
      <c r="I176" s="378">
        <v>228466</v>
      </c>
      <c r="J176" s="378">
        <v>0</v>
      </c>
      <c r="K176" s="378">
        <v>500</v>
      </c>
      <c r="L176" s="377"/>
      <c r="M176" s="378">
        <v>21915204</v>
      </c>
      <c r="N176" s="377"/>
      <c r="O176" s="377"/>
      <c r="P176" s="377"/>
      <c r="Q176" s="378">
        <v>22041680</v>
      </c>
      <c r="R176" s="378">
        <v>-1058320</v>
      </c>
      <c r="S176" s="377"/>
      <c r="T176" s="378">
        <v>23020000</v>
      </c>
      <c r="U176" s="378">
        <v>228466000</v>
      </c>
    </row>
    <row r="177" spans="1:21">
      <c r="A177" s="379" t="s">
        <v>2112</v>
      </c>
      <c r="B177" s="378" t="s">
        <v>2347</v>
      </c>
      <c r="C177" s="381">
        <v>43657</v>
      </c>
      <c r="D177" s="378">
        <v>43.538600000000002</v>
      </c>
      <c r="E177" s="378">
        <v>699491</v>
      </c>
      <c r="F177" s="378">
        <v>-2265</v>
      </c>
      <c r="G177" s="378">
        <v>16066</v>
      </c>
      <c r="H177" s="378">
        <v>0</v>
      </c>
      <c r="I177" s="378">
        <v>16066</v>
      </c>
      <c r="J177" s="378">
        <v>0</v>
      </c>
      <c r="K177" s="378">
        <v>500</v>
      </c>
      <c r="L177" s="377"/>
      <c r="M177" s="378">
        <v>21769295</v>
      </c>
      <c r="N177" s="377"/>
      <c r="O177" s="378">
        <v>0</v>
      </c>
      <c r="P177" s="378">
        <v>23520000</v>
      </c>
      <c r="Q177" s="378">
        <v>21835347</v>
      </c>
      <c r="R177" s="378">
        <v>-1654653</v>
      </c>
      <c r="S177" s="377"/>
      <c r="T177" s="377"/>
      <c r="U177" s="378">
        <v>16066000</v>
      </c>
    </row>
    <row r="178" spans="1:21">
      <c r="A178" s="379" t="s">
        <v>2113</v>
      </c>
      <c r="B178" s="378" t="s">
        <v>2348</v>
      </c>
      <c r="C178" s="381">
        <v>43657</v>
      </c>
      <c r="D178" s="378">
        <v>43.131799999999998</v>
      </c>
      <c r="E178" s="378">
        <v>1005230</v>
      </c>
      <c r="F178" s="378">
        <v>-2699</v>
      </c>
      <c r="G178" s="378">
        <v>23306</v>
      </c>
      <c r="H178" s="378">
        <v>0</v>
      </c>
      <c r="I178" s="378">
        <v>23306</v>
      </c>
      <c r="J178" s="378">
        <v>0</v>
      </c>
      <c r="K178" s="378">
        <v>500</v>
      </c>
      <c r="L178" s="377"/>
      <c r="M178" s="378">
        <v>21565913</v>
      </c>
      <c r="N178" s="377"/>
      <c r="O178" s="378">
        <v>0</v>
      </c>
      <c r="P178" s="378">
        <v>23300000</v>
      </c>
      <c r="Q178" s="378">
        <v>21636320</v>
      </c>
      <c r="R178" s="378">
        <v>-1613680</v>
      </c>
      <c r="S178" s="377"/>
      <c r="T178" s="377"/>
      <c r="U178" s="378">
        <v>23306000</v>
      </c>
    </row>
    <row r="179" spans="1:21">
      <c r="A179" s="379" t="s">
        <v>2114</v>
      </c>
      <c r="B179" s="378" t="s">
        <v>2349</v>
      </c>
      <c r="C179" s="381">
        <v>43657</v>
      </c>
      <c r="D179" s="378">
        <v>42.751399999999997</v>
      </c>
      <c r="E179" s="378">
        <v>1547858</v>
      </c>
      <c r="F179" s="378">
        <v>-474</v>
      </c>
      <c r="G179" s="378">
        <v>36206</v>
      </c>
      <c r="H179" s="378">
        <v>0</v>
      </c>
      <c r="I179" s="378">
        <v>36206</v>
      </c>
      <c r="J179" s="378">
        <v>0</v>
      </c>
      <c r="K179" s="378">
        <v>500</v>
      </c>
      <c r="L179" s="377"/>
      <c r="M179" s="378">
        <v>21375708</v>
      </c>
      <c r="N179" s="377"/>
      <c r="O179" s="378">
        <v>0</v>
      </c>
      <c r="P179" s="378">
        <v>23100000</v>
      </c>
      <c r="Q179" s="378">
        <v>21446277</v>
      </c>
      <c r="R179" s="378">
        <v>-1483723</v>
      </c>
      <c r="S179" s="377"/>
      <c r="T179" s="377"/>
      <c r="U179" s="378">
        <v>36206000</v>
      </c>
    </row>
    <row r="180" spans="1:21">
      <c r="A180" s="379" t="s">
        <v>2115</v>
      </c>
      <c r="B180" s="378" t="s">
        <v>2350</v>
      </c>
      <c r="C180" s="381">
        <v>43657</v>
      </c>
      <c r="D180" s="378">
        <v>67.082499999999996</v>
      </c>
      <c r="E180" s="378">
        <v>4467693</v>
      </c>
      <c r="F180" s="378">
        <v>-14733</v>
      </c>
      <c r="G180" s="378">
        <v>66600</v>
      </c>
      <c r="H180" s="378">
        <v>0</v>
      </c>
      <c r="I180" s="378">
        <v>66600</v>
      </c>
      <c r="J180" s="378">
        <v>0</v>
      </c>
      <c r="K180" s="378">
        <v>500</v>
      </c>
      <c r="L180" s="378">
        <v>33541240</v>
      </c>
      <c r="M180" s="378">
        <v>33541240</v>
      </c>
      <c r="N180" s="378">
        <v>0</v>
      </c>
      <c r="O180" s="377"/>
      <c r="P180" s="377"/>
      <c r="Q180" s="378">
        <v>33720934</v>
      </c>
      <c r="R180" s="378">
        <v>-1422836</v>
      </c>
      <c r="S180" s="377"/>
      <c r="T180" s="378">
        <v>35223302</v>
      </c>
      <c r="U180" s="377"/>
    </row>
    <row r="181" spans="1:21">
      <c r="A181" s="379" t="s">
        <v>2116</v>
      </c>
      <c r="B181" s="378" t="s">
        <v>2351</v>
      </c>
      <c r="C181" s="381">
        <v>43657</v>
      </c>
      <c r="D181" s="378">
        <v>66.4649</v>
      </c>
      <c r="E181" s="378">
        <v>1036852</v>
      </c>
      <c r="F181" s="378">
        <v>-3444</v>
      </c>
      <c r="G181" s="378">
        <v>15600</v>
      </c>
      <c r="H181" s="378">
        <v>0</v>
      </c>
      <c r="I181" s="378">
        <v>15600</v>
      </c>
      <c r="J181" s="378">
        <v>0</v>
      </c>
      <c r="K181" s="378">
        <v>500</v>
      </c>
      <c r="L181" s="378">
        <v>33232445</v>
      </c>
      <c r="M181" s="378">
        <v>33232445</v>
      </c>
      <c r="N181" s="378">
        <v>0</v>
      </c>
      <c r="O181" s="377"/>
      <c r="P181" s="377"/>
      <c r="Q181" s="378">
        <v>33406804</v>
      </c>
      <c r="R181" s="378">
        <v>-1453997</v>
      </c>
      <c r="S181" s="377"/>
      <c r="T181" s="378">
        <v>34899067</v>
      </c>
      <c r="U181" s="377"/>
    </row>
    <row r="182" spans="1:21">
      <c r="A182" s="379" t="s">
        <v>2117</v>
      </c>
      <c r="B182" s="378" t="s">
        <v>2352</v>
      </c>
      <c r="C182" s="381">
        <v>43657</v>
      </c>
      <c r="D182" s="378">
        <v>62.540500000000002</v>
      </c>
      <c r="E182" s="378">
        <v>20019214</v>
      </c>
      <c r="F182" s="378">
        <v>-5734</v>
      </c>
      <c r="G182" s="378">
        <v>320100</v>
      </c>
      <c r="H182" s="378">
        <v>0</v>
      </c>
      <c r="I182" s="378">
        <v>320100</v>
      </c>
      <c r="J182" s="378">
        <v>0</v>
      </c>
      <c r="K182" s="378">
        <v>500</v>
      </c>
      <c r="L182" s="378">
        <v>31270250</v>
      </c>
      <c r="M182" s="378">
        <v>31270250</v>
      </c>
      <c r="N182" s="378">
        <v>0</v>
      </c>
      <c r="O182" s="377"/>
      <c r="P182" s="377"/>
      <c r="Q182" s="378">
        <v>31344226</v>
      </c>
      <c r="R182" s="378">
        <v>-1444536</v>
      </c>
      <c r="S182" s="377"/>
      <c r="T182" s="378">
        <v>32838763</v>
      </c>
      <c r="U182" s="377"/>
    </row>
    <row r="183" spans="1:21">
      <c r="A183" s="379" t="s">
        <v>2118</v>
      </c>
      <c r="B183" s="378" t="s">
        <v>2353</v>
      </c>
      <c r="C183" s="381">
        <v>43657</v>
      </c>
      <c r="D183" s="378">
        <v>43.543399999999998</v>
      </c>
      <c r="E183" s="378">
        <v>222724</v>
      </c>
      <c r="F183" s="378">
        <v>-1122</v>
      </c>
      <c r="G183" s="378">
        <v>5115</v>
      </c>
      <c r="H183" s="378">
        <v>0</v>
      </c>
      <c r="I183" s="378">
        <v>5115</v>
      </c>
      <c r="J183" s="378">
        <v>0</v>
      </c>
      <c r="K183" s="378">
        <v>500</v>
      </c>
      <c r="L183" s="377"/>
      <c r="M183" s="378">
        <v>21771691</v>
      </c>
      <c r="N183" s="377"/>
      <c r="O183" s="377"/>
      <c r="P183" s="378">
        <v>23079993</v>
      </c>
      <c r="Q183" s="378">
        <v>21882549</v>
      </c>
      <c r="R183" s="378">
        <v>-1149264</v>
      </c>
      <c r="S183" s="377"/>
      <c r="T183" s="377"/>
      <c r="U183" s="378">
        <v>5115000</v>
      </c>
    </row>
    <row r="184" spans="1:21">
      <c r="A184" s="379" t="s">
        <v>2119</v>
      </c>
      <c r="B184" s="378" t="s">
        <v>2354</v>
      </c>
      <c r="C184" s="381">
        <v>43657</v>
      </c>
      <c r="D184" s="378">
        <v>43.305300000000003</v>
      </c>
      <c r="E184" s="378">
        <v>217652</v>
      </c>
      <c r="F184" s="378">
        <v>-703</v>
      </c>
      <c r="G184" s="378">
        <v>5026</v>
      </c>
      <c r="H184" s="378">
        <v>0</v>
      </c>
      <c r="I184" s="378">
        <v>5026</v>
      </c>
      <c r="J184" s="378">
        <v>0</v>
      </c>
      <c r="K184" s="378">
        <v>500</v>
      </c>
      <c r="L184" s="377"/>
      <c r="M184" s="378">
        <v>21652639</v>
      </c>
      <c r="N184" s="377"/>
      <c r="O184" s="377"/>
      <c r="P184" s="378">
        <v>22953798</v>
      </c>
      <c r="Q184" s="378">
        <v>21762902</v>
      </c>
      <c r="R184" s="378">
        <v>-1090847</v>
      </c>
      <c r="S184" s="377"/>
      <c r="T184" s="377"/>
      <c r="U184" s="378">
        <v>5026000</v>
      </c>
    </row>
    <row r="185" spans="1:21">
      <c r="A185" s="379" t="s">
        <v>2120</v>
      </c>
      <c r="B185" s="378" t="s">
        <v>2355</v>
      </c>
      <c r="C185" s="381">
        <v>43657</v>
      </c>
      <c r="D185" s="378">
        <v>40.840200000000003</v>
      </c>
      <c r="E185" s="378">
        <v>7808111</v>
      </c>
      <c r="F185" s="378">
        <v>368460</v>
      </c>
      <c r="G185" s="378">
        <v>191187</v>
      </c>
      <c r="H185" s="378">
        <v>9000</v>
      </c>
      <c r="I185" s="378">
        <v>191187</v>
      </c>
      <c r="J185" s="378">
        <v>9000</v>
      </c>
      <c r="K185" s="378">
        <v>500</v>
      </c>
      <c r="L185" s="377"/>
      <c r="M185" s="378">
        <v>20420088</v>
      </c>
      <c r="N185" s="377"/>
      <c r="O185" s="377"/>
      <c r="P185" s="378">
        <v>21443093</v>
      </c>
      <c r="Q185" s="378">
        <v>20428214</v>
      </c>
      <c r="R185" s="378">
        <v>-991681</v>
      </c>
      <c r="S185" s="377"/>
      <c r="T185" s="377"/>
      <c r="U185" s="378">
        <v>191187000</v>
      </c>
    </row>
    <row r="186" spans="1:21">
      <c r="A186" s="379" t="s">
        <v>2121</v>
      </c>
      <c r="B186" s="378" t="s">
        <v>2356</v>
      </c>
      <c r="C186" s="381">
        <v>43657</v>
      </c>
      <c r="D186" s="378">
        <v>43.463000000000001</v>
      </c>
      <c r="E186" s="378">
        <v>20301489</v>
      </c>
      <c r="F186" s="378">
        <v>-1011381</v>
      </c>
      <c r="G186" s="378">
        <v>467098</v>
      </c>
      <c r="H186" s="378">
        <v>-22000</v>
      </c>
      <c r="I186" s="378">
        <v>467098</v>
      </c>
      <c r="J186" s="378">
        <v>-22000</v>
      </c>
      <c r="K186" s="378">
        <v>500</v>
      </c>
      <c r="L186" s="377"/>
      <c r="M186" s="378">
        <v>21731509</v>
      </c>
      <c r="N186" s="377"/>
      <c r="O186" s="377"/>
      <c r="P186" s="377"/>
      <c r="Q186" s="378">
        <v>21738682</v>
      </c>
      <c r="R186" s="378">
        <v>-1617428</v>
      </c>
      <c r="S186" s="377"/>
      <c r="T186" s="378">
        <v>23475030</v>
      </c>
      <c r="U186" s="378">
        <v>404098000</v>
      </c>
    </row>
    <row r="187" spans="1:21">
      <c r="A187" s="379" t="s">
        <v>2122</v>
      </c>
      <c r="B187" s="378" t="s">
        <v>2357</v>
      </c>
      <c r="C187" s="381">
        <v>43657</v>
      </c>
      <c r="D187" s="378">
        <v>40.373399999999997</v>
      </c>
      <c r="E187" s="378">
        <v>1694473</v>
      </c>
      <c r="F187" s="378">
        <v>2692</v>
      </c>
      <c r="G187" s="378">
        <v>41970</v>
      </c>
      <c r="H187" s="378">
        <v>0</v>
      </c>
      <c r="I187" s="378">
        <v>41970</v>
      </c>
      <c r="J187" s="378">
        <v>0</v>
      </c>
      <c r="K187" s="378">
        <v>500</v>
      </c>
      <c r="L187" s="377"/>
      <c r="M187" s="378">
        <v>20186713</v>
      </c>
      <c r="N187" s="377"/>
      <c r="O187" s="377"/>
      <c r="P187" s="377"/>
      <c r="Q187" s="378">
        <v>20197769</v>
      </c>
      <c r="R187" s="378">
        <v>-1559861</v>
      </c>
      <c r="S187" s="377"/>
      <c r="T187" s="378">
        <v>21806650</v>
      </c>
      <c r="U187" s="378">
        <v>41970000</v>
      </c>
    </row>
    <row r="188" spans="1:21">
      <c r="A188" s="379" t="s">
        <v>2123</v>
      </c>
      <c r="B188" s="378" t="s">
        <v>2358</v>
      </c>
      <c r="C188" s="381">
        <v>43657</v>
      </c>
      <c r="D188" s="378">
        <v>41.805</v>
      </c>
      <c r="E188" s="378">
        <v>281598</v>
      </c>
      <c r="F188" s="378">
        <v>-561</v>
      </c>
      <c r="G188" s="378">
        <v>6736</v>
      </c>
      <c r="H188" s="378">
        <v>0</v>
      </c>
      <c r="I188" s="378">
        <v>6736</v>
      </c>
      <c r="J188" s="378">
        <v>0</v>
      </c>
      <c r="K188" s="378">
        <v>500</v>
      </c>
      <c r="L188" s="377"/>
      <c r="M188" s="378">
        <v>20902483</v>
      </c>
      <c r="N188" s="377"/>
      <c r="O188" s="377"/>
      <c r="P188" s="377"/>
      <c r="Q188" s="378">
        <v>20938837</v>
      </c>
      <c r="R188" s="378">
        <v>-1574654</v>
      </c>
      <c r="S188" s="377"/>
      <c r="T188" s="378">
        <v>22579682</v>
      </c>
      <c r="U188" s="378">
        <v>6736000</v>
      </c>
    </row>
    <row r="189" spans="1:21">
      <c r="A189" s="379" t="s">
        <v>2124</v>
      </c>
      <c r="B189" s="378" t="s">
        <v>2359</v>
      </c>
      <c r="C189" s="381">
        <v>43657</v>
      </c>
      <c r="D189" s="378">
        <v>42.389000000000003</v>
      </c>
      <c r="E189" s="378">
        <v>469288</v>
      </c>
      <c r="F189" s="378">
        <v>-526</v>
      </c>
      <c r="G189" s="378">
        <v>11071</v>
      </c>
      <c r="H189" s="378">
        <v>0</v>
      </c>
      <c r="I189" s="378">
        <v>11071</v>
      </c>
      <c r="J189" s="378">
        <v>0</v>
      </c>
      <c r="K189" s="378">
        <v>500</v>
      </c>
      <c r="L189" s="377"/>
      <c r="M189" s="378">
        <v>21194500</v>
      </c>
      <c r="N189" s="377"/>
      <c r="O189" s="377"/>
      <c r="P189" s="377"/>
      <c r="Q189" s="378">
        <v>21196476</v>
      </c>
      <c r="R189" s="378">
        <v>-1721524</v>
      </c>
      <c r="S189" s="377"/>
      <c r="T189" s="378">
        <v>22892000</v>
      </c>
      <c r="U189" s="378">
        <v>11071000</v>
      </c>
    </row>
    <row r="190" spans="1:21">
      <c r="A190" s="379" t="s">
        <v>2125</v>
      </c>
      <c r="B190" s="378" t="s">
        <v>2360</v>
      </c>
      <c r="C190" s="381">
        <v>43657</v>
      </c>
      <c r="D190" s="378">
        <v>43.287199999999999</v>
      </c>
      <c r="E190" s="378">
        <v>953876</v>
      </c>
      <c r="F190" s="378">
        <v>-2860</v>
      </c>
      <c r="G190" s="378">
        <v>22036</v>
      </c>
      <c r="H190" s="378">
        <v>0</v>
      </c>
      <c r="I190" s="378">
        <v>22036</v>
      </c>
      <c r="J190" s="378">
        <v>0</v>
      </c>
      <c r="K190" s="378">
        <v>500</v>
      </c>
      <c r="L190" s="377"/>
      <c r="M190" s="378">
        <v>21643600</v>
      </c>
      <c r="N190" s="377"/>
      <c r="O190" s="377"/>
      <c r="P190" s="377"/>
      <c r="Q190" s="378">
        <v>21645583</v>
      </c>
      <c r="R190" s="378">
        <v>-1801417</v>
      </c>
      <c r="S190" s="377"/>
      <c r="T190" s="378">
        <v>23377000</v>
      </c>
      <c r="U190" s="378">
        <v>22036000</v>
      </c>
    </row>
    <row r="191" spans="1:21">
      <c r="A191" s="379" t="s">
        <v>46</v>
      </c>
      <c r="B191" s="378" t="s">
        <v>2361</v>
      </c>
      <c r="C191" s="381"/>
      <c r="D191" s="377"/>
      <c r="E191" s="377"/>
      <c r="F191" s="377"/>
      <c r="G191" s="377"/>
      <c r="H191" s="377"/>
      <c r="I191" s="377"/>
      <c r="J191" s="377"/>
      <c r="K191" s="377"/>
      <c r="L191" s="377"/>
      <c r="M191" s="377"/>
      <c r="N191" s="377"/>
      <c r="O191" s="377"/>
      <c r="P191" s="377"/>
      <c r="Q191" s="377"/>
      <c r="R191" s="377"/>
      <c r="S191" s="377"/>
      <c r="T191" s="377"/>
      <c r="U191" s="377"/>
    </row>
    <row r="192" spans="1:21">
      <c r="A192" s="379" t="s">
        <v>2126</v>
      </c>
      <c r="B192" s="378" t="s">
        <v>2362</v>
      </c>
      <c r="C192" s="381">
        <v>43657</v>
      </c>
      <c r="D192" s="378">
        <v>14.35</v>
      </c>
      <c r="E192" s="378">
        <v>1384746</v>
      </c>
      <c r="F192" s="378">
        <v>9344</v>
      </c>
      <c r="G192" s="378">
        <v>96465</v>
      </c>
      <c r="H192" s="378">
        <v>0</v>
      </c>
      <c r="I192" s="378">
        <v>96465</v>
      </c>
      <c r="J192" s="378">
        <v>0</v>
      </c>
      <c r="K192" s="378">
        <v>500</v>
      </c>
      <c r="L192" s="378">
        <v>7175000</v>
      </c>
      <c r="M192" s="378">
        <v>6773967</v>
      </c>
      <c r="N192" s="378">
        <v>401033</v>
      </c>
      <c r="O192" s="377"/>
      <c r="P192" s="377"/>
      <c r="Q192" s="377"/>
      <c r="R192" s="377"/>
      <c r="S192" s="377"/>
      <c r="T192" s="378">
        <v>7902000</v>
      </c>
      <c r="U192" s="378">
        <v>94465000</v>
      </c>
    </row>
    <row r="193" spans="1:21">
      <c r="A193" s="379" t="s">
        <v>2127</v>
      </c>
      <c r="B193" s="378" t="s">
        <v>2363</v>
      </c>
      <c r="C193" s="381">
        <v>43657</v>
      </c>
      <c r="D193" s="378">
        <v>40.939799999999998</v>
      </c>
      <c r="E193" s="378">
        <v>741010</v>
      </c>
      <c r="F193" s="378">
        <v>150</v>
      </c>
      <c r="G193" s="378">
        <v>18100</v>
      </c>
      <c r="H193" s="378">
        <v>0</v>
      </c>
      <c r="I193" s="378">
        <v>18100</v>
      </c>
      <c r="J193" s="378">
        <v>0</v>
      </c>
      <c r="K193" s="378">
        <v>500</v>
      </c>
      <c r="L193" s="377"/>
      <c r="M193" s="378">
        <v>20469896</v>
      </c>
      <c r="N193" s="377"/>
      <c r="O193" s="377"/>
      <c r="P193" s="378">
        <v>21500000</v>
      </c>
      <c r="Q193" s="378">
        <v>20476943</v>
      </c>
      <c r="R193" s="378">
        <v>-1013057</v>
      </c>
      <c r="S193" s="377"/>
      <c r="T193" s="377"/>
      <c r="U193" s="378">
        <v>18100000</v>
      </c>
    </row>
    <row r="194" spans="1:21">
      <c r="A194" s="379" t="s">
        <v>2128</v>
      </c>
      <c r="B194" s="378" t="s">
        <v>2364</v>
      </c>
      <c r="C194" s="381">
        <v>43657</v>
      </c>
      <c r="D194" s="378">
        <v>43.993400000000001</v>
      </c>
      <c r="E194" s="378">
        <v>277158</v>
      </c>
      <c r="F194" s="378">
        <v>-459</v>
      </c>
      <c r="G194" s="378">
        <v>6300</v>
      </c>
      <c r="H194" s="378">
        <v>0</v>
      </c>
      <c r="I194" s="378">
        <v>6300</v>
      </c>
      <c r="J194" s="378">
        <v>0</v>
      </c>
      <c r="K194" s="378">
        <v>500</v>
      </c>
      <c r="L194" s="377"/>
      <c r="M194" s="378">
        <v>21996691</v>
      </c>
      <c r="N194" s="377"/>
      <c r="O194" s="377"/>
      <c r="P194" s="378">
        <v>23100000</v>
      </c>
      <c r="Q194" s="378">
        <v>22003891</v>
      </c>
      <c r="R194" s="378">
        <v>-1136109</v>
      </c>
      <c r="S194" s="377"/>
      <c r="T194" s="377"/>
      <c r="U194" s="378">
        <v>6300000</v>
      </c>
    </row>
    <row r="195" spans="1:21">
      <c r="A195" s="379" t="s">
        <v>2129</v>
      </c>
      <c r="B195" s="378" t="s">
        <v>2365</v>
      </c>
      <c r="C195" s="381">
        <v>43657</v>
      </c>
      <c r="D195" s="378">
        <v>42.742699999999999</v>
      </c>
      <c r="E195" s="378">
        <v>24833</v>
      </c>
      <c r="F195" s="378">
        <v>-66</v>
      </c>
      <c r="G195" s="378">
        <v>581</v>
      </c>
      <c r="H195" s="378">
        <v>0</v>
      </c>
      <c r="I195" s="378">
        <v>581</v>
      </c>
      <c r="J195" s="378">
        <v>0</v>
      </c>
      <c r="K195" s="377"/>
      <c r="L195" s="377"/>
      <c r="M195" s="378">
        <v>21371330</v>
      </c>
      <c r="N195" s="377"/>
      <c r="O195" s="377"/>
      <c r="P195" s="378">
        <v>23088000</v>
      </c>
      <c r="Q195" s="378">
        <v>21377604</v>
      </c>
      <c r="R195" s="378">
        <v>-1594396</v>
      </c>
      <c r="S195" s="377"/>
      <c r="T195" s="377"/>
      <c r="U195" s="377"/>
    </row>
    <row r="196" spans="1:21">
      <c r="A196" s="379" t="s">
        <v>2130</v>
      </c>
      <c r="B196" s="378" t="s">
        <v>2366</v>
      </c>
      <c r="C196" s="381">
        <v>43657</v>
      </c>
      <c r="D196" s="378">
        <v>42.827500000000001</v>
      </c>
      <c r="E196" s="378">
        <v>479582</v>
      </c>
      <c r="F196" s="378">
        <v>-2165</v>
      </c>
      <c r="G196" s="378">
        <v>11198</v>
      </c>
      <c r="H196" s="378">
        <v>0</v>
      </c>
      <c r="I196" s="378">
        <v>11198</v>
      </c>
      <c r="J196" s="378">
        <v>0</v>
      </c>
      <c r="K196" s="377"/>
      <c r="L196" s="377"/>
      <c r="M196" s="378">
        <v>21413754</v>
      </c>
      <c r="N196" s="377"/>
      <c r="O196" s="377"/>
      <c r="P196" s="378">
        <v>23251000</v>
      </c>
      <c r="Q196" s="378">
        <v>21415754</v>
      </c>
      <c r="R196" s="378">
        <v>-1822246</v>
      </c>
      <c r="S196" s="377"/>
      <c r="T196" s="377"/>
      <c r="U196" s="377"/>
    </row>
    <row r="197" spans="1:21">
      <c r="A197" s="379" t="s">
        <v>2131</v>
      </c>
      <c r="B197" s="378" t="s">
        <v>2367</v>
      </c>
      <c r="C197" s="381">
        <v>43657</v>
      </c>
      <c r="D197" s="378">
        <v>42.664900000000003</v>
      </c>
      <c r="E197" s="378">
        <v>136144</v>
      </c>
      <c r="F197" s="378">
        <v>-533</v>
      </c>
      <c r="G197" s="378">
        <v>3191</v>
      </c>
      <c r="H197" s="378">
        <v>0</v>
      </c>
      <c r="I197" s="378">
        <v>3191</v>
      </c>
      <c r="J197" s="378">
        <v>0</v>
      </c>
      <c r="K197" s="377"/>
      <c r="L197" s="377"/>
      <c r="M197" s="378">
        <v>21332451</v>
      </c>
      <c r="N197" s="377"/>
      <c r="O197" s="377"/>
      <c r="P197" s="378">
        <v>23142000</v>
      </c>
      <c r="Q197" s="378">
        <v>21334451</v>
      </c>
      <c r="R197" s="378">
        <v>-1838549</v>
      </c>
      <c r="S197" s="377"/>
      <c r="T197" s="377"/>
      <c r="U197" s="377"/>
    </row>
    <row r="198" spans="1:21">
      <c r="A198" s="379" t="s">
        <v>2132</v>
      </c>
      <c r="B198" s="378" t="s">
        <v>2368</v>
      </c>
      <c r="C198" s="381">
        <v>43657</v>
      </c>
      <c r="D198" s="378">
        <v>42.440300000000001</v>
      </c>
      <c r="E198" s="378">
        <v>638344</v>
      </c>
      <c r="F198" s="378">
        <v>-2629</v>
      </c>
      <c r="G198" s="378">
        <v>15041</v>
      </c>
      <c r="H198" s="378">
        <v>0</v>
      </c>
      <c r="I198" s="378">
        <v>15041</v>
      </c>
      <c r="J198" s="378">
        <v>0</v>
      </c>
      <c r="K198" s="378">
        <v>500</v>
      </c>
      <c r="L198" s="377"/>
      <c r="M198" s="378">
        <v>21220146</v>
      </c>
      <c r="N198" s="377"/>
      <c r="O198" s="377"/>
      <c r="P198" s="378">
        <v>22495000</v>
      </c>
      <c r="Q198" s="377"/>
      <c r="R198" s="378">
        <v>-1239854</v>
      </c>
      <c r="S198" s="377"/>
      <c r="T198" s="377"/>
      <c r="U198" s="378">
        <v>15041000</v>
      </c>
    </row>
    <row r="199" spans="1:21">
      <c r="A199" s="379" t="s">
        <v>2133</v>
      </c>
      <c r="B199" s="378" t="s">
        <v>2369</v>
      </c>
      <c r="C199" s="381">
        <v>43657</v>
      </c>
      <c r="D199" s="378">
        <v>41.874699999999997</v>
      </c>
      <c r="E199" s="378">
        <v>127341</v>
      </c>
      <c r="F199" s="378">
        <v>-278</v>
      </c>
      <c r="G199" s="378">
        <v>3041</v>
      </c>
      <c r="H199" s="378">
        <v>0</v>
      </c>
      <c r="I199" s="378">
        <v>3041</v>
      </c>
      <c r="J199" s="378">
        <v>0</v>
      </c>
      <c r="K199" s="378">
        <v>500</v>
      </c>
      <c r="L199" s="377"/>
      <c r="M199" s="378">
        <v>20937335</v>
      </c>
      <c r="N199" s="377"/>
      <c r="O199" s="377"/>
      <c r="P199" s="378">
        <v>22196000</v>
      </c>
      <c r="Q199" s="377"/>
      <c r="R199" s="378">
        <v>-1177665</v>
      </c>
      <c r="S199" s="377"/>
      <c r="T199" s="377"/>
      <c r="U199" s="378">
        <v>3041000</v>
      </c>
    </row>
    <row r="200" spans="1:21">
      <c r="A200" s="379" t="s">
        <v>2134</v>
      </c>
      <c r="B200" s="378" t="s">
        <v>2370</v>
      </c>
      <c r="C200" s="381">
        <v>43657</v>
      </c>
      <c r="D200" s="378">
        <v>40.097000000000001</v>
      </c>
      <c r="E200" s="378">
        <v>268289</v>
      </c>
      <c r="F200" s="378">
        <v>345</v>
      </c>
      <c r="G200" s="378">
        <v>6691</v>
      </c>
      <c r="H200" s="378">
        <v>0</v>
      </c>
      <c r="I200" s="378">
        <v>6691</v>
      </c>
      <c r="J200" s="378">
        <v>0</v>
      </c>
      <c r="K200" s="378">
        <v>500</v>
      </c>
      <c r="L200" s="377"/>
      <c r="M200" s="378">
        <v>20048522</v>
      </c>
      <c r="N200" s="377"/>
      <c r="O200" s="377"/>
      <c r="P200" s="378">
        <v>21253000</v>
      </c>
      <c r="Q200" s="377"/>
      <c r="R200" s="378">
        <v>-1179463</v>
      </c>
      <c r="S200" s="377"/>
      <c r="T200" s="377"/>
      <c r="U200" s="378">
        <v>6691000</v>
      </c>
    </row>
    <row r="201" spans="1:21">
      <c r="A201" s="379" t="s">
        <v>2135</v>
      </c>
      <c r="B201" s="378" t="s">
        <v>2371</v>
      </c>
      <c r="C201" s="381">
        <v>43657</v>
      </c>
      <c r="D201" s="378">
        <v>41.088099999999997</v>
      </c>
      <c r="E201" s="378">
        <v>1374027</v>
      </c>
      <c r="F201" s="378">
        <v>-5017</v>
      </c>
      <c r="G201" s="378">
        <v>33441</v>
      </c>
      <c r="H201" s="378">
        <v>0</v>
      </c>
      <c r="I201" s="378">
        <v>33441</v>
      </c>
      <c r="J201" s="378">
        <v>0</v>
      </c>
      <c r="K201" s="377"/>
      <c r="L201" s="377"/>
      <c r="M201" s="378">
        <v>20546098</v>
      </c>
      <c r="N201" s="377"/>
      <c r="O201" s="377"/>
      <c r="P201" s="378">
        <v>22193000</v>
      </c>
      <c r="Q201" s="378">
        <v>20596293</v>
      </c>
      <c r="R201" s="378">
        <v>-1556707</v>
      </c>
      <c r="S201" s="377"/>
      <c r="T201" s="377"/>
      <c r="U201" s="378">
        <v>33441000</v>
      </c>
    </row>
    <row r="202" spans="1:21">
      <c r="A202" s="379" t="s">
        <v>2136</v>
      </c>
      <c r="B202" s="378" t="s">
        <v>2372</v>
      </c>
      <c r="C202" s="381">
        <v>43657</v>
      </c>
      <c r="D202" s="378">
        <v>40.9908</v>
      </c>
      <c r="E202" s="378">
        <v>1062933</v>
      </c>
      <c r="F202" s="378">
        <v>-3826</v>
      </c>
      <c r="G202" s="378">
        <v>25931</v>
      </c>
      <c r="H202" s="378">
        <v>0</v>
      </c>
      <c r="I202" s="378">
        <v>25931</v>
      </c>
      <c r="J202" s="378">
        <v>0</v>
      </c>
      <c r="K202" s="377"/>
      <c r="L202" s="377"/>
      <c r="M202" s="378">
        <v>20491308</v>
      </c>
      <c r="N202" s="377"/>
      <c r="O202" s="377"/>
      <c r="P202" s="378">
        <v>22140000</v>
      </c>
      <c r="Q202" s="378">
        <v>20549595</v>
      </c>
      <c r="R202" s="378">
        <v>-1493405</v>
      </c>
      <c r="S202" s="377"/>
      <c r="T202" s="377"/>
      <c r="U202" s="378">
        <v>25931000</v>
      </c>
    </row>
    <row r="203" spans="1:21">
      <c r="A203" s="379" t="s">
        <v>2137</v>
      </c>
      <c r="B203" s="378" t="s">
        <v>2373</v>
      </c>
      <c r="C203" s="381">
        <v>43657</v>
      </c>
      <c r="D203" s="378">
        <v>41.036499999999997</v>
      </c>
      <c r="E203" s="378">
        <v>961896</v>
      </c>
      <c r="F203" s="378">
        <v>-3553</v>
      </c>
      <c r="G203" s="378">
        <v>23440</v>
      </c>
      <c r="H203" s="378">
        <v>0</v>
      </c>
      <c r="I203" s="378">
        <v>23440</v>
      </c>
      <c r="J203" s="378">
        <v>0</v>
      </c>
      <c r="K203" s="377"/>
      <c r="L203" s="377"/>
      <c r="M203" s="378">
        <v>20516214</v>
      </c>
      <c r="N203" s="377"/>
      <c r="O203" s="377"/>
      <c r="P203" s="378">
        <v>22165000</v>
      </c>
      <c r="Q203" s="378">
        <v>20554047</v>
      </c>
      <c r="R203" s="378">
        <v>-1563953</v>
      </c>
      <c r="S203" s="377"/>
      <c r="T203" s="377"/>
      <c r="U203" s="378">
        <v>23440000</v>
      </c>
    </row>
    <row r="204" spans="1:21">
      <c r="A204" s="379" t="s">
        <v>2138</v>
      </c>
      <c r="B204" s="378" t="s">
        <v>2374</v>
      </c>
      <c r="C204" s="381">
        <v>43657</v>
      </c>
      <c r="D204" s="378">
        <v>41</v>
      </c>
      <c r="E204" s="378">
        <v>748912</v>
      </c>
      <c r="F204" s="378">
        <v>-3335</v>
      </c>
      <c r="G204" s="378">
        <v>18267</v>
      </c>
      <c r="H204" s="378">
        <v>0</v>
      </c>
      <c r="I204" s="378">
        <v>18267</v>
      </c>
      <c r="J204" s="378">
        <v>0</v>
      </c>
      <c r="K204" s="378">
        <v>500</v>
      </c>
      <c r="L204" s="377"/>
      <c r="M204" s="378">
        <v>20499040</v>
      </c>
      <c r="N204" s="377"/>
      <c r="O204" s="377"/>
      <c r="P204" s="378">
        <v>22140963</v>
      </c>
      <c r="Q204" s="378">
        <v>20531789</v>
      </c>
      <c r="R204" s="378">
        <v>-1655105</v>
      </c>
      <c r="S204" s="377"/>
      <c r="T204" s="377"/>
      <c r="U204" s="378">
        <v>18267000</v>
      </c>
    </row>
    <row r="205" spans="1:21">
      <c r="A205" s="377"/>
      <c r="B205" s="377"/>
      <c r="C205" s="381"/>
      <c r="D205" s="377"/>
      <c r="E205" s="377"/>
      <c r="F205" s="377"/>
      <c r="G205" s="377"/>
      <c r="H205" s="377"/>
      <c r="I205" s="377"/>
      <c r="J205" s="377"/>
      <c r="K205" s="377"/>
      <c r="L205" s="377"/>
      <c r="M205" s="377"/>
      <c r="N205" s="377"/>
      <c r="O205" s="377"/>
      <c r="P205" s="377"/>
      <c r="Q205" s="377"/>
      <c r="R205" s="377"/>
      <c r="S205" s="377"/>
      <c r="T205" s="377"/>
      <c r="U205" s="377"/>
    </row>
  </sheetData>
  <phoneticPr fontId="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G360"/>
  <sheetViews>
    <sheetView workbookViewId="0">
      <pane xSplit="2" ySplit="5" topLeftCell="C8" activePane="bottomRight" state="frozen"/>
      <selection pane="topRight" activeCell="C1" sqref="C1"/>
      <selection pane="bottomLeft" activeCell="A6" sqref="A6"/>
      <selection pane="bottomRight" activeCell="E16" sqref="E16"/>
    </sheetView>
  </sheetViews>
  <sheetFormatPr defaultColWidth="9" defaultRowHeight="16.2"/>
  <cols>
    <col min="1" max="1" width="9" style="372"/>
    <col min="2" max="2" width="24.44140625" style="372" customWidth="1"/>
    <col min="3" max="16384" width="9" style="372"/>
  </cols>
  <sheetData>
    <row r="1" spans="1:7">
      <c r="A1" s="374" t="s">
        <v>115</v>
      </c>
      <c r="B1" s="374" t="s">
        <v>1881</v>
      </c>
      <c r="C1" s="374" t="s">
        <v>1882</v>
      </c>
    </row>
    <row r="2" spans="1:7">
      <c r="A2" s="374" t="s">
        <v>127</v>
      </c>
      <c r="B2" s="374" t="s">
        <v>128</v>
      </c>
      <c r="C2" s="374"/>
    </row>
    <row r="3" spans="1:7">
      <c r="A3" s="374" t="s">
        <v>129</v>
      </c>
      <c r="B3" s="374" t="s">
        <v>130</v>
      </c>
      <c r="C3" s="374" t="s">
        <v>2770</v>
      </c>
    </row>
    <row r="5" spans="1:7">
      <c r="A5" s="372" t="s">
        <v>57</v>
      </c>
      <c r="B5" s="372" t="s">
        <v>55</v>
      </c>
      <c r="C5" s="372" t="s">
        <v>2770</v>
      </c>
      <c r="D5" s="372" t="s">
        <v>2208</v>
      </c>
      <c r="E5" s="372" t="s">
        <v>222</v>
      </c>
      <c r="F5" s="372" t="s">
        <v>2209</v>
      </c>
      <c r="G5" s="372" t="s">
        <v>2210</v>
      </c>
    </row>
    <row r="6" spans="1:7">
      <c r="A6" s="373" t="s">
        <v>27</v>
      </c>
      <c r="B6" s="372" t="s">
        <v>2490</v>
      </c>
      <c r="C6" s="372">
        <v>82.85</v>
      </c>
      <c r="D6" s="372">
        <f xml:space="preserve"> [1]!'0050.TW-PreClose'</f>
        <v>82.85</v>
      </c>
      <c r="E6" s="372">
        <f xml:space="preserve"> [1]!'0050.TW-Price'</f>
        <v>82.75</v>
      </c>
      <c r="F6" s="372">
        <f xml:space="preserve"> [1]!'0050.TW-BestBid1'</f>
        <v>82.75</v>
      </c>
      <c r="G6" s="372">
        <f xml:space="preserve"> [1]!'0050.TW-BestAsk1'</f>
        <v>82.8</v>
      </c>
    </row>
    <row r="7" spans="1:7">
      <c r="A7" s="373" t="s">
        <v>28</v>
      </c>
      <c r="B7" s="372" t="s">
        <v>2139</v>
      </c>
      <c r="C7" s="372">
        <v>32.93</v>
      </c>
      <c r="D7" s="372">
        <f xml:space="preserve"> [1]!'0051.TW-PreClose'</f>
        <v>32.93</v>
      </c>
      <c r="E7" s="372">
        <f xml:space="preserve"> [1]!'0051.TW-Price'</f>
        <v>32.950000000000003</v>
      </c>
      <c r="F7" s="372">
        <f xml:space="preserve"> [1]!'0051.TW-BestBid1'</f>
        <v>32.92</v>
      </c>
      <c r="G7" s="372">
        <f xml:space="preserve"> [1]!'0051.TW-BestAsk1'</f>
        <v>32.96</v>
      </c>
    </row>
    <row r="8" spans="1:7">
      <c r="A8" s="373" t="s">
        <v>29</v>
      </c>
      <c r="B8" s="372" t="s">
        <v>2140</v>
      </c>
      <c r="C8" s="372">
        <v>55.5</v>
      </c>
      <c r="D8" s="372">
        <f xml:space="preserve"> [1]!'0052.TW-PreClose'</f>
        <v>55.5</v>
      </c>
      <c r="E8" s="372">
        <f xml:space="preserve"> [1]!'0052.TW-Price'</f>
        <v>55.7</v>
      </c>
      <c r="F8" s="372">
        <f xml:space="preserve"> [1]!'0052.TW-BestBid1'</f>
        <v>55.55</v>
      </c>
      <c r="G8" s="372">
        <f xml:space="preserve"> [1]!'0052.TW-BestAsk1'</f>
        <v>55.75</v>
      </c>
    </row>
    <row r="9" spans="1:7">
      <c r="A9" s="373" t="s">
        <v>30</v>
      </c>
      <c r="B9" s="372" t="s">
        <v>2491</v>
      </c>
      <c r="C9" s="372">
        <v>35.4</v>
      </c>
      <c r="D9" s="372">
        <f xml:space="preserve"> [1]!'0053.TW-PreClose'</f>
        <v>35.4</v>
      </c>
      <c r="E9" s="372">
        <f xml:space="preserve"> [1]!'0053.TW-Price'</f>
        <v>35.380000000000003</v>
      </c>
      <c r="F9" s="372">
        <f xml:space="preserve"> [1]!'0053.TW-BestBid1'</f>
        <v>35.31</v>
      </c>
      <c r="G9" s="372">
        <f xml:space="preserve"> [1]!'0053.TW-BestAsk1'</f>
        <v>35.520000000000003</v>
      </c>
    </row>
    <row r="10" spans="1:7">
      <c r="A10" s="373" t="s">
        <v>31</v>
      </c>
      <c r="B10" s="372" t="s">
        <v>2141</v>
      </c>
      <c r="C10" s="372">
        <v>22.66</v>
      </c>
      <c r="D10" s="372">
        <f xml:space="preserve"> [1]!'0054.TW-PreClose'</f>
        <v>22.66</v>
      </c>
      <c r="E10" s="372">
        <f xml:space="preserve"> [1]!'0054.TW-Price'</f>
        <v>22.72</v>
      </c>
      <c r="F10" s="372">
        <f xml:space="preserve"> [1]!'0054.TW-BestBid1'</f>
        <v>22.51</v>
      </c>
      <c r="G10" s="372">
        <f xml:space="preserve"> [1]!'0054.TW-BestAsk1'</f>
        <v>22.63</v>
      </c>
    </row>
    <row r="11" spans="1:7">
      <c r="A11" s="373" t="s">
        <v>32</v>
      </c>
      <c r="B11" s="372" t="s">
        <v>2492</v>
      </c>
      <c r="C11" s="372">
        <v>18.55</v>
      </c>
      <c r="D11" s="372">
        <f xml:space="preserve"> [1]!'0055.TW-PreClose'</f>
        <v>18.55</v>
      </c>
      <c r="E11" s="372">
        <f xml:space="preserve"> [1]!'0055.TW-Price'</f>
        <v>18.579999999999998</v>
      </c>
      <c r="F11" s="372">
        <f xml:space="preserve"> [1]!'0055.TW-BestBid1'</f>
        <v>18.53</v>
      </c>
      <c r="G11" s="372">
        <f xml:space="preserve"> [1]!'0055.TW-BestAsk1'</f>
        <v>18.59</v>
      </c>
    </row>
    <row r="12" spans="1:7">
      <c r="A12" s="373" t="s">
        <v>33</v>
      </c>
      <c r="B12" s="372" t="s">
        <v>2493</v>
      </c>
      <c r="C12" s="372">
        <v>27.11</v>
      </c>
      <c r="D12" s="372">
        <f xml:space="preserve"> [1]!'0056.TW-PreClose'</f>
        <v>27.11</v>
      </c>
      <c r="E12" s="372">
        <f xml:space="preserve"> [1]!'0056.TW-Price'</f>
        <v>27.16</v>
      </c>
      <c r="F12" s="372">
        <f xml:space="preserve"> [1]!'0056.TW-BestBid1'</f>
        <v>27.16</v>
      </c>
      <c r="G12" s="372">
        <f xml:space="preserve"> [1]!'0056.TW-BestAsk1'</f>
        <v>27.17</v>
      </c>
    </row>
    <row r="13" spans="1:7">
      <c r="A13" s="373" t="s">
        <v>34</v>
      </c>
      <c r="B13" s="372" t="s">
        <v>2142</v>
      </c>
      <c r="C13" s="372">
        <v>52.55</v>
      </c>
      <c r="D13" s="372">
        <f xml:space="preserve"> [1]!'0057.TW-PreClose'</f>
        <v>52.55</v>
      </c>
      <c r="E13" s="372">
        <f xml:space="preserve"> [1]!'0057.TW-Price'</f>
        <v>52.45</v>
      </c>
      <c r="F13" s="372">
        <f xml:space="preserve"> [1]!'0057.TW-BestBid1'</f>
        <v>52.2</v>
      </c>
      <c r="G13" s="372">
        <f xml:space="preserve"> [1]!'0057.TW-BestAsk1'</f>
        <v>52.55</v>
      </c>
    </row>
    <row r="14" spans="1:7">
      <c r="A14" s="373" t="s">
        <v>35</v>
      </c>
      <c r="B14" s="372" t="s">
        <v>2494</v>
      </c>
      <c r="C14" s="372">
        <v>47</v>
      </c>
      <c r="D14" s="372">
        <f xml:space="preserve"> [1]!'0058.TW-PreClose'</f>
        <v>47</v>
      </c>
      <c r="E14" s="372">
        <f xml:space="preserve"> [1]!'0058.TW-Price'</f>
        <v>46.87</v>
      </c>
      <c r="F14" s="372">
        <f xml:space="preserve"> [1]!'0058.TW-BestBid1'</f>
        <v>46.69</v>
      </c>
      <c r="G14" s="372">
        <f xml:space="preserve"> [1]!'0058.TW-BestAsk1'</f>
        <v>46.86</v>
      </c>
    </row>
    <row r="15" spans="1:7">
      <c r="A15" s="373" t="s">
        <v>36</v>
      </c>
      <c r="B15" s="372" t="s">
        <v>2143</v>
      </c>
      <c r="C15" s="372">
        <v>47.3</v>
      </c>
      <c r="D15" s="372">
        <f xml:space="preserve"> [1]!'0059.TW-PreClose'</f>
        <v>47.3</v>
      </c>
      <c r="E15" s="372">
        <f xml:space="preserve"> [1]!'0059.TW-Price'</f>
        <v>47.36</v>
      </c>
      <c r="F15" s="372">
        <f xml:space="preserve"> [1]!'0059.TW-BestBid1'</f>
        <v>47.25</v>
      </c>
      <c r="G15" s="372">
        <f xml:space="preserve"> [1]!'0059.TW-BestAsk1'</f>
        <v>47.29</v>
      </c>
    </row>
    <row r="16" spans="1:7">
      <c r="A16" s="373" t="s">
        <v>37</v>
      </c>
      <c r="B16" s="372" t="s">
        <v>2144</v>
      </c>
      <c r="C16" s="372">
        <v>18.12</v>
      </c>
      <c r="D16" s="372">
        <f xml:space="preserve"> [1]!'0061.TW-PreClose'</f>
        <v>18.12</v>
      </c>
      <c r="E16" s="372">
        <f xml:space="preserve"> [1]!'0061.TW-Price'</f>
        <v>18.16</v>
      </c>
      <c r="F16" s="372">
        <f xml:space="preserve"> [1]!'0061.TW-BestBid1'</f>
        <v>18.16</v>
      </c>
      <c r="G16" s="372">
        <f xml:space="preserve"> [1]!'0061.TW-BestAsk1'</f>
        <v>18.18</v>
      </c>
    </row>
    <row r="17" spans="1:7">
      <c r="A17" s="373" t="s">
        <v>38</v>
      </c>
      <c r="B17" s="372" t="s">
        <v>2145</v>
      </c>
      <c r="C17" s="372">
        <v>12.88</v>
      </c>
      <c r="D17" s="372">
        <f xml:space="preserve"> [1]!'006201.TW-PreClose'</f>
        <v>12.88</v>
      </c>
      <c r="E17" s="372">
        <f xml:space="preserve"> [1]!'006201.TW-Price'</f>
        <v>12.82</v>
      </c>
      <c r="F17" s="372">
        <f xml:space="preserve"> [1]!'006201.TW-BestBid1'</f>
        <v>12.82</v>
      </c>
      <c r="G17" s="372">
        <f xml:space="preserve"> [1]!'006201.TW-BestAsk1'</f>
        <v>12.9</v>
      </c>
    </row>
    <row r="18" spans="1:7">
      <c r="A18" s="373" t="s">
        <v>39</v>
      </c>
      <c r="B18" s="372" t="s">
        <v>2146</v>
      </c>
      <c r="C18" s="372">
        <v>39</v>
      </c>
      <c r="D18" s="372">
        <f xml:space="preserve"> [1]!'006203.TW-PreClose'</f>
        <v>39</v>
      </c>
      <c r="E18" s="372" t="str">
        <f xml:space="preserve"> [1]!'006203.TW-Price'</f>
        <v>--</v>
      </c>
      <c r="F18" s="372">
        <f xml:space="preserve"> [1]!'006203.TW-BestBid1'</f>
        <v>38.75</v>
      </c>
      <c r="G18" s="372">
        <f xml:space="preserve"> [1]!'006203.TW-BestAsk1'</f>
        <v>38.92</v>
      </c>
    </row>
    <row r="19" spans="1:7">
      <c r="A19" s="373" t="s">
        <v>40</v>
      </c>
      <c r="B19" s="372" t="s">
        <v>2147</v>
      </c>
      <c r="C19" s="372">
        <v>54.55</v>
      </c>
      <c r="D19" s="372">
        <f xml:space="preserve"> [1]!'006204.TW-PreClose'</f>
        <v>54.55</v>
      </c>
      <c r="E19" s="372">
        <f xml:space="preserve"> [1]!'006204.TW-Price'</f>
        <v>54.7</v>
      </c>
      <c r="F19" s="372">
        <f xml:space="preserve"> [1]!'006204.TW-BestBid1'</f>
        <v>54.6</v>
      </c>
      <c r="G19" s="372">
        <f xml:space="preserve"> [1]!'006204.TW-BestAsk1'</f>
        <v>54.75</v>
      </c>
    </row>
    <row r="20" spans="1:7">
      <c r="A20" s="373" t="s">
        <v>41</v>
      </c>
      <c r="B20" s="372" t="s">
        <v>2148</v>
      </c>
      <c r="C20" s="372">
        <v>31.61</v>
      </c>
      <c r="D20" s="372">
        <f xml:space="preserve"> [1]!'006205.TW-PreClose'</f>
        <v>31.61</v>
      </c>
      <c r="E20" s="372">
        <f xml:space="preserve"> [1]!'006205.TW-Price'</f>
        <v>31.75</v>
      </c>
      <c r="F20" s="372">
        <f xml:space="preserve"> [1]!'006205.TW-BestBid1'</f>
        <v>31.75</v>
      </c>
      <c r="G20" s="372">
        <f xml:space="preserve"> [1]!'006205.TW-BestAsk1'</f>
        <v>31.76</v>
      </c>
    </row>
    <row r="21" spans="1:7">
      <c r="A21" s="373" t="s">
        <v>42</v>
      </c>
      <c r="B21" s="372" t="s">
        <v>2495</v>
      </c>
      <c r="C21" s="372">
        <v>33.33</v>
      </c>
      <c r="D21" s="372">
        <f xml:space="preserve"> [1]!'006206.TW-PreClose'</f>
        <v>33.33</v>
      </c>
      <c r="E21" s="372">
        <f xml:space="preserve"> [1]!'006206.TW-Price'</f>
        <v>33.409999999999997</v>
      </c>
      <c r="F21" s="372">
        <f xml:space="preserve"> [1]!'006206.TW-BestBid1'</f>
        <v>33.409999999999997</v>
      </c>
      <c r="G21" s="372">
        <f xml:space="preserve"> [1]!'006206.TW-BestAsk1'</f>
        <v>33.42</v>
      </c>
    </row>
    <row r="22" spans="1:7">
      <c r="A22" s="373" t="s">
        <v>43</v>
      </c>
      <c r="B22" s="372" t="s">
        <v>2496</v>
      </c>
      <c r="C22" s="372">
        <v>23.58</v>
      </c>
      <c r="D22" s="372">
        <f xml:space="preserve"> [1]!'006207.TW-PreClose'</f>
        <v>23.58</v>
      </c>
      <c r="E22" s="372">
        <f xml:space="preserve"> [1]!'006207.TW-Price'</f>
        <v>23.7</v>
      </c>
      <c r="F22" s="372">
        <f xml:space="preserve"> [1]!'006207.TW-BestBid1'</f>
        <v>23.67</v>
      </c>
      <c r="G22" s="372">
        <f xml:space="preserve"> [1]!'006207.TW-BestAsk1'</f>
        <v>23.7</v>
      </c>
    </row>
    <row r="23" spans="1:7">
      <c r="A23" s="373" t="s">
        <v>44</v>
      </c>
      <c r="B23" s="372" t="s">
        <v>2149</v>
      </c>
      <c r="C23" s="372">
        <v>47.4</v>
      </c>
      <c r="D23" s="372">
        <f xml:space="preserve"> [1]!'006208.TW-PreClose'</f>
        <v>47.4</v>
      </c>
      <c r="E23" s="372">
        <f xml:space="preserve"> [1]!'006208.TW-Price'</f>
        <v>47.34</v>
      </c>
      <c r="F23" s="372">
        <f xml:space="preserve"> [1]!'006208.TW-BestBid1'</f>
        <v>47.32</v>
      </c>
      <c r="G23" s="372">
        <f xml:space="preserve"> [1]!'006208.TW-BestAsk1'</f>
        <v>47.34</v>
      </c>
    </row>
    <row r="24" spans="1:7">
      <c r="A24" s="373" t="s">
        <v>91</v>
      </c>
      <c r="B24" s="372" t="s">
        <v>2497</v>
      </c>
      <c r="C24" s="372">
        <v>7.02</v>
      </c>
      <c r="D24" s="372">
        <f xml:space="preserve"> [1]!'00625K.TW-PreClose'</f>
        <v>7.02</v>
      </c>
      <c r="E24" s="372">
        <f xml:space="preserve"> [1]!'00625K.TW-Price'</f>
        <v>7.04</v>
      </c>
      <c r="F24" s="372">
        <f xml:space="preserve"> [1]!'00625K.TW-BestBid1'</f>
        <v>6.94</v>
      </c>
      <c r="G24" s="372">
        <f xml:space="preserve"> [1]!'00625K.TW-BestAsk1'</f>
        <v>7.09</v>
      </c>
    </row>
    <row r="25" spans="1:7">
      <c r="A25" s="373" t="s">
        <v>45</v>
      </c>
      <c r="B25" s="372" t="s">
        <v>2498</v>
      </c>
      <c r="C25" s="372">
        <v>40.49</v>
      </c>
      <c r="D25" s="372">
        <f xml:space="preserve"> [1]!'00631L.TW-PreClose'</f>
        <v>40.49</v>
      </c>
      <c r="E25" s="372">
        <f xml:space="preserve"> [1]!'00631L.TW-Price'</f>
        <v>40.43</v>
      </c>
      <c r="F25" s="372">
        <f xml:space="preserve"> [1]!'00631L.TW-BestBid1'</f>
        <v>40.43</v>
      </c>
      <c r="G25" s="372">
        <f xml:space="preserve"> [1]!'00631L.TW-BestAsk1'</f>
        <v>40.47</v>
      </c>
    </row>
    <row r="26" spans="1:7">
      <c r="A26" s="373" t="s">
        <v>25</v>
      </c>
      <c r="B26" s="372" t="s">
        <v>2499</v>
      </c>
      <c r="C26" s="372">
        <v>11.49</v>
      </c>
      <c r="D26" s="372">
        <f xml:space="preserve"> [1]!'00632R.TW-PreClose'</f>
        <v>11.49</v>
      </c>
      <c r="E26" s="372">
        <f xml:space="preserve"> [1]!'00632R.TW-Price'</f>
        <v>11.49</v>
      </c>
      <c r="F26" s="372">
        <f xml:space="preserve"> [1]!'00632R.TW-BestBid1'</f>
        <v>11.49</v>
      </c>
      <c r="G26" s="372">
        <f xml:space="preserve"> [1]!'00632R.TW-BestAsk1'</f>
        <v>11.5</v>
      </c>
    </row>
    <row r="27" spans="1:7">
      <c r="A27" s="373" t="s">
        <v>50</v>
      </c>
      <c r="B27" s="372" t="s">
        <v>2150</v>
      </c>
      <c r="C27" s="372">
        <v>46.49</v>
      </c>
      <c r="D27" s="372">
        <f xml:space="preserve"> [1]!'00633L.TW-PreClose'</f>
        <v>46.49</v>
      </c>
      <c r="E27" s="372">
        <f xml:space="preserve"> [1]!'00633L.TW-Price'</f>
        <v>47.22</v>
      </c>
      <c r="F27" s="372">
        <f xml:space="preserve"> [1]!'00633L.TW-BestBid1'</f>
        <v>47.22</v>
      </c>
      <c r="G27" s="372">
        <f xml:space="preserve"> [1]!'00633L.TW-BestAsk1'</f>
        <v>47.23</v>
      </c>
    </row>
    <row r="28" spans="1:7">
      <c r="A28" s="373" t="s">
        <v>51</v>
      </c>
      <c r="B28" s="372" t="s">
        <v>2500</v>
      </c>
      <c r="C28" s="372">
        <v>6.14</v>
      </c>
      <c r="D28" s="372">
        <f xml:space="preserve"> [1]!'00634R.TW-PreClose'</f>
        <v>6.14</v>
      </c>
      <c r="E28" s="372">
        <f xml:space="preserve"> [1]!'00634R.TW-Price'</f>
        <v>6.1</v>
      </c>
      <c r="F28" s="372">
        <f xml:space="preserve"> [1]!'00634R.TW-BestBid1'</f>
        <v>6.1</v>
      </c>
      <c r="G28" s="372">
        <f xml:space="preserve"> [1]!'00634R.TW-BestAsk1'</f>
        <v>6.11</v>
      </c>
    </row>
    <row r="29" spans="1:7">
      <c r="A29" s="373" t="s">
        <v>62</v>
      </c>
      <c r="B29" s="372" t="s">
        <v>2151</v>
      </c>
      <c r="C29" s="372">
        <v>20.85</v>
      </c>
      <c r="D29" s="372">
        <f xml:space="preserve"> [1]!'00635U.TW-PreClose'</f>
        <v>20.85</v>
      </c>
      <c r="E29" s="372">
        <f xml:space="preserve"> [1]!'00635U.TW-Price'</f>
        <v>20.65</v>
      </c>
      <c r="F29" s="372">
        <f xml:space="preserve"> [1]!'00635U.TW-BestBid1'</f>
        <v>20.64</v>
      </c>
      <c r="G29" s="372">
        <f xml:space="preserve"> [1]!'00635U.TW-BestAsk1'</f>
        <v>20.65</v>
      </c>
    </row>
    <row r="30" spans="1:7">
      <c r="A30" s="373" t="s">
        <v>56</v>
      </c>
      <c r="B30" s="372" t="s">
        <v>2152</v>
      </c>
      <c r="C30" s="372">
        <v>21.96</v>
      </c>
      <c r="D30" s="372">
        <f xml:space="preserve"> [1]!'00636.TW-PreClose'</f>
        <v>21.96</v>
      </c>
      <c r="E30" s="372">
        <f xml:space="preserve"> [1]!'00636.TW-Price'</f>
        <v>22.09</v>
      </c>
      <c r="F30" s="372">
        <f xml:space="preserve"> [1]!'00636.TW-BestBid1'</f>
        <v>22.09</v>
      </c>
      <c r="G30" s="372">
        <f xml:space="preserve"> [1]!'00636.TW-BestAsk1'</f>
        <v>22.1</v>
      </c>
    </row>
    <row r="31" spans="1:7">
      <c r="A31" s="373" t="s">
        <v>2033</v>
      </c>
      <c r="B31" s="372" t="s">
        <v>2501</v>
      </c>
      <c r="C31" s="372">
        <v>7.09</v>
      </c>
      <c r="D31" s="372">
        <f xml:space="preserve"> [1]!'00636K.TW-PreClose'</f>
        <v>7.09</v>
      </c>
      <c r="E31" s="372">
        <f xml:space="preserve"> [1]!'00636K.TW-Price'</f>
        <v>7.13</v>
      </c>
      <c r="F31" s="372">
        <f xml:space="preserve"> [1]!'00636K.TW-BestBid1'</f>
        <v>7.08</v>
      </c>
      <c r="G31" s="372">
        <f xml:space="preserve"> [1]!'00636K.TW-BestAsk1'</f>
        <v>7.12</v>
      </c>
    </row>
    <row r="32" spans="1:7">
      <c r="A32" s="373" t="s">
        <v>60</v>
      </c>
      <c r="B32" s="372" t="s">
        <v>2502</v>
      </c>
      <c r="C32" s="372">
        <v>17.8</v>
      </c>
      <c r="D32" s="372">
        <f xml:space="preserve"> [1]!'00637L.TW-PreClose'</f>
        <v>17.8</v>
      </c>
      <c r="E32" s="372">
        <f xml:space="preserve"> [1]!'00637L.TW-Price'</f>
        <v>18.059999999999999</v>
      </c>
      <c r="F32" s="372">
        <f xml:space="preserve"> [1]!'00637L.TW-BestBid1'</f>
        <v>18.05</v>
      </c>
      <c r="G32" s="372">
        <f xml:space="preserve"> [1]!'00637L.TW-BestAsk1'</f>
        <v>18.059999999999999</v>
      </c>
    </row>
    <row r="33" spans="1:7">
      <c r="A33" s="373" t="s">
        <v>61</v>
      </c>
      <c r="B33" s="372" t="s">
        <v>2153</v>
      </c>
      <c r="C33" s="372">
        <v>12.37</v>
      </c>
      <c r="D33" s="372">
        <f xml:space="preserve"> [1]!'00638R.TW-PreClose'</f>
        <v>12.37</v>
      </c>
      <c r="E33" s="372">
        <f xml:space="preserve"> [1]!'00638R.TW-Price'</f>
        <v>12.29</v>
      </c>
      <c r="F33" s="372">
        <f xml:space="preserve"> [1]!'00638R.TW-BestBid1'</f>
        <v>12.29</v>
      </c>
      <c r="G33" s="372">
        <f xml:space="preserve"> [1]!'00638R.TW-BestAsk1'</f>
        <v>12.3</v>
      </c>
    </row>
    <row r="34" spans="1:7">
      <c r="A34" s="373" t="s">
        <v>58</v>
      </c>
      <c r="B34" s="372" t="s">
        <v>2154</v>
      </c>
      <c r="C34" s="372">
        <v>10.35</v>
      </c>
      <c r="D34" s="372">
        <f xml:space="preserve"> [1]!'00639.TW-PreClose'</f>
        <v>10.35</v>
      </c>
      <c r="E34" s="372">
        <f xml:space="preserve"> [1]!'00639.TW-Price'</f>
        <v>10.4</v>
      </c>
      <c r="F34" s="372">
        <f xml:space="preserve"> [1]!'00639.TW-BestBid1'</f>
        <v>10.39</v>
      </c>
      <c r="G34" s="372">
        <f xml:space="preserve"> [1]!'00639.TW-BestAsk1'</f>
        <v>10.4</v>
      </c>
    </row>
    <row r="35" spans="1:7">
      <c r="A35" s="373" t="s">
        <v>77</v>
      </c>
      <c r="B35" s="372" t="s">
        <v>2155</v>
      </c>
      <c r="C35" s="372">
        <v>19.02</v>
      </c>
      <c r="D35" s="372">
        <f xml:space="preserve"> [1]!'00640L.TW-PreClose'</f>
        <v>19.02</v>
      </c>
      <c r="E35" s="372">
        <f xml:space="preserve"> [1]!'00640L.TW-Price'</f>
        <v>18.940000000000001</v>
      </c>
      <c r="F35" s="372">
        <f xml:space="preserve"> [1]!'00640L.TW-BestBid1'</f>
        <v>18.93</v>
      </c>
      <c r="G35" s="372">
        <f xml:space="preserve"> [1]!'00640L.TW-BestAsk1'</f>
        <v>18.940000000000001</v>
      </c>
    </row>
    <row r="36" spans="1:7">
      <c r="A36" s="373" t="s">
        <v>78</v>
      </c>
      <c r="B36" s="372" t="s">
        <v>2503</v>
      </c>
      <c r="C36" s="372">
        <v>15.11</v>
      </c>
      <c r="D36" s="372">
        <f xml:space="preserve"> [1]!'00641R.TW-PreClose'</f>
        <v>15.11</v>
      </c>
      <c r="E36" s="372">
        <f xml:space="preserve"> [1]!'00641R.TW-Price'</f>
        <v>15.12</v>
      </c>
      <c r="F36" s="372">
        <f xml:space="preserve"> [1]!'00641R.TW-BestBid1'</f>
        <v>15.12</v>
      </c>
      <c r="G36" s="372">
        <f xml:space="preserve"> [1]!'00641R.TW-BestAsk1'</f>
        <v>15.14</v>
      </c>
    </row>
    <row r="37" spans="1:7">
      <c r="A37" s="373" t="s">
        <v>63</v>
      </c>
      <c r="B37" s="372" t="s">
        <v>2156</v>
      </c>
      <c r="C37" s="372">
        <v>17.850000000000001</v>
      </c>
      <c r="D37" s="372">
        <f xml:space="preserve"> [1]!'00642U.TW-PreClose'</f>
        <v>17.850000000000001</v>
      </c>
      <c r="E37" s="372">
        <f xml:space="preserve"> [1]!'00642U.TW-Price'</f>
        <v>17.829999999999998</v>
      </c>
      <c r="F37" s="372">
        <f xml:space="preserve"> [1]!'00642U.TW-BestBid1'</f>
        <v>17.829999999999998</v>
      </c>
      <c r="G37" s="372">
        <f xml:space="preserve"> [1]!'00642U.TW-BestAsk1'</f>
        <v>17.84</v>
      </c>
    </row>
    <row r="38" spans="1:7">
      <c r="A38" s="373" t="s">
        <v>59</v>
      </c>
      <c r="B38" s="372" t="s">
        <v>2157</v>
      </c>
      <c r="C38" s="372">
        <v>11.59</v>
      </c>
      <c r="D38" s="372">
        <f xml:space="preserve"> [1]!'00643.TW-PreClose'</f>
        <v>11.59</v>
      </c>
      <c r="E38" s="372">
        <f xml:space="preserve"> [1]!'00643.TW-Price'</f>
        <v>11.58</v>
      </c>
      <c r="F38" s="372">
        <f xml:space="preserve"> [1]!'00643.TW-BestBid1'</f>
        <v>11.58</v>
      </c>
      <c r="G38" s="372">
        <f xml:space="preserve"> [1]!'00643.TW-BestAsk1'</f>
        <v>11.62</v>
      </c>
    </row>
    <row r="39" spans="1:7">
      <c r="A39" s="373" t="s">
        <v>2034</v>
      </c>
      <c r="B39" s="372" t="s">
        <v>2504</v>
      </c>
      <c r="C39" s="372">
        <v>2.62</v>
      </c>
      <c r="D39" s="372">
        <f xml:space="preserve"> [1]!'00643K.TW-PreClose'</f>
        <v>2.62</v>
      </c>
      <c r="E39" s="372" t="str">
        <f xml:space="preserve"> [1]!'00643K.TW-Price'</f>
        <v>--</v>
      </c>
      <c r="F39" s="372">
        <f xml:space="preserve"> [1]!'00643K.TW-BestBid1'</f>
        <v>2.56</v>
      </c>
      <c r="G39" s="372">
        <f xml:space="preserve"> [1]!'00643K.TW-BestAsk1'</f>
        <v>2.62</v>
      </c>
    </row>
    <row r="40" spans="1:7">
      <c r="A40" s="373" t="s">
        <v>90</v>
      </c>
      <c r="B40" s="372" t="s">
        <v>2158</v>
      </c>
      <c r="C40" s="372">
        <v>20.39</v>
      </c>
      <c r="D40" s="372">
        <f xml:space="preserve"> [1]!'00645.TW-PreClose'</f>
        <v>20.39</v>
      </c>
      <c r="E40" s="372">
        <f xml:space="preserve"> [1]!'00645.TW-Price'</f>
        <v>20.309999999999999</v>
      </c>
      <c r="F40" s="372">
        <f xml:space="preserve"> [1]!'00645.TW-BestBid1'</f>
        <v>20.27</v>
      </c>
      <c r="G40" s="372">
        <f xml:space="preserve"> [1]!'00645.TW-BestAsk1'</f>
        <v>20.32</v>
      </c>
    </row>
    <row r="41" spans="1:7">
      <c r="A41" s="373" t="s">
        <v>64</v>
      </c>
      <c r="B41" s="372" t="s">
        <v>2159</v>
      </c>
      <c r="C41" s="372">
        <v>28.33</v>
      </c>
      <c r="D41" s="372">
        <f xml:space="preserve"> [1]!'00646.TW-PreClose'</f>
        <v>28.33</v>
      </c>
      <c r="E41" s="372">
        <f xml:space="preserve"> [1]!'00646.TW-Price'</f>
        <v>28.3</v>
      </c>
      <c r="F41" s="372">
        <f xml:space="preserve"> [1]!'00646.TW-BestBid1'</f>
        <v>28.3</v>
      </c>
      <c r="G41" s="372">
        <f xml:space="preserve"> [1]!'00646.TW-BestAsk1'</f>
        <v>28.35</v>
      </c>
    </row>
    <row r="42" spans="1:7">
      <c r="A42" s="373" t="s">
        <v>65</v>
      </c>
      <c r="B42" s="372" t="s">
        <v>2505</v>
      </c>
      <c r="C42" s="372">
        <v>37.630000000000003</v>
      </c>
      <c r="D42" s="372">
        <f xml:space="preserve"> [1]!'00647L.TW-PreClose'</f>
        <v>37.630000000000003</v>
      </c>
      <c r="E42" s="372">
        <f xml:space="preserve"> [1]!'00647L.TW-Price'</f>
        <v>37.76</v>
      </c>
      <c r="F42" s="372">
        <f xml:space="preserve"> [1]!'00647L.TW-BestBid1'</f>
        <v>37.799999999999997</v>
      </c>
      <c r="G42" s="372">
        <f xml:space="preserve"> [1]!'00647L.TW-BestAsk1'</f>
        <v>37.85</v>
      </c>
    </row>
    <row r="43" spans="1:7">
      <c r="A43" s="373" t="s">
        <v>66</v>
      </c>
      <c r="B43" s="372" t="s">
        <v>2160</v>
      </c>
      <c r="C43" s="372">
        <v>12.03</v>
      </c>
      <c r="D43" s="372">
        <f xml:space="preserve"> [1]!'00648R.TW-PreClose'</f>
        <v>12.03</v>
      </c>
      <c r="E43" s="372">
        <f xml:space="preserve"> [1]!'00648R.TW-Price'</f>
        <v>12.01</v>
      </c>
      <c r="F43" s="372">
        <f xml:space="preserve"> [1]!'00648R.TW-BestBid1'</f>
        <v>12.01</v>
      </c>
      <c r="G43" s="372">
        <f xml:space="preserve"> [1]!'00648R.TW-BestAsk1'</f>
        <v>12.02</v>
      </c>
    </row>
    <row r="44" spans="1:7">
      <c r="A44" s="373" t="s">
        <v>83</v>
      </c>
      <c r="B44" s="372" t="s">
        <v>2506</v>
      </c>
      <c r="C44" s="372">
        <v>21.84</v>
      </c>
      <c r="D44" s="372">
        <f xml:space="preserve"> [1]!'00649.TW-PreClose'</f>
        <v>21.84</v>
      </c>
      <c r="E44" s="372">
        <f xml:space="preserve"> [1]!'00649.TW-Price'</f>
        <v>21.81</v>
      </c>
      <c r="F44" s="372">
        <f xml:space="preserve"> [1]!'00649.TW-BestBid1'</f>
        <v>21.8</v>
      </c>
      <c r="G44" s="372">
        <f xml:space="preserve"> [1]!'00649.TW-BestAsk1'</f>
        <v>21.85</v>
      </c>
    </row>
    <row r="45" spans="1:7">
      <c r="A45" s="373" t="s">
        <v>84</v>
      </c>
      <c r="B45" s="372" t="s">
        <v>2507</v>
      </c>
      <c r="C45" s="372">
        <v>32.22</v>
      </c>
      <c r="D45" s="372">
        <f xml:space="preserve"> [1]!'00650L.TW-PreClose'</f>
        <v>32.22</v>
      </c>
      <c r="E45" s="372">
        <f xml:space="preserve"> [1]!'00650L.TW-Price'</f>
        <v>32.18</v>
      </c>
      <c r="F45" s="372">
        <f xml:space="preserve"> [1]!'00650L.TW-BestBid1'</f>
        <v>32.19</v>
      </c>
      <c r="G45" s="372">
        <f xml:space="preserve"> [1]!'00650L.TW-BestAsk1'</f>
        <v>32.22</v>
      </c>
    </row>
    <row r="46" spans="1:7">
      <c r="A46" s="373" t="s">
        <v>85</v>
      </c>
      <c r="B46" s="372" t="s">
        <v>2508</v>
      </c>
      <c r="C46" s="372">
        <v>8.02</v>
      </c>
      <c r="D46" s="372">
        <f xml:space="preserve"> [1]!'00651R.TW-PreClose'</f>
        <v>8.02</v>
      </c>
      <c r="E46" s="372">
        <f xml:space="preserve"> [1]!'00651R.TW-Price'</f>
        <v>7.99</v>
      </c>
      <c r="F46" s="372">
        <f xml:space="preserve"> [1]!'00651R.TW-BestBid1'</f>
        <v>7.99</v>
      </c>
      <c r="G46" s="372">
        <f xml:space="preserve"> [1]!'00651R.TW-BestAsk1'</f>
        <v>8</v>
      </c>
    </row>
    <row r="47" spans="1:7">
      <c r="A47" s="373" t="s">
        <v>67</v>
      </c>
      <c r="B47" s="372" t="s">
        <v>2161</v>
      </c>
      <c r="C47" s="372">
        <v>24.66</v>
      </c>
      <c r="D47" s="372">
        <f xml:space="preserve"> [1]!'00652.TW-PreClose'</f>
        <v>24.66</v>
      </c>
      <c r="E47" s="372">
        <f xml:space="preserve"> [1]!'00652.TW-Price'</f>
        <v>24.55</v>
      </c>
      <c r="F47" s="372">
        <f xml:space="preserve"> [1]!'00652.TW-BestBid1'</f>
        <v>24.55</v>
      </c>
      <c r="G47" s="372">
        <f xml:space="preserve"> [1]!'00652.TW-BestAsk1'</f>
        <v>24.64</v>
      </c>
    </row>
    <row r="48" spans="1:7">
      <c r="A48" s="373" t="s">
        <v>68</v>
      </c>
      <c r="B48" s="372" t="s">
        <v>2509</v>
      </c>
      <c r="C48" s="372">
        <v>29.83</v>
      </c>
      <c r="D48" s="372">
        <f xml:space="preserve"> [1]!'00653L.TW-PreClose'</f>
        <v>29.83</v>
      </c>
      <c r="E48" s="372">
        <f xml:space="preserve"> [1]!'00653L.TW-Price'</f>
        <v>29.73</v>
      </c>
      <c r="F48" s="372">
        <f xml:space="preserve"> [1]!'00653L.TW-BestBid1'</f>
        <v>29.75</v>
      </c>
      <c r="G48" s="372">
        <f xml:space="preserve"> [1]!'00653L.TW-BestAsk1'</f>
        <v>29.81</v>
      </c>
    </row>
    <row r="49" spans="1:7">
      <c r="A49" s="373" t="s">
        <v>69</v>
      </c>
      <c r="B49" s="372" t="s">
        <v>2510</v>
      </c>
      <c r="C49" s="372">
        <v>13.87</v>
      </c>
      <c r="D49" s="372">
        <f xml:space="preserve"> [1]!'00654R.TW-PreClose'</f>
        <v>13.87</v>
      </c>
      <c r="E49" s="372">
        <f xml:space="preserve"> [1]!'00654R.TW-Price'</f>
        <v>13.92</v>
      </c>
      <c r="F49" s="372">
        <f xml:space="preserve"> [1]!'00654R.TW-BestBid1'</f>
        <v>13.85</v>
      </c>
      <c r="G49" s="372">
        <f xml:space="preserve"> [1]!'00654R.TW-BestAsk1'</f>
        <v>13.93</v>
      </c>
    </row>
    <row r="50" spans="1:7">
      <c r="A50" s="373" t="s">
        <v>81</v>
      </c>
      <c r="B50" s="372" t="s">
        <v>2162</v>
      </c>
      <c r="C50" s="372">
        <v>33.43</v>
      </c>
      <c r="D50" s="372">
        <f xml:space="preserve"> [1]!'00655L.TW-PreClose'</f>
        <v>33.43</v>
      </c>
      <c r="E50" s="372">
        <f xml:space="preserve"> [1]!'00655L.TW-Price'</f>
        <v>33.89</v>
      </c>
      <c r="F50" s="372">
        <f xml:space="preserve"> [1]!'00655L.TW-BestBid1'</f>
        <v>33.89</v>
      </c>
      <c r="G50" s="372">
        <f xml:space="preserve"> [1]!'00655L.TW-BestAsk1'</f>
        <v>33.9</v>
      </c>
    </row>
    <row r="51" spans="1:7">
      <c r="A51" s="373" t="s">
        <v>82</v>
      </c>
      <c r="B51" s="372" t="s">
        <v>2163</v>
      </c>
      <c r="C51" s="372">
        <v>11.27</v>
      </c>
      <c r="D51" s="372">
        <f xml:space="preserve"> [1]!'00656R.TW-PreClose'</f>
        <v>11.27</v>
      </c>
      <c r="E51" s="372">
        <f xml:space="preserve"> [1]!'00656R.TW-Price'</f>
        <v>11.19</v>
      </c>
      <c r="F51" s="372">
        <f xml:space="preserve"> [1]!'00656R.TW-BestBid1'</f>
        <v>11.18</v>
      </c>
      <c r="G51" s="372">
        <f xml:space="preserve"> [1]!'00656R.TW-BestAsk1'</f>
        <v>11.19</v>
      </c>
    </row>
    <row r="52" spans="1:7">
      <c r="A52" s="373" t="s">
        <v>86</v>
      </c>
      <c r="B52" s="372" t="s">
        <v>2511</v>
      </c>
      <c r="C52" s="372">
        <v>26.77</v>
      </c>
      <c r="D52" s="372">
        <f xml:space="preserve"> [1]!'00657.TW-PreClose'</f>
        <v>26.77</v>
      </c>
      <c r="E52" s="372">
        <f xml:space="preserve"> [1]!'00657.TW-Price'</f>
        <v>26.83</v>
      </c>
      <c r="F52" s="372">
        <f xml:space="preserve"> [1]!'00657.TW-BestBid1'</f>
        <v>26.83</v>
      </c>
      <c r="G52" s="372">
        <f xml:space="preserve"> [1]!'00657.TW-BestAsk1'</f>
        <v>26.87</v>
      </c>
    </row>
    <row r="53" spans="1:7">
      <c r="A53" s="373" t="s">
        <v>2035</v>
      </c>
      <c r="B53" s="372" t="s">
        <v>2164</v>
      </c>
      <c r="C53" s="372">
        <v>8.65</v>
      </c>
      <c r="D53" s="372">
        <f xml:space="preserve"> [1]!'00657K.TW-PreClose'</f>
        <v>8.65</v>
      </c>
      <c r="E53" s="372">
        <f xml:space="preserve"> [1]!'00657K.TW-Price'</f>
        <v>8.66</v>
      </c>
      <c r="F53" s="372">
        <f xml:space="preserve"> [1]!'00657K.TW-BestBid1'</f>
        <v>8.64</v>
      </c>
      <c r="G53" s="372">
        <f xml:space="preserve"> [1]!'00657K.TW-BestAsk1'</f>
        <v>8.68</v>
      </c>
    </row>
    <row r="54" spans="1:7">
      <c r="A54" s="373" t="s">
        <v>79</v>
      </c>
      <c r="B54" s="372" t="s">
        <v>2512</v>
      </c>
      <c r="C54" s="372">
        <v>32.93</v>
      </c>
      <c r="D54" s="372">
        <f xml:space="preserve"> [1]!'00658L.TW-PreClose'</f>
        <v>32.93</v>
      </c>
      <c r="E54" s="372">
        <f xml:space="preserve"> [1]!'00658L.TW-Price'</f>
        <v>32.99</v>
      </c>
      <c r="F54" s="372">
        <f xml:space="preserve"> [1]!'00658L.TW-BestBid1'</f>
        <v>32.99</v>
      </c>
      <c r="G54" s="372">
        <f xml:space="preserve"> [1]!'00658L.TW-BestAsk1'</f>
        <v>33</v>
      </c>
    </row>
    <row r="55" spans="1:7">
      <c r="A55" s="373" t="s">
        <v>80</v>
      </c>
      <c r="B55" s="372" t="s">
        <v>2165</v>
      </c>
      <c r="C55" s="372">
        <v>12.27</v>
      </c>
      <c r="D55" s="372">
        <f xml:space="preserve"> [1]!'00659R.TW-PreClose'</f>
        <v>12.27</v>
      </c>
      <c r="E55" s="372">
        <f xml:space="preserve"> [1]!'00659R.TW-Price'</f>
        <v>12.27</v>
      </c>
      <c r="F55" s="372">
        <f xml:space="preserve"> [1]!'00659R.TW-BestBid1'</f>
        <v>12.25</v>
      </c>
      <c r="G55" s="372">
        <f xml:space="preserve"> [1]!'00659R.TW-BestAsk1'</f>
        <v>12.27</v>
      </c>
    </row>
    <row r="56" spans="1:7">
      <c r="A56" s="373" t="s">
        <v>87</v>
      </c>
      <c r="B56" s="372" t="s">
        <v>2513</v>
      </c>
      <c r="C56" s="372">
        <v>25.65</v>
      </c>
      <c r="D56" s="372">
        <f xml:space="preserve"> [1]!'00660.TW-PreClose'</f>
        <v>25.65</v>
      </c>
      <c r="E56" s="372">
        <f xml:space="preserve"> [1]!'00660.TW-Price'</f>
        <v>25.61</v>
      </c>
      <c r="F56" s="372">
        <f xml:space="preserve"> [1]!'00660.TW-BestBid1'</f>
        <v>25.59</v>
      </c>
      <c r="G56" s="372">
        <f xml:space="preserve"> [1]!'00660.TW-BestAsk1'</f>
        <v>25.67</v>
      </c>
    </row>
    <row r="57" spans="1:7">
      <c r="A57" s="373" t="s">
        <v>88</v>
      </c>
      <c r="B57" s="372" t="s">
        <v>2166</v>
      </c>
      <c r="C57" s="372">
        <v>27.36</v>
      </c>
      <c r="D57" s="372">
        <f xml:space="preserve"> [1]!'00661.TW-PreClose'</f>
        <v>27.36</v>
      </c>
      <c r="E57" s="372">
        <f xml:space="preserve"> [1]!'00661.TW-Price'</f>
        <v>27.4</v>
      </c>
      <c r="F57" s="372">
        <f xml:space="preserve"> [1]!'00661.TW-BestBid1'</f>
        <v>27.39</v>
      </c>
      <c r="G57" s="372">
        <f xml:space="preserve"> [1]!'00661.TW-BestAsk1'</f>
        <v>27.46</v>
      </c>
    </row>
    <row r="58" spans="1:7">
      <c r="A58" s="373" t="s">
        <v>89</v>
      </c>
      <c r="B58" s="372" t="s">
        <v>2167</v>
      </c>
      <c r="C58" s="372">
        <v>33.4</v>
      </c>
      <c r="D58" s="372">
        <f xml:space="preserve"> [1]!'00662.TW-PreClose'</f>
        <v>33.4</v>
      </c>
      <c r="E58" s="372">
        <f xml:space="preserve"> [1]!'00662.TW-Price'</f>
        <v>33.22</v>
      </c>
      <c r="F58" s="372">
        <f xml:space="preserve"> [1]!'00662.TW-BestBid1'</f>
        <v>33.200000000000003</v>
      </c>
      <c r="G58" s="372">
        <f xml:space="preserve"> [1]!'00662.TW-BestAsk1'</f>
        <v>33.24</v>
      </c>
    </row>
    <row r="59" spans="1:7">
      <c r="A59" s="373" t="s">
        <v>92</v>
      </c>
      <c r="B59" s="372" t="s">
        <v>2168</v>
      </c>
      <c r="C59" s="372">
        <v>37.44</v>
      </c>
      <c r="D59" s="372">
        <f xml:space="preserve"> [1]!'00663L.TW-PreClose'</f>
        <v>37.44</v>
      </c>
      <c r="E59" s="372">
        <f xml:space="preserve"> [1]!'00663L.TW-Price'</f>
        <v>37.369999999999997</v>
      </c>
      <c r="F59" s="372">
        <f xml:space="preserve"> [1]!'00663L.TW-BestBid1'</f>
        <v>37.36</v>
      </c>
      <c r="G59" s="372">
        <f xml:space="preserve"> [1]!'00663L.TW-BestAsk1'</f>
        <v>37.369999999999997</v>
      </c>
    </row>
    <row r="60" spans="1:7">
      <c r="A60" s="373" t="s">
        <v>93</v>
      </c>
      <c r="B60" s="372" t="s">
        <v>2514</v>
      </c>
      <c r="C60" s="372">
        <v>13.03</v>
      </c>
      <c r="D60" s="372">
        <f xml:space="preserve"> [1]!'00664R.TW-PreClose'</f>
        <v>13.03</v>
      </c>
      <c r="E60" s="372">
        <f xml:space="preserve"> [1]!'00664R.TW-Price'</f>
        <v>13.03</v>
      </c>
      <c r="F60" s="372">
        <f xml:space="preserve"> [1]!'00664R.TW-BestBid1'</f>
        <v>13.03</v>
      </c>
      <c r="G60" s="372">
        <f xml:space="preserve"> [1]!'00664R.TW-BestAsk1'</f>
        <v>13.04</v>
      </c>
    </row>
    <row r="61" spans="1:7">
      <c r="A61" s="373" t="s">
        <v>94</v>
      </c>
      <c r="B61" s="372" t="s">
        <v>2515</v>
      </c>
      <c r="C61" s="372">
        <v>27.88</v>
      </c>
      <c r="D61" s="372">
        <f xml:space="preserve"> [1]!'00665L.TW-PreClose'</f>
        <v>27.88</v>
      </c>
      <c r="E61" s="372">
        <f xml:space="preserve"> [1]!'00665L.TW-Price'</f>
        <v>27.91</v>
      </c>
      <c r="F61" s="372">
        <f xml:space="preserve"> [1]!'00665L.TW-BestBid1'</f>
        <v>27.91</v>
      </c>
      <c r="G61" s="372">
        <f xml:space="preserve"> [1]!'00665L.TW-BestAsk1'</f>
        <v>27.95</v>
      </c>
    </row>
    <row r="62" spans="1:7">
      <c r="A62" s="373" t="s">
        <v>95</v>
      </c>
      <c r="B62" s="372" t="s">
        <v>2169</v>
      </c>
      <c r="C62" s="372">
        <v>13.26</v>
      </c>
      <c r="D62" s="372">
        <f xml:space="preserve"> [1]!'00666R.TW-PreClose'</f>
        <v>13.26</v>
      </c>
      <c r="E62" s="372">
        <f xml:space="preserve"> [1]!'00666R.TW-Price'</f>
        <v>13.2</v>
      </c>
      <c r="F62" s="372">
        <f xml:space="preserve"> [1]!'00666R.TW-BestBid1'</f>
        <v>13.2</v>
      </c>
      <c r="G62" s="372">
        <f xml:space="preserve"> [1]!'00666R.TW-BestAsk1'</f>
        <v>13.24</v>
      </c>
    </row>
    <row r="63" spans="1:7">
      <c r="A63" s="373" t="s">
        <v>100</v>
      </c>
      <c r="B63" s="372" t="s">
        <v>2516</v>
      </c>
      <c r="C63" s="372">
        <v>29.6</v>
      </c>
      <c r="D63" s="372">
        <f xml:space="preserve"> [1]!'00668.TW-PreClose'</f>
        <v>29.6</v>
      </c>
      <c r="E63" s="372">
        <f xml:space="preserve"> [1]!'00668.TW-Price'</f>
        <v>29.8</v>
      </c>
      <c r="F63" s="372">
        <f xml:space="preserve"> [1]!'00668.TW-BestBid1'</f>
        <v>29.79</v>
      </c>
      <c r="G63" s="372">
        <f xml:space="preserve"> [1]!'00668.TW-BestAsk1'</f>
        <v>29.8</v>
      </c>
    </row>
    <row r="64" spans="1:7">
      <c r="A64" s="373" t="s">
        <v>2036</v>
      </c>
      <c r="B64" s="372" t="s">
        <v>2170</v>
      </c>
      <c r="C64" s="372">
        <v>9.5399999999999991</v>
      </c>
      <c r="D64" s="372">
        <f xml:space="preserve"> [1]!'00668K.TW-PreClose'</f>
        <v>9.5399999999999991</v>
      </c>
      <c r="E64" s="372">
        <f xml:space="preserve"> [1]!'00668K.TW-Price'</f>
        <v>9.61</v>
      </c>
      <c r="F64" s="372">
        <f xml:space="preserve"> [1]!'00668K.TW-BestBid1'</f>
        <v>9.56</v>
      </c>
      <c r="G64" s="372">
        <f xml:space="preserve"> [1]!'00668K.TW-BestAsk1'</f>
        <v>9.61</v>
      </c>
    </row>
    <row r="65" spans="1:7">
      <c r="A65" s="373" t="s">
        <v>101</v>
      </c>
      <c r="B65" s="372" t="s">
        <v>2517</v>
      </c>
      <c r="C65" s="372">
        <v>12.31</v>
      </c>
      <c r="D65" s="372">
        <f xml:space="preserve"> [1]!'00669R.TW-PreClose'</f>
        <v>12.31</v>
      </c>
      <c r="E65" s="372">
        <f xml:space="preserve"> [1]!'00669R.TW-Price'</f>
        <v>12.21</v>
      </c>
      <c r="F65" s="372">
        <f xml:space="preserve"> [1]!'00669R.TW-BestBid1'</f>
        <v>12.2</v>
      </c>
      <c r="G65" s="372">
        <f xml:space="preserve"> [1]!'00669R.TW-BestAsk1'</f>
        <v>12.21</v>
      </c>
    </row>
    <row r="66" spans="1:7">
      <c r="A66" s="373" t="s">
        <v>110</v>
      </c>
      <c r="B66" s="372" t="s">
        <v>2518</v>
      </c>
      <c r="C66" s="372">
        <v>37.5</v>
      </c>
      <c r="D66" s="372">
        <f xml:space="preserve"> [1]!'00670L.TW-PreClose'</f>
        <v>37.5</v>
      </c>
      <c r="E66" s="372">
        <f xml:space="preserve"> [1]!'00670L.TW-Price'</f>
        <v>37.28</v>
      </c>
      <c r="F66" s="372">
        <f xml:space="preserve"> [1]!'00670L.TW-BestBid1'</f>
        <v>37.25</v>
      </c>
      <c r="G66" s="372">
        <f xml:space="preserve"> [1]!'00670L.TW-BestAsk1'</f>
        <v>37.299999999999997</v>
      </c>
    </row>
    <row r="67" spans="1:7">
      <c r="A67" s="373" t="s">
        <v>109</v>
      </c>
      <c r="B67" s="372" t="s">
        <v>2171</v>
      </c>
      <c r="C67" s="372">
        <v>12.17</v>
      </c>
      <c r="D67" s="372">
        <f xml:space="preserve"> [1]!'00671R.TW-PreClose'</f>
        <v>12.17</v>
      </c>
      <c r="E67" s="372">
        <f xml:space="preserve"> [1]!'00671R.TW-Price'</f>
        <v>12.17</v>
      </c>
      <c r="F67" s="372">
        <f xml:space="preserve"> [1]!'00671R.TW-BestBid1'</f>
        <v>12.17</v>
      </c>
      <c r="G67" s="372">
        <f xml:space="preserve"> [1]!'00671R.TW-BestAsk1'</f>
        <v>12.18</v>
      </c>
    </row>
    <row r="68" spans="1:7">
      <c r="A68" s="373" t="s">
        <v>97</v>
      </c>
      <c r="B68" s="372" t="s">
        <v>2172</v>
      </c>
      <c r="C68" s="372">
        <v>17.79</v>
      </c>
      <c r="D68" s="372">
        <f xml:space="preserve"> [1]!'00672L.TW-PreClose'</f>
        <v>17.79</v>
      </c>
      <c r="E68" s="372">
        <f xml:space="preserve"> [1]!'00672L.TW-Price'</f>
        <v>17.79</v>
      </c>
      <c r="F68" s="372">
        <f xml:space="preserve"> [1]!'00672L.TW-BestBid1'</f>
        <v>17.78</v>
      </c>
      <c r="G68" s="372">
        <f xml:space="preserve"> [1]!'00672L.TW-BestAsk1'</f>
        <v>17.79</v>
      </c>
    </row>
    <row r="69" spans="1:7">
      <c r="A69" s="373" t="s">
        <v>98</v>
      </c>
      <c r="B69" s="372" t="s">
        <v>2519</v>
      </c>
      <c r="C69" s="372">
        <v>14.46</v>
      </c>
      <c r="D69" s="372">
        <f xml:space="preserve"> [1]!'00673R.TW-PreClose'</f>
        <v>14.46</v>
      </c>
      <c r="E69" s="372">
        <f xml:space="preserve"> [1]!'00673R.TW-Price'</f>
        <v>14.36</v>
      </c>
      <c r="F69" s="372">
        <f xml:space="preserve"> [1]!'00673R.TW-BestBid1'</f>
        <v>14.35</v>
      </c>
      <c r="G69" s="372">
        <f xml:space="preserve"> [1]!'00673R.TW-BestAsk1'</f>
        <v>14.36</v>
      </c>
    </row>
    <row r="70" spans="1:7">
      <c r="A70" s="373" t="s">
        <v>99</v>
      </c>
      <c r="B70" s="372" t="s">
        <v>2173</v>
      </c>
      <c r="C70" s="372">
        <v>17.75</v>
      </c>
      <c r="D70" s="372">
        <f xml:space="preserve"> [1]!'00674R.TW-PreClose'</f>
        <v>17.75</v>
      </c>
      <c r="E70" s="372">
        <f xml:space="preserve"> [1]!'00674R.TW-Price'</f>
        <v>17.899999999999999</v>
      </c>
      <c r="F70" s="372">
        <f xml:space="preserve"> [1]!'00674R.TW-BestBid1'</f>
        <v>17.88</v>
      </c>
      <c r="G70" s="372">
        <f xml:space="preserve"> [1]!'00674R.TW-BestAsk1'</f>
        <v>17.91</v>
      </c>
    </row>
    <row r="71" spans="1:7">
      <c r="A71" s="373" t="s">
        <v>102</v>
      </c>
      <c r="B71" s="372" t="s">
        <v>2174</v>
      </c>
      <c r="C71" s="372">
        <v>16.170000000000002</v>
      </c>
      <c r="D71" s="372">
        <f xml:space="preserve"> [1]!'00675L.TW-PreClose'</f>
        <v>16.170000000000002</v>
      </c>
      <c r="E71" s="372">
        <f xml:space="preserve"> [1]!'00675L.TW-Price'</f>
        <v>16.14</v>
      </c>
      <c r="F71" s="372">
        <f xml:space="preserve"> [1]!'00675L.TW-BestBid1'</f>
        <v>16.149999999999999</v>
      </c>
      <c r="G71" s="372">
        <f xml:space="preserve"> [1]!'00675L.TW-BestAsk1'</f>
        <v>16.16</v>
      </c>
    </row>
    <row r="72" spans="1:7">
      <c r="A72" s="373" t="s">
        <v>103</v>
      </c>
      <c r="B72" s="372" t="s">
        <v>2175</v>
      </c>
      <c r="C72" s="372">
        <v>7.05</v>
      </c>
      <c r="D72" s="372">
        <f xml:space="preserve"> [1]!'00676R.TW-PreClose'</f>
        <v>7.05</v>
      </c>
      <c r="E72" s="372">
        <f xml:space="preserve"> [1]!'00676R.TW-Price'</f>
        <v>7.04</v>
      </c>
      <c r="F72" s="372">
        <f xml:space="preserve"> [1]!'00676R.TW-BestBid1'</f>
        <v>7.05</v>
      </c>
      <c r="G72" s="372">
        <f xml:space="preserve"> [1]!'00676R.TW-BestAsk1'</f>
        <v>7.06</v>
      </c>
    </row>
    <row r="73" spans="1:7">
      <c r="A73" s="373" t="s">
        <v>104</v>
      </c>
      <c r="B73" s="372" t="s">
        <v>2176</v>
      </c>
      <c r="C73" s="372">
        <v>4.87</v>
      </c>
      <c r="D73" s="372">
        <f xml:space="preserve"> [1]!'00677U.TW-PreClose'</f>
        <v>4.87</v>
      </c>
      <c r="E73" s="372">
        <f xml:space="preserve"> [1]!'00677U.TW-Price'</f>
        <v>4.9000000000000004</v>
      </c>
      <c r="F73" s="372">
        <f xml:space="preserve"> [1]!'00677U.TW-BestBid1'</f>
        <v>4.8899999999999997</v>
      </c>
      <c r="G73" s="372">
        <f xml:space="preserve"> [1]!'00677U.TW-BestAsk1'</f>
        <v>4.9000000000000004</v>
      </c>
    </row>
    <row r="74" spans="1:7">
      <c r="A74" s="373" t="s">
        <v>105</v>
      </c>
      <c r="B74" s="372" t="s">
        <v>2520</v>
      </c>
      <c r="C74" s="372">
        <v>22.14</v>
      </c>
      <c r="D74" s="372">
        <f xml:space="preserve"> [1]!'00678.TW-PreClose'</f>
        <v>22.14</v>
      </c>
      <c r="E74" s="372">
        <f xml:space="preserve"> [1]!'00678.TW-Price'</f>
        <v>21.73</v>
      </c>
      <c r="F74" s="372">
        <f xml:space="preserve"> [1]!'00678.TW-BestBid1'</f>
        <v>21.72</v>
      </c>
      <c r="G74" s="372">
        <f xml:space="preserve"> [1]!'00678.TW-BestAsk1'</f>
        <v>21.73</v>
      </c>
    </row>
    <row r="75" spans="1:7">
      <c r="A75" s="373" t="s">
        <v>106</v>
      </c>
      <c r="B75" s="372" t="s">
        <v>2521</v>
      </c>
      <c r="C75" s="372">
        <v>42.28</v>
      </c>
      <c r="D75" s="372">
        <f xml:space="preserve"> [1]!'00679B.TW-PreClose'</f>
        <v>42.28</v>
      </c>
      <c r="E75" s="372">
        <f xml:space="preserve"> [1]!'00679B.TW-Price'</f>
        <v>41.63</v>
      </c>
      <c r="F75" s="372">
        <f xml:space="preserve"> [1]!'00679B.TW-BestBid1'</f>
        <v>41.62</v>
      </c>
      <c r="G75" s="372">
        <f xml:space="preserve"> [1]!'00679B.TW-BestAsk1'</f>
        <v>41.63</v>
      </c>
    </row>
    <row r="76" spans="1:7">
      <c r="A76" s="373" t="s">
        <v>107</v>
      </c>
      <c r="B76" s="372" t="s">
        <v>2522</v>
      </c>
      <c r="C76" s="372">
        <v>22.57</v>
      </c>
      <c r="D76" s="372">
        <f xml:space="preserve"> [1]!'00680L.TW-PreClose'</f>
        <v>22.57</v>
      </c>
      <c r="E76" s="372">
        <f xml:space="preserve"> [1]!'00680L.TW-Price'</f>
        <v>21.86</v>
      </c>
      <c r="F76" s="372">
        <f xml:space="preserve"> [1]!'00680L.TW-BestBid1'</f>
        <v>21.82</v>
      </c>
      <c r="G76" s="372">
        <f xml:space="preserve"> [1]!'00680L.TW-BestAsk1'</f>
        <v>21.86</v>
      </c>
    </row>
    <row r="77" spans="1:7">
      <c r="A77" s="373" t="s">
        <v>108</v>
      </c>
      <c r="B77" s="372" t="s">
        <v>2523</v>
      </c>
      <c r="C77" s="372">
        <v>16.940000000000001</v>
      </c>
      <c r="D77" s="372">
        <f xml:space="preserve"> [1]!'00681R.TW-PreClose'</f>
        <v>16.940000000000001</v>
      </c>
      <c r="E77" s="372">
        <f xml:space="preserve"> [1]!'00681R.TW-Price'</f>
        <v>17.18</v>
      </c>
      <c r="F77" s="372">
        <f xml:space="preserve"> [1]!'00681R.TW-BestBid1'</f>
        <v>17.170000000000002</v>
      </c>
      <c r="G77" s="372">
        <f xml:space="preserve"> [1]!'00681R.TW-BestAsk1'</f>
        <v>17.2</v>
      </c>
    </row>
    <row r="78" spans="1:7">
      <c r="A78" s="373" t="s">
        <v>470</v>
      </c>
      <c r="B78" s="372" t="s">
        <v>2524</v>
      </c>
      <c r="C78" s="372">
        <v>19.29</v>
      </c>
      <c r="D78" s="372">
        <f xml:space="preserve"> [1]!'00682U.TW-PreClose'</f>
        <v>19.29</v>
      </c>
      <c r="E78" s="372">
        <f xml:space="preserve"> [1]!'00682U.TW-Price'</f>
        <v>19.21</v>
      </c>
      <c r="F78" s="372">
        <f xml:space="preserve"> [1]!'00682U.TW-BestBid1'</f>
        <v>19.18</v>
      </c>
      <c r="G78" s="372">
        <f xml:space="preserve"> [1]!'00682U.TW-BestAsk1'</f>
        <v>19.25</v>
      </c>
    </row>
    <row r="79" spans="1:7">
      <c r="A79" s="373" t="s">
        <v>471</v>
      </c>
      <c r="B79" s="372" t="s">
        <v>2525</v>
      </c>
      <c r="C79" s="372">
        <v>19.010000000000002</v>
      </c>
      <c r="D79" s="372">
        <f xml:space="preserve"> [1]!'00683L.TW-PreClose'</f>
        <v>19.010000000000002</v>
      </c>
      <c r="E79" s="372">
        <f xml:space="preserve"> [1]!'00683L.TW-Price'</f>
        <v>19.02</v>
      </c>
      <c r="F79" s="372">
        <f xml:space="preserve"> [1]!'00683L.TW-BestBid1'</f>
        <v>19.010000000000002</v>
      </c>
      <c r="G79" s="372">
        <f xml:space="preserve"> [1]!'00683L.TW-BestAsk1'</f>
        <v>19.04</v>
      </c>
    </row>
    <row r="80" spans="1:7">
      <c r="A80" s="373" t="s">
        <v>472</v>
      </c>
      <c r="B80" s="372" t="s">
        <v>2177</v>
      </c>
      <c r="C80" s="372">
        <v>19.2</v>
      </c>
      <c r="D80" s="372">
        <f xml:space="preserve"> [1]!'00684R.TW-PreClose'</f>
        <v>19.2</v>
      </c>
      <c r="E80" s="372">
        <f xml:space="preserve"> [1]!'00684R.TW-Price'</f>
        <v>19.21</v>
      </c>
      <c r="F80" s="372">
        <f xml:space="preserve"> [1]!'00684R.TW-BestBid1'</f>
        <v>19.149999999999999</v>
      </c>
      <c r="G80" s="372">
        <f xml:space="preserve"> [1]!'00684R.TW-BestAsk1'</f>
        <v>19.21</v>
      </c>
    </row>
    <row r="81" spans="1:7">
      <c r="A81" s="373" t="s">
        <v>111</v>
      </c>
      <c r="B81" s="372" t="s">
        <v>2526</v>
      </c>
      <c r="C81" s="372">
        <v>14.24</v>
      </c>
      <c r="D81" s="372">
        <f xml:space="preserve"> [1]!'00685L.TW-PreClose'</f>
        <v>14.24</v>
      </c>
      <c r="E81" s="372">
        <f xml:space="preserve"> [1]!'00685L.TW-Price'</f>
        <v>14.23</v>
      </c>
      <c r="F81" s="372">
        <f xml:space="preserve"> [1]!'00685L.TW-BestBid1'</f>
        <v>14.2</v>
      </c>
      <c r="G81" s="372">
        <f xml:space="preserve"> [1]!'00685L.TW-BestAsk1'</f>
        <v>14.22</v>
      </c>
    </row>
    <row r="82" spans="1:7">
      <c r="A82" s="373" t="s">
        <v>112</v>
      </c>
      <c r="B82" s="372" t="s">
        <v>2178</v>
      </c>
      <c r="C82" s="372">
        <v>7.72</v>
      </c>
      <c r="D82" s="372">
        <f xml:space="preserve"> [1]!'00686R.TW-PreClose'</f>
        <v>7.72</v>
      </c>
      <c r="E82" s="372">
        <f xml:space="preserve"> [1]!'00686R.TW-Price'</f>
        <v>7.72</v>
      </c>
      <c r="F82" s="372">
        <f xml:space="preserve"> [1]!'00686R.TW-BestBid1'</f>
        <v>7.71</v>
      </c>
      <c r="G82" s="372">
        <f xml:space="preserve"> [1]!'00686R.TW-BestAsk1'</f>
        <v>7.72</v>
      </c>
    </row>
    <row r="83" spans="1:7">
      <c r="A83" s="373" t="s">
        <v>334</v>
      </c>
      <c r="B83" s="372" t="s">
        <v>2527</v>
      </c>
      <c r="C83" s="372">
        <v>44.05</v>
      </c>
      <c r="D83" s="372">
        <f xml:space="preserve"> [1]!'00687B.TW-PreClose'</f>
        <v>44.05</v>
      </c>
      <c r="E83" s="372">
        <f xml:space="preserve"> [1]!'00687B.TW-Price'</f>
        <v>43.38</v>
      </c>
      <c r="F83" s="372">
        <f xml:space="preserve"> [1]!'00687B.TW-BestBid1'</f>
        <v>43.35</v>
      </c>
      <c r="G83" s="372">
        <f xml:space="preserve"> [1]!'00687B.TW-BestAsk1'</f>
        <v>43.39</v>
      </c>
    </row>
    <row r="84" spans="1:7">
      <c r="A84" s="373" t="s">
        <v>335</v>
      </c>
      <c r="B84" s="372" t="s">
        <v>2179</v>
      </c>
      <c r="C84" s="372">
        <v>23.11</v>
      </c>
      <c r="D84" s="372">
        <f xml:space="preserve"> [1]!'00688L.TW-PreClose'</f>
        <v>23.11</v>
      </c>
      <c r="E84" s="372">
        <f xml:space="preserve"> [1]!'00688L.TW-Price'</f>
        <v>22.35</v>
      </c>
      <c r="F84" s="372">
        <f xml:space="preserve"> [1]!'00688L.TW-BestBid1'</f>
        <v>22.35</v>
      </c>
      <c r="G84" s="372">
        <f xml:space="preserve"> [1]!'00688L.TW-BestAsk1'</f>
        <v>22.38</v>
      </c>
    </row>
    <row r="85" spans="1:7">
      <c r="A85" s="373" t="s">
        <v>336</v>
      </c>
      <c r="B85" s="372" t="s">
        <v>2528</v>
      </c>
      <c r="C85" s="372">
        <v>17.32</v>
      </c>
      <c r="D85" s="372">
        <f xml:space="preserve"> [1]!'00689R.TW-PreClose'</f>
        <v>17.32</v>
      </c>
      <c r="E85" s="372">
        <f xml:space="preserve"> [1]!'00689R.TW-Price'</f>
        <v>17.59</v>
      </c>
      <c r="F85" s="372">
        <f xml:space="preserve"> [1]!'00689R.TW-BestBid1'</f>
        <v>17.579999999999998</v>
      </c>
      <c r="G85" s="372">
        <f xml:space="preserve"> [1]!'00689R.TW-BestAsk1'</f>
        <v>17.59</v>
      </c>
    </row>
    <row r="86" spans="1:7">
      <c r="A86" s="373" t="s">
        <v>114</v>
      </c>
      <c r="B86" s="372" t="s">
        <v>2180</v>
      </c>
      <c r="C86" s="372">
        <v>22.2</v>
      </c>
      <c r="D86" s="372">
        <f xml:space="preserve"> [1]!'00690.TW-PreClose'</f>
        <v>22.2</v>
      </c>
      <c r="E86" s="372">
        <f xml:space="preserve"> [1]!'00690.TW-Price'</f>
        <v>22.14</v>
      </c>
      <c r="F86" s="372">
        <f xml:space="preserve"> [1]!'00690.TW-BestBid1'</f>
        <v>22.13</v>
      </c>
      <c r="G86" s="372">
        <f xml:space="preserve"> [1]!'00690.TW-BestAsk1'</f>
        <v>22.17</v>
      </c>
    </row>
    <row r="87" spans="1:7">
      <c r="A87" s="373" t="s">
        <v>113</v>
      </c>
      <c r="B87" s="372" t="s">
        <v>2529</v>
      </c>
      <c r="C87" s="372">
        <v>15.5</v>
      </c>
      <c r="D87" s="372">
        <f xml:space="preserve"> [1]!'00691R.TW-PreClose'</f>
        <v>15.5</v>
      </c>
      <c r="E87" s="372" t="str">
        <f xml:space="preserve"> [1]!'00691R.TW-Price'</f>
        <v>--</v>
      </c>
      <c r="F87" s="372">
        <f xml:space="preserve"> [1]!'00691R.TW-BestBid1'</f>
        <v>15.47</v>
      </c>
      <c r="G87" s="372">
        <f xml:space="preserve"> [1]!'00691R.TW-BestAsk1'</f>
        <v>15.52</v>
      </c>
    </row>
    <row r="88" spans="1:7">
      <c r="A88" s="373" t="s">
        <v>333</v>
      </c>
      <c r="B88" s="372" t="s">
        <v>2181</v>
      </c>
      <c r="C88" s="372">
        <v>21.6</v>
      </c>
      <c r="D88" s="372">
        <f xml:space="preserve"> [1]!'00692.TW-PreClose'</f>
        <v>21.6</v>
      </c>
      <c r="E88" s="372">
        <f xml:space="preserve"> [1]!'00692.TW-Price'</f>
        <v>21.63</v>
      </c>
      <c r="F88" s="372">
        <f xml:space="preserve"> [1]!'00692.TW-BestBid1'</f>
        <v>21.62</v>
      </c>
      <c r="G88" s="372">
        <f xml:space="preserve"> [1]!'00692.TW-BestAsk1'</f>
        <v>21.63</v>
      </c>
    </row>
    <row r="89" spans="1:7">
      <c r="A89" s="373" t="s">
        <v>337</v>
      </c>
      <c r="B89" s="372" t="s">
        <v>2182</v>
      </c>
      <c r="C89" s="372">
        <v>15.62</v>
      </c>
      <c r="D89" s="372">
        <f xml:space="preserve"> [1]!'00693U.TW-PreClose'</f>
        <v>15.62</v>
      </c>
      <c r="E89" s="372">
        <f xml:space="preserve"> [1]!'00693U.TW-Price'</f>
        <v>15.66</v>
      </c>
      <c r="F89" s="372">
        <f xml:space="preserve"> [1]!'00693U.TW-BestBid1'</f>
        <v>15.66</v>
      </c>
      <c r="G89" s="372">
        <f xml:space="preserve"> [1]!'00693U.TW-BestAsk1'</f>
        <v>15.67</v>
      </c>
    </row>
    <row r="90" spans="1:7">
      <c r="A90" s="373" t="s">
        <v>476</v>
      </c>
      <c r="B90" s="372" t="s">
        <v>2183</v>
      </c>
      <c r="C90" s="372">
        <v>41.39</v>
      </c>
      <c r="D90" s="372">
        <f xml:space="preserve"> [1]!'00694B.TW-PreClose'</f>
        <v>41.39</v>
      </c>
      <c r="E90" s="372">
        <f xml:space="preserve"> [1]!'00694B.TW-Price'</f>
        <v>41.37</v>
      </c>
      <c r="F90" s="372">
        <f xml:space="preserve"> [1]!'00694B.TW-BestBid1'</f>
        <v>41.35</v>
      </c>
      <c r="G90" s="372">
        <f xml:space="preserve"> [1]!'00694B.TW-BestAsk1'</f>
        <v>41.37</v>
      </c>
    </row>
    <row r="91" spans="1:7">
      <c r="A91" s="373" t="s">
        <v>477</v>
      </c>
      <c r="B91" s="372" t="s">
        <v>2530</v>
      </c>
      <c r="C91" s="372">
        <v>39.950000000000003</v>
      </c>
      <c r="D91" s="372">
        <f xml:space="preserve"> [1]!'00695B.TW-PreClose'</f>
        <v>39.950000000000003</v>
      </c>
      <c r="E91" s="372">
        <f xml:space="preserve"> [1]!'00695B.TW-Price'</f>
        <v>39.68</v>
      </c>
      <c r="F91" s="372">
        <f xml:space="preserve"> [1]!'00695B.TW-BestBid1'</f>
        <v>39.67</v>
      </c>
      <c r="G91" s="372">
        <f xml:space="preserve"> [1]!'00695B.TW-BestAsk1'</f>
        <v>39.69</v>
      </c>
    </row>
    <row r="92" spans="1:7">
      <c r="A92" s="373" t="s">
        <v>478</v>
      </c>
      <c r="B92" s="372" t="s">
        <v>2531</v>
      </c>
      <c r="C92" s="372">
        <v>44.45</v>
      </c>
      <c r="D92" s="372">
        <f xml:space="preserve"> [1]!'00696B.TW-PreClose'</f>
        <v>44.45</v>
      </c>
      <c r="E92" s="372">
        <f xml:space="preserve"> [1]!'00696B.TW-Price'</f>
        <v>43.72</v>
      </c>
      <c r="F92" s="372">
        <f xml:space="preserve"> [1]!'00696B.TW-BestBid1'</f>
        <v>43.7</v>
      </c>
      <c r="G92" s="372">
        <f xml:space="preserve"> [1]!'00696B.TW-BestAsk1'</f>
        <v>43.74</v>
      </c>
    </row>
    <row r="93" spans="1:7">
      <c r="A93" s="373" t="s">
        <v>473</v>
      </c>
      <c r="B93" s="372" t="s">
        <v>2532</v>
      </c>
      <c r="C93" s="372">
        <v>42.05</v>
      </c>
      <c r="D93" s="372">
        <f xml:space="preserve"> [1]!'00697B.TW-PreClose'</f>
        <v>42.05</v>
      </c>
      <c r="E93" s="372">
        <f xml:space="preserve"> [1]!'00697B.TW-Price'</f>
        <v>41.85</v>
      </c>
      <c r="F93" s="372">
        <f xml:space="preserve"> [1]!'00697B.TW-BestBid1'</f>
        <v>41.84</v>
      </c>
      <c r="G93" s="372">
        <f xml:space="preserve"> [1]!'00697B.TW-BestAsk1'</f>
        <v>41.86</v>
      </c>
    </row>
    <row r="94" spans="1:7">
      <c r="A94" s="373" t="s">
        <v>479</v>
      </c>
      <c r="B94" s="372" t="s">
        <v>2533</v>
      </c>
      <c r="C94" s="372">
        <v>20.98</v>
      </c>
      <c r="D94" s="372">
        <f xml:space="preserve"> [1]!'00700.TW-PreClose'</f>
        <v>20.98</v>
      </c>
      <c r="E94" s="372">
        <f xml:space="preserve"> [1]!'00700.TW-Price'</f>
        <v>20.95</v>
      </c>
      <c r="F94" s="372">
        <f xml:space="preserve"> [1]!'00700.TW-BestBid1'</f>
        <v>20.93</v>
      </c>
      <c r="G94" s="372">
        <f xml:space="preserve"> [1]!'00700.TW-BestAsk1'</f>
        <v>20.97</v>
      </c>
    </row>
    <row r="95" spans="1:7">
      <c r="A95" s="373" t="s">
        <v>481</v>
      </c>
      <c r="B95" s="372" t="s">
        <v>2184</v>
      </c>
      <c r="C95" s="372">
        <v>22.62</v>
      </c>
      <c r="D95" s="372">
        <f xml:space="preserve"> [1]!'00701.TW-PreClose'</f>
        <v>22.62</v>
      </c>
      <c r="E95" s="372">
        <f xml:space="preserve"> [1]!'00701.TW-Price'</f>
        <v>22.6</v>
      </c>
      <c r="F95" s="372">
        <f xml:space="preserve"> [1]!'00701.TW-BestBid1'</f>
        <v>22.58</v>
      </c>
      <c r="G95" s="372">
        <f xml:space="preserve"> [1]!'00701.TW-BestAsk1'</f>
        <v>22.6</v>
      </c>
    </row>
    <row r="96" spans="1:7">
      <c r="A96" s="373" t="s">
        <v>482</v>
      </c>
      <c r="B96" s="372" t="s">
        <v>2534</v>
      </c>
      <c r="C96" s="372">
        <v>21.71</v>
      </c>
      <c r="D96" s="372">
        <f xml:space="preserve"> [1]!'00702.TW-PreClose'</f>
        <v>21.71</v>
      </c>
      <c r="E96" s="372">
        <f xml:space="preserve"> [1]!'00702.TW-Price'</f>
        <v>21.64</v>
      </c>
      <c r="F96" s="372">
        <f xml:space="preserve"> [1]!'00702.TW-BestBid1'</f>
        <v>21.64</v>
      </c>
      <c r="G96" s="372">
        <f xml:space="preserve"> [1]!'00702.TW-BestAsk1'</f>
        <v>21.66</v>
      </c>
    </row>
    <row r="97" spans="1:7">
      <c r="A97" s="373" t="s">
        <v>338</v>
      </c>
      <c r="B97" s="372" t="s">
        <v>2535</v>
      </c>
      <c r="C97" s="372">
        <v>20.46</v>
      </c>
      <c r="D97" s="372">
        <f xml:space="preserve"> [1]!'00703.TW-PreClose'</f>
        <v>20.46</v>
      </c>
      <c r="E97" s="372">
        <f xml:space="preserve"> [1]!'00703.TW-Price'</f>
        <v>20.45</v>
      </c>
      <c r="F97" s="372">
        <f xml:space="preserve"> [1]!'00703.TW-BestBid1'</f>
        <v>20.45</v>
      </c>
      <c r="G97" s="372">
        <f xml:space="preserve"> [1]!'00703.TW-BestAsk1'</f>
        <v>20.46</v>
      </c>
    </row>
    <row r="98" spans="1:7">
      <c r="A98" s="373" t="s">
        <v>2037</v>
      </c>
      <c r="B98" s="372" t="s">
        <v>2536</v>
      </c>
      <c r="C98" s="372">
        <v>18.21</v>
      </c>
      <c r="D98" s="372">
        <f xml:space="preserve"> [1]!'00706L.TW-PreClose'</f>
        <v>18.21</v>
      </c>
      <c r="E98" s="372">
        <f xml:space="preserve"> [1]!'00706L.TW-Price'</f>
        <v>18.100000000000001</v>
      </c>
      <c r="F98" s="372">
        <f xml:space="preserve"> [1]!'00706L.TW-BestBid1'</f>
        <v>18.03</v>
      </c>
      <c r="G98" s="372">
        <f xml:space="preserve"> [1]!'00706L.TW-BestAsk1'</f>
        <v>18.100000000000001</v>
      </c>
    </row>
    <row r="99" spans="1:7">
      <c r="A99" s="373" t="s">
        <v>2038</v>
      </c>
      <c r="B99" s="372" t="s">
        <v>2537</v>
      </c>
      <c r="C99" s="372">
        <v>19.71</v>
      </c>
      <c r="D99" s="372">
        <f xml:space="preserve"> [1]!'00707R.TW-PreClose'</f>
        <v>19.71</v>
      </c>
      <c r="E99" s="372" t="str">
        <f xml:space="preserve"> [1]!'00707R.TW-Price'</f>
        <v>--</v>
      </c>
      <c r="F99" s="372">
        <f xml:space="preserve"> [1]!'00707R.TW-BestBid1'</f>
        <v>19.71</v>
      </c>
      <c r="G99" s="372">
        <f xml:space="preserve"> [1]!'00707R.TW-BestAsk1'</f>
        <v>19.77</v>
      </c>
    </row>
    <row r="100" spans="1:7">
      <c r="A100" s="373" t="s">
        <v>2039</v>
      </c>
      <c r="B100" s="372" t="s">
        <v>2538</v>
      </c>
      <c r="C100" s="372">
        <v>20.65</v>
      </c>
      <c r="D100" s="372">
        <f xml:space="preserve"> [1]!'00708L.TW-PreClose'</f>
        <v>20.65</v>
      </c>
      <c r="E100" s="372">
        <f xml:space="preserve"> [1]!'00708L.TW-Price'</f>
        <v>20.239999999999998</v>
      </c>
      <c r="F100" s="372">
        <f xml:space="preserve"> [1]!'00708L.TW-BestBid1'</f>
        <v>20.23</v>
      </c>
      <c r="G100" s="372">
        <f xml:space="preserve"> [1]!'00708L.TW-BestAsk1'</f>
        <v>20.239999999999998</v>
      </c>
    </row>
    <row r="101" spans="1:7">
      <c r="A101" s="373" t="s">
        <v>480</v>
      </c>
      <c r="B101" s="372" t="s">
        <v>2185</v>
      </c>
      <c r="C101" s="372">
        <v>20.97</v>
      </c>
      <c r="D101" s="372">
        <f xml:space="preserve"> [1]!'00709.TW-PreClose'</f>
        <v>20.97</v>
      </c>
      <c r="E101" s="372">
        <f xml:space="preserve"> [1]!'00709.TW-Price'</f>
        <v>20.9</v>
      </c>
      <c r="F101" s="372">
        <f xml:space="preserve"> [1]!'00709.TW-BestBid1'</f>
        <v>20.89</v>
      </c>
      <c r="G101" s="372">
        <f xml:space="preserve"> [1]!'00709.TW-BestAsk1'</f>
        <v>20.98</v>
      </c>
    </row>
    <row r="102" spans="1:7">
      <c r="A102" s="373" t="s">
        <v>483</v>
      </c>
      <c r="B102" s="372" t="s">
        <v>2539</v>
      </c>
      <c r="C102" s="372">
        <v>20.83</v>
      </c>
      <c r="D102" s="372">
        <f xml:space="preserve"> [1]!'00710B.TW-PreClose'</f>
        <v>20.83</v>
      </c>
      <c r="E102" s="372">
        <f xml:space="preserve"> [1]!'00710B.TW-Price'</f>
        <v>20.8</v>
      </c>
      <c r="F102" s="372">
        <f xml:space="preserve"> [1]!'00710B.TW-BestBid1'</f>
        <v>20.79</v>
      </c>
      <c r="G102" s="372">
        <f xml:space="preserve"> [1]!'00710B.TW-BestAsk1'</f>
        <v>20.83</v>
      </c>
    </row>
    <row r="103" spans="1:7">
      <c r="A103" s="373" t="s">
        <v>484</v>
      </c>
      <c r="B103" s="372" t="s">
        <v>2186</v>
      </c>
      <c r="C103" s="372">
        <v>21.67</v>
      </c>
      <c r="D103" s="372">
        <f xml:space="preserve"> [1]!'00711B.TW-PreClose'</f>
        <v>21.67</v>
      </c>
      <c r="E103" s="372">
        <f xml:space="preserve"> [1]!'00711B.TW-Price'</f>
        <v>21.59</v>
      </c>
      <c r="F103" s="372">
        <f xml:space="preserve"> [1]!'00711B.TW-BestBid1'</f>
        <v>21.59</v>
      </c>
      <c r="G103" s="372">
        <f xml:space="preserve"> [1]!'00711B.TW-BestAsk1'</f>
        <v>21.61</v>
      </c>
    </row>
    <row r="104" spans="1:7">
      <c r="A104" s="373" t="s">
        <v>485</v>
      </c>
      <c r="B104" s="372" t="s">
        <v>2187</v>
      </c>
      <c r="C104" s="372">
        <v>18.309999999999999</v>
      </c>
      <c r="D104" s="372">
        <f xml:space="preserve"> [1]!'00712.TW-PreClose'</f>
        <v>18.309999999999999</v>
      </c>
      <c r="E104" s="372">
        <f xml:space="preserve"> [1]!'00712.TW-Price'</f>
        <v>18.3</v>
      </c>
      <c r="F104" s="372">
        <f xml:space="preserve"> [1]!'00712.TW-BestBid1'</f>
        <v>18.29</v>
      </c>
      <c r="G104" s="372">
        <f xml:space="preserve"> [1]!'00712.TW-BestAsk1'</f>
        <v>18.3</v>
      </c>
    </row>
    <row r="105" spans="1:7">
      <c r="A105" s="373" t="s">
        <v>2040</v>
      </c>
      <c r="B105" s="372" t="s">
        <v>2188</v>
      </c>
      <c r="C105" s="372">
        <v>32.07</v>
      </c>
      <c r="D105" s="372">
        <f xml:space="preserve"> [1]!'00713.TW-PreClose'</f>
        <v>32.07</v>
      </c>
      <c r="E105" s="372">
        <f xml:space="preserve"> [1]!'00713.TW-Price'</f>
        <v>32.130000000000003</v>
      </c>
      <c r="F105" s="372">
        <f xml:space="preserve"> [1]!'00713.TW-BestBid1'</f>
        <v>32.07</v>
      </c>
      <c r="G105" s="372">
        <f xml:space="preserve"> [1]!'00713.TW-BestAsk1'</f>
        <v>32.14</v>
      </c>
    </row>
    <row r="106" spans="1:7">
      <c r="A106" s="373" t="s">
        <v>2041</v>
      </c>
      <c r="B106" s="372" t="s">
        <v>2540</v>
      </c>
      <c r="C106" s="372">
        <v>22.51</v>
      </c>
      <c r="D106" s="372">
        <f xml:space="preserve"> [1]!'00714.TW-PreClose'</f>
        <v>22.51</v>
      </c>
      <c r="E106" s="372">
        <f xml:space="preserve"> [1]!'00714.TW-Price'</f>
        <v>22.3</v>
      </c>
      <c r="F106" s="372">
        <f xml:space="preserve"> [1]!'00714.TW-BestBid1'</f>
        <v>22.29</v>
      </c>
      <c r="G106" s="372">
        <f xml:space="preserve"> [1]!'00714.TW-BestAsk1'</f>
        <v>22.3</v>
      </c>
    </row>
    <row r="107" spans="1:7">
      <c r="A107" s="373" t="s">
        <v>2042</v>
      </c>
      <c r="B107" s="372" t="s">
        <v>2541</v>
      </c>
      <c r="C107" s="372">
        <v>23.31</v>
      </c>
      <c r="D107" s="372">
        <f xml:space="preserve"> [1]!'00715L.TW-PreClose'</f>
        <v>23.31</v>
      </c>
      <c r="E107" s="372">
        <f xml:space="preserve"> [1]!'00715L.TW-Price'</f>
        <v>23.24</v>
      </c>
      <c r="F107" s="372">
        <f xml:space="preserve"> [1]!'00715L.TW-BestBid1'</f>
        <v>23.23</v>
      </c>
      <c r="G107" s="372">
        <f xml:space="preserve"> [1]!'00715L.TW-BestAsk1'</f>
        <v>23.25</v>
      </c>
    </row>
    <row r="108" spans="1:7">
      <c r="A108" s="373" t="s">
        <v>2043</v>
      </c>
      <c r="B108" s="372" t="s">
        <v>2542</v>
      </c>
      <c r="C108" s="372">
        <v>14.89</v>
      </c>
      <c r="D108" s="372">
        <f xml:space="preserve"> [1]!'00716R.TW-PreClose'</f>
        <v>14.89</v>
      </c>
      <c r="E108" s="372">
        <f xml:space="preserve"> [1]!'00716R.TW-Price'</f>
        <v>14.92</v>
      </c>
      <c r="F108" s="372">
        <f xml:space="preserve"> [1]!'00716R.TW-BestBid1'</f>
        <v>14.91</v>
      </c>
      <c r="G108" s="372">
        <f xml:space="preserve"> [1]!'00716R.TW-BestAsk1'</f>
        <v>14.96</v>
      </c>
    </row>
    <row r="109" spans="1:7">
      <c r="A109" s="373" t="s">
        <v>2044</v>
      </c>
      <c r="B109" s="372" t="s">
        <v>2189</v>
      </c>
      <c r="C109" s="372">
        <v>20.010000000000002</v>
      </c>
      <c r="D109" s="372">
        <f xml:space="preserve"> [1]!'00717.TW-PreClose'</f>
        <v>20.010000000000002</v>
      </c>
      <c r="E109" s="372">
        <f xml:space="preserve"> [1]!'00717.TW-Price'</f>
        <v>20.010000000000002</v>
      </c>
      <c r="F109" s="372">
        <f xml:space="preserve"> [1]!'00717.TW-BestBid1'</f>
        <v>20</v>
      </c>
      <c r="G109" s="372">
        <f xml:space="preserve"> [1]!'00717.TW-BestAsk1'</f>
        <v>20.010000000000002</v>
      </c>
    </row>
    <row r="110" spans="1:7">
      <c r="A110" s="373" t="s">
        <v>2045</v>
      </c>
      <c r="B110" s="372" t="s">
        <v>2190</v>
      </c>
      <c r="C110" s="372">
        <v>20.86</v>
      </c>
      <c r="D110" s="372">
        <f xml:space="preserve"> [1]!'00718B.TW-PreClose'</f>
        <v>20.86</v>
      </c>
      <c r="E110" s="372">
        <f xml:space="preserve"> [1]!'00718B.TW-Price'</f>
        <v>20.87</v>
      </c>
      <c r="F110" s="372">
        <f xml:space="preserve"> [1]!'00718B.TW-BestBid1'</f>
        <v>20.86</v>
      </c>
      <c r="G110" s="372">
        <f xml:space="preserve"> [1]!'00718B.TW-BestAsk1'</f>
        <v>20.87</v>
      </c>
    </row>
    <row r="111" spans="1:7">
      <c r="A111" s="373" t="s">
        <v>2046</v>
      </c>
      <c r="B111" s="372" t="s">
        <v>2543</v>
      </c>
      <c r="C111" s="372">
        <v>32.74</v>
      </c>
      <c r="D111" s="372">
        <f xml:space="preserve"> [1]!'00719B.TW-PreClose'</f>
        <v>32.74</v>
      </c>
      <c r="E111" s="372">
        <f xml:space="preserve"> [1]!'00719B.TW-Price'</f>
        <v>32.74</v>
      </c>
      <c r="F111" s="372">
        <f xml:space="preserve"> [1]!'00719B.TW-BestBid1'</f>
        <v>32.72</v>
      </c>
      <c r="G111" s="372">
        <f xml:space="preserve"> [1]!'00719B.TW-BestAsk1'</f>
        <v>32.75</v>
      </c>
    </row>
    <row r="112" spans="1:7">
      <c r="A112" s="373" t="s">
        <v>2047</v>
      </c>
      <c r="B112" s="372" t="s">
        <v>2191</v>
      </c>
      <c r="C112" s="372">
        <v>43.82</v>
      </c>
      <c r="D112" s="372">
        <f xml:space="preserve"> [1]!'00720B.TW-PreClose'</f>
        <v>43.82</v>
      </c>
      <c r="E112" s="372">
        <f xml:space="preserve"> [1]!'00720B.TW-Price'</f>
        <v>43.36</v>
      </c>
      <c r="F112" s="372">
        <f xml:space="preserve"> [1]!'00720B.TW-BestBid1'</f>
        <v>43.36</v>
      </c>
      <c r="G112" s="372">
        <f xml:space="preserve"> [1]!'00720B.TW-BestAsk1'</f>
        <v>43.37</v>
      </c>
    </row>
    <row r="113" spans="1:7">
      <c r="A113" s="373" t="s">
        <v>2048</v>
      </c>
      <c r="B113" s="372" t="s">
        <v>2544</v>
      </c>
      <c r="C113" s="372">
        <v>47.21</v>
      </c>
      <c r="D113" s="372">
        <f xml:space="preserve"> [1]!'00721B.TW-PreClose'</f>
        <v>47.21</v>
      </c>
      <c r="E113" s="372">
        <f xml:space="preserve"> [1]!'00721B.TW-Price'</f>
        <v>47.24</v>
      </c>
      <c r="F113" s="372">
        <f xml:space="preserve"> [1]!'00721B.TW-BestBid1'</f>
        <v>47.21</v>
      </c>
      <c r="G113" s="372">
        <f xml:space="preserve"> [1]!'00721B.TW-BestAsk1'</f>
        <v>47.24</v>
      </c>
    </row>
    <row r="114" spans="1:7">
      <c r="A114" s="373" t="s">
        <v>2049</v>
      </c>
      <c r="B114" s="372" t="s">
        <v>2545</v>
      </c>
      <c r="C114" s="372">
        <v>46.06</v>
      </c>
      <c r="D114" s="372">
        <f xml:space="preserve"> [1]!'00722B.TW-PreClose'</f>
        <v>46.06</v>
      </c>
      <c r="E114" s="372">
        <f xml:space="preserve"> [1]!'00722B.TW-Price'</f>
        <v>45.75</v>
      </c>
      <c r="F114" s="372">
        <f xml:space="preserve"> [1]!'00722B.TW-BestBid1'</f>
        <v>45.75</v>
      </c>
      <c r="G114" s="372">
        <f xml:space="preserve"> [1]!'00722B.TW-BestAsk1'</f>
        <v>45.76</v>
      </c>
    </row>
    <row r="115" spans="1:7">
      <c r="A115" s="373" t="s">
        <v>2050</v>
      </c>
      <c r="B115" s="372" t="s">
        <v>2192</v>
      </c>
      <c r="C115" s="372">
        <v>43.1</v>
      </c>
      <c r="D115" s="372">
        <f xml:space="preserve"> [1]!'00723B.TW-PreClose'</f>
        <v>43.1</v>
      </c>
      <c r="E115" s="372">
        <f xml:space="preserve"> [1]!'00723B.TW-Price'</f>
        <v>42.74</v>
      </c>
      <c r="F115" s="372">
        <f xml:space="preserve"> [1]!'00723B.TW-BestBid1'</f>
        <v>42.56</v>
      </c>
      <c r="G115" s="372">
        <f xml:space="preserve"> [1]!'00723B.TW-BestAsk1'</f>
        <v>42.74</v>
      </c>
    </row>
    <row r="116" spans="1:7">
      <c r="A116" s="373" t="s">
        <v>2051</v>
      </c>
      <c r="B116" s="372" t="s">
        <v>2193</v>
      </c>
      <c r="C116" s="372">
        <v>42.62</v>
      </c>
      <c r="D116" s="372">
        <f xml:space="preserve"> [1]!'00724B.TW-PreClose'</f>
        <v>42.62</v>
      </c>
      <c r="E116" s="372">
        <f xml:space="preserve"> [1]!'00724B.TW-Price'</f>
        <v>42.3</v>
      </c>
      <c r="F116" s="372">
        <f xml:space="preserve"> [1]!'00724B.TW-BestBid1'</f>
        <v>42.29</v>
      </c>
      <c r="G116" s="372">
        <f xml:space="preserve"> [1]!'00724B.TW-BestAsk1'</f>
        <v>42.35</v>
      </c>
    </row>
    <row r="117" spans="1:7">
      <c r="A117" s="373" t="s">
        <v>2052</v>
      </c>
      <c r="B117" s="372" t="s">
        <v>2546</v>
      </c>
      <c r="C117" s="372">
        <v>44.65</v>
      </c>
      <c r="D117" s="372">
        <f xml:space="preserve"> [1]!'00725B.TW-PreClose'</f>
        <v>44.65</v>
      </c>
      <c r="E117" s="372">
        <f xml:space="preserve"> [1]!'00725B.TW-Price'</f>
        <v>43.9</v>
      </c>
      <c r="F117" s="372">
        <f xml:space="preserve"> [1]!'00725B.TW-BestBid1'</f>
        <v>43.89</v>
      </c>
      <c r="G117" s="372">
        <f xml:space="preserve"> [1]!'00725B.TW-BestAsk1'</f>
        <v>43.9</v>
      </c>
    </row>
    <row r="118" spans="1:7">
      <c r="A118" s="373" t="s">
        <v>2053</v>
      </c>
      <c r="B118" s="372" t="s">
        <v>2194</v>
      </c>
      <c r="C118" s="372">
        <v>45.44</v>
      </c>
      <c r="D118" s="372">
        <f xml:space="preserve"> [1]!'00726B.TW-PreClose'</f>
        <v>45.44</v>
      </c>
      <c r="E118" s="372">
        <f xml:space="preserve"> [1]!'00726B.TW-Price'</f>
        <v>45.21</v>
      </c>
      <c r="F118" s="372">
        <f xml:space="preserve"> [1]!'00726B.TW-BestBid1'</f>
        <v>45.2</v>
      </c>
      <c r="G118" s="372">
        <f xml:space="preserve"> [1]!'00726B.TW-BestAsk1'</f>
        <v>45.28</v>
      </c>
    </row>
    <row r="119" spans="1:7">
      <c r="A119" s="373" t="s">
        <v>2054</v>
      </c>
      <c r="B119" s="372" t="s">
        <v>2195</v>
      </c>
      <c r="C119" s="372">
        <v>43.65</v>
      </c>
      <c r="D119" s="372">
        <f xml:space="preserve"> [1]!'00727B.TW-PreClose'</f>
        <v>43.65</v>
      </c>
      <c r="E119" s="372">
        <f xml:space="preserve"> [1]!'00727B.TW-Price'</f>
        <v>43.56</v>
      </c>
      <c r="F119" s="372">
        <f xml:space="preserve"> [1]!'00727B.TW-BestBid1'</f>
        <v>43.56</v>
      </c>
      <c r="G119" s="372">
        <f xml:space="preserve"> [1]!'00727B.TW-BestAsk1'</f>
        <v>43.58</v>
      </c>
    </row>
    <row r="120" spans="1:7">
      <c r="A120" s="373" t="s">
        <v>2055</v>
      </c>
      <c r="B120" s="372" t="s">
        <v>2547</v>
      </c>
      <c r="C120" s="372">
        <v>19</v>
      </c>
      <c r="D120" s="372">
        <f xml:space="preserve"> [1]!'00728.TW-PreClose'</f>
        <v>19</v>
      </c>
      <c r="E120" s="372">
        <f xml:space="preserve"> [1]!'00728.TW-Price'</f>
        <v>18.989999999999998</v>
      </c>
      <c r="F120" s="372">
        <f xml:space="preserve"> [1]!'00728.TW-BestBid1'</f>
        <v>18.98</v>
      </c>
      <c r="G120" s="372">
        <f xml:space="preserve"> [1]!'00728.TW-BestAsk1'</f>
        <v>18.989999999999998</v>
      </c>
    </row>
    <row r="121" spans="1:7">
      <c r="A121" s="373" t="s">
        <v>2056</v>
      </c>
      <c r="B121" s="372" t="s">
        <v>2196</v>
      </c>
      <c r="C121" s="372">
        <v>18.760000000000002</v>
      </c>
      <c r="D121" s="372">
        <f xml:space="preserve"> [1]!'00730.TW-PreClose'</f>
        <v>18.760000000000002</v>
      </c>
      <c r="E121" s="372">
        <f xml:space="preserve"> [1]!'00730.TW-Price'</f>
        <v>18.78</v>
      </c>
      <c r="F121" s="372">
        <f xml:space="preserve"> [1]!'00730.TW-BestBid1'</f>
        <v>18.78</v>
      </c>
      <c r="G121" s="372">
        <f xml:space="preserve"> [1]!'00730.TW-BestAsk1'</f>
        <v>18.79</v>
      </c>
    </row>
    <row r="122" spans="1:7">
      <c r="A122" s="373" t="s">
        <v>2057</v>
      </c>
      <c r="B122" s="372" t="s">
        <v>2197</v>
      </c>
      <c r="C122" s="372">
        <v>50.05</v>
      </c>
      <c r="D122" s="372">
        <f xml:space="preserve"> [1]!'00731.TW-PreClose'</f>
        <v>50.05</v>
      </c>
      <c r="E122" s="372">
        <f xml:space="preserve"> [1]!'00731.TW-Price'</f>
        <v>50.05</v>
      </c>
      <c r="F122" s="372">
        <f xml:space="preserve"> [1]!'00731.TW-BestBid1'</f>
        <v>49.91</v>
      </c>
      <c r="G122" s="372">
        <f xml:space="preserve"> [1]!'00731.TW-BestAsk1'</f>
        <v>49.98</v>
      </c>
    </row>
    <row r="123" spans="1:7">
      <c r="A123" s="373" t="s">
        <v>2058</v>
      </c>
      <c r="B123" s="372" t="s">
        <v>2548</v>
      </c>
      <c r="C123" s="372">
        <v>39.93</v>
      </c>
      <c r="D123" s="372">
        <f xml:space="preserve"> [1]!'00732.TW-PreClose'</f>
        <v>39.93</v>
      </c>
      <c r="E123" s="372">
        <f xml:space="preserve"> [1]!'00732.TW-Price'</f>
        <v>39.93</v>
      </c>
      <c r="F123" s="372">
        <f xml:space="preserve"> [1]!'00732.TW-BestBid1'</f>
        <v>39.83</v>
      </c>
      <c r="G123" s="372">
        <f xml:space="preserve"> [1]!'00732.TW-BestAsk1'</f>
        <v>39.94</v>
      </c>
    </row>
    <row r="124" spans="1:7">
      <c r="A124" s="373" t="s">
        <v>2059</v>
      </c>
      <c r="B124" s="372" t="s">
        <v>2549</v>
      </c>
      <c r="C124" s="372">
        <v>17.829999999999998</v>
      </c>
      <c r="D124" s="372">
        <f xml:space="preserve"> [1]!'00733.TW-PreClose'</f>
        <v>17.829999999999998</v>
      </c>
      <c r="E124" s="372">
        <f xml:space="preserve"> [1]!'00733.TW-Price'</f>
        <v>17.850000000000001</v>
      </c>
      <c r="F124" s="372">
        <f xml:space="preserve"> [1]!'00733.TW-BestBid1'</f>
        <v>17.82</v>
      </c>
      <c r="G124" s="372">
        <f xml:space="preserve"> [1]!'00733.TW-BestAsk1'</f>
        <v>17.850000000000001</v>
      </c>
    </row>
    <row r="125" spans="1:7">
      <c r="A125" s="373" t="s">
        <v>2060</v>
      </c>
      <c r="B125" s="372" t="s">
        <v>2198</v>
      </c>
      <c r="C125" s="372">
        <v>22.54</v>
      </c>
      <c r="D125" s="372">
        <f xml:space="preserve"> [1]!'00734B.TW-PreClose'</f>
        <v>22.54</v>
      </c>
      <c r="E125" s="372">
        <f xml:space="preserve"> [1]!'00734B.TW-Price'</f>
        <v>22.5</v>
      </c>
      <c r="F125" s="372">
        <f xml:space="preserve"> [1]!'00734B.TW-BestBid1'</f>
        <v>22.48</v>
      </c>
      <c r="G125" s="372">
        <f xml:space="preserve"> [1]!'00734B.TW-BestAsk1'</f>
        <v>22.51</v>
      </c>
    </row>
    <row r="126" spans="1:7">
      <c r="A126" s="373" t="s">
        <v>2061</v>
      </c>
      <c r="B126" s="372" t="s">
        <v>2550</v>
      </c>
      <c r="C126" s="372">
        <v>18.14</v>
      </c>
      <c r="D126" s="372">
        <f xml:space="preserve"> [1]!'00735.TW-PreClose'</f>
        <v>18.14</v>
      </c>
      <c r="E126" s="372">
        <f xml:space="preserve"> [1]!'00735.TW-Price'</f>
        <v>18.07</v>
      </c>
      <c r="F126" s="372">
        <f xml:space="preserve"> [1]!'00735.TW-BestBid1'</f>
        <v>18.05</v>
      </c>
      <c r="G126" s="372">
        <f xml:space="preserve"> [1]!'00735.TW-BestAsk1'</f>
        <v>18.07</v>
      </c>
    </row>
    <row r="127" spans="1:7">
      <c r="A127" s="373" t="s">
        <v>2062</v>
      </c>
      <c r="B127" s="372" t="s">
        <v>2551</v>
      </c>
      <c r="C127" s="372">
        <v>20.329999999999998</v>
      </c>
      <c r="D127" s="372">
        <f xml:space="preserve"> [1]!'00736.TW-PreClose'</f>
        <v>20.329999999999998</v>
      </c>
      <c r="E127" s="372">
        <f xml:space="preserve"> [1]!'00736.TW-Price'</f>
        <v>20.309999999999999</v>
      </c>
      <c r="F127" s="372">
        <f xml:space="preserve"> [1]!'00736.TW-BestBid1'</f>
        <v>20.309999999999999</v>
      </c>
      <c r="G127" s="372">
        <f xml:space="preserve"> [1]!'00736.TW-BestAsk1'</f>
        <v>20.34</v>
      </c>
    </row>
    <row r="128" spans="1:7">
      <c r="A128" s="373" t="s">
        <v>2063</v>
      </c>
      <c r="B128" s="372" t="s">
        <v>2552</v>
      </c>
      <c r="C128" s="372">
        <v>22.63</v>
      </c>
      <c r="D128" s="372">
        <f xml:space="preserve"> [1]!'00737.TW-PreClose'</f>
        <v>22.63</v>
      </c>
      <c r="E128" s="372">
        <f xml:space="preserve"> [1]!'00737.TW-Price'</f>
        <v>22.51</v>
      </c>
      <c r="F128" s="372">
        <f xml:space="preserve"> [1]!'00737.TW-BestBid1'</f>
        <v>22.5</v>
      </c>
      <c r="G128" s="372">
        <f xml:space="preserve"> [1]!'00737.TW-BestAsk1'</f>
        <v>22.51</v>
      </c>
    </row>
    <row r="129" spans="1:7">
      <c r="A129" s="373" t="s">
        <v>2064</v>
      </c>
      <c r="B129" s="372" t="s">
        <v>2553</v>
      </c>
      <c r="C129" s="372">
        <v>17.63</v>
      </c>
      <c r="D129" s="372">
        <f xml:space="preserve"> [1]!'00738U.TW-PreClose'</f>
        <v>17.63</v>
      </c>
      <c r="E129" s="372">
        <f xml:space="preserve"> [1]!'00738U.TW-Price'</f>
        <v>17.510000000000002</v>
      </c>
      <c r="F129" s="372">
        <f xml:space="preserve"> [1]!'00738U.TW-BestBid1'</f>
        <v>17.5</v>
      </c>
      <c r="G129" s="372">
        <f xml:space="preserve"> [1]!'00738U.TW-BestAsk1'</f>
        <v>17.510000000000002</v>
      </c>
    </row>
    <row r="130" spans="1:7">
      <c r="A130" s="373" t="s">
        <v>2065</v>
      </c>
      <c r="B130" s="372" t="s">
        <v>2199</v>
      </c>
      <c r="C130" s="372">
        <v>20.96</v>
      </c>
      <c r="D130" s="372">
        <f xml:space="preserve"> [1]!'00739.TW-PreClose'</f>
        <v>20.96</v>
      </c>
      <c r="E130" s="372">
        <f xml:space="preserve"> [1]!'00739.TW-Price'</f>
        <v>21.05</v>
      </c>
      <c r="F130" s="372">
        <f xml:space="preserve"> [1]!'00739.TW-BestBid1'</f>
        <v>21.05</v>
      </c>
      <c r="G130" s="372">
        <f xml:space="preserve"> [1]!'00739.TW-BestAsk1'</f>
        <v>21.06</v>
      </c>
    </row>
    <row r="131" spans="1:7">
      <c r="A131" s="373" t="s">
        <v>2066</v>
      </c>
      <c r="B131" s="372" t="s">
        <v>2554</v>
      </c>
      <c r="C131" s="372">
        <v>47.51</v>
      </c>
      <c r="D131" s="372">
        <f xml:space="preserve"> [1]!'00740B.TW-PreClose'</f>
        <v>47.51</v>
      </c>
      <c r="E131" s="372">
        <f xml:space="preserve"> [1]!'00740B.TW-Price'</f>
        <v>46.94</v>
      </c>
      <c r="F131" s="372">
        <f xml:space="preserve"> [1]!'00740B.TW-BestBid1'</f>
        <v>46.88</v>
      </c>
      <c r="G131" s="372">
        <f xml:space="preserve"> [1]!'00740B.TW-BestAsk1'</f>
        <v>46.97</v>
      </c>
    </row>
    <row r="132" spans="1:7">
      <c r="A132" s="373" t="s">
        <v>2067</v>
      </c>
      <c r="B132" s="372" t="s">
        <v>2555</v>
      </c>
      <c r="C132" s="372">
        <v>42.19</v>
      </c>
      <c r="D132" s="372">
        <f xml:space="preserve"> [1]!'00741B.TW-PreClose'</f>
        <v>42.19</v>
      </c>
      <c r="E132" s="372">
        <f xml:space="preserve"> [1]!'00741B.TW-Price'</f>
        <v>42.15</v>
      </c>
      <c r="F132" s="372">
        <f xml:space="preserve"> [1]!'00741B.TW-BestBid1'</f>
        <v>42.15</v>
      </c>
      <c r="G132" s="372">
        <f xml:space="preserve"> [1]!'00741B.TW-BestAsk1'</f>
        <v>42.16</v>
      </c>
    </row>
    <row r="133" spans="1:7">
      <c r="A133" s="373" t="s">
        <v>2068</v>
      </c>
      <c r="B133" s="372" t="s">
        <v>2556</v>
      </c>
      <c r="C133" s="372">
        <v>21.17</v>
      </c>
      <c r="D133" s="372">
        <f xml:space="preserve"> [1]!'00742.TW-PreClose'</f>
        <v>21.17</v>
      </c>
      <c r="E133" s="372">
        <f xml:space="preserve"> [1]!'00742.TW-Price'</f>
        <v>21.14</v>
      </c>
      <c r="F133" s="372">
        <f xml:space="preserve"> [1]!'00742.TW-BestBid1'</f>
        <v>21.12</v>
      </c>
      <c r="G133" s="372">
        <f xml:space="preserve"> [1]!'00742.TW-BestAsk1'</f>
        <v>21.19</v>
      </c>
    </row>
    <row r="134" spans="1:7">
      <c r="A134" s="373" t="s">
        <v>2069</v>
      </c>
      <c r="B134" s="372" t="s">
        <v>2557</v>
      </c>
      <c r="C134" s="372">
        <v>20.89</v>
      </c>
      <c r="D134" s="372">
        <f xml:space="preserve"> [1]!'00743.TW-PreClose'</f>
        <v>20.89</v>
      </c>
      <c r="E134" s="372">
        <f xml:space="preserve"> [1]!'00743.TW-Price'</f>
        <v>20.97</v>
      </c>
      <c r="F134" s="372">
        <f xml:space="preserve"> [1]!'00743.TW-BestBid1'</f>
        <v>20.97</v>
      </c>
      <c r="G134" s="372">
        <f xml:space="preserve"> [1]!'00743.TW-BestAsk1'</f>
        <v>20.98</v>
      </c>
    </row>
    <row r="135" spans="1:7">
      <c r="A135" s="373" t="s">
        <v>2070</v>
      </c>
      <c r="B135" s="372" t="s">
        <v>2558</v>
      </c>
      <c r="C135" s="372">
        <v>42.77</v>
      </c>
      <c r="D135" s="372">
        <f xml:space="preserve"> [1]!'00744B.TW-PreClose'</f>
        <v>42.77</v>
      </c>
      <c r="E135" s="372">
        <f xml:space="preserve"> [1]!'00744B.TW-Price'</f>
        <v>42.78</v>
      </c>
      <c r="F135" s="372">
        <f xml:space="preserve"> [1]!'00744B.TW-BestBid1'</f>
        <v>42.73</v>
      </c>
      <c r="G135" s="372">
        <f xml:space="preserve"> [1]!'00744B.TW-BestAsk1'</f>
        <v>42.82</v>
      </c>
    </row>
    <row r="136" spans="1:7">
      <c r="A136" s="373" t="s">
        <v>2071</v>
      </c>
      <c r="B136" s="372" t="s">
        <v>2559</v>
      </c>
      <c r="C136" s="372">
        <v>41.06</v>
      </c>
      <c r="D136" s="372">
        <f xml:space="preserve"> [1]!'00745B.TW-PreClose'</f>
        <v>41.06</v>
      </c>
      <c r="E136" s="372">
        <f xml:space="preserve"> [1]!'00745B.TW-Price'</f>
        <v>41.03</v>
      </c>
      <c r="F136" s="372">
        <f xml:space="preserve"> [1]!'00745B.TW-BestBid1'</f>
        <v>40.92</v>
      </c>
      <c r="G136" s="372">
        <f xml:space="preserve"> [1]!'00745B.TW-BestAsk1'</f>
        <v>41.04</v>
      </c>
    </row>
    <row r="137" spans="1:7">
      <c r="A137" s="373" t="s">
        <v>2072</v>
      </c>
      <c r="B137" s="372" t="s">
        <v>2200</v>
      </c>
      <c r="C137" s="372">
        <v>45.3</v>
      </c>
      <c r="D137" s="372">
        <f xml:space="preserve"> [1]!'00746B.TW-PreClose'</f>
        <v>45.3</v>
      </c>
      <c r="E137" s="372">
        <f xml:space="preserve"> [1]!'00746B.TW-Price'</f>
        <v>44.85</v>
      </c>
      <c r="F137" s="372">
        <f xml:space="preserve"> [1]!'00746B.TW-BestBid1'</f>
        <v>44.84</v>
      </c>
      <c r="G137" s="372">
        <f xml:space="preserve"> [1]!'00746B.TW-BestAsk1'</f>
        <v>44.85</v>
      </c>
    </row>
    <row r="138" spans="1:7">
      <c r="A138" s="373" t="s">
        <v>2073</v>
      </c>
      <c r="B138" s="372" t="s">
        <v>2560</v>
      </c>
      <c r="C138" s="372">
        <v>52.6</v>
      </c>
      <c r="D138" s="372">
        <f xml:space="preserve"> [1]!'00747B.TW-PreClose'</f>
        <v>52.6</v>
      </c>
      <c r="E138" s="372">
        <f xml:space="preserve"> [1]!'00747B.TW-Price'</f>
        <v>52.6</v>
      </c>
      <c r="F138" s="372">
        <f xml:space="preserve"> [1]!'00747B.TW-BestBid1'</f>
        <v>52.45</v>
      </c>
      <c r="G138" s="372">
        <f xml:space="preserve"> [1]!'00747B.TW-BestAsk1'</f>
        <v>52.7</v>
      </c>
    </row>
    <row r="139" spans="1:7">
      <c r="A139" s="373" t="s">
        <v>2074</v>
      </c>
      <c r="B139" s="372" t="s">
        <v>2561</v>
      </c>
      <c r="C139" s="372">
        <v>42.81</v>
      </c>
      <c r="D139" s="372">
        <f xml:space="preserve"> [1]!'00748B.TW-PreClose'</f>
        <v>42.81</v>
      </c>
      <c r="E139" s="372">
        <f xml:space="preserve"> [1]!'00748B.TW-Price'</f>
        <v>42.92</v>
      </c>
      <c r="F139" s="372">
        <f xml:space="preserve"> [1]!'00748B.TW-BestBid1'</f>
        <v>42.74</v>
      </c>
      <c r="G139" s="372">
        <f xml:space="preserve"> [1]!'00748B.TW-BestAsk1'</f>
        <v>42.92</v>
      </c>
    </row>
    <row r="140" spans="1:7">
      <c r="A140" s="373" t="s">
        <v>2075</v>
      </c>
      <c r="B140" s="372" t="s">
        <v>2562</v>
      </c>
      <c r="C140" s="372">
        <v>46.08</v>
      </c>
      <c r="D140" s="372">
        <f xml:space="preserve"> [1]!'00749B.TW-PreClose'</f>
        <v>46.08</v>
      </c>
      <c r="E140" s="372">
        <f xml:space="preserve"> [1]!'00749B.TW-Price'</f>
        <v>45.89</v>
      </c>
      <c r="F140" s="372">
        <f xml:space="preserve"> [1]!'00749B.TW-BestBid1'</f>
        <v>45.74</v>
      </c>
      <c r="G140" s="372">
        <f xml:space="preserve"> [1]!'00749B.TW-BestAsk1'</f>
        <v>45.94</v>
      </c>
    </row>
    <row r="141" spans="1:7">
      <c r="A141" s="373" t="s">
        <v>2076</v>
      </c>
      <c r="B141" s="372" t="s">
        <v>2563</v>
      </c>
      <c r="C141" s="372">
        <v>44.44</v>
      </c>
      <c r="D141" s="372">
        <f xml:space="preserve"> [1]!'00750B.TW-PreClose'</f>
        <v>44.44</v>
      </c>
      <c r="E141" s="372">
        <f xml:space="preserve"> [1]!'00750B.TW-Price'</f>
        <v>43.89</v>
      </c>
      <c r="F141" s="372">
        <f xml:space="preserve"> [1]!'00750B.TW-BestBid1'</f>
        <v>43.7</v>
      </c>
      <c r="G141" s="372">
        <f xml:space="preserve"> [1]!'00750B.TW-BestAsk1'</f>
        <v>43.92</v>
      </c>
    </row>
    <row r="142" spans="1:7">
      <c r="A142" s="373" t="s">
        <v>2077</v>
      </c>
      <c r="B142" s="372" t="s">
        <v>2564</v>
      </c>
      <c r="C142" s="372">
        <v>45.59</v>
      </c>
      <c r="D142" s="372">
        <f xml:space="preserve"> [1]!'00751B.TW-PreClose'</f>
        <v>45.59</v>
      </c>
      <c r="E142" s="372">
        <f xml:space="preserve"> [1]!'00751B.TW-Price'</f>
        <v>45.11</v>
      </c>
      <c r="F142" s="372">
        <f xml:space="preserve"> [1]!'00751B.TW-BestBid1'</f>
        <v>45.1</v>
      </c>
      <c r="G142" s="372">
        <f xml:space="preserve"> [1]!'00751B.TW-BestAsk1'</f>
        <v>45.11</v>
      </c>
    </row>
    <row r="143" spans="1:7">
      <c r="A143" s="373" t="s">
        <v>2078</v>
      </c>
      <c r="B143" s="372" t="s">
        <v>2201</v>
      </c>
      <c r="C143" s="372">
        <v>22.97</v>
      </c>
      <c r="D143" s="372">
        <f xml:space="preserve"> [1]!'00752.TW-PreClose'</f>
        <v>22.97</v>
      </c>
      <c r="E143" s="372">
        <f xml:space="preserve"> [1]!'00752.TW-Price'</f>
        <v>23.01</v>
      </c>
      <c r="F143" s="372">
        <f xml:space="preserve"> [1]!'00752.TW-BestBid1'</f>
        <v>23</v>
      </c>
      <c r="G143" s="372">
        <f xml:space="preserve"> [1]!'00752.TW-BestAsk1'</f>
        <v>23.01</v>
      </c>
    </row>
    <row r="144" spans="1:7">
      <c r="A144" s="373" t="s">
        <v>2079</v>
      </c>
      <c r="B144" s="372" t="s">
        <v>2565</v>
      </c>
      <c r="C144" s="372">
        <v>24.77</v>
      </c>
      <c r="D144" s="372">
        <f xml:space="preserve"> [1]!'00753L.TW-PreClose'</f>
        <v>24.77</v>
      </c>
      <c r="E144" s="372">
        <f xml:space="preserve"> [1]!'00753L.TW-Price'</f>
        <v>24.69</v>
      </c>
      <c r="F144" s="372">
        <f xml:space="preserve"> [1]!'00753L.TW-BestBid1'</f>
        <v>24.69</v>
      </c>
      <c r="G144" s="372">
        <f xml:space="preserve"> [1]!'00753L.TW-BestAsk1'</f>
        <v>24.71</v>
      </c>
    </row>
    <row r="145" spans="1:7">
      <c r="A145" s="373" t="s">
        <v>2080</v>
      </c>
      <c r="B145" s="372" t="s">
        <v>2566</v>
      </c>
      <c r="C145" s="372">
        <v>46.48</v>
      </c>
      <c r="D145" s="372">
        <f xml:space="preserve"> [1]!'00754B.TW-PreClose'</f>
        <v>46.48</v>
      </c>
      <c r="E145" s="372">
        <f xml:space="preserve"> [1]!'00754B.TW-Price'</f>
        <v>45.98</v>
      </c>
      <c r="F145" s="372">
        <f xml:space="preserve"> [1]!'00754B.TW-BestBid1'</f>
        <v>45.85</v>
      </c>
      <c r="G145" s="372">
        <f xml:space="preserve"> [1]!'00754B.TW-BestAsk1'</f>
        <v>46</v>
      </c>
    </row>
    <row r="146" spans="1:7">
      <c r="A146" s="373" t="s">
        <v>2081</v>
      </c>
      <c r="B146" s="372" t="s">
        <v>2567</v>
      </c>
      <c r="C146" s="372">
        <v>44.88</v>
      </c>
      <c r="D146" s="372">
        <f xml:space="preserve"> [1]!'00755B.TW-PreClose'</f>
        <v>44.88</v>
      </c>
      <c r="E146" s="372">
        <f xml:space="preserve"> [1]!'00755B.TW-Price'</f>
        <v>44.45</v>
      </c>
      <c r="F146" s="372">
        <f xml:space="preserve"> [1]!'00755B.TW-BestBid1'</f>
        <v>44.31</v>
      </c>
      <c r="G146" s="372">
        <f xml:space="preserve"> [1]!'00755B.TW-BestAsk1'</f>
        <v>44.45</v>
      </c>
    </row>
    <row r="147" spans="1:7">
      <c r="A147" s="373" t="s">
        <v>2082</v>
      </c>
      <c r="B147" s="372" t="s">
        <v>2568</v>
      </c>
      <c r="C147" s="372">
        <v>47.9</v>
      </c>
      <c r="D147" s="372">
        <f xml:space="preserve"> [1]!'00756B.TW-PreClose'</f>
        <v>47.9</v>
      </c>
      <c r="E147" s="372">
        <f xml:space="preserve"> [1]!'00756B.TW-Price'</f>
        <v>47.93</v>
      </c>
      <c r="F147" s="372">
        <f xml:space="preserve"> [1]!'00756B.TW-BestBid1'</f>
        <v>47.76</v>
      </c>
      <c r="G147" s="372">
        <f xml:space="preserve"> [1]!'00756B.TW-BestAsk1'</f>
        <v>47.93</v>
      </c>
    </row>
    <row r="148" spans="1:7">
      <c r="A148" s="373" t="s">
        <v>2083</v>
      </c>
      <c r="B148" s="372" t="s">
        <v>2569</v>
      </c>
      <c r="C148" s="372">
        <v>20.36</v>
      </c>
      <c r="D148" s="372">
        <f xml:space="preserve"> [1]!'00757.TW-PreClose'</f>
        <v>20.36</v>
      </c>
      <c r="E148" s="372">
        <f xml:space="preserve"> [1]!'00757.TW-Price'</f>
        <v>20.34</v>
      </c>
      <c r="F148" s="372">
        <f xml:space="preserve"> [1]!'00757.TW-BestBid1'</f>
        <v>20.34</v>
      </c>
      <c r="G148" s="372">
        <f xml:space="preserve"> [1]!'00757.TW-BestAsk1'</f>
        <v>20.36</v>
      </c>
    </row>
    <row r="149" spans="1:7">
      <c r="A149" s="373" t="s">
        <v>2084</v>
      </c>
      <c r="B149" s="372" t="s">
        <v>2570</v>
      </c>
      <c r="C149" s="372">
        <v>68.45</v>
      </c>
      <c r="D149" s="372">
        <f xml:space="preserve"> [1]!'00758B.TW-PreClose'</f>
        <v>68.45</v>
      </c>
      <c r="E149" s="372">
        <f xml:space="preserve"> [1]!'00758B.TW-Price'</f>
        <v>68</v>
      </c>
      <c r="F149" s="372">
        <f xml:space="preserve"> [1]!'00758B.TW-BestBid1'</f>
        <v>67.7</v>
      </c>
      <c r="G149" s="372">
        <f xml:space="preserve"> [1]!'00758B.TW-BestAsk1'</f>
        <v>68.099999999999994</v>
      </c>
    </row>
    <row r="150" spans="1:7">
      <c r="A150" s="373" t="s">
        <v>2085</v>
      </c>
      <c r="B150" s="372" t="s">
        <v>2571</v>
      </c>
      <c r="C150" s="372">
        <v>68.849999999999994</v>
      </c>
      <c r="D150" s="372">
        <f xml:space="preserve"> [1]!'00759B.TW-PreClose'</f>
        <v>68.849999999999994</v>
      </c>
      <c r="E150" s="372">
        <f xml:space="preserve"> [1]!'00759B.TW-Price'</f>
        <v>68</v>
      </c>
      <c r="F150" s="372">
        <f xml:space="preserve"> [1]!'00759B.TW-BestBid1'</f>
        <v>68</v>
      </c>
      <c r="G150" s="372">
        <f xml:space="preserve"> [1]!'00759B.TW-BestAsk1'</f>
        <v>68.400000000000006</v>
      </c>
    </row>
    <row r="151" spans="1:7">
      <c r="A151" s="373" t="s">
        <v>2086</v>
      </c>
      <c r="B151" s="372" t="s">
        <v>2572</v>
      </c>
      <c r="C151" s="372">
        <v>68.349999999999994</v>
      </c>
      <c r="D151" s="372">
        <f xml:space="preserve"> [1]!'00760B.TW-PreClose'</f>
        <v>68.349999999999994</v>
      </c>
      <c r="E151" s="372">
        <f xml:space="preserve"> [1]!'00760B.TW-Price'</f>
        <v>68.400000000000006</v>
      </c>
      <c r="F151" s="372">
        <f xml:space="preserve"> [1]!'00760B.TW-BestBid1'</f>
        <v>68.2</v>
      </c>
      <c r="G151" s="372">
        <f xml:space="preserve"> [1]!'00760B.TW-BestAsk1'</f>
        <v>68.5</v>
      </c>
    </row>
    <row r="152" spans="1:7">
      <c r="A152" s="373" t="s">
        <v>2087</v>
      </c>
      <c r="B152" s="372" t="s">
        <v>2202</v>
      </c>
      <c r="C152" s="372">
        <v>46.98</v>
      </c>
      <c r="D152" s="372">
        <f xml:space="preserve"> [1]!'00761B.TW-PreClose'</f>
        <v>46.98</v>
      </c>
      <c r="E152" s="372">
        <f xml:space="preserve"> [1]!'00761B.TW-Price'</f>
        <v>46.38</v>
      </c>
      <c r="F152" s="372">
        <f xml:space="preserve"> [1]!'00761B.TW-BestBid1'</f>
        <v>46.31</v>
      </c>
      <c r="G152" s="372">
        <f xml:space="preserve"> [1]!'00761B.TW-BestAsk1'</f>
        <v>46.38</v>
      </c>
    </row>
    <row r="153" spans="1:7">
      <c r="A153" s="373" t="s">
        <v>2088</v>
      </c>
      <c r="B153" s="372" t="s">
        <v>2203</v>
      </c>
      <c r="C153" s="372">
        <v>23.43</v>
      </c>
      <c r="D153" s="372">
        <f xml:space="preserve"> [1]!'00762.TW-PreClose'</f>
        <v>23.43</v>
      </c>
      <c r="E153" s="372">
        <f xml:space="preserve"> [1]!'00762.TW-Price'</f>
        <v>23.51</v>
      </c>
      <c r="F153" s="372">
        <f xml:space="preserve"> [1]!'00762.TW-BestBid1'</f>
        <v>23.5</v>
      </c>
      <c r="G153" s="372">
        <f xml:space="preserve"> [1]!'00762.TW-BestAsk1'</f>
        <v>23.51</v>
      </c>
    </row>
    <row r="154" spans="1:7">
      <c r="A154" s="373" t="s">
        <v>2089</v>
      </c>
      <c r="B154" s="372" t="s">
        <v>2573</v>
      </c>
      <c r="C154" s="372">
        <v>19.149999999999999</v>
      </c>
      <c r="D154" s="372">
        <f xml:space="preserve"> [1]!'00763U.TW-PreClose'</f>
        <v>19.149999999999999</v>
      </c>
      <c r="E154" s="372">
        <f xml:space="preserve"> [1]!'00763U.TW-Price'</f>
        <v>19.239999999999998</v>
      </c>
      <c r="F154" s="372">
        <f xml:space="preserve"> [1]!'00763U.TW-BestBid1'</f>
        <v>19.18</v>
      </c>
      <c r="G154" s="372">
        <f xml:space="preserve"> [1]!'00763U.TW-BestAsk1'</f>
        <v>19.239999999999998</v>
      </c>
    </row>
    <row r="155" spans="1:7">
      <c r="A155" s="373" t="s">
        <v>2090</v>
      </c>
      <c r="B155" s="372" t="s">
        <v>2574</v>
      </c>
      <c r="C155" s="372">
        <v>43.74</v>
      </c>
      <c r="D155" s="372">
        <f xml:space="preserve"> [1]!'00764B.TW-PreClose'</f>
        <v>43.74</v>
      </c>
      <c r="E155" s="372">
        <f xml:space="preserve"> [1]!'00764B.TW-Price'</f>
        <v>43.05</v>
      </c>
      <c r="F155" s="372">
        <f xml:space="preserve"> [1]!'00764B.TW-BestBid1'</f>
        <v>43.01</v>
      </c>
      <c r="G155" s="372">
        <f xml:space="preserve"> [1]!'00764B.TW-BestAsk1'</f>
        <v>43.06</v>
      </c>
    </row>
    <row r="156" spans="1:7">
      <c r="A156" s="373" t="s">
        <v>2091</v>
      </c>
      <c r="B156" s="372" t="s">
        <v>2575</v>
      </c>
      <c r="C156" s="372">
        <v>41.22</v>
      </c>
      <c r="D156" s="372">
        <f xml:space="preserve"> [1]!'00765B.TW-PreClose'</f>
        <v>41.22</v>
      </c>
      <c r="E156" s="372">
        <f xml:space="preserve"> [1]!'00765B.TW-Price'</f>
        <v>41.19</v>
      </c>
      <c r="F156" s="372">
        <f xml:space="preserve"> [1]!'00765B.TW-BestBid1'</f>
        <v>41.15</v>
      </c>
      <c r="G156" s="372">
        <f xml:space="preserve"> [1]!'00765B.TW-BestAsk1'</f>
        <v>41.21</v>
      </c>
    </row>
    <row r="157" spans="1:7">
      <c r="A157" s="373" t="s">
        <v>2092</v>
      </c>
      <c r="B157" s="372" t="s">
        <v>2576</v>
      </c>
      <c r="C157" s="372">
        <v>10.37</v>
      </c>
      <c r="D157" s="372">
        <f xml:space="preserve"> [1]!'00766L.TW-PreClose'</f>
        <v>10.37</v>
      </c>
      <c r="E157" s="372">
        <f xml:space="preserve"> [1]!'00766L.TW-Price'</f>
        <v>10.36</v>
      </c>
      <c r="F157" s="372">
        <f xml:space="preserve"> [1]!'00766L.TW-BestBid1'</f>
        <v>10.36</v>
      </c>
      <c r="G157" s="372">
        <f xml:space="preserve"> [1]!'00766L.TW-BestAsk1'</f>
        <v>10.37</v>
      </c>
    </row>
    <row r="158" spans="1:7">
      <c r="A158" s="373" t="s">
        <v>2093</v>
      </c>
      <c r="B158" s="372" t="s">
        <v>2577</v>
      </c>
      <c r="C158" s="372">
        <v>22.35</v>
      </c>
      <c r="D158" s="372">
        <f xml:space="preserve"> [1]!'00767.TW-PreClose'</f>
        <v>22.35</v>
      </c>
      <c r="E158" s="372">
        <f xml:space="preserve"> [1]!'00767.TW-Price'</f>
        <v>22.55</v>
      </c>
      <c r="F158" s="372">
        <f xml:space="preserve"> [1]!'00767.TW-BestBid1'</f>
        <v>22.53</v>
      </c>
      <c r="G158" s="372">
        <f xml:space="preserve"> [1]!'00767.TW-BestAsk1'</f>
        <v>22.57</v>
      </c>
    </row>
    <row r="159" spans="1:7">
      <c r="A159" s="373" t="s">
        <v>2094</v>
      </c>
      <c r="B159" s="372" t="s">
        <v>2578</v>
      </c>
      <c r="C159" s="372">
        <v>67.650000000000006</v>
      </c>
      <c r="D159" s="372">
        <f xml:space="preserve"> [1]!'00768B.TW-PreClose'</f>
        <v>67.650000000000006</v>
      </c>
      <c r="E159" s="372">
        <f xml:space="preserve"> [1]!'00768B.TW-Price'</f>
        <v>66.95</v>
      </c>
      <c r="F159" s="372">
        <f xml:space="preserve"> [1]!'00768B.TW-BestBid1'</f>
        <v>66.650000000000006</v>
      </c>
      <c r="G159" s="372">
        <f xml:space="preserve"> [1]!'00768B.TW-BestAsk1'</f>
        <v>67.05</v>
      </c>
    </row>
    <row r="160" spans="1:7">
      <c r="A160" s="373" t="s">
        <v>2095</v>
      </c>
      <c r="B160" s="372" t="s">
        <v>2204</v>
      </c>
      <c r="C160" s="372">
        <v>62.35</v>
      </c>
      <c r="D160" s="372">
        <f xml:space="preserve"> [1]!'00769B.TW-PreClose'</f>
        <v>62.35</v>
      </c>
      <c r="E160" s="372">
        <f xml:space="preserve"> [1]!'00769B.TW-Price'</f>
        <v>62.25</v>
      </c>
      <c r="F160" s="372">
        <f xml:space="preserve"> [1]!'00769B.TW-BestBid1'</f>
        <v>62.15</v>
      </c>
      <c r="G160" s="372">
        <f xml:space="preserve"> [1]!'00769B.TW-BestAsk1'</f>
        <v>62.35</v>
      </c>
    </row>
    <row r="161" spans="1:7">
      <c r="A161" s="373" t="s">
        <v>2096</v>
      </c>
      <c r="B161" s="372" t="s">
        <v>2579</v>
      </c>
      <c r="C161" s="372">
        <v>23.78</v>
      </c>
      <c r="D161" s="372">
        <f xml:space="preserve"> [1]!'00770.TW-PreClose'</f>
        <v>23.78</v>
      </c>
      <c r="E161" s="372">
        <f xml:space="preserve"> [1]!'00770.TW-Price'</f>
        <v>23.8</v>
      </c>
      <c r="F161" s="372">
        <f xml:space="preserve"> [1]!'00770.TW-BestBid1'</f>
        <v>23.77</v>
      </c>
      <c r="G161" s="372">
        <f xml:space="preserve"> [1]!'00770.TW-BestAsk1'</f>
        <v>23.8</v>
      </c>
    </row>
    <row r="162" spans="1:7">
      <c r="A162" s="373" t="s">
        <v>2097</v>
      </c>
      <c r="B162" s="372" t="s">
        <v>2580</v>
      </c>
      <c r="C162" s="372">
        <v>20.53</v>
      </c>
      <c r="D162" s="372">
        <f xml:space="preserve"> [1]!'00771.TW-PreClose'</f>
        <v>20.53</v>
      </c>
      <c r="E162" s="372">
        <f xml:space="preserve"> [1]!'00771.TW-Price'</f>
        <v>20.55</v>
      </c>
      <c r="F162" s="372">
        <f xml:space="preserve"> [1]!'00771.TW-BestBid1'</f>
        <v>20.54</v>
      </c>
      <c r="G162" s="372">
        <f xml:space="preserve"> [1]!'00771.TW-BestAsk1'</f>
        <v>20.55</v>
      </c>
    </row>
    <row r="163" spans="1:7">
      <c r="A163" s="373" t="s">
        <v>2098</v>
      </c>
      <c r="B163" s="372" t="s">
        <v>2581</v>
      </c>
      <c r="C163" s="372">
        <v>45.15</v>
      </c>
      <c r="D163" s="372">
        <f xml:space="preserve"> [1]!'00772B.TW-PreClose'</f>
        <v>45.15</v>
      </c>
      <c r="E163" s="372">
        <f xml:space="preserve"> [1]!'00772B.TW-Price'</f>
        <v>44.68</v>
      </c>
      <c r="F163" s="372">
        <f xml:space="preserve"> [1]!'00772B.TW-BestBid1'</f>
        <v>44.65</v>
      </c>
      <c r="G163" s="372">
        <f xml:space="preserve"> [1]!'00772B.TW-BestAsk1'</f>
        <v>44.67</v>
      </c>
    </row>
    <row r="164" spans="1:7">
      <c r="A164" s="373" t="s">
        <v>2099</v>
      </c>
      <c r="B164" s="372" t="s">
        <v>2582</v>
      </c>
      <c r="C164" s="372">
        <v>45.71</v>
      </c>
      <c r="D164" s="372">
        <f xml:space="preserve"> [1]!'00773B.TW-PreClose'</f>
        <v>45.71</v>
      </c>
      <c r="E164" s="372">
        <f xml:space="preserve"> [1]!'00773B.TW-Price'</f>
        <v>45.23</v>
      </c>
      <c r="F164" s="372">
        <f xml:space="preserve"> [1]!'00773B.TW-BestBid1'</f>
        <v>45.24</v>
      </c>
      <c r="G164" s="372">
        <f xml:space="preserve"> [1]!'00773B.TW-BestAsk1'</f>
        <v>45.27</v>
      </c>
    </row>
    <row r="165" spans="1:7">
      <c r="A165" s="373" t="s">
        <v>2100</v>
      </c>
      <c r="B165" s="372" t="s">
        <v>2583</v>
      </c>
      <c r="C165" s="372">
        <v>40.69</v>
      </c>
      <c r="D165" s="372">
        <f xml:space="preserve"> [1]!'00774B.TW-PreClose'</f>
        <v>40.69</v>
      </c>
      <c r="E165" s="372">
        <f xml:space="preserve"> [1]!'00774B.TW-Price'</f>
        <v>40.67</v>
      </c>
      <c r="F165" s="372">
        <f xml:space="preserve"> [1]!'00774B.TW-BestBid1'</f>
        <v>40.619999999999997</v>
      </c>
      <c r="G165" s="372">
        <f xml:space="preserve"> [1]!'00774B.TW-BestAsk1'</f>
        <v>40.72</v>
      </c>
    </row>
    <row r="166" spans="1:7">
      <c r="A166" s="373" t="s">
        <v>2101</v>
      </c>
      <c r="B166" s="372" t="s">
        <v>2584</v>
      </c>
      <c r="C166" s="372">
        <v>44.23</v>
      </c>
      <c r="D166" s="372">
        <f xml:space="preserve"> [1]!'00775B.TW-PreClose'</f>
        <v>44.23</v>
      </c>
      <c r="E166" s="372">
        <f xml:space="preserve"> [1]!'00775B.TW-Price'</f>
        <v>43.78</v>
      </c>
      <c r="F166" s="372">
        <f xml:space="preserve"> [1]!'00775B.TW-BestBid1'</f>
        <v>43.67</v>
      </c>
      <c r="G166" s="372">
        <f xml:space="preserve"> [1]!'00775B.TW-BestAsk1'</f>
        <v>43.79</v>
      </c>
    </row>
    <row r="167" spans="1:7">
      <c r="A167" s="373" t="s">
        <v>2102</v>
      </c>
      <c r="B167" s="372" t="s">
        <v>2585</v>
      </c>
      <c r="C167" s="372">
        <v>22.06</v>
      </c>
      <c r="D167" s="372">
        <f xml:space="preserve"> [1]!'00776.TW-PreClose'</f>
        <v>22.06</v>
      </c>
      <c r="E167" s="372" t="str">
        <f xml:space="preserve"> [1]!'00776.TW-Price'</f>
        <v>--</v>
      </c>
      <c r="F167" s="372">
        <f xml:space="preserve"> [1]!'00776.TW-BestBid1'</f>
        <v>22.12</v>
      </c>
      <c r="G167" s="372">
        <f xml:space="preserve"> [1]!'00776.TW-BestAsk1'</f>
        <v>22.19</v>
      </c>
    </row>
    <row r="168" spans="1:7">
      <c r="A168" s="373" t="s">
        <v>2103</v>
      </c>
      <c r="B168" s="372" t="s">
        <v>2586</v>
      </c>
      <c r="C168" s="372">
        <v>44.73</v>
      </c>
      <c r="D168" s="372">
        <f xml:space="preserve"> [1]!'00777B.TW-PreClose'</f>
        <v>44.73</v>
      </c>
      <c r="E168" s="372">
        <f xml:space="preserve"> [1]!'00777B.TW-Price'</f>
        <v>44.34</v>
      </c>
      <c r="F168" s="372">
        <f xml:space="preserve"> [1]!'00777B.TW-BestBid1'</f>
        <v>44.28</v>
      </c>
      <c r="G168" s="372">
        <f xml:space="preserve"> [1]!'00777B.TW-BestAsk1'</f>
        <v>44.34</v>
      </c>
    </row>
    <row r="169" spans="1:7">
      <c r="A169" s="373" t="s">
        <v>2104</v>
      </c>
      <c r="B169" s="372" t="s">
        <v>2587</v>
      </c>
      <c r="C169" s="372">
        <v>45.48</v>
      </c>
      <c r="D169" s="372">
        <f xml:space="preserve"> [1]!'00778B.TW-PreClose'</f>
        <v>45.48</v>
      </c>
      <c r="E169" s="372">
        <f xml:space="preserve"> [1]!'00778B.TW-Price'</f>
        <v>45.14</v>
      </c>
      <c r="F169" s="372">
        <f xml:space="preserve"> [1]!'00778B.TW-BestBid1'</f>
        <v>45.02</v>
      </c>
      <c r="G169" s="372">
        <f xml:space="preserve"> [1]!'00778B.TW-BestAsk1'</f>
        <v>45.14</v>
      </c>
    </row>
    <row r="170" spans="1:7">
      <c r="A170" s="373" t="s">
        <v>2105</v>
      </c>
      <c r="B170" s="372" t="s">
        <v>2588</v>
      </c>
      <c r="C170" s="372">
        <v>44.43</v>
      </c>
      <c r="D170" s="372">
        <f xml:space="preserve"> [1]!'00779B.TW-PreClose'</f>
        <v>44.43</v>
      </c>
      <c r="E170" s="372">
        <f xml:space="preserve"> [1]!'00779B.TW-Price'</f>
        <v>43.49</v>
      </c>
      <c r="F170" s="372">
        <f xml:space="preserve"> [1]!'00779B.TW-BestBid1'</f>
        <v>43.4</v>
      </c>
      <c r="G170" s="372">
        <f xml:space="preserve"> [1]!'00779B.TW-BestAsk1'</f>
        <v>43.51</v>
      </c>
    </row>
    <row r="171" spans="1:7">
      <c r="A171" s="373" t="s">
        <v>2106</v>
      </c>
      <c r="B171" s="372" t="s">
        <v>2589</v>
      </c>
      <c r="C171" s="372">
        <v>42.4</v>
      </c>
      <c r="D171" s="372">
        <f xml:space="preserve"> [1]!'00780B.TW-PreClose'</f>
        <v>42.4</v>
      </c>
      <c r="E171" s="372">
        <f xml:space="preserve"> [1]!'00780B.TW-Price'</f>
        <v>42.14</v>
      </c>
      <c r="F171" s="372">
        <f xml:space="preserve"> [1]!'00780B.TW-BestBid1'</f>
        <v>42.13</v>
      </c>
      <c r="G171" s="372">
        <f xml:space="preserve"> [1]!'00780B.TW-BestAsk1'</f>
        <v>42.2</v>
      </c>
    </row>
    <row r="172" spans="1:7">
      <c r="A172" s="373" t="s">
        <v>2107</v>
      </c>
      <c r="B172" s="372" t="s">
        <v>2205</v>
      </c>
      <c r="C172" s="372">
        <v>44.47</v>
      </c>
      <c r="D172" s="372">
        <f xml:space="preserve"> [1]!'00781B.TW-PreClose'</f>
        <v>44.47</v>
      </c>
      <c r="E172" s="372">
        <f xml:space="preserve"> [1]!'00781B.TW-Price'</f>
        <v>43.94</v>
      </c>
      <c r="F172" s="372">
        <f xml:space="preserve"> [1]!'00781B.TW-BestBid1'</f>
        <v>43.93</v>
      </c>
      <c r="G172" s="372">
        <f xml:space="preserve"> [1]!'00781B.TW-BestAsk1'</f>
        <v>43.99</v>
      </c>
    </row>
    <row r="173" spans="1:7">
      <c r="A173" s="373" t="s">
        <v>2108</v>
      </c>
      <c r="B173" s="372" t="s">
        <v>2590</v>
      </c>
      <c r="C173" s="372">
        <v>44.33</v>
      </c>
      <c r="D173" s="372">
        <f xml:space="preserve"> [1]!'00782B.TW-PreClose'</f>
        <v>44.33</v>
      </c>
      <c r="E173" s="372">
        <f xml:space="preserve"> [1]!'00782B.TW-Price'</f>
        <v>43.75</v>
      </c>
      <c r="F173" s="372">
        <f xml:space="preserve"> [1]!'00782B.TW-BestBid1'</f>
        <v>43.71</v>
      </c>
      <c r="G173" s="372">
        <f xml:space="preserve"> [1]!'00782B.TW-BestAsk1'</f>
        <v>43.77</v>
      </c>
    </row>
    <row r="174" spans="1:7">
      <c r="A174" s="373" t="s">
        <v>2109</v>
      </c>
      <c r="B174" s="372" t="s">
        <v>2591</v>
      </c>
      <c r="C174" s="372">
        <v>17.690000000000001</v>
      </c>
      <c r="D174" s="372">
        <f xml:space="preserve"> [1]!'00783.TW-PreClose'</f>
        <v>17.690000000000001</v>
      </c>
      <c r="E174" s="372">
        <f xml:space="preserve"> [1]!'00783.TW-Price'</f>
        <v>17.73</v>
      </c>
      <c r="F174" s="372">
        <f xml:space="preserve"> [1]!'00783.TW-BestBid1'</f>
        <v>17.73</v>
      </c>
      <c r="G174" s="372">
        <f xml:space="preserve"> [1]!'00783.TW-BestAsk1'</f>
        <v>17.739999999999998</v>
      </c>
    </row>
    <row r="175" spans="1:7">
      <c r="A175" s="373" t="s">
        <v>2110</v>
      </c>
      <c r="B175" s="372" t="s">
        <v>2592</v>
      </c>
      <c r="C175" s="372">
        <v>41.29</v>
      </c>
      <c r="D175" s="372">
        <f xml:space="preserve"> [1]!'00784B.TW-PreClose'</f>
        <v>41.29</v>
      </c>
      <c r="E175" s="372">
        <f xml:space="preserve"> [1]!'00784B.TW-Price'</f>
        <v>41.25</v>
      </c>
      <c r="F175" s="372">
        <f xml:space="preserve"> [1]!'00784B.TW-BestBid1'</f>
        <v>41.22</v>
      </c>
      <c r="G175" s="372">
        <f xml:space="preserve"> [1]!'00784B.TW-BestAsk1'</f>
        <v>41.28</v>
      </c>
    </row>
    <row r="176" spans="1:7">
      <c r="A176" s="373" t="s">
        <v>2111</v>
      </c>
      <c r="B176" s="372" t="s">
        <v>2593</v>
      </c>
      <c r="C176" s="372">
        <v>43.33</v>
      </c>
      <c r="D176" s="372">
        <f xml:space="preserve"> [1]!'00785B.TW-PreClose'</f>
        <v>43.33</v>
      </c>
      <c r="E176" s="372">
        <f xml:space="preserve"> [1]!'00785B.TW-Price'</f>
        <v>43.04</v>
      </c>
      <c r="F176" s="372">
        <f xml:space="preserve"> [1]!'00785B.TW-BestBid1'</f>
        <v>42.99</v>
      </c>
      <c r="G176" s="372">
        <f xml:space="preserve"> [1]!'00785B.TW-BestAsk1'</f>
        <v>43.04</v>
      </c>
    </row>
    <row r="177" spans="1:7">
      <c r="A177" s="373" t="s">
        <v>2112</v>
      </c>
      <c r="B177" s="372" t="s">
        <v>2594</v>
      </c>
      <c r="C177" s="372">
        <v>43.14</v>
      </c>
      <c r="D177" s="372">
        <f xml:space="preserve"> [1]!'00786B.TW-PreClose'</f>
        <v>43.14</v>
      </c>
      <c r="E177" s="372">
        <f xml:space="preserve"> [1]!'00786B.TW-Price'</f>
        <v>42.34</v>
      </c>
      <c r="F177" s="372">
        <f xml:space="preserve"> [1]!'00786B.TW-BestBid1'</f>
        <v>42.33</v>
      </c>
      <c r="G177" s="372">
        <f xml:space="preserve"> [1]!'00786B.TW-BestAsk1'</f>
        <v>42.4</v>
      </c>
    </row>
    <row r="178" spans="1:7">
      <c r="A178" s="373" t="s">
        <v>2113</v>
      </c>
      <c r="B178" s="372" t="s">
        <v>2595</v>
      </c>
      <c r="C178" s="372">
        <v>42.7</v>
      </c>
      <c r="D178" s="372">
        <f xml:space="preserve"> [1]!'00787B.TW-PreClose'</f>
        <v>42.7</v>
      </c>
      <c r="E178" s="372">
        <f xml:space="preserve"> [1]!'00787B.TW-Price'</f>
        <v>42.08</v>
      </c>
      <c r="F178" s="372">
        <f xml:space="preserve"> [1]!'00787B.TW-BestBid1'</f>
        <v>42.06</v>
      </c>
      <c r="G178" s="372">
        <f xml:space="preserve"> [1]!'00787B.TW-BestAsk1'</f>
        <v>42.15</v>
      </c>
    </row>
    <row r="179" spans="1:7">
      <c r="A179" s="373" t="s">
        <v>2114</v>
      </c>
      <c r="B179" s="372" t="s">
        <v>2596</v>
      </c>
      <c r="C179" s="372">
        <v>42.32</v>
      </c>
      <c r="D179" s="372">
        <f xml:space="preserve"> [1]!'00788B.TW-PreClose'</f>
        <v>42.32</v>
      </c>
      <c r="E179" s="372">
        <f xml:space="preserve"> [1]!'00788B.TW-Price'</f>
        <v>41.74</v>
      </c>
      <c r="F179" s="372">
        <f xml:space="preserve"> [1]!'00788B.TW-BestBid1'</f>
        <v>41.74</v>
      </c>
      <c r="G179" s="372">
        <f xml:space="preserve"> [1]!'00788B.TW-BestAsk1'</f>
        <v>41.78</v>
      </c>
    </row>
    <row r="180" spans="1:7">
      <c r="A180" s="373" t="s">
        <v>2115</v>
      </c>
      <c r="B180" s="372" t="s">
        <v>2597</v>
      </c>
      <c r="C180" s="372">
        <v>66.55</v>
      </c>
      <c r="D180" s="372">
        <f xml:space="preserve"> [1]!'00789B.TW-PreClose'</f>
        <v>66.55</v>
      </c>
      <c r="E180" s="372">
        <f xml:space="preserve"> [1]!'00789B.TW-Price'</f>
        <v>65.849999999999994</v>
      </c>
      <c r="F180" s="372">
        <f xml:space="preserve"> [1]!'00789B.TW-BestBid1'</f>
        <v>65.599999999999994</v>
      </c>
      <c r="G180" s="372">
        <f xml:space="preserve"> [1]!'00789B.TW-BestAsk1'</f>
        <v>65.849999999999994</v>
      </c>
    </row>
    <row r="181" spans="1:7">
      <c r="A181" s="373" t="s">
        <v>2116</v>
      </c>
      <c r="B181" s="372" t="s">
        <v>2598</v>
      </c>
      <c r="C181" s="372">
        <v>65.900000000000006</v>
      </c>
      <c r="D181" s="372">
        <f xml:space="preserve"> [1]!'00790B.TW-PreClose'</f>
        <v>65.900000000000006</v>
      </c>
      <c r="E181" s="372">
        <f xml:space="preserve"> [1]!'00790B.TW-Price'</f>
        <v>65.349999999999994</v>
      </c>
      <c r="F181" s="372">
        <f xml:space="preserve"> [1]!'00790B.TW-BestBid1'</f>
        <v>65.150000000000006</v>
      </c>
      <c r="G181" s="372">
        <f xml:space="preserve"> [1]!'00790B.TW-BestAsk1'</f>
        <v>65.400000000000006</v>
      </c>
    </row>
    <row r="182" spans="1:7">
      <c r="A182" s="373" t="s">
        <v>2117</v>
      </c>
      <c r="B182" s="372" t="s">
        <v>2599</v>
      </c>
      <c r="C182" s="372">
        <v>62.65</v>
      </c>
      <c r="D182" s="372">
        <f xml:space="preserve"> [1]!'00791B.TW-PreClose'</f>
        <v>62.65</v>
      </c>
      <c r="E182" s="372">
        <f xml:space="preserve"> [1]!'00791B.TW-Price'</f>
        <v>62.45</v>
      </c>
      <c r="F182" s="372">
        <f xml:space="preserve"> [1]!'00791B.TW-BestBid1'</f>
        <v>62.3</v>
      </c>
      <c r="G182" s="372">
        <f xml:space="preserve"> [1]!'00791B.TW-BestAsk1'</f>
        <v>62.55</v>
      </c>
    </row>
    <row r="183" spans="1:7">
      <c r="A183" s="373" t="s">
        <v>2118</v>
      </c>
      <c r="B183" s="372" t="s">
        <v>2600</v>
      </c>
      <c r="C183" s="372">
        <v>43.18</v>
      </c>
      <c r="D183" s="372">
        <f xml:space="preserve"> [1]!'00792B.TW-PreClose'</f>
        <v>43.18</v>
      </c>
      <c r="E183" s="372">
        <f xml:space="preserve"> [1]!'00792B.TW-Price'</f>
        <v>42.62</v>
      </c>
      <c r="F183" s="372">
        <f xml:space="preserve"> [1]!'00792B.TW-BestBid1'</f>
        <v>42.6</v>
      </c>
      <c r="G183" s="372">
        <f xml:space="preserve"> [1]!'00792B.TW-BestAsk1'</f>
        <v>42.64</v>
      </c>
    </row>
    <row r="184" spans="1:7">
      <c r="A184" s="373" t="s">
        <v>2119</v>
      </c>
      <c r="B184" s="372" t="s">
        <v>2601</v>
      </c>
      <c r="C184" s="372">
        <v>42.92</v>
      </c>
      <c r="D184" s="372">
        <f xml:space="preserve"> [1]!'00793B.TW-PreClose'</f>
        <v>42.92</v>
      </c>
      <c r="E184" s="372">
        <f xml:space="preserve"> [1]!'00793B.TW-Price'</f>
        <v>42.46</v>
      </c>
      <c r="F184" s="372">
        <f xml:space="preserve"> [1]!'00793B.TW-BestBid1'</f>
        <v>42.4</v>
      </c>
      <c r="G184" s="372">
        <f xml:space="preserve"> [1]!'00793B.TW-BestAsk1'</f>
        <v>42.48</v>
      </c>
    </row>
    <row r="185" spans="1:7">
      <c r="A185" s="373" t="s">
        <v>2120</v>
      </c>
      <c r="B185" s="372" t="s">
        <v>2602</v>
      </c>
      <c r="C185" s="372">
        <v>40.79</v>
      </c>
      <c r="D185" s="372">
        <f xml:space="preserve"> [1]!'00794B.TW-PreClose'</f>
        <v>40.79</v>
      </c>
      <c r="E185" s="372">
        <f xml:space="preserve"> [1]!'00794B.TW-Price'</f>
        <v>40.729999999999997</v>
      </c>
      <c r="F185" s="372">
        <f xml:space="preserve"> [1]!'00794B.TW-BestBid1'</f>
        <v>40.729999999999997</v>
      </c>
      <c r="G185" s="372">
        <f xml:space="preserve"> [1]!'00794B.TW-BestAsk1'</f>
        <v>40.74</v>
      </c>
    </row>
    <row r="186" spans="1:7">
      <c r="A186" s="373" t="s">
        <v>2121</v>
      </c>
      <c r="B186" s="372" t="s">
        <v>2603</v>
      </c>
      <c r="C186" s="372">
        <v>43.16</v>
      </c>
      <c r="D186" s="372">
        <f xml:space="preserve"> [1]!'00795B.TW-PreClose'</f>
        <v>43.16</v>
      </c>
      <c r="E186" s="372">
        <f xml:space="preserve"> [1]!'00795B.TW-Price'</f>
        <v>42.46</v>
      </c>
      <c r="F186" s="372">
        <f xml:space="preserve"> [1]!'00795B.TW-BestBid1'</f>
        <v>42.43</v>
      </c>
      <c r="G186" s="372">
        <f xml:space="preserve"> [1]!'00795B.TW-BestAsk1'</f>
        <v>42.45</v>
      </c>
    </row>
    <row r="187" spans="1:7">
      <c r="A187" s="373" t="s">
        <v>2122</v>
      </c>
      <c r="B187" s="372" t="s">
        <v>2604</v>
      </c>
      <c r="C187" s="372">
        <v>40.33</v>
      </c>
      <c r="D187" s="372">
        <f xml:space="preserve"> [1]!'00796B.TW-PreClose'</f>
        <v>40.33</v>
      </c>
      <c r="E187" s="372">
        <f xml:space="preserve"> [1]!'00796B.TW-Price'</f>
        <v>40.29</v>
      </c>
      <c r="F187" s="372">
        <f xml:space="preserve"> [1]!'00796B.TW-BestBid1'</f>
        <v>40.29</v>
      </c>
      <c r="G187" s="372">
        <f xml:space="preserve"> [1]!'00796B.TW-BestAsk1'</f>
        <v>40.299999999999997</v>
      </c>
    </row>
    <row r="188" spans="1:7">
      <c r="A188" s="373" t="s">
        <v>2123</v>
      </c>
      <c r="B188" s="372" t="s">
        <v>2605</v>
      </c>
      <c r="C188" s="372">
        <v>41.61</v>
      </c>
      <c r="D188" s="372">
        <f xml:space="preserve"> [1]!'00797B.TW-PreClose'</f>
        <v>41.61</v>
      </c>
      <c r="E188" s="372">
        <f xml:space="preserve"> [1]!'00797B.TW-Price'</f>
        <v>41.47</v>
      </c>
      <c r="F188" s="372">
        <f xml:space="preserve"> [1]!'00797B.TW-BestBid1'</f>
        <v>41.43</v>
      </c>
      <c r="G188" s="372">
        <f xml:space="preserve"> [1]!'00797B.TW-BestAsk1'</f>
        <v>41.46</v>
      </c>
    </row>
    <row r="189" spans="1:7">
      <c r="A189" s="373" t="s">
        <v>2124</v>
      </c>
      <c r="B189" s="372" t="s">
        <v>2606</v>
      </c>
      <c r="C189" s="372">
        <v>41.82</v>
      </c>
      <c r="D189" s="372">
        <f xml:space="preserve"> [1]!'00798B.TW-PreClose'</f>
        <v>41.82</v>
      </c>
      <c r="E189" s="372">
        <f xml:space="preserve"> [1]!'00798B.TW-Price'</f>
        <v>42.09</v>
      </c>
      <c r="F189" s="372">
        <f xml:space="preserve"> [1]!'00798B.TW-BestBid1'</f>
        <v>42.04</v>
      </c>
      <c r="G189" s="372">
        <f xml:space="preserve"> [1]!'00798B.TW-BestAsk1'</f>
        <v>42.1</v>
      </c>
    </row>
    <row r="190" spans="1:7">
      <c r="A190" s="373" t="s">
        <v>2125</v>
      </c>
      <c r="B190" s="372" t="s">
        <v>2607</v>
      </c>
      <c r="C190" s="372">
        <v>42.73</v>
      </c>
      <c r="D190" s="372">
        <f xml:space="preserve"> [1]!'00799B.TW-PreClose'</f>
        <v>42.73</v>
      </c>
      <c r="E190" s="372">
        <f xml:space="preserve"> [1]!'00799B.TW-Price'</f>
        <v>42.2</v>
      </c>
      <c r="F190" s="372">
        <f xml:space="preserve"> [1]!'00799B.TW-BestBid1'</f>
        <v>42.15</v>
      </c>
      <c r="G190" s="372">
        <f xml:space="preserve"> [1]!'00799B.TW-BestAsk1'</f>
        <v>42.2</v>
      </c>
    </row>
    <row r="191" spans="1:7">
      <c r="A191" s="373" t="s">
        <v>46</v>
      </c>
      <c r="B191" s="372" t="s">
        <v>2608</v>
      </c>
      <c r="C191" s="372">
        <v>107.95</v>
      </c>
      <c r="D191" s="372">
        <f xml:space="preserve"> [1]!'008201.TW-PreClose'</f>
        <v>107.95</v>
      </c>
      <c r="E191" s="372">
        <f xml:space="preserve"> [1]!'008201.TW-Price'</f>
        <v>109.5</v>
      </c>
      <c r="F191" s="372">
        <f xml:space="preserve"> [1]!'008201.TW-BestBid1'</f>
        <v>106.85</v>
      </c>
      <c r="G191" s="372">
        <f xml:space="preserve"> [1]!'008201.TW-BestAsk1'</f>
        <v>109.1</v>
      </c>
    </row>
    <row r="192" spans="1:7">
      <c r="A192" s="373" t="s">
        <v>2126</v>
      </c>
      <c r="B192" s="372" t="s">
        <v>2609</v>
      </c>
      <c r="C192" s="372">
        <v>14.35</v>
      </c>
      <c r="D192" s="372">
        <f xml:space="preserve"> [1]!'00830.TW-PreClose'</f>
        <v>14.35</v>
      </c>
      <c r="E192" s="372">
        <f xml:space="preserve"> [1]!'00830.TW-Price'</f>
        <v>14.38</v>
      </c>
      <c r="F192" s="372">
        <f xml:space="preserve"> [1]!'00830.TW-BestBid1'</f>
        <v>14.38</v>
      </c>
      <c r="G192" s="372">
        <f xml:space="preserve"> [1]!'00830.TW-BestAsk1'</f>
        <v>14.39</v>
      </c>
    </row>
    <row r="193" spans="1:7">
      <c r="A193" s="373" t="s">
        <v>2127</v>
      </c>
      <c r="B193" s="372" t="s">
        <v>2610</v>
      </c>
      <c r="C193" s="372">
        <v>40.82</v>
      </c>
      <c r="D193" s="372">
        <f xml:space="preserve"> [1]!'00831B.TW-PreClose'</f>
        <v>40.82</v>
      </c>
      <c r="E193" s="372">
        <f xml:space="preserve"> [1]!'00831B.TW-Price'</f>
        <v>40.770000000000003</v>
      </c>
      <c r="F193" s="372">
        <f xml:space="preserve"> [1]!'00831B.TW-BestBid1'</f>
        <v>40.75</v>
      </c>
      <c r="G193" s="372">
        <f xml:space="preserve"> [1]!'00831B.TW-BestAsk1'</f>
        <v>40.82</v>
      </c>
    </row>
    <row r="194" spans="1:7">
      <c r="A194" s="373" t="s">
        <v>2128</v>
      </c>
      <c r="B194" s="372" t="s">
        <v>2611</v>
      </c>
      <c r="C194" s="372">
        <v>43.61</v>
      </c>
      <c r="D194" s="372">
        <f xml:space="preserve"> [1]!'00832B.TW-PreClose'</f>
        <v>43.61</v>
      </c>
      <c r="E194" s="372">
        <f xml:space="preserve"> [1]!'00832B.TW-Price'</f>
        <v>43.03</v>
      </c>
      <c r="F194" s="372">
        <f xml:space="preserve"> [1]!'00832B.TW-BestBid1'</f>
        <v>42.94</v>
      </c>
      <c r="G194" s="372">
        <f xml:space="preserve"> [1]!'00832B.TW-BestAsk1'</f>
        <v>43.04</v>
      </c>
    </row>
    <row r="195" spans="1:7">
      <c r="A195" s="373" t="s">
        <v>2129</v>
      </c>
      <c r="B195" s="372" t="s">
        <v>2206</v>
      </c>
      <c r="C195" s="372">
        <v>42.28</v>
      </c>
      <c r="D195" s="372">
        <f xml:space="preserve"> [1]!'00833B.TW-PreClose'</f>
        <v>42.28</v>
      </c>
      <c r="E195" s="372">
        <f xml:space="preserve"> [1]!'00833B.TW-Price'</f>
        <v>41.64</v>
      </c>
      <c r="F195" s="372">
        <f xml:space="preserve"> [1]!'00833B.TW-BestBid1'</f>
        <v>41.61</v>
      </c>
      <c r="G195" s="372">
        <f xml:space="preserve"> [1]!'00833B.TW-BestAsk1'</f>
        <v>41.68</v>
      </c>
    </row>
    <row r="196" spans="1:7">
      <c r="A196" s="373" t="s">
        <v>2130</v>
      </c>
      <c r="B196" s="372" t="s">
        <v>2612</v>
      </c>
      <c r="C196" s="372">
        <v>42.42</v>
      </c>
      <c r="D196" s="372">
        <f xml:space="preserve"> [1]!'00834B.TW-PreClose'</f>
        <v>42.42</v>
      </c>
      <c r="E196" s="372">
        <f xml:space="preserve"> [1]!'00834B.TW-Price'</f>
        <v>42.02</v>
      </c>
      <c r="F196" s="372">
        <f xml:space="preserve"> [1]!'00834B.TW-BestBid1'</f>
        <v>41.84</v>
      </c>
      <c r="G196" s="372">
        <f xml:space="preserve"> [1]!'00834B.TW-BestAsk1'</f>
        <v>42.06</v>
      </c>
    </row>
    <row r="197" spans="1:7">
      <c r="A197" s="373" t="s">
        <v>2131</v>
      </c>
      <c r="B197" s="372" t="s">
        <v>2613</v>
      </c>
      <c r="C197" s="372">
        <v>42.31</v>
      </c>
      <c r="D197" s="372">
        <f xml:space="preserve"> [1]!'00835B.TW-PreClose'</f>
        <v>42.31</v>
      </c>
      <c r="E197" s="372">
        <f xml:space="preserve"> [1]!'00835B.TW-Price'</f>
        <v>41.86</v>
      </c>
      <c r="F197" s="372">
        <f xml:space="preserve"> [1]!'00835B.TW-BestBid1'</f>
        <v>41.83</v>
      </c>
      <c r="G197" s="372">
        <f xml:space="preserve"> [1]!'00835B.TW-BestAsk1'</f>
        <v>41.9</v>
      </c>
    </row>
    <row r="198" spans="1:7">
      <c r="A198" s="373" t="s">
        <v>2132</v>
      </c>
      <c r="B198" s="372" t="s">
        <v>2614</v>
      </c>
      <c r="C198" s="372">
        <v>42.18</v>
      </c>
      <c r="D198" s="372">
        <f xml:space="preserve"> [1]!'00836B.TW-PreClose'</f>
        <v>42.18</v>
      </c>
      <c r="E198" s="372">
        <f xml:space="preserve"> [1]!'00836B.TW-Price'</f>
        <v>41.62</v>
      </c>
      <c r="F198" s="372">
        <f xml:space="preserve"> [1]!'00836B.TW-BestBid1'</f>
        <v>41.56</v>
      </c>
      <c r="G198" s="372">
        <f xml:space="preserve"> [1]!'00836B.TW-BestAsk1'</f>
        <v>41.63</v>
      </c>
    </row>
    <row r="199" spans="1:7">
      <c r="A199" s="373" t="s">
        <v>2133</v>
      </c>
      <c r="B199" s="372" t="s">
        <v>2207</v>
      </c>
      <c r="C199" s="372">
        <v>41.65</v>
      </c>
      <c r="D199" s="372">
        <f xml:space="preserve"> [1]!'00837B.TW-PreClose'</f>
        <v>41.65</v>
      </c>
      <c r="E199" s="372">
        <f xml:space="preserve"> [1]!'00837B.TW-Price'</f>
        <v>40.950000000000003</v>
      </c>
      <c r="F199" s="372">
        <f xml:space="preserve"> [1]!'00837B.TW-BestBid1'</f>
        <v>40.94</v>
      </c>
      <c r="G199" s="372">
        <f xml:space="preserve"> [1]!'00837B.TW-BestAsk1'</f>
        <v>41.03</v>
      </c>
    </row>
    <row r="200" spans="1:7">
      <c r="A200" s="373" t="s">
        <v>2134</v>
      </c>
      <c r="B200" s="372" t="s">
        <v>2615</v>
      </c>
      <c r="C200" s="372">
        <v>40.06</v>
      </c>
      <c r="D200" s="372">
        <f xml:space="preserve"> [1]!'00838B.TW-PreClose'</f>
        <v>40.06</v>
      </c>
      <c r="E200" s="372">
        <f xml:space="preserve"> [1]!'00838B.TW-Price'</f>
        <v>40.06</v>
      </c>
      <c r="F200" s="372">
        <f xml:space="preserve"> [1]!'00838B.TW-BestBid1'</f>
        <v>40.020000000000003</v>
      </c>
      <c r="G200" s="372">
        <f xml:space="preserve"> [1]!'00838B.TW-BestAsk1'</f>
        <v>40.06</v>
      </c>
    </row>
    <row r="201" spans="1:7">
      <c r="A201" s="373" t="s">
        <v>2135</v>
      </c>
      <c r="B201" s="372" t="s">
        <v>2616</v>
      </c>
      <c r="C201" s="372">
        <v>40.98</v>
      </c>
      <c r="D201" s="372">
        <f xml:space="preserve"> [1]!'00839B.TW-PreClose'</f>
        <v>40.98</v>
      </c>
      <c r="E201" s="372">
        <f xml:space="preserve"> [1]!'00839B.TW-Price'</f>
        <v>40.46</v>
      </c>
      <c r="F201" s="372">
        <f xml:space="preserve"> [1]!'00839B.TW-BestBid1'</f>
        <v>40.46</v>
      </c>
      <c r="G201" s="372">
        <f xml:space="preserve"> [1]!'00839B.TW-BestAsk1'</f>
        <v>40.479999999999997</v>
      </c>
    </row>
    <row r="202" spans="1:7">
      <c r="A202" s="373" t="s">
        <v>2136</v>
      </c>
      <c r="B202" s="372" t="s">
        <v>2617</v>
      </c>
      <c r="C202" s="372">
        <v>40.86</v>
      </c>
      <c r="D202" s="372">
        <f xml:space="preserve"> [1]!'00840B.TW-PreClose'</f>
        <v>40.86</v>
      </c>
      <c r="E202" s="372">
        <f xml:space="preserve"> [1]!'00840B.TW-Price'</f>
        <v>40.299999999999997</v>
      </c>
      <c r="F202" s="372">
        <f xml:space="preserve"> [1]!'00840B.TW-BestBid1'</f>
        <v>40.200000000000003</v>
      </c>
      <c r="G202" s="372">
        <f xml:space="preserve"> [1]!'00840B.TW-BestAsk1'</f>
        <v>40.299999999999997</v>
      </c>
    </row>
    <row r="203" spans="1:7">
      <c r="A203" s="373" t="s">
        <v>2137</v>
      </c>
      <c r="B203" s="372" t="s">
        <v>2618</v>
      </c>
      <c r="C203" s="372">
        <v>40.9</v>
      </c>
      <c r="D203" s="372">
        <f xml:space="preserve"> [1]!'00841B.TW-PreClose'</f>
        <v>40.9</v>
      </c>
      <c r="E203" s="372">
        <f xml:space="preserve"> [1]!'00841B.TW-Price'</f>
        <v>40.35</v>
      </c>
      <c r="F203" s="372">
        <f xml:space="preserve"> [1]!'00841B.TW-BestBid1'</f>
        <v>40.299999999999997</v>
      </c>
      <c r="G203" s="372">
        <f xml:space="preserve"> [1]!'00841B.TW-BestAsk1'</f>
        <v>40.520000000000003</v>
      </c>
    </row>
    <row r="204" spans="1:7">
      <c r="A204" s="373" t="s">
        <v>2138</v>
      </c>
      <c r="B204" s="372" t="s">
        <v>2619</v>
      </c>
      <c r="C204" s="372">
        <v>40.75</v>
      </c>
      <c r="D204" s="372">
        <f xml:space="preserve"> [1]!'00842B.TW-PreClose'</f>
        <v>40.75</v>
      </c>
      <c r="E204" s="372">
        <f xml:space="preserve"> [1]!'00842B.TW-Price'</f>
        <v>40.25</v>
      </c>
      <c r="F204" s="372">
        <f xml:space="preserve"> [1]!'00842B.TW-BestBid1'</f>
        <v>40.25</v>
      </c>
      <c r="G204" s="372">
        <f xml:space="preserve"> [1]!'00842B.TW-BestAsk1'</f>
        <v>40.32</v>
      </c>
    </row>
    <row r="205" spans="1:7">
      <c r="A205" s="375" t="s">
        <v>1883</v>
      </c>
      <c r="B205" s="376" t="s">
        <v>2620</v>
      </c>
      <c r="C205" s="372">
        <v>44.8</v>
      </c>
      <c r="D205" s="372">
        <f xml:space="preserve"> [1]!'1101.TW-PreClose'</f>
        <v>44.8</v>
      </c>
      <c r="E205" s="372">
        <f xml:space="preserve"> [1]!'1101.TW-Price'</f>
        <v>44.35</v>
      </c>
      <c r="F205" s="372">
        <f xml:space="preserve"> [1]!'1101.TW-BestBid1'</f>
        <v>44.35</v>
      </c>
      <c r="G205" s="372">
        <f xml:space="preserve"> [1]!'1101.TW-BestAsk1'</f>
        <v>44.4</v>
      </c>
    </row>
    <row r="206" spans="1:7">
      <c r="A206" s="375" t="s">
        <v>1884</v>
      </c>
      <c r="B206" s="376" t="s">
        <v>2621</v>
      </c>
      <c r="C206" s="372">
        <v>47.15</v>
      </c>
      <c r="D206" s="372">
        <f xml:space="preserve"> [1]!'1102.TW-PreClose'</f>
        <v>47.15</v>
      </c>
      <c r="E206" s="372">
        <f xml:space="preserve"> [1]!'1102.TW-Price'</f>
        <v>46.1</v>
      </c>
      <c r="F206" s="372">
        <f xml:space="preserve"> [1]!'1102.TW-BestBid1'</f>
        <v>46.05</v>
      </c>
      <c r="G206" s="372">
        <f xml:space="preserve"> [1]!'1102.TW-BestAsk1'</f>
        <v>46.1</v>
      </c>
    </row>
    <row r="207" spans="1:7">
      <c r="A207" s="375" t="s">
        <v>1885</v>
      </c>
      <c r="B207" s="376" t="s">
        <v>2622</v>
      </c>
      <c r="C207" s="372">
        <v>39.6</v>
      </c>
      <c r="D207" s="372">
        <f xml:space="preserve"> [1]!'1210.TW-PreClose'</f>
        <v>39.6</v>
      </c>
      <c r="E207" s="372">
        <f xml:space="preserve"> [1]!'1210.TW-Price'</f>
        <v>39.65</v>
      </c>
      <c r="F207" s="372">
        <f xml:space="preserve"> [1]!'1210.TW-BestBid1'</f>
        <v>39.65</v>
      </c>
      <c r="G207" s="372">
        <f xml:space="preserve"> [1]!'1210.TW-BestAsk1'</f>
        <v>39.700000000000003</v>
      </c>
    </row>
    <row r="208" spans="1:7">
      <c r="A208" s="375" t="s">
        <v>1886</v>
      </c>
      <c r="B208" s="376" t="s">
        <v>2623</v>
      </c>
      <c r="C208" s="372">
        <v>83</v>
      </c>
      <c r="D208" s="372">
        <f xml:space="preserve"> [1]!'1216.TW-PreClose'</f>
        <v>83</v>
      </c>
      <c r="E208" s="372">
        <f xml:space="preserve"> [1]!'1216.TW-Price'</f>
        <v>82</v>
      </c>
      <c r="F208" s="372">
        <f xml:space="preserve"> [1]!'1216.TW-BestBid1'</f>
        <v>82</v>
      </c>
      <c r="G208" s="372">
        <f xml:space="preserve"> [1]!'1216.TW-BestAsk1'</f>
        <v>82.1</v>
      </c>
    </row>
    <row r="209" spans="1:7">
      <c r="A209" s="375" t="s">
        <v>1887</v>
      </c>
      <c r="B209" s="376" t="s">
        <v>2624</v>
      </c>
      <c r="C209" s="372">
        <v>62</v>
      </c>
      <c r="D209" s="372">
        <f xml:space="preserve"> [1]!'1227.TW-PreClose'</f>
        <v>62</v>
      </c>
      <c r="E209" s="372">
        <f xml:space="preserve"> [1]!'1227.TW-Price'</f>
        <v>61.9</v>
      </c>
      <c r="F209" s="372">
        <f xml:space="preserve"> [1]!'1227.TW-BestBid1'</f>
        <v>61.8</v>
      </c>
      <c r="G209" s="372">
        <f xml:space="preserve"> [1]!'1227.TW-BestAsk1'</f>
        <v>61.9</v>
      </c>
    </row>
    <row r="210" spans="1:7">
      <c r="A210" s="375" t="s">
        <v>1888</v>
      </c>
      <c r="B210" s="376" t="s">
        <v>2625</v>
      </c>
      <c r="C210" s="372">
        <v>38.5</v>
      </c>
      <c r="D210" s="372">
        <f xml:space="preserve"> [1]!'1229.TW-PreClose'</f>
        <v>38.5</v>
      </c>
      <c r="E210" s="372">
        <f xml:space="preserve"> [1]!'1229.TW-Price'</f>
        <v>38.75</v>
      </c>
      <c r="F210" s="372">
        <f xml:space="preserve"> [1]!'1229.TW-BestBid1'</f>
        <v>38.75</v>
      </c>
      <c r="G210" s="372">
        <f xml:space="preserve"> [1]!'1229.TW-BestAsk1'</f>
        <v>38.799999999999997</v>
      </c>
    </row>
    <row r="211" spans="1:7">
      <c r="A211" s="375" t="s">
        <v>1889</v>
      </c>
      <c r="B211" s="376" t="s">
        <v>2626</v>
      </c>
      <c r="C211" s="372">
        <v>102.5</v>
      </c>
      <c r="D211" s="372">
        <f xml:space="preserve"> [1]!'1301.TW-PreClose'</f>
        <v>102.5</v>
      </c>
      <c r="E211" s="372">
        <f xml:space="preserve"> [1]!'1301.TW-Price'</f>
        <v>104</v>
      </c>
      <c r="F211" s="372">
        <f xml:space="preserve"> [1]!'1301.TW-BestBid1'</f>
        <v>104</v>
      </c>
      <c r="G211" s="372">
        <f xml:space="preserve"> [1]!'1301.TW-BestAsk1'</f>
        <v>104.5</v>
      </c>
    </row>
    <row r="212" spans="1:7">
      <c r="A212" s="375" t="s">
        <v>1890</v>
      </c>
      <c r="B212" s="376" t="s">
        <v>2627</v>
      </c>
      <c r="C212" s="372">
        <v>72</v>
      </c>
      <c r="D212" s="372">
        <f xml:space="preserve"> [1]!'1303.TW-PreClose'</f>
        <v>72</v>
      </c>
      <c r="E212" s="372">
        <f xml:space="preserve"> [1]!'1303.TW-Price'</f>
        <v>72</v>
      </c>
      <c r="F212" s="372">
        <f xml:space="preserve"> [1]!'1303.TW-BestBid1'</f>
        <v>72</v>
      </c>
      <c r="G212" s="372">
        <f xml:space="preserve"> [1]!'1303.TW-BestAsk1'</f>
        <v>72.099999999999994</v>
      </c>
    </row>
    <row r="213" spans="1:7">
      <c r="A213" s="375" t="s">
        <v>1891</v>
      </c>
      <c r="B213" s="376" t="s">
        <v>2628</v>
      </c>
      <c r="C213" s="372">
        <v>10.6</v>
      </c>
      <c r="D213" s="372">
        <f xml:space="preserve"> [1]!'1314.TW-PreClose'</f>
        <v>10.6</v>
      </c>
      <c r="E213" s="372">
        <f xml:space="preserve"> [1]!'1314.TW-Price'</f>
        <v>10.5</v>
      </c>
      <c r="F213" s="372">
        <f xml:space="preserve"> [1]!'1314.TW-BestBid1'</f>
        <v>10.5</v>
      </c>
      <c r="G213" s="372">
        <f xml:space="preserve"> [1]!'1314.TW-BestAsk1'</f>
        <v>10.55</v>
      </c>
    </row>
    <row r="214" spans="1:7">
      <c r="A214" s="375" t="s">
        <v>1892</v>
      </c>
      <c r="B214" s="376" t="s">
        <v>2629</v>
      </c>
      <c r="C214" s="372">
        <v>47</v>
      </c>
      <c r="D214" s="372">
        <f xml:space="preserve"> [1]!'1319.TW-PreClose'</f>
        <v>47</v>
      </c>
      <c r="E214" s="372">
        <f xml:space="preserve"> [1]!'1319.TW-Price'</f>
        <v>47.05</v>
      </c>
      <c r="F214" s="372">
        <f xml:space="preserve"> [1]!'1319.TW-BestBid1'</f>
        <v>47</v>
      </c>
      <c r="G214" s="372">
        <f xml:space="preserve"> [1]!'1319.TW-BestAsk1'</f>
        <v>47.05</v>
      </c>
    </row>
    <row r="215" spans="1:7">
      <c r="A215" s="375" t="s">
        <v>1893</v>
      </c>
      <c r="B215" s="376" t="s">
        <v>2630</v>
      </c>
      <c r="C215" s="372">
        <v>98.3</v>
      </c>
      <c r="D215" s="372">
        <f xml:space="preserve"> [1]!'1326.TW-PreClose'</f>
        <v>98.3</v>
      </c>
      <c r="E215" s="372">
        <f xml:space="preserve"> [1]!'1326.TW-Price'</f>
        <v>98.4</v>
      </c>
      <c r="F215" s="372">
        <f xml:space="preserve"> [1]!'1326.TW-BestBid1'</f>
        <v>98.4</v>
      </c>
      <c r="G215" s="372">
        <f xml:space="preserve"> [1]!'1326.TW-BestAsk1'</f>
        <v>98.5</v>
      </c>
    </row>
    <row r="216" spans="1:7">
      <c r="A216" s="375" t="s">
        <v>1894</v>
      </c>
      <c r="B216" s="376" t="s">
        <v>2631</v>
      </c>
      <c r="C216" s="372">
        <v>33.9</v>
      </c>
      <c r="D216" s="372">
        <f xml:space="preserve"> [1]!'1402.TW-PreClose'</f>
        <v>33.9</v>
      </c>
      <c r="E216" s="372">
        <f xml:space="preserve"> [1]!'1402.TW-Price'</f>
        <v>33.799999999999997</v>
      </c>
      <c r="F216" s="372">
        <f xml:space="preserve"> [1]!'1402.TW-BestBid1'</f>
        <v>33.799999999999997</v>
      </c>
      <c r="G216" s="372">
        <f xml:space="preserve"> [1]!'1402.TW-BestAsk1'</f>
        <v>33.85</v>
      </c>
    </row>
    <row r="217" spans="1:7">
      <c r="A217" s="375" t="s">
        <v>1895</v>
      </c>
      <c r="B217" s="376" t="s">
        <v>2632</v>
      </c>
      <c r="C217" s="372">
        <v>39.299999999999997</v>
      </c>
      <c r="D217" s="372">
        <f xml:space="preserve"> [1]!'1434.TW-PreClose'</f>
        <v>39.299999999999997</v>
      </c>
      <c r="E217" s="372">
        <f xml:space="preserve"> [1]!'1434.TW-Price'</f>
        <v>39.15</v>
      </c>
      <c r="F217" s="372">
        <f xml:space="preserve"> [1]!'1434.TW-BestBid1'</f>
        <v>39.1</v>
      </c>
      <c r="G217" s="372">
        <f xml:space="preserve"> [1]!'1434.TW-BestAsk1'</f>
        <v>39.15</v>
      </c>
    </row>
    <row r="218" spans="1:7">
      <c r="A218" s="375" t="s">
        <v>1896</v>
      </c>
      <c r="B218" s="376" t="s">
        <v>2633</v>
      </c>
      <c r="C218" s="372">
        <v>392.5</v>
      </c>
      <c r="D218" s="372">
        <f xml:space="preserve"> [1]!'1476.TW-PreClose'</f>
        <v>392.5</v>
      </c>
      <c r="E218" s="372">
        <f xml:space="preserve"> [1]!'1476.TW-Price'</f>
        <v>390</v>
      </c>
      <c r="F218" s="372">
        <f xml:space="preserve"> [1]!'1476.TW-BestBid1'</f>
        <v>390</v>
      </c>
      <c r="G218" s="372">
        <f xml:space="preserve"> [1]!'1476.TW-BestAsk1'</f>
        <v>391</v>
      </c>
    </row>
    <row r="219" spans="1:7">
      <c r="A219" s="375" t="s">
        <v>1897</v>
      </c>
      <c r="B219" s="376" t="s">
        <v>2634</v>
      </c>
      <c r="C219" s="372">
        <v>206.5</v>
      </c>
      <c r="D219" s="372">
        <f xml:space="preserve"> [1]!'1477.TW-PreClose'</f>
        <v>206.5</v>
      </c>
      <c r="E219" s="372">
        <f xml:space="preserve"> [1]!'1477.TW-Price'</f>
        <v>203.5</v>
      </c>
      <c r="F219" s="372">
        <f xml:space="preserve"> [1]!'1477.TW-BestBid1'</f>
        <v>203.5</v>
      </c>
      <c r="G219" s="372">
        <f xml:space="preserve"> [1]!'1477.TW-BestAsk1'</f>
        <v>204</v>
      </c>
    </row>
    <row r="220" spans="1:7">
      <c r="A220" s="375" t="s">
        <v>1898</v>
      </c>
      <c r="B220" s="376" t="s">
        <v>2635</v>
      </c>
      <c r="C220" s="372">
        <v>22.55</v>
      </c>
      <c r="D220" s="372">
        <f xml:space="preserve"> [1]!'1504.TW-PreClose'</f>
        <v>22.55</v>
      </c>
      <c r="E220" s="372">
        <f xml:space="preserve"> [1]!'1504.TW-Price'</f>
        <v>22.55</v>
      </c>
      <c r="F220" s="372">
        <f xml:space="preserve"> [1]!'1504.TW-BestBid1'</f>
        <v>22.5</v>
      </c>
      <c r="G220" s="372">
        <f xml:space="preserve"> [1]!'1504.TW-BestAsk1'</f>
        <v>22.55</v>
      </c>
    </row>
    <row r="221" spans="1:7">
      <c r="A221" s="375" t="s">
        <v>1899</v>
      </c>
      <c r="B221" s="376" t="s">
        <v>2636</v>
      </c>
      <c r="C221" s="372">
        <v>67.400000000000006</v>
      </c>
      <c r="D221" s="372">
        <f xml:space="preserve"> [1]!'1507.TW-PreClose'</f>
        <v>67.400000000000006</v>
      </c>
      <c r="E221" s="372">
        <f xml:space="preserve"> [1]!'1507.TW-Price'</f>
        <v>66.599999999999994</v>
      </c>
      <c r="F221" s="372">
        <f xml:space="preserve"> [1]!'1507.TW-BestBid1'</f>
        <v>66.400000000000006</v>
      </c>
      <c r="G221" s="372">
        <f xml:space="preserve"> [1]!'1507.TW-BestAsk1'</f>
        <v>66.5</v>
      </c>
    </row>
    <row r="222" spans="1:7">
      <c r="A222" s="375" t="s">
        <v>1900</v>
      </c>
      <c r="B222" s="376" t="s">
        <v>2637</v>
      </c>
      <c r="C222" s="372">
        <v>112</v>
      </c>
      <c r="D222" s="372">
        <f xml:space="preserve"> [1]!'1536.TW-PreClose'</f>
        <v>112</v>
      </c>
      <c r="E222" s="372">
        <f xml:space="preserve"> [1]!'1536.TW-Price'</f>
        <v>113</v>
      </c>
      <c r="F222" s="372">
        <f xml:space="preserve"> [1]!'1536.TW-BestBid1'</f>
        <v>112.5</v>
      </c>
      <c r="G222" s="372">
        <f xml:space="preserve"> [1]!'1536.TW-BestAsk1'</f>
        <v>113</v>
      </c>
    </row>
    <row r="223" spans="1:7">
      <c r="A223" s="375" t="s">
        <v>1901</v>
      </c>
      <c r="B223" s="376" t="s">
        <v>2638</v>
      </c>
      <c r="C223" s="372">
        <v>339</v>
      </c>
      <c r="D223" s="372">
        <f xml:space="preserve"> [1]!'1590.TW-PreClose'</f>
        <v>339</v>
      </c>
      <c r="E223" s="372">
        <f xml:space="preserve"> [1]!'1590.TW-Price'</f>
        <v>336.5</v>
      </c>
      <c r="F223" s="372">
        <f xml:space="preserve"> [1]!'1590.TW-BestBid1'</f>
        <v>336</v>
      </c>
      <c r="G223" s="372">
        <f xml:space="preserve"> [1]!'1590.TW-BestAsk1'</f>
        <v>336.5</v>
      </c>
    </row>
    <row r="224" spans="1:7">
      <c r="A224" s="375" t="s">
        <v>1902</v>
      </c>
      <c r="B224" s="376" t="s">
        <v>2639</v>
      </c>
      <c r="C224" s="372">
        <v>14.6</v>
      </c>
      <c r="D224" s="372">
        <f xml:space="preserve"> [1]!'1605.TW-PreClose'</f>
        <v>14.6</v>
      </c>
      <c r="E224" s="372">
        <f xml:space="preserve"> [1]!'1605.TW-Price'</f>
        <v>14.45</v>
      </c>
      <c r="F224" s="372">
        <f xml:space="preserve"> [1]!'1605.TW-BestBid1'</f>
        <v>14.4</v>
      </c>
      <c r="G224" s="372">
        <f xml:space="preserve"> [1]!'1605.TW-BestAsk1'</f>
        <v>14.45</v>
      </c>
    </row>
    <row r="225" spans="1:7">
      <c r="A225" s="375" t="s">
        <v>1903</v>
      </c>
      <c r="B225" s="376" t="s">
        <v>2640</v>
      </c>
      <c r="C225" s="372">
        <v>201.5</v>
      </c>
      <c r="D225" s="372">
        <f xml:space="preserve"> [1]!'1707.TW-PreClose'</f>
        <v>201.5</v>
      </c>
      <c r="E225" s="372">
        <f xml:space="preserve"> [1]!'1707.TW-Price'</f>
        <v>201</v>
      </c>
      <c r="F225" s="372">
        <f xml:space="preserve"> [1]!'1707.TW-BestBid1'</f>
        <v>201</v>
      </c>
      <c r="G225" s="372">
        <f xml:space="preserve"> [1]!'1707.TW-BestAsk1'</f>
        <v>201.5</v>
      </c>
    </row>
    <row r="226" spans="1:7">
      <c r="A226" s="375" t="s">
        <v>1904</v>
      </c>
      <c r="B226" s="376" t="s">
        <v>2641</v>
      </c>
      <c r="C226" s="372">
        <v>47.75</v>
      </c>
      <c r="D226" s="372">
        <f xml:space="preserve"> [1]!'1722.TW-PreClose'</f>
        <v>47.75</v>
      </c>
      <c r="E226" s="372">
        <f xml:space="preserve"> [1]!'1722.TW-Price'</f>
        <v>47.95</v>
      </c>
      <c r="F226" s="372">
        <f xml:space="preserve"> [1]!'1722.TW-BestBid1'</f>
        <v>47.95</v>
      </c>
      <c r="G226" s="372">
        <f xml:space="preserve"> [1]!'1722.TW-BestAsk1'</f>
        <v>48</v>
      </c>
    </row>
    <row r="227" spans="1:7">
      <c r="A227" s="375" t="s">
        <v>1905</v>
      </c>
      <c r="B227" s="376" t="s">
        <v>2642</v>
      </c>
      <c r="C227" s="372">
        <v>130</v>
      </c>
      <c r="D227" s="372">
        <f xml:space="preserve"> [1]!'1723.TW-PreClose'</f>
        <v>130</v>
      </c>
      <c r="E227" s="372">
        <f xml:space="preserve"> [1]!'1723.TW-Price'</f>
        <v>129.5</v>
      </c>
      <c r="F227" s="372">
        <f xml:space="preserve"> [1]!'1723.TW-BestBid1'</f>
        <v>129.5</v>
      </c>
      <c r="G227" s="372">
        <f xml:space="preserve"> [1]!'1723.TW-BestAsk1'</f>
        <v>130</v>
      </c>
    </row>
    <row r="228" spans="1:7">
      <c r="A228" s="375" t="s">
        <v>1906</v>
      </c>
      <c r="B228" s="376" t="s">
        <v>2643</v>
      </c>
      <c r="C228" s="372">
        <v>12.45</v>
      </c>
      <c r="D228" s="372">
        <f xml:space="preserve"> [1]!'1802.TW-PreClose'</f>
        <v>12.45</v>
      </c>
      <c r="E228" s="372">
        <f xml:space="preserve"> [1]!'1802.TW-Price'</f>
        <v>12.35</v>
      </c>
      <c r="F228" s="372">
        <f xml:space="preserve"> [1]!'1802.TW-BestBid1'</f>
        <v>12.35</v>
      </c>
      <c r="G228" s="372">
        <f xml:space="preserve"> [1]!'1802.TW-BestAsk1'</f>
        <v>12.4</v>
      </c>
    </row>
    <row r="229" spans="1:7">
      <c r="A229" s="375" t="s">
        <v>1907</v>
      </c>
      <c r="B229" s="376" t="s">
        <v>2644</v>
      </c>
      <c r="C229" s="372">
        <v>24.8</v>
      </c>
      <c r="D229" s="372">
        <f xml:space="preserve"> [1]!'2002.TW-PreClose'</f>
        <v>24.8</v>
      </c>
      <c r="E229" s="372">
        <f xml:space="preserve"> [1]!'2002.TW-Price'</f>
        <v>24.8</v>
      </c>
      <c r="F229" s="372">
        <f xml:space="preserve"> [1]!'2002.TW-BestBid1'</f>
        <v>24.8</v>
      </c>
      <c r="G229" s="372">
        <f xml:space="preserve"> [1]!'2002.TW-BestAsk1'</f>
        <v>24.85</v>
      </c>
    </row>
    <row r="230" spans="1:7">
      <c r="A230" s="375" t="s">
        <v>1908</v>
      </c>
      <c r="B230" s="376" t="s">
        <v>2645</v>
      </c>
      <c r="C230" s="372">
        <v>45.15</v>
      </c>
      <c r="D230" s="372">
        <f xml:space="preserve"> [1]!'2027.TW-PreClose'</f>
        <v>45.15</v>
      </c>
      <c r="E230" s="372">
        <f xml:space="preserve"> [1]!'2027.TW-Price'</f>
        <v>45.15</v>
      </c>
      <c r="F230" s="372">
        <f xml:space="preserve"> [1]!'2027.TW-BestBid1'</f>
        <v>45.15</v>
      </c>
      <c r="G230" s="372">
        <f xml:space="preserve"> [1]!'2027.TW-BestAsk1'</f>
        <v>45.2</v>
      </c>
    </row>
    <row r="231" spans="1:7">
      <c r="A231" s="375" t="s">
        <v>1909</v>
      </c>
      <c r="B231" s="376" t="s">
        <v>2646</v>
      </c>
      <c r="C231" s="372">
        <v>269.5</v>
      </c>
      <c r="D231" s="372">
        <f xml:space="preserve"> [1]!'2049.TW-PreClose'</f>
        <v>269.5</v>
      </c>
      <c r="E231" s="372">
        <f xml:space="preserve"> [1]!'2049.TW-Price'</f>
        <v>263.5</v>
      </c>
      <c r="F231" s="372">
        <f xml:space="preserve"> [1]!'2049.TW-BestBid1'</f>
        <v>263.5</v>
      </c>
      <c r="G231" s="372">
        <f xml:space="preserve"> [1]!'2049.TW-BestAsk1'</f>
        <v>264</v>
      </c>
    </row>
    <row r="232" spans="1:7">
      <c r="A232" s="375" t="s">
        <v>1910</v>
      </c>
      <c r="B232" s="376" t="s">
        <v>2647</v>
      </c>
      <c r="C232" s="372">
        <v>301</v>
      </c>
      <c r="D232" s="372">
        <f xml:space="preserve"> [1]!'2059.TW-PreClose'</f>
        <v>301</v>
      </c>
      <c r="E232" s="372">
        <f xml:space="preserve"> [1]!'2059.TW-Price'</f>
        <v>300</v>
      </c>
      <c r="F232" s="372">
        <f xml:space="preserve"> [1]!'2059.TW-BestBid1'</f>
        <v>299</v>
      </c>
      <c r="G232" s="372">
        <f xml:space="preserve"> [1]!'2059.TW-BestAsk1'</f>
        <v>300</v>
      </c>
    </row>
    <row r="233" spans="1:7">
      <c r="A233" s="375" t="s">
        <v>1911</v>
      </c>
      <c r="B233" s="376" t="s">
        <v>2648</v>
      </c>
      <c r="C233" s="372">
        <v>37.450000000000003</v>
      </c>
      <c r="D233" s="372">
        <f xml:space="preserve"> [1]!'2101.TW-PreClose'</f>
        <v>37.450000000000003</v>
      </c>
      <c r="E233" s="372">
        <f xml:space="preserve"> [1]!'2101.TW-Price'</f>
        <v>37.700000000000003</v>
      </c>
      <c r="F233" s="372">
        <f xml:space="preserve"> [1]!'2101.TW-BestBid1'</f>
        <v>37.700000000000003</v>
      </c>
      <c r="G233" s="372">
        <f xml:space="preserve"> [1]!'2101.TW-BestAsk1'</f>
        <v>37.75</v>
      </c>
    </row>
    <row r="234" spans="1:7">
      <c r="A234" s="375" t="s">
        <v>1912</v>
      </c>
      <c r="B234" s="376" t="s">
        <v>2649</v>
      </c>
      <c r="C234" s="372">
        <v>27.65</v>
      </c>
      <c r="D234" s="372">
        <f xml:space="preserve"> [1]!'2103.TW-PreClose'</f>
        <v>27.65</v>
      </c>
      <c r="E234" s="372">
        <f xml:space="preserve"> [1]!'2103.TW-Price'</f>
        <v>27.7</v>
      </c>
      <c r="F234" s="372">
        <f xml:space="preserve"> [1]!'2103.TW-BestBid1'</f>
        <v>27.7</v>
      </c>
      <c r="G234" s="372">
        <f xml:space="preserve"> [1]!'2103.TW-BestAsk1'</f>
        <v>27.75</v>
      </c>
    </row>
    <row r="235" spans="1:7">
      <c r="A235" s="375" t="s">
        <v>1913</v>
      </c>
      <c r="B235" s="376" t="s">
        <v>2650</v>
      </c>
      <c r="C235" s="372">
        <v>37.950000000000003</v>
      </c>
      <c r="D235" s="372">
        <f xml:space="preserve"> [1]!'2104.TW-PreClose'</f>
        <v>37.950000000000003</v>
      </c>
      <c r="E235" s="372">
        <f xml:space="preserve"> [1]!'2104.TW-Price'</f>
        <v>38.35</v>
      </c>
      <c r="F235" s="372">
        <f xml:space="preserve"> [1]!'2104.TW-BestBid1'</f>
        <v>38.299999999999997</v>
      </c>
      <c r="G235" s="372">
        <f xml:space="preserve"> [1]!'2104.TW-BestAsk1'</f>
        <v>38.35</v>
      </c>
    </row>
    <row r="236" spans="1:7">
      <c r="A236" s="375" t="s">
        <v>1914</v>
      </c>
      <c r="B236" s="376" t="s">
        <v>2651</v>
      </c>
      <c r="C236" s="372">
        <v>40.4</v>
      </c>
      <c r="D236" s="372">
        <f xml:space="preserve"> [1]!'2105.TW-PreClose'</f>
        <v>40.4</v>
      </c>
      <c r="E236" s="372">
        <f xml:space="preserve"> [1]!'2105.TW-Price'</f>
        <v>40.65</v>
      </c>
      <c r="F236" s="372">
        <f xml:space="preserve"> [1]!'2105.TW-BestBid1'</f>
        <v>40.6</v>
      </c>
      <c r="G236" s="372">
        <f xml:space="preserve"> [1]!'2105.TW-BestAsk1'</f>
        <v>40.65</v>
      </c>
    </row>
    <row r="237" spans="1:7">
      <c r="A237" s="375" t="s">
        <v>1915</v>
      </c>
      <c r="B237" s="376" t="s">
        <v>2652</v>
      </c>
      <c r="C237" s="372">
        <v>23.95</v>
      </c>
      <c r="D237" s="372">
        <f xml:space="preserve"> [1]!'2201.TW-PreClose'</f>
        <v>23.95</v>
      </c>
      <c r="E237" s="372">
        <f xml:space="preserve"> [1]!'2201.TW-Price'</f>
        <v>23.15</v>
      </c>
      <c r="F237" s="372">
        <f xml:space="preserve"> [1]!'2201.TW-BestBid1'</f>
        <v>23.15</v>
      </c>
      <c r="G237" s="372">
        <f xml:space="preserve"> [1]!'2201.TW-BestAsk1'</f>
        <v>23.2</v>
      </c>
    </row>
    <row r="238" spans="1:7">
      <c r="A238" s="375" t="s">
        <v>1916</v>
      </c>
      <c r="B238" s="376" t="s">
        <v>2653</v>
      </c>
      <c r="C238" s="372">
        <v>28.5</v>
      </c>
      <c r="D238" s="372">
        <f xml:space="preserve"> [1]!'2204.TW-PreClose'</f>
        <v>28.5</v>
      </c>
      <c r="E238" s="372">
        <f xml:space="preserve"> [1]!'2204.TW-Price'</f>
        <v>28.3</v>
      </c>
      <c r="F238" s="372">
        <f xml:space="preserve"> [1]!'2204.TW-BestBid1'</f>
        <v>28.25</v>
      </c>
      <c r="G238" s="372">
        <f xml:space="preserve"> [1]!'2204.TW-BestAsk1'</f>
        <v>28.3</v>
      </c>
    </row>
    <row r="239" spans="1:7">
      <c r="A239" s="375" t="s">
        <v>1917</v>
      </c>
      <c r="B239" s="376" t="s">
        <v>2654</v>
      </c>
      <c r="C239" s="372">
        <v>497</v>
      </c>
      <c r="D239" s="372">
        <f xml:space="preserve"> [1]!'2207.TW-PreClose'</f>
        <v>497</v>
      </c>
      <c r="E239" s="372">
        <f xml:space="preserve"> [1]!'2207.TW-Price'</f>
        <v>491</v>
      </c>
      <c r="F239" s="372">
        <f xml:space="preserve"> [1]!'2207.TW-BestBid1'</f>
        <v>491</v>
      </c>
      <c r="G239" s="372">
        <f xml:space="preserve"> [1]!'2207.TW-BestAsk1'</f>
        <v>492</v>
      </c>
    </row>
    <row r="240" spans="1:7">
      <c r="A240" s="375" t="s">
        <v>1918</v>
      </c>
      <c r="B240" s="376" t="s">
        <v>2655</v>
      </c>
      <c r="C240" s="372">
        <v>272</v>
      </c>
      <c r="D240" s="372">
        <f xml:space="preserve"> [1]!'2227.TW-PreClose'</f>
        <v>272</v>
      </c>
      <c r="E240" s="372">
        <f xml:space="preserve"> [1]!'2227.TW-Price'</f>
        <v>275.5</v>
      </c>
      <c r="F240" s="372">
        <f xml:space="preserve"> [1]!'2227.TW-BestBid1'</f>
        <v>275</v>
      </c>
      <c r="G240" s="372">
        <f xml:space="preserve"> [1]!'2227.TW-BestAsk1'</f>
        <v>276</v>
      </c>
    </row>
    <row r="241" spans="1:7">
      <c r="A241" s="375" t="s">
        <v>1919</v>
      </c>
      <c r="B241" s="376" t="s">
        <v>2656</v>
      </c>
      <c r="C241" s="372">
        <v>258.5</v>
      </c>
      <c r="D241" s="372">
        <f xml:space="preserve"> [1]!'2231.TW-PreClose'</f>
        <v>258.5</v>
      </c>
      <c r="E241" s="372">
        <f xml:space="preserve"> [1]!'2231.TW-Price'</f>
        <v>256</v>
      </c>
      <c r="F241" s="372">
        <f xml:space="preserve"> [1]!'2231.TW-BestBid1'</f>
        <v>256</v>
      </c>
      <c r="G241" s="372">
        <f xml:space="preserve"> [1]!'2231.TW-BestAsk1'</f>
        <v>257</v>
      </c>
    </row>
    <row r="242" spans="1:7">
      <c r="A242" s="375" t="s">
        <v>1920</v>
      </c>
      <c r="B242" s="376" t="s">
        <v>2657</v>
      </c>
      <c r="C242" s="372">
        <v>46.95</v>
      </c>
      <c r="D242" s="372">
        <f xml:space="preserve"> [1]!'2301.TW-PreClose'</f>
        <v>46.95</v>
      </c>
      <c r="E242" s="372">
        <f xml:space="preserve"> [1]!'2301.TW-Price'</f>
        <v>46.8</v>
      </c>
      <c r="F242" s="372">
        <f xml:space="preserve"> [1]!'2301.TW-BestBid1'</f>
        <v>46.8</v>
      </c>
      <c r="G242" s="372">
        <f xml:space="preserve"> [1]!'2301.TW-BestAsk1'</f>
        <v>46.95</v>
      </c>
    </row>
    <row r="243" spans="1:7">
      <c r="A243" s="375" t="s">
        <v>1921</v>
      </c>
      <c r="B243" s="376" t="s">
        <v>2658</v>
      </c>
      <c r="C243" s="372">
        <v>14.95</v>
      </c>
      <c r="D243" s="372">
        <f xml:space="preserve"> [1]!'2303.TW-PreClose'</f>
        <v>14.95</v>
      </c>
      <c r="E243" s="372">
        <f xml:space="preserve"> [1]!'2303.TW-Price'</f>
        <v>14.6</v>
      </c>
      <c r="F243" s="372">
        <f xml:space="preserve"> [1]!'2303.TW-BestBid1'</f>
        <v>14.6</v>
      </c>
      <c r="G243" s="372">
        <f xml:space="preserve"> [1]!'2303.TW-BestAsk1'</f>
        <v>14.65</v>
      </c>
    </row>
    <row r="244" spans="1:7">
      <c r="A244" s="375" t="s">
        <v>1922</v>
      </c>
      <c r="B244" s="376" t="s">
        <v>2659</v>
      </c>
      <c r="C244" s="372">
        <v>152</v>
      </c>
      <c r="D244" s="372">
        <f xml:space="preserve"> [1]!'2308.TW-PreClose'</f>
        <v>152</v>
      </c>
      <c r="E244" s="372">
        <f xml:space="preserve"> [1]!'2308.TW-Price'</f>
        <v>151</v>
      </c>
      <c r="F244" s="372">
        <f xml:space="preserve"> [1]!'2308.TW-BestBid1'</f>
        <v>151</v>
      </c>
      <c r="G244" s="372">
        <f xml:space="preserve"> [1]!'2308.TW-BestAsk1'</f>
        <v>151.5</v>
      </c>
    </row>
    <row r="245" spans="1:7">
      <c r="A245" s="375" t="s">
        <v>1923</v>
      </c>
      <c r="B245" s="376" t="s">
        <v>2660</v>
      </c>
      <c r="C245" s="372">
        <v>25.95</v>
      </c>
      <c r="D245" s="372">
        <f xml:space="preserve"> [1]!'2313.TW-PreClose'</f>
        <v>25.95</v>
      </c>
      <c r="E245" s="372">
        <f xml:space="preserve"> [1]!'2313.TW-Price'</f>
        <v>27.1</v>
      </c>
      <c r="F245" s="372">
        <f xml:space="preserve"> [1]!'2313.TW-BestBid1'</f>
        <v>27.1</v>
      </c>
      <c r="G245" s="372">
        <f xml:space="preserve"> [1]!'2313.TW-BestAsk1'</f>
        <v>27.15</v>
      </c>
    </row>
    <row r="246" spans="1:7">
      <c r="A246" s="375" t="s">
        <v>1924</v>
      </c>
      <c r="B246" s="376" t="s">
        <v>2661</v>
      </c>
      <c r="C246" s="372">
        <v>78.2</v>
      </c>
      <c r="D246" s="372">
        <f xml:space="preserve"> [1]!'2317.TW-PreClose'</f>
        <v>78.2</v>
      </c>
      <c r="E246" s="372">
        <f xml:space="preserve"> [1]!'2317.TW-Price'</f>
        <v>77.599999999999994</v>
      </c>
      <c r="F246" s="372">
        <f xml:space="preserve"> [1]!'2317.TW-BestBid1'</f>
        <v>77.599999999999994</v>
      </c>
      <c r="G246" s="372">
        <f xml:space="preserve"> [1]!'2317.TW-BestAsk1'</f>
        <v>77.7</v>
      </c>
    </row>
    <row r="247" spans="1:7">
      <c r="A247" s="375" t="s">
        <v>1925</v>
      </c>
      <c r="B247" s="376" t="s">
        <v>2662</v>
      </c>
      <c r="C247" s="372">
        <v>20.350000000000001</v>
      </c>
      <c r="D247" s="372">
        <f xml:space="preserve"> [1]!'2324.TW-PreClose'</f>
        <v>20.350000000000001</v>
      </c>
      <c r="E247" s="372">
        <f xml:space="preserve"> [1]!'2324.TW-Price'</f>
        <v>20.45</v>
      </c>
      <c r="F247" s="372">
        <f xml:space="preserve"> [1]!'2324.TW-BestBid1'</f>
        <v>20.45</v>
      </c>
      <c r="G247" s="372">
        <f xml:space="preserve"> [1]!'2324.TW-BestAsk1'</f>
        <v>20.5</v>
      </c>
    </row>
    <row r="248" spans="1:7">
      <c r="A248" s="375" t="s">
        <v>1926</v>
      </c>
      <c r="B248" s="376" t="s">
        <v>2663</v>
      </c>
      <c r="C248" s="372">
        <v>271.5</v>
      </c>
      <c r="D248" s="372">
        <f xml:space="preserve"> [1]!'2327.TW-PreClose'</f>
        <v>271.5</v>
      </c>
      <c r="E248" s="372">
        <f xml:space="preserve"> [1]!'2327.TW-Price'</f>
        <v>273.5</v>
      </c>
      <c r="F248" s="372">
        <f xml:space="preserve"> [1]!'2327.TW-BestBid1'</f>
        <v>273.5</v>
      </c>
      <c r="G248" s="372">
        <f xml:space="preserve"> [1]!'2327.TW-BestAsk1'</f>
        <v>274</v>
      </c>
    </row>
    <row r="249" spans="1:7">
      <c r="A249" s="375" t="s">
        <v>1927</v>
      </c>
      <c r="B249" s="376" t="s">
        <v>2664</v>
      </c>
      <c r="C249" s="372">
        <v>250</v>
      </c>
      <c r="D249" s="372">
        <f xml:space="preserve"> [1]!'2330.TW-PreClose'</f>
        <v>250</v>
      </c>
      <c r="E249" s="372">
        <f xml:space="preserve"> [1]!'2330.TW-Price'</f>
        <v>250.5</v>
      </c>
      <c r="F249" s="372">
        <f xml:space="preserve"> [1]!'2330.TW-BestBid1'</f>
        <v>250</v>
      </c>
      <c r="G249" s="372">
        <f xml:space="preserve"> [1]!'2330.TW-BestAsk1'</f>
        <v>250.5</v>
      </c>
    </row>
    <row r="250" spans="1:7">
      <c r="A250" s="375" t="s">
        <v>1928</v>
      </c>
      <c r="B250" s="376" t="s">
        <v>2665</v>
      </c>
      <c r="C250" s="372">
        <v>25.5</v>
      </c>
      <c r="D250" s="372">
        <f xml:space="preserve"> [1]!'2337.TW-PreClose'</f>
        <v>25.5</v>
      </c>
      <c r="E250" s="372">
        <f xml:space="preserve"> [1]!'2337.TW-Price'</f>
        <v>26.6</v>
      </c>
      <c r="F250" s="372">
        <f xml:space="preserve"> [1]!'2337.TW-BestBid1'</f>
        <v>26.6</v>
      </c>
      <c r="G250" s="372">
        <f xml:space="preserve"> [1]!'2337.TW-BestAsk1'</f>
        <v>26.65</v>
      </c>
    </row>
    <row r="251" spans="1:7">
      <c r="A251" s="375" t="s">
        <v>1929</v>
      </c>
      <c r="B251" s="376" t="s">
        <v>2666</v>
      </c>
      <c r="C251" s="372">
        <v>16.45</v>
      </c>
      <c r="D251" s="372">
        <f xml:space="preserve"> [1]!'2344.TW-PreClose'</f>
        <v>16.45</v>
      </c>
      <c r="E251" s="372">
        <f xml:space="preserve"> [1]!'2344.TW-Price'</f>
        <v>16.7</v>
      </c>
      <c r="F251" s="372">
        <f xml:space="preserve"> [1]!'2344.TW-BestBid1'</f>
        <v>16.649999999999999</v>
      </c>
      <c r="G251" s="372">
        <f xml:space="preserve"> [1]!'2344.TW-BestAsk1'</f>
        <v>16.7</v>
      </c>
    </row>
    <row r="252" spans="1:7">
      <c r="A252" s="375" t="s">
        <v>1930</v>
      </c>
      <c r="B252" s="376" t="s">
        <v>2667</v>
      </c>
      <c r="C252" s="372">
        <v>129</v>
      </c>
      <c r="D252" s="372">
        <f xml:space="preserve"> [1]!'2345.TW-PreClose'</f>
        <v>129</v>
      </c>
      <c r="E252" s="372">
        <f xml:space="preserve"> [1]!'2345.TW-Price'</f>
        <v>128.5</v>
      </c>
      <c r="F252" s="372">
        <f xml:space="preserve"> [1]!'2345.TW-BestBid1'</f>
        <v>128.5</v>
      </c>
      <c r="G252" s="372">
        <f xml:space="preserve"> [1]!'2345.TW-BestAsk1'</f>
        <v>129</v>
      </c>
    </row>
    <row r="253" spans="1:7">
      <c r="A253" s="375" t="s">
        <v>1931</v>
      </c>
      <c r="B253" s="376" t="s">
        <v>2668</v>
      </c>
      <c r="C253" s="372">
        <v>39.25</v>
      </c>
      <c r="D253" s="372">
        <f xml:space="preserve"> [1]!'2347.TW-PreClose'</f>
        <v>39.25</v>
      </c>
      <c r="E253" s="372">
        <f xml:space="preserve"> [1]!'2347.TW-Price'</f>
        <v>39.049999999999997</v>
      </c>
      <c r="F253" s="372">
        <f xml:space="preserve"> [1]!'2347.TW-BestBid1'</f>
        <v>39.049999999999997</v>
      </c>
      <c r="G253" s="372">
        <f xml:space="preserve"> [1]!'2347.TW-BestAsk1'</f>
        <v>39.1</v>
      </c>
    </row>
    <row r="254" spans="1:7">
      <c r="A254" s="375" t="s">
        <v>1932</v>
      </c>
      <c r="B254" s="376" t="s">
        <v>2669</v>
      </c>
      <c r="C254" s="372">
        <v>20.100000000000001</v>
      </c>
      <c r="D254" s="372">
        <f xml:space="preserve"> [1]!'2352.TW-PreClose'</f>
        <v>20.100000000000001</v>
      </c>
      <c r="E254" s="372">
        <f xml:space="preserve"> [1]!'2352.TW-Price'</f>
        <v>20.25</v>
      </c>
      <c r="F254" s="372">
        <f xml:space="preserve"> [1]!'2352.TW-BestBid1'</f>
        <v>20.25</v>
      </c>
      <c r="G254" s="372">
        <f xml:space="preserve"> [1]!'2352.TW-BestAsk1'</f>
        <v>20.3</v>
      </c>
    </row>
    <row r="255" spans="1:7">
      <c r="A255" s="375" t="s">
        <v>1933</v>
      </c>
      <c r="B255" s="376" t="s">
        <v>2670</v>
      </c>
      <c r="C255" s="372">
        <v>19.25</v>
      </c>
      <c r="D255" s="372">
        <f xml:space="preserve"> [1]!'2353.TW-PreClose'</f>
        <v>19.25</v>
      </c>
      <c r="E255" s="372">
        <f xml:space="preserve"> [1]!'2353.TW-Price'</f>
        <v>19.3</v>
      </c>
      <c r="F255" s="372">
        <f xml:space="preserve"> [1]!'2353.TW-BestBid1'</f>
        <v>19.25</v>
      </c>
      <c r="G255" s="372">
        <f xml:space="preserve"> [1]!'2353.TW-BestAsk1'</f>
        <v>19.3</v>
      </c>
    </row>
    <row r="256" spans="1:7">
      <c r="A256" s="375" t="s">
        <v>1934</v>
      </c>
      <c r="B256" s="376" t="s">
        <v>2671</v>
      </c>
      <c r="C256" s="372">
        <v>65.900000000000006</v>
      </c>
      <c r="D256" s="372">
        <f xml:space="preserve"> [1]!'2354.TW-PreClose'</f>
        <v>65.900000000000006</v>
      </c>
      <c r="E256" s="372">
        <f xml:space="preserve"> [1]!'2354.TW-Price'</f>
        <v>66.099999999999994</v>
      </c>
      <c r="F256" s="372">
        <f xml:space="preserve"> [1]!'2354.TW-BestBid1'</f>
        <v>66.099999999999994</v>
      </c>
      <c r="G256" s="372">
        <f xml:space="preserve"> [1]!'2354.TW-BestAsk1'</f>
        <v>66.2</v>
      </c>
    </row>
    <row r="257" spans="1:7">
      <c r="A257" s="375" t="s">
        <v>1935</v>
      </c>
      <c r="B257" s="376" t="s">
        <v>2672</v>
      </c>
      <c r="C257" s="372">
        <v>23.65</v>
      </c>
      <c r="D257" s="372">
        <f xml:space="preserve"> [1]!'2356.TW-PreClose'</f>
        <v>23.65</v>
      </c>
      <c r="E257" s="372">
        <f xml:space="preserve"> [1]!'2356.TW-Price'</f>
        <v>23.85</v>
      </c>
      <c r="F257" s="372">
        <f xml:space="preserve"> [1]!'2356.TW-BestBid1'</f>
        <v>23.85</v>
      </c>
      <c r="G257" s="372">
        <f xml:space="preserve"> [1]!'2356.TW-BestAsk1'</f>
        <v>23.9</v>
      </c>
    </row>
    <row r="258" spans="1:7">
      <c r="A258" s="375" t="s">
        <v>1936</v>
      </c>
      <c r="B258" s="376" t="s">
        <v>2673</v>
      </c>
      <c r="C258" s="372">
        <v>216</v>
      </c>
      <c r="D258" s="372">
        <f xml:space="preserve"> [1]!'2357.TW-PreClose'</f>
        <v>216</v>
      </c>
      <c r="E258" s="372">
        <f xml:space="preserve"> [1]!'2357.TW-Price'</f>
        <v>215.5</v>
      </c>
      <c r="F258" s="372">
        <f xml:space="preserve"> [1]!'2357.TW-BestBid1'</f>
        <v>215.5</v>
      </c>
      <c r="G258" s="372">
        <f xml:space="preserve"> [1]!'2357.TW-BestAsk1'</f>
        <v>216.5</v>
      </c>
    </row>
    <row r="259" spans="1:7">
      <c r="A259" s="375" t="s">
        <v>1937</v>
      </c>
      <c r="B259" s="376" t="s">
        <v>2674</v>
      </c>
      <c r="C259" s="372">
        <v>145.5</v>
      </c>
      <c r="D259" s="372">
        <f xml:space="preserve"> [1]!'2360.TW-PreClose'</f>
        <v>145.5</v>
      </c>
      <c r="E259" s="372">
        <f xml:space="preserve"> [1]!'2360.TW-Price'</f>
        <v>149.5</v>
      </c>
      <c r="F259" s="372">
        <f xml:space="preserve"> [1]!'2360.TW-BestBid1'</f>
        <v>149</v>
      </c>
      <c r="G259" s="372">
        <f xml:space="preserve"> [1]!'2360.TW-BestAsk1'</f>
        <v>149.5</v>
      </c>
    </row>
    <row r="260" spans="1:7">
      <c r="A260" s="375" t="s">
        <v>1938</v>
      </c>
      <c r="B260" s="376" t="s">
        <v>2675</v>
      </c>
      <c r="C260" s="372">
        <v>18.75</v>
      </c>
      <c r="D260" s="372">
        <f xml:space="preserve"> [1]!'2371.TW-PreClose'</f>
        <v>18.75</v>
      </c>
      <c r="E260" s="372">
        <f xml:space="preserve"> [1]!'2371.TW-Price'</f>
        <v>18.45</v>
      </c>
      <c r="F260" s="372">
        <f xml:space="preserve"> [1]!'2371.TW-BestBid1'</f>
        <v>18.399999999999999</v>
      </c>
      <c r="G260" s="372">
        <f xml:space="preserve"> [1]!'2371.TW-BestAsk1'</f>
        <v>18.45</v>
      </c>
    </row>
    <row r="261" spans="1:7">
      <c r="A261" s="375" t="s">
        <v>1939</v>
      </c>
      <c r="B261" s="376" t="s">
        <v>2676</v>
      </c>
      <c r="C261" s="372">
        <v>52.8</v>
      </c>
      <c r="D261" s="372">
        <f xml:space="preserve"> [1]!'2376.TW-PreClose'</f>
        <v>52.8</v>
      </c>
      <c r="E261" s="372">
        <f xml:space="preserve"> [1]!'2376.TW-Price'</f>
        <v>53.5</v>
      </c>
      <c r="F261" s="372">
        <f xml:space="preserve"> [1]!'2376.TW-BestBid1'</f>
        <v>53.4</v>
      </c>
      <c r="G261" s="372">
        <f xml:space="preserve"> [1]!'2376.TW-BestAsk1'</f>
        <v>53.5</v>
      </c>
    </row>
    <row r="262" spans="1:7">
      <c r="A262" s="375" t="s">
        <v>1940</v>
      </c>
      <c r="B262" s="376" t="s">
        <v>2677</v>
      </c>
      <c r="C262" s="372">
        <v>89.7</v>
      </c>
      <c r="D262" s="372">
        <f xml:space="preserve"> [1]!'2377.TW-PreClose'</f>
        <v>89.7</v>
      </c>
      <c r="E262" s="372">
        <f xml:space="preserve"> [1]!'2377.TW-Price'</f>
        <v>89.4</v>
      </c>
      <c r="F262" s="372">
        <f xml:space="preserve"> [1]!'2377.TW-BestBid1'</f>
        <v>89.4</v>
      </c>
      <c r="G262" s="372">
        <f xml:space="preserve"> [1]!'2377.TW-BestAsk1'</f>
        <v>89.5</v>
      </c>
    </row>
    <row r="263" spans="1:7">
      <c r="A263" s="375" t="s">
        <v>1941</v>
      </c>
      <c r="B263" s="376" t="s">
        <v>2678</v>
      </c>
      <c r="C263" s="372">
        <v>221</v>
      </c>
      <c r="D263" s="372">
        <f xml:space="preserve"> [1]!'2379.TW-PreClose'</f>
        <v>221</v>
      </c>
      <c r="E263" s="372">
        <f xml:space="preserve"> [1]!'2379.TW-Price'</f>
        <v>225.5</v>
      </c>
      <c r="F263" s="372">
        <f xml:space="preserve"> [1]!'2379.TW-BestBid1'</f>
        <v>225.5</v>
      </c>
      <c r="G263" s="372">
        <f xml:space="preserve"> [1]!'2379.TW-BestAsk1'</f>
        <v>226</v>
      </c>
    </row>
    <row r="264" spans="1:7">
      <c r="A264" s="375" t="s">
        <v>1942</v>
      </c>
      <c r="B264" s="376" t="s">
        <v>2679</v>
      </c>
      <c r="C264" s="372">
        <v>60.7</v>
      </c>
      <c r="D264" s="372">
        <f xml:space="preserve"> [1]!'2382.TW-PreClose'</f>
        <v>60.7</v>
      </c>
      <c r="E264" s="372">
        <f xml:space="preserve"> [1]!'2382.TW-Price'</f>
        <v>60.7</v>
      </c>
      <c r="F264" s="372">
        <f xml:space="preserve"> [1]!'2382.TW-BestBid1'</f>
        <v>60.7</v>
      </c>
      <c r="G264" s="372">
        <f xml:space="preserve"> [1]!'2382.TW-BestAsk1'</f>
        <v>60.8</v>
      </c>
    </row>
    <row r="265" spans="1:7">
      <c r="A265" s="375" t="s">
        <v>1943</v>
      </c>
      <c r="B265" s="376" t="s">
        <v>2680</v>
      </c>
      <c r="C265" s="372">
        <v>108.5</v>
      </c>
      <c r="D265" s="372">
        <f xml:space="preserve"> [1]!'2383.TW-PreClose'</f>
        <v>108.5</v>
      </c>
      <c r="E265" s="372">
        <f xml:space="preserve"> [1]!'2383.TW-Price'</f>
        <v>110</v>
      </c>
      <c r="F265" s="372">
        <f xml:space="preserve"> [1]!'2383.TW-BestBid1'</f>
        <v>109.5</v>
      </c>
      <c r="G265" s="372">
        <f xml:space="preserve"> [1]!'2383.TW-BestAsk1'</f>
        <v>110</v>
      </c>
    </row>
    <row r="266" spans="1:7">
      <c r="A266" s="375" t="s">
        <v>1944</v>
      </c>
      <c r="B266" s="376" t="s">
        <v>2681</v>
      </c>
      <c r="C266" s="372">
        <v>79</v>
      </c>
      <c r="D266" s="372">
        <f xml:space="preserve"> [1]!'2385.TW-PreClose'</f>
        <v>79</v>
      </c>
      <c r="E266" s="372">
        <f xml:space="preserve"> [1]!'2385.TW-Price'</f>
        <v>80</v>
      </c>
      <c r="F266" s="372">
        <f xml:space="preserve"> [1]!'2385.TW-BestBid1'</f>
        <v>79.599999999999994</v>
      </c>
      <c r="G266" s="372">
        <f xml:space="preserve"> [1]!'2385.TW-BestAsk1'</f>
        <v>80</v>
      </c>
    </row>
    <row r="267" spans="1:7">
      <c r="A267" s="375" t="s">
        <v>1945</v>
      </c>
      <c r="B267" s="376" t="s">
        <v>2682</v>
      </c>
      <c r="C267" s="372">
        <v>261</v>
      </c>
      <c r="D267" s="372">
        <f xml:space="preserve"> [1]!'2395.TW-PreClose'</f>
        <v>261</v>
      </c>
      <c r="E267" s="372">
        <f xml:space="preserve"> [1]!'2395.TW-Price'</f>
        <v>260</v>
      </c>
      <c r="F267" s="372">
        <f xml:space="preserve"> [1]!'2395.TW-BestBid1'</f>
        <v>260</v>
      </c>
      <c r="G267" s="372">
        <f xml:space="preserve"> [1]!'2395.TW-BestAsk1'</f>
        <v>260.5</v>
      </c>
    </row>
    <row r="268" spans="1:7">
      <c r="A268" s="375" t="s">
        <v>1946</v>
      </c>
      <c r="B268" s="376" t="s">
        <v>2683</v>
      </c>
      <c r="C268" s="372">
        <v>65.400000000000006</v>
      </c>
      <c r="D268" s="372">
        <f xml:space="preserve"> [1]!'2408.TW-PreClose'</f>
        <v>65.400000000000006</v>
      </c>
      <c r="E268" s="372">
        <f xml:space="preserve"> [1]!'2408.TW-Price'</f>
        <v>66.7</v>
      </c>
      <c r="F268" s="372">
        <f xml:space="preserve"> [1]!'2408.TW-BestBid1'</f>
        <v>66.599999999999994</v>
      </c>
      <c r="G268" s="372">
        <f xml:space="preserve"> [1]!'2408.TW-BestAsk1'</f>
        <v>66.7</v>
      </c>
    </row>
    <row r="269" spans="1:7">
      <c r="A269" s="375" t="s">
        <v>1947</v>
      </c>
      <c r="B269" s="376" t="s">
        <v>2684</v>
      </c>
      <c r="C269" s="372">
        <v>9.0299999999999994</v>
      </c>
      <c r="D269" s="372">
        <f xml:space="preserve"> [1]!'2409.TW-PreClose'</f>
        <v>9.0299999999999994</v>
      </c>
      <c r="E269" s="372">
        <f xml:space="preserve"> [1]!'2409.TW-Price'</f>
        <v>8.93</v>
      </c>
      <c r="F269" s="372">
        <f xml:space="preserve"> [1]!'2409.TW-BestBid1'</f>
        <v>8.93</v>
      </c>
      <c r="G269" s="372">
        <f xml:space="preserve"> [1]!'2409.TW-BestAsk1'</f>
        <v>8.94</v>
      </c>
    </row>
    <row r="270" spans="1:7">
      <c r="A270" s="375" t="s">
        <v>1948</v>
      </c>
      <c r="B270" s="376" t="s">
        <v>2685</v>
      </c>
      <c r="C270" s="372">
        <v>113.5</v>
      </c>
      <c r="D270" s="372">
        <f xml:space="preserve"> [1]!'2412.TW-PreClose'</f>
        <v>113.5</v>
      </c>
      <c r="E270" s="372">
        <f xml:space="preserve"> [1]!'2412.TW-Price'</f>
        <v>113</v>
      </c>
      <c r="F270" s="372">
        <f xml:space="preserve"> [1]!'2412.TW-BestBid1'</f>
        <v>113</v>
      </c>
      <c r="G270" s="372">
        <f xml:space="preserve"> [1]!'2412.TW-BestAsk1'</f>
        <v>113.5</v>
      </c>
    </row>
    <row r="271" spans="1:7">
      <c r="A271" s="375" t="s">
        <v>1949</v>
      </c>
      <c r="B271" s="376" t="s">
        <v>2686</v>
      </c>
      <c r="C271" s="372">
        <v>166</v>
      </c>
      <c r="D271" s="372">
        <f xml:space="preserve"> [1]!'2439.TW-PreClose'</f>
        <v>166</v>
      </c>
      <c r="E271" s="372">
        <f xml:space="preserve"> [1]!'2439.TW-Price'</f>
        <v>166.5</v>
      </c>
      <c r="F271" s="372">
        <f xml:space="preserve"> [1]!'2439.TW-BestBid1'</f>
        <v>166.5</v>
      </c>
      <c r="G271" s="372">
        <f xml:space="preserve"> [1]!'2439.TW-BestAsk1'</f>
        <v>167</v>
      </c>
    </row>
    <row r="272" spans="1:7">
      <c r="A272" s="375" t="s">
        <v>1950</v>
      </c>
      <c r="B272" s="376" t="s">
        <v>2687</v>
      </c>
      <c r="C272" s="372">
        <v>43.3</v>
      </c>
      <c r="D272" s="372">
        <f xml:space="preserve"> [1]!'2441.TW-PreClose'</f>
        <v>43.3</v>
      </c>
      <c r="E272" s="372">
        <f xml:space="preserve"> [1]!'2441.TW-Price'</f>
        <v>43.3</v>
      </c>
      <c r="F272" s="372">
        <f xml:space="preserve"> [1]!'2441.TW-BestBid1'</f>
        <v>43.2</v>
      </c>
      <c r="G272" s="372">
        <f xml:space="preserve"> [1]!'2441.TW-BestAsk1'</f>
        <v>43.3</v>
      </c>
    </row>
    <row r="273" spans="1:7">
      <c r="A273" s="375" t="s">
        <v>1951</v>
      </c>
      <c r="B273" s="376" t="s">
        <v>2688</v>
      </c>
      <c r="C273" s="372">
        <v>24.5</v>
      </c>
      <c r="D273" s="372">
        <f xml:space="preserve"> [1]!'2448.TW-PreClose'</f>
        <v>24.5</v>
      </c>
      <c r="E273" s="372">
        <f xml:space="preserve"> [1]!'2448.TW-Price'</f>
        <v>24.45</v>
      </c>
      <c r="F273" s="372">
        <f xml:space="preserve"> [1]!'2448.TW-BestBid1'</f>
        <v>24.45</v>
      </c>
      <c r="G273" s="372">
        <f xml:space="preserve"> [1]!'2448.TW-BestAsk1'</f>
        <v>24.5</v>
      </c>
    </row>
    <row r="274" spans="1:7">
      <c r="A274" s="375" t="s">
        <v>1952</v>
      </c>
      <c r="B274" s="376" t="s">
        <v>2689</v>
      </c>
      <c r="C274" s="372">
        <v>30</v>
      </c>
      <c r="D274" s="372">
        <f xml:space="preserve"> [1]!'2449.TW-PreClose'</f>
        <v>30</v>
      </c>
      <c r="E274" s="372">
        <f xml:space="preserve"> [1]!'2449.TW-Price'</f>
        <v>31.1</v>
      </c>
      <c r="F274" s="372">
        <f xml:space="preserve"> [1]!'2449.TW-BestBid1'</f>
        <v>31.05</v>
      </c>
      <c r="G274" s="372">
        <f xml:space="preserve"> [1]!'2449.TW-BestAsk1'</f>
        <v>31.1</v>
      </c>
    </row>
    <row r="275" spans="1:7">
      <c r="A275" s="375" t="s">
        <v>1953</v>
      </c>
      <c r="B275" s="376" t="s">
        <v>2690</v>
      </c>
      <c r="C275" s="372">
        <v>68.099999999999994</v>
      </c>
      <c r="D275" s="372">
        <f xml:space="preserve"> [1]!'2451.TW-PreClose'</f>
        <v>68.099999999999994</v>
      </c>
      <c r="E275" s="372">
        <f xml:space="preserve"> [1]!'2451.TW-Price'</f>
        <v>67.7</v>
      </c>
      <c r="F275" s="372">
        <f xml:space="preserve"> [1]!'2451.TW-BestBid1'</f>
        <v>67.7</v>
      </c>
      <c r="G275" s="372">
        <f xml:space="preserve"> [1]!'2451.TW-BestAsk1'</f>
        <v>67.8</v>
      </c>
    </row>
    <row r="276" spans="1:7">
      <c r="A276" s="375" t="s">
        <v>1954</v>
      </c>
      <c r="B276" s="376" t="s">
        <v>2691</v>
      </c>
      <c r="C276" s="372">
        <v>322.5</v>
      </c>
      <c r="D276" s="372">
        <f xml:space="preserve"> [1]!'2454.TW-PreClose'</f>
        <v>322.5</v>
      </c>
      <c r="E276" s="372">
        <f xml:space="preserve"> [1]!'2454.TW-Price'</f>
        <v>318</v>
      </c>
      <c r="F276" s="372">
        <f xml:space="preserve"> [1]!'2454.TW-BestBid1'</f>
        <v>318</v>
      </c>
      <c r="G276" s="372">
        <f xml:space="preserve"> [1]!'2454.TW-BestAsk1'</f>
        <v>319</v>
      </c>
    </row>
    <row r="277" spans="1:7">
      <c r="A277" s="375" t="s">
        <v>1955</v>
      </c>
      <c r="B277" s="376" t="s">
        <v>2692</v>
      </c>
      <c r="C277" s="372">
        <v>229</v>
      </c>
      <c r="D277" s="372">
        <f xml:space="preserve"> [1]!'2474.TW-PreClose'</f>
        <v>229</v>
      </c>
      <c r="E277" s="372">
        <f xml:space="preserve"> [1]!'2474.TW-Price'</f>
        <v>228</v>
      </c>
      <c r="F277" s="372">
        <f xml:space="preserve"> [1]!'2474.TW-BestBid1'</f>
        <v>228</v>
      </c>
      <c r="G277" s="372">
        <f xml:space="preserve"> [1]!'2474.TW-BestAsk1'</f>
        <v>228.5</v>
      </c>
    </row>
    <row r="278" spans="1:7">
      <c r="A278" s="375" t="s">
        <v>1956</v>
      </c>
      <c r="B278" s="376" t="s">
        <v>2693</v>
      </c>
      <c r="C278" s="372">
        <v>170.5</v>
      </c>
      <c r="D278" s="372">
        <f xml:space="preserve"> [1]!'2492.TW-PreClose'</f>
        <v>170.5</v>
      </c>
      <c r="E278" s="372">
        <f xml:space="preserve"> [1]!'2492.TW-Price'</f>
        <v>172.5</v>
      </c>
      <c r="F278" s="372">
        <f xml:space="preserve"> [1]!'2492.TW-BestBid1'</f>
        <v>172</v>
      </c>
      <c r="G278" s="372">
        <f xml:space="preserve"> [1]!'2492.TW-BestAsk1'</f>
        <v>172.5</v>
      </c>
    </row>
    <row r="279" spans="1:7">
      <c r="A279" s="375" t="s">
        <v>1957</v>
      </c>
      <c r="B279" s="376" t="s">
        <v>2694</v>
      </c>
      <c r="C279" s="372">
        <v>39.200000000000003</v>
      </c>
      <c r="D279" s="372">
        <f xml:space="preserve"> [1]!'2498.TW-PreClose'</f>
        <v>39.200000000000003</v>
      </c>
      <c r="E279" s="372">
        <f xml:space="preserve"> [1]!'2498.TW-Price'</f>
        <v>38.9</v>
      </c>
      <c r="F279" s="372">
        <f xml:space="preserve"> [1]!'2498.TW-BestBid1'</f>
        <v>38.9</v>
      </c>
      <c r="G279" s="372">
        <f xml:space="preserve"> [1]!'2498.TW-BestAsk1'</f>
        <v>38.950000000000003</v>
      </c>
    </row>
    <row r="280" spans="1:7">
      <c r="A280" s="375" t="s">
        <v>1958</v>
      </c>
      <c r="B280" s="376" t="s">
        <v>2695</v>
      </c>
      <c r="C280" s="372">
        <v>22.55</v>
      </c>
      <c r="D280" s="372">
        <f xml:space="preserve"> [1]!'2501.TW-PreClose'</f>
        <v>22.55</v>
      </c>
      <c r="E280" s="372">
        <f xml:space="preserve"> [1]!'2501.TW-Price'</f>
        <v>22.7</v>
      </c>
      <c r="F280" s="372">
        <f xml:space="preserve"> [1]!'2501.TW-BestBid1'</f>
        <v>22.65</v>
      </c>
      <c r="G280" s="372">
        <f xml:space="preserve"> [1]!'2501.TW-BestAsk1'</f>
        <v>22.7</v>
      </c>
    </row>
    <row r="281" spans="1:7">
      <c r="A281" s="375" t="s">
        <v>1959</v>
      </c>
      <c r="B281" s="376" t="s">
        <v>2696</v>
      </c>
      <c r="C281" s="372">
        <v>49.45</v>
      </c>
      <c r="D281" s="372">
        <f xml:space="preserve"> [1]!'2542.TW-PreClose'</f>
        <v>49.45</v>
      </c>
      <c r="E281" s="372">
        <f xml:space="preserve"> [1]!'2542.TW-Price'</f>
        <v>49.15</v>
      </c>
      <c r="F281" s="372">
        <f xml:space="preserve"> [1]!'2542.TW-BestBid1'</f>
        <v>49.1</v>
      </c>
      <c r="G281" s="372">
        <f xml:space="preserve"> [1]!'2542.TW-BestAsk1'</f>
        <v>49.15</v>
      </c>
    </row>
    <row r="282" spans="1:7">
      <c r="A282" s="375" t="s">
        <v>1960</v>
      </c>
      <c r="B282" s="376" t="s">
        <v>2697</v>
      </c>
      <c r="C282" s="372">
        <v>13.4</v>
      </c>
      <c r="D282" s="372">
        <f xml:space="preserve"> [1]!'2603.TW-PreClose'</f>
        <v>13.4</v>
      </c>
      <c r="E282" s="372">
        <f xml:space="preserve"> [1]!'2603.TW-Price'</f>
        <v>13.25</v>
      </c>
      <c r="F282" s="372">
        <f xml:space="preserve"> [1]!'2603.TW-BestBid1'</f>
        <v>13.25</v>
      </c>
      <c r="G282" s="372">
        <f xml:space="preserve"> [1]!'2603.TW-BestAsk1'</f>
        <v>13.3</v>
      </c>
    </row>
    <row r="283" spans="1:7">
      <c r="A283" s="375" t="s">
        <v>1961</v>
      </c>
      <c r="B283" s="376" t="s">
        <v>2698</v>
      </c>
      <c r="C283" s="372">
        <v>33.15</v>
      </c>
      <c r="D283" s="372">
        <f xml:space="preserve"> [1]!'2606.TW-PreClose'</f>
        <v>33.15</v>
      </c>
      <c r="E283" s="372">
        <f xml:space="preserve"> [1]!'2606.TW-Price'</f>
        <v>33.1</v>
      </c>
      <c r="F283" s="372">
        <f xml:space="preserve"> [1]!'2606.TW-BestBid1'</f>
        <v>33.049999999999997</v>
      </c>
      <c r="G283" s="372">
        <f xml:space="preserve"> [1]!'2606.TW-BestAsk1'</f>
        <v>33.1</v>
      </c>
    </row>
    <row r="284" spans="1:7">
      <c r="A284" s="375" t="s">
        <v>1962</v>
      </c>
      <c r="B284" s="376" t="s">
        <v>2699</v>
      </c>
      <c r="C284" s="372">
        <v>9.86</v>
      </c>
      <c r="D284" s="372">
        <f xml:space="preserve"> [1]!'2610.TW-PreClose'</f>
        <v>9.86</v>
      </c>
      <c r="E284" s="372">
        <f xml:space="preserve"> [1]!'2610.TW-Price'</f>
        <v>9.8699999999999992</v>
      </c>
      <c r="F284" s="372">
        <f xml:space="preserve"> [1]!'2610.TW-BestBid1'</f>
        <v>9.86</v>
      </c>
      <c r="G284" s="372">
        <f xml:space="preserve"> [1]!'2610.TW-BestAsk1'</f>
        <v>9.8699999999999992</v>
      </c>
    </row>
    <row r="285" spans="1:7">
      <c r="A285" s="375" t="s">
        <v>1963</v>
      </c>
      <c r="B285" s="376" t="s">
        <v>2700</v>
      </c>
      <c r="C285" s="372">
        <v>19.45</v>
      </c>
      <c r="D285" s="372">
        <f xml:space="preserve"> [1]!'2615.TW-PreClose'</f>
        <v>18.850000000000001</v>
      </c>
      <c r="E285" s="372">
        <f xml:space="preserve"> [1]!'2615.TW-Price'</f>
        <v>19</v>
      </c>
      <c r="F285" s="372">
        <f xml:space="preserve"> [1]!'2615.TW-BestBid1'</f>
        <v>18.95</v>
      </c>
      <c r="G285" s="372">
        <f xml:space="preserve"> [1]!'2615.TW-BestAsk1'</f>
        <v>19</v>
      </c>
    </row>
    <row r="286" spans="1:7">
      <c r="A286" s="375" t="s">
        <v>1964</v>
      </c>
      <c r="B286" s="376" t="s">
        <v>2701</v>
      </c>
      <c r="C286" s="372">
        <v>15</v>
      </c>
      <c r="D286" s="372">
        <f xml:space="preserve"> [1]!'2618.TW-PreClose'</f>
        <v>15</v>
      </c>
      <c r="E286" s="372">
        <f xml:space="preserve"> [1]!'2618.TW-Price'</f>
        <v>15.05</v>
      </c>
      <c r="F286" s="372">
        <f xml:space="preserve"> [1]!'2618.TW-BestBid1'</f>
        <v>15</v>
      </c>
      <c r="G286" s="372">
        <f xml:space="preserve"> [1]!'2618.TW-BestAsk1'</f>
        <v>15.05</v>
      </c>
    </row>
    <row r="287" spans="1:7">
      <c r="A287" s="375" t="s">
        <v>1965</v>
      </c>
      <c r="B287" s="376" t="s">
        <v>2702</v>
      </c>
      <c r="C287" s="372">
        <v>44</v>
      </c>
      <c r="D287" s="372">
        <f xml:space="preserve"> [1]!'2633.TW-PreClose'</f>
        <v>44</v>
      </c>
      <c r="E287" s="372">
        <f xml:space="preserve"> [1]!'2633.TW-Price'</f>
        <v>43.7</v>
      </c>
      <c r="F287" s="372">
        <f xml:space="preserve"> [1]!'2633.TW-BestBid1'</f>
        <v>43.7</v>
      </c>
      <c r="G287" s="372">
        <f xml:space="preserve"> [1]!'2633.TW-BestAsk1'</f>
        <v>43.75</v>
      </c>
    </row>
    <row r="288" spans="1:7">
      <c r="A288" s="375" t="s">
        <v>1966</v>
      </c>
      <c r="B288" s="376" t="s">
        <v>2703</v>
      </c>
      <c r="C288" s="372">
        <v>173</v>
      </c>
      <c r="D288" s="372">
        <f xml:space="preserve"> [1]!'2723.TW-PreClose'</f>
        <v>173</v>
      </c>
      <c r="E288" s="372">
        <f xml:space="preserve"> [1]!'2723.TW-Price'</f>
        <v>185</v>
      </c>
      <c r="F288" s="372">
        <f xml:space="preserve"> [1]!'2723.TW-BestBid1'</f>
        <v>185</v>
      </c>
      <c r="G288" s="372">
        <f xml:space="preserve"> [1]!'2723.TW-BestAsk1'</f>
        <v>185.5</v>
      </c>
    </row>
    <row r="289" spans="1:7">
      <c r="A289" s="375" t="s">
        <v>1967</v>
      </c>
      <c r="B289" s="376" t="s">
        <v>2704</v>
      </c>
      <c r="C289" s="372">
        <v>21.45</v>
      </c>
      <c r="D289" s="372">
        <f xml:space="preserve"> [1]!'2801.TW-PreClose'</f>
        <v>21.45</v>
      </c>
      <c r="E289" s="372">
        <f xml:space="preserve"> [1]!'2801.TW-Price'</f>
        <v>21.5</v>
      </c>
      <c r="F289" s="372">
        <f xml:space="preserve"> [1]!'2801.TW-BestBid1'</f>
        <v>21.5</v>
      </c>
      <c r="G289" s="372">
        <f xml:space="preserve"> [1]!'2801.TW-BestAsk1'</f>
        <v>21.6</v>
      </c>
    </row>
    <row r="290" spans="1:7">
      <c r="A290" s="375" t="s">
        <v>1968</v>
      </c>
      <c r="B290" s="376" t="s">
        <v>2705</v>
      </c>
      <c r="C290" s="372">
        <v>33.75</v>
      </c>
      <c r="D290" s="372">
        <f xml:space="preserve"> [1]!'2809.TW-PreClose'</f>
        <v>33.75</v>
      </c>
      <c r="E290" s="372">
        <f xml:space="preserve"> [1]!'2809.TW-Price'</f>
        <v>33.5</v>
      </c>
      <c r="F290" s="372">
        <f xml:space="preserve"> [1]!'2809.TW-BestBid1'</f>
        <v>33.450000000000003</v>
      </c>
      <c r="G290" s="372">
        <f xml:space="preserve"> [1]!'2809.TW-BestAsk1'</f>
        <v>33.5</v>
      </c>
    </row>
    <row r="291" spans="1:7">
      <c r="A291" s="375" t="s">
        <v>1969</v>
      </c>
      <c r="B291" s="376" t="s">
        <v>2706</v>
      </c>
      <c r="C291" s="372">
        <v>12.55</v>
      </c>
      <c r="D291" s="372">
        <f xml:space="preserve"> [1]!'2812.TW-PreClose'</f>
        <v>12.55</v>
      </c>
      <c r="E291" s="372">
        <f xml:space="preserve"> [1]!'2812.TW-Price'</f>
        <v>12.6</v>
      </c>
      <c r="F291" s="372">
        <f xml:space="preserve"> [1]!'2812.TW-BestBid1'</f>
        <v>12.55</v>
      </c>
      <c r="G291" s="372">
        <f xml:space="preserve"> [1]!'2812.TW-BestAsk1'</f>
        <v>12.6</v>
      </c>
    </row>
    <row r="292" spans="1:7">
      <c r="A292" s="375" t="s">
        <v>1970</v>
      </c>
      <c r="B292" s="376" t="s">
        <v>2707</v>
      </c>
      <c r="C292" s="372">
        <v>25.75</v>
      </c>
      <c r="D292" s="372">
        <f xml:space="preserve"> [1]!'2823.TW-PreClose'</f>
        <v>25.75</v>
      </c>
      <c r="E292" s="372">
        <f xml:space="preserve"> [1]!'2823.TW-Price'</f>
        <v>25.75</v>
      </c>
      <c r="F292" s="372">
        <f xml:space="preserve"> [1]!'2823.TW-BestBid1'</f>
        <v>25.75</v>
      </c>
      <c r="G292" s="372">
        <f xml:space="preserve"> [1]!'2823.TW-BestAsk1'</f>
        <v>25.8</v>
      </c>
    </row>
    <row r="293" spans="1:7">
      <c r="A293" s="375" t="s">
        <v>1971</v>
      </c>
      <c r="B293" s="376" t="s">
        <v>2708</v>
      </c>
      <c r="C293" s="372">
        <v>13.45</v>
      </c>
      <c r="D293" s="372">
        <f xml:space="preserve"> [1]!'2834.TW-PreClose'</f>
        <v>13.45</v>
      </c>
      <c r="E293" s="372">
        <f xml:space="preserve"> [1]!'2834.TW-Price'</f>
        <v>13.6</v>
      </c>
      <c r="F293" s="372">
        <f xml:space="preserve"> [1]!'2834.TW-BestBid1'</f>
        <v>13.55</v>
      </c>
      <c r="G293" s="372">
        <f xml:space="preserve"> [1]!'2834.TW-BestAsk1'</f>
        <v>13.6</v>
      </c>
    </row>
    <row r="294" spans="1:7">
      <c r="A294" s="375" t="s">
        <v>1972</v>
      </c>
      <c r="B294" s="376" t="s">
        <v>2709</v>
      </c>
      <c r="C294" s="372">
        <v>12.55</v>
      </c>
      <c r="D294" s="372">
        <f xml:space="preserve"> [1]!'2845.TW-PreClose'</f>
        <v>12.55</v>
      </c>
      <c r="E294" s="372">
        <f xml:space="preserve"> [1]!'2845.TW-Price'</f>
        <v>12.6</v>
      </c>
      <c r="F294" s="372">
        <f xml:space="preserve"> [1]!'2845.TW-BestBid1'</f>
        <v>12.55</v>
      </c>
      <c r="G294" s="372">
        <f xml:space="preserve"> [1]!'2845.TW-BestAsk1'</f>
        <v>12.6</v>
      </c>
    </row>
    <row r="295" spans="1:7">
      <c r="A295" s="375" t="s">
        <v>1973</v>
      </c>
      <c r="B295" s="376" t="s">
        <v>2710</v>
      </c>
      <c r="C295" s="372">
        <v>10.9</v>
      </c>
      <c r="D295" s="372">
        <f xml:space="preserve"> [1]!'2867.TW-PreClose'</f>
        <v>10.9</v>
      </c>
      <c r="E295" s="372">
        <f xml:space="preserve"> [1]!'2867.TW-Price'</f>
        <v>10.8</v>
      </c>
      <c r="F295" s="372">
        <f xml:space="preserve"> [1]!'2867.TW-BestBid1'</f>
        <v>10.8</v>
      </c>
      <c r="G295" s="372">
        <f xml:space="preserve"> [1]!'2867.TW-BestAsk1'</f>
        <v>10.85</v>
      </c>
    </row>
    <row r="296" spans="1:7">
      <c r="A296" s="375" t="s">
        <v>1974</v>
      </c>
      <c r="B296" s="376" t="s">
        <v>2711</v>
      </c>
      <c r="C296" s="372">
        <v>21.2</v>
      </c>
      <c r="D296" s="372">
        <f xml:space="preserve"> [1]!'2880.TW-PreClose'</f>
        <v>21.2</v>
      </c>
      <c r="E296" s="372">
        <f xml:space="preserve"> [1]!'2880.TW-Price'</f>
        <v>21.2</v>
      </c>
      <c r="F296" s="372">
        <f xml:space="preserve"> [1]!'2880.TW-BestBid1'</f>
        <v>21.2</v>
      </c>
      <c r="G296" s="372">
        <f xml:space="preserve"> [1]!'2880.TW-BestAsk1'</f>
        <v>21.25</v>
      </c>
    </row>
    <row r="297" spans="1:7">
      <c r="A297" s="375" t="s">
        <v>1975</v>
      </c>
      <c r="B297" s="376" t="s">
        <v>2712</v>
      </c>
      <c r="C297" s="372">
        <v>44.2</v>
      </c>
      <c r="D297" s="372">
        <f xml:space="preserve"> [1]!'2881.TW-PreClose'</f>
        <v>44.2</v>
      </c>
      <c r="E297" s="372">
        <f xml:space="preserve"> [1]!'2881.TW-Price'</f>
        <v>43.95</v>
      </c>
      <c r="F297" s="372">
        <f xml:space="preserve"> [1]!'2881.TW-BestBid1'</f>
        <v>43.95</v>
      </c>
      <c r="G297" s="372">
        <f xml:space="preserve"> [1]!'2881.TW-BestAsk1'</f>
        <v>44</v>
      </c>
    </row>
    <row r="298" spans="1:7">
      <c r="A298" s="375" t="s">
        <v>1976</v>
      </c>
      <c r="B298" s="376" t="s">
        <v>2713</v>
      </c>
      <c r="C298" s="372">
        <v>41.95</v>
      </c>
      <c r="D298" s="372">
        <f xml:space="preserve"> [1]!'2882.TW-PreClose'</f>
        <v>41.95</v>
      </c>
      <c r="E298" s="372">
        <f xml:space="preserve"> [1]!'2882.TW-Price'</f>
        <v>41.6</v>
      </c>
      <c r="F298" s="372">
        <f xml:space="preserve"> [1]!'2882.TW-BestBid1'</f>
        <v>41.6</v>
      </c>
      <c r="G298" s="372">
        <f xml:space="preserve"> [1]!'2882.TW-BestAsk1'</f>
        <v>41.65</v>
      </c>
    </row>
    <row r="299" spans="1:7">
      <c r="A299" s="375" t="s">
        <v>1977</v>
      </c>
      <c r="B299" s="376" t="s">
        <v>2714</v>
      </c>
      <c r="C299" s="372">
        <v>9.48</v>
      </c>
      <c r="D299" s="372">
        <f xml:space="preserve"> [1]!'2883.TW-PreClose'</f>
        <v>9.48</v>
      </c>
      <c r="E299" s="372">
        <f xml:space="preserve"> [1]!'2883.TW-Price'</f>
        <v>9.41</v>
      </c>
      <c r="F299" s="372">
        <f xml:space="preserve"> [1]!'2883.TW-BestBid1'</f>
        <v>9.41</v>
      </c>
      <c r="G299" s="372">
        <f xml:space="preserve"> [1]!'2883.TW-BestAsk1'</f>
        <v>9.42</v>
      </c>
    </row>
    <row r="300" spans="1:7">
      <c r="A300" s="375" t="s">
        <v>1978</v>
      </c>
      <c r="B300" s="376" t="s">
        <v>2715</v>
      </c>
      <c r="C300" s="372">
        <v>27.2</v>
      </c>
      <c r="D300" s="372">
        <f xml:space="preserve"> [1]!'2884.TW-PreClose'</f>
        <v>27.2</v>
      </c>
      <c r="E300" s="372">
        <f xml:space="preserve"> [1]!'2884.TW-Price'</f>
        <v>27.35</v>
      </c>
      <c r="F300" s="372">
        <f xml:space="preserve"> [1]!'2884.TW-BestBid1'</f>
        <v>27.3</v>
      </c>
      <c r="G300" s="372">
        <f xml:space="preserve"> [1]!'2884.TW-BestAsk1'</f>
        <v>27.35</v>
      </c>
    </row>
    <row r="301" spans="1:7">
      <c r="A301" s="375" t="s">
        <v>1979</v>
      </c>
      <c r="B301" s="376" t="s">
        <v>2716</v>
      </c>
      <c r="C301" s="372">
        <v>18</v>
      </c>
      <c r="D301" s="372">
        <f xml:space="preserve"> [1]!'2885.TW-PreClose'</f>
        <v>18</v>
      </c>
      <c r="E301" s="372">
        <f xml:space="preserve"> [1]!'2885.TW-Price'</f>
        <v>18.05</v>
      </c>
      <c r="F301" s="372">
        <f xml:space="preserve"> [1]!'2885.TW-BestBid1'</f>
        <v>18</v>
      </c>
      <c r="G301" s="372">
        <f xml:space="preserve"> [1]!'2885.TW-BestAsk1'</f>
        <v>18.05</v>
      </c>
    </row>
    <row r="302" spans="1:7">
      <c r="A302" s="375" t="s">
        <v>1980</v>
      </c>
      <c r="B302" s="376" t="s">
        <v>2717</v>
      </c>
      <c r="C302" s="372">
        <v>31.85</v>
      </c>
      <c r="D302" s="372">
        <f xml:space="preserve"> [1]!'2886.TW-PreClose'</f>
        <v>31.85</v>
      </c>
      <c r="E302" s="372">
        <f xml:space="preserve"> [1]!'2886.TW-Price'</f>
        <v>31.85</v>
      </c>
      <c r="F302" s="372">
        <f xml:space="preserve"> [1]!'2886.TW-BestBid1'</f>
        <v>31.85</v>
      </c>
      <c r="G302" s="372">
        <f xml:space="preserve"> [1]!'2886.TW-BestAsk1'</f>
        <v>31.9</v>
      </c>
    </row>
    <row r="303" spans="1:7">
      <c r="A303" s="375" t="s">
        <v>1981</v>
      </c>
      <c r="B303" s="376" t="s">
        <v>2718</v>
      </c>
      <c r="C303" s="372">
        <v>14.5</v>
      </c>
      <c r="D303" s="372">
        <f xml:space="preserve"> [1]!'2887.TW-PreClose'</f>
        <v>14.5</v>
      </c>
      <c r="E303" s="372">
        <f xml:space="preserve"> [1]!'2887.TW-Price'</f>
        <v>14.55</v>
      </c>
      <c r="F303" s="372">
        <f xml:space="preserve"> [1]!'2887.TW-BestBid1'</f>
        <v>14.55</v>
      </c>
      <c r="G303" s="372">
        <f xml:space="preserve"> [1]!'2887.TW-BestAsk1'</f>
        <v>14.6</v>
      </c>
    </row>
    <row r="304" spans="1:7">
      <c r="A304" s="375" t="s">
        <v>1982</v>
      </c>
      <c r="B304" s="376" t="s">
        <v>2719</v>
      </c>
      <c r="C304" s="372">
        <v>9.41</v>
      </c>
      <c r="D304" s="372">
        <f xml:space="preserve"> [1]!'2888.TW-PreClose'</f>
        <v>9.41</v>
      </c>
      <c r="E304" s="372">
        <f xml:space="preserve"> [1]!'2888.TW-Price'</f>
        <v>9.35</v>
      </c>
      <c r="F304" s="372">
        <f xml:space="preserve"> [1]!'2888.TW-BestBid1'</f>
        <v>9.35</v>
      </c>
      <c r="G304" s="372">
        <f xml:space="preserve"> [1]!'2888.TW-BestAsk1'</f>
        <v>9.36</v>
      </c>
    </row>
    <row r="305" spans="1:7">
      <c r="A305" s="375" t="s">
        <v>1983</v>
      </c>
      <c r="B305" s="376" t="s">
        <v>2720</v>
      </c>
      <c r="C305" s="372">
        <v>10.75</v>
      </c>
      <c r="D305" s="372">
        <f xml:space="preserve"> [1]!'2889.TW-PreClose'</f>
        <v>10.75</v>
      </c>
      <c r="E305" s="372">
        <f xml:space="preserve"> [1]!'2889.TW-Price'</f>
        <v>10.8</v>
      </c>
      <c r="F305" s="372">
        <f xml:space="preserve"> [1]!'2889.TW-BestBid1'</f>
        <v>10.75</v>
      </c>
      <c r="G305" s="372">
        <f xml:space="preserve"> [1]!'2889.TW-BestAsk1'</f>
        <v>10.8</v>
      </c>
    </row>
    <row r="306" spans="1:7">
      <c r="A306" s="375" t="s">
        <v>1984</v>
      </c>
      <c r="B306" s="376" t="s">
        <v>2721</v>
      </c>
      <c r="C306" s="372">
        <v>12.65</v>
      </c>
      <c r="D306" s="372">
        <f xml:space="preserve"> [1]!'2890.TW-PreClose'</f>
        <v>12.65</v>
      </c>
      <c r="E306" s="372">
        <f xml:space="preserve"> [1]!'2890.TW-Price'</f>
        <v>12.5</v>
      </c>
      <c r="F306" s="372">
        <f xml:space="preserve"> [1]!'2890.TW-BestBid1'</f>
        <v>12.5</v>
      </c>
      <c r="G306" s="372">
        <f xml:space="preserve"> [1]!'2890.TW-BestAsk1'</f>
        <v>12.55</v>
      </c>
    </row>
    <row r="307" spans="1:7">
      <c r="A307" s="375" t="s">
        <v>1985</v>
      </c>
      <c r="B307" s="376" t="s">
        <v>2722</v>
      </c>
      <c r="C307" s="372">
        <v>21.75</v>
      </c>
      <c r="D307" s="372">
        <f xml:space="preserve"> [1]!'2891.TW-PreClose'</f>
        <v>21.75</v>
      </c>
      <c r="E307" s="372">
        <f xml:space="preserve"> [1]!'2891.TW-Price'</f>
        <v>21.6</v>
      </c>
      <c r="F307" s="372">
        <f xml:space="preserve"> [1]!'2891.TW-BestBid1'</f>
        <v>21.6</v>
      </c>
      <c r="G307" s="372">
        <f xml:space="preserve"> [1]!'2891.TW-BestAsk1'</f>
        <v>21.65</v>
      </c>
    </row>
    <row r="308" spans="1:7">
      <c r="A308" s="375" t="s">
        <v>1986</v>
      </c>
      <c r="B308" s="376" t="s">
        <v>2723</v>
      </c>
      <c r="C308" s="372">
        <v>22.9</v>
      </c>
      <c r="D308" s="372">
        <f xml:space="preserve"> [1]!'2892.TW-PreClose'</f>
        <v>22.9</v>
      </c>
      <c r="E308" s="372">
        <f xml:space="preserve"> [1]!'2892.TW-Price'</f>
        <v>22.85</v>
      </c>
      <c r="F308" s="372">
        <f xml:space="preserve"> [1]!'2892.TW-BestBid1'</f>
        <v>22.85</v>
      </c>
      <c r="G308" s="372">
        <f xml:space="preserve"> [1]!'2892.TW-BestAsk1'</f>
        <v>22.9</v>
      </c>
    </row>
    <row r="309" spans="1:7">
      <c r="A309" s="375" t="s">
        <v>1987</v>
      </c>
      <c r="B309" s="376" t="s">
        <v>2724</v>
      </c>
      <c r="C309" s="372">
        <v>302.5</v>
      </c>
      <c r="D309" s="372">
        <f xml:space="preserve"> [1]!'2912.TW-PreClose'</f>
        <v>302.5</v>
      </c>
      <c r="E309" s="372">
        <f xml:space="preserve"> [1]!'2912.TW-Price'</f>
        <v>300</v>
      </c>
      <c r="F309" s="372">
        <f xml:space="preserve"> [1]!'2912.TW-BestBid1'</f>
        <v>300</v>
      </c>
      <c r="G309" s="372">
        <f xml:space="preserve"> [1]!'2912.TW-BestAsk1'</f>
        <v>300.5</v>
      </c>
    </row>
    <row r="310" spans="1:7">
      <c r="A310" s="375" t="s">
        <v>1988</v>
      </c>
      <c r="B310" s="376" t="s">
        <v>2725</v>
      </c>
      <c r="C310" s="372">
        <v>69.2</v>
      </c>
      <c r="D310" s="372">
        <f xml:space="preserve"> [1]!'2915.TW-PreClose'</f>
        <v>69.2</v>
      </c>
      <c r="E310" s="372">
        <f xml:space="preserve"> [1]!'2915.TW-Price'</f>
        <v>68.7</v>
      </c>
      <c r="F310" s="372">
        <f xml:space="preserve"> [1]!'2915.TW-BestBid1'</f>
        <v>68.7</v>
      </c>
      <c r="G310" s="372">
        <f xml:space="preserve"> [1]!'2915.TW-BestAsk1'</f>
        <v>68.8</v>
      </c>
    </row>
    <row r="311" spans="1:7">
      <c r="A311" s="375" t="s">
        <v>1989</v>
      </c>
      <c r="B311" s="376" t="s">
        <v>2726</v>
      </c>
      <c r="C311" s="372">
        <v>44.8</v>
      </c>
      <c r="D311" s="372">
        <f xml:space="preserve"> [1]!'3005.TW-PreClose'</f>
        <v>44.8</v>
      </c>
      <c r="E311" s="372">
        <f xml:space="preserve"> [1]!'3005.TW-Price'</f>
        <v>44.55</v>
      </c>
      <c r="F311" s="372">
        <f xml:space="preserve"> [1]!'3005.TW-BestBid1'</f>
        <v>44.55</v>
      </c>
      <c r="G311" s="372">
        <f xml:space="preserve"> [1]!'3005.TW-BestAsk1'</f>
        <v>44.6</v>
      </c>
    </row>
    <row r="312" spans="1:7">
      <c r="A312" s="375" t="s">
        <v>1990</v>
      </c>
      <c r="B312" s="376" t="s">
        <v>2727</v>
      </c>
      <c r="C312" s="372">
        <v>4305</v>
      </c>
      <c r="D312" s="372">
        <f xml:space="preserve"> [1]!'3008.TW-PreClose'</f>
        <v>4305</v>
      </c>
      <c r="E312" s="372">
        <f xml:space="preserve"> [1]!'3008.TW-Price'</f>
        <v>4205</v>
      </c>
      <c r="F312" s="372">
        <f xml:space="preserve"> [1]!'3008.TW-BestBid1'</f>
        <v>4205</v>
      </c>
      <c r="G312" s="372">
        <f xml:space="preserve"> [1]!'3008.TW-BestAsk1'</f>
        <v>4210</v>
      </c>
    </row>
    <row r="313" spans="1:7">
      <c r="A313" s="375" t="s">
        <v>1991</v>
      </c>
      <c r="B313" s="376" t="s">
        <v>2728</v>
      </c>
      <c r="C313" s="372">
        <v>183</v>
      </c>
      <c r="D313" s="372">
        <f xml:space="preserve"> [1]!'3034.TW-PreClose'</f>
        <v>174</v>
      </c>
      <c r="E313" s="372">
        <f xml:space="preserve"> [1]!'3034.TW-Price'</f>
        <v>173.5</v>
      </c>
      <c r="F313" s="372">
        <f xml:space="preserve"> [1]!'3034.TW-BestBid1'</f>
        <v>173.5</v>
      </c>
      <c r="G313" s="372">
        <f xml:space="preserve"> [1]!'3034.TW-BestAsk1'</f>
        <v>174</v>
      </c>
    </row>
    <row r="314" spans="1:7">
      <c r="A314" s="375" t="s">
        <v>1992</v>
      </c>
      <c r="B314" s="376" t="s">
        <v>2729</v>
      </c>
      <c r="C314" s="372">
        <v>37.5</v>
      </c>
      <c r="D314" s="372">
        <f xml:space="preserve"> [1]!'3037.TW-PreClose'</f>
        <v>37.5</v>
      </c>
      <c r="E314" s="372">
        <f xml:space="preserve"> [1]!'3037.TW-Price'</f>
        <v>36.700000000000003</v>
      </c>
      <c r="F314" s="372">
        <f xml:space="preserve"> [1]!'3037.TW-BestBid1'</f>
        <v>36.700000000000003</v>
      </c>
      <c r="G314" s="372">
        <f xml:space="preserve"> [1]!'3037.TW-BestAsk1'</f>
        <v>36.75</v>
      </c>
    </row>
    <row r="315" spans="1:7">
      <c r="A315" s="375" t="s">
        <v>1993</v>
      </c>
      <c r="B315" s="376" t="s">
        <v>2730</v>
      </c>
      <c r="C315" s="372">
        <v>106.5</v>
      </c>
      <c r="D315" s="372">
        <f xml:space="preserve"> [1]!'3044.TW-PreClose'</f>
        <v>106.5</v>
      </c>
      <c r="E315" s="372">
        <f xml:space="preserve"> [1]!'3044.TW-Price'</f>
        <v>108</v>
      </c>
      <c r="F315" s="372">
        <f xml:space="preserve"> [1]!'3044.TW-BestBid1'</f>
        <v>108</v>
      </c>
      <c r="G315" s="372">
        <f xml:space="preserve"> [1]!'3044.TW-BestAsk1'</f>
        <v>108.5</v>
      </c>
    </row>
    <row r="316" spans="1:7">
      <c r="A316" s="375" t="s">
        <v>1994</v>
      </c>
      <c r="B316" s="376" t="s">
        <v>2731</v>
      </c>
      <c r="C316" s="372">
        <v>112</v>
      </c>
      <c r="D316" s="372">
        <f xml:space="preserve"> [1]!'3045.TW-PreClose'</f>
        <v>112</v>
      </c>
      <c r="E316" s="372">
        <f xml:space="preserve"> [1]!'3045.TW-Price'</f>
        <v>111.5</v>
      </c>
      <c r="F316" s="372">
        <f xml:space="preserve"> [1]!'3045.TW-BestBid1'</f>
        <v>111</v>
      </c>
      <c r="G316" s="372">
        <f xml:space="preserve"> [1]!'3045.TW-BestAsk1'</f>
        <v>111.5</v>
      </c>
    </row>
    <row r="317" spans="1:7">
      <c r="A317" s="375" t="s">
        <v>1995</v>
      </c>
      <c r="B317" s="376" t="s">
        <v>2732</v>
      </c>
      <c r="C317" s="372">
        <v>24.9</v>
      </c>
      <c r="D317" s="372">
        <f xml:space="preserve"> [1]!'3231.TW-PreClose'</f>
        <v>24.9</v>
      </c>
      <c r="E317" s="372">
        <f xml:space="preserve"> [1]!'3231.TW-Price'</f>
        <v>25.05</v>
      </c>
      <c r="F317" s="372">
        <f xml:space="preserve"> [1]!'3231.TW-BestBid1'</f>
        <v>25.05</v>
      </c>
      <c r="G317" s="372">
        <f xml:space="preserve"> [1]!'3231.TW-BestAsk1'</f>
        <v>25.1</v>
      </c>
    </row>
    <row r="318" spans="1:7">
      <c r="A318" s="375" t="s">
        <v>1996</v>
      </c>
      <c r="B318" s="376" t="s">
        <v>2733</v>
      </c>
      <c r="C318" s="372">
        <v>435</v>
      </c>
      <c r="D318" s="372">
        <f xml:space="preserve"> [1]!'3406.TW-PreClose'</f>
        <v>435</v>
      </c>
      <c r="E318" s="372">
        <f xml:space="preserve"> [1]!'3406.TW-Price'</f>
        <v>430.5</v>
      </c>
      <c r="F318" s="372">
        <f xml:space="preserve"> [1]!'3406.TW-BestBid1'</f>
        <v>430</v>
      </c>
      <c r="G318" s="372">
        <f xml:space="preserve"> [1]!'3406.TW-BestAsk1'</f>
        <v>430.5</v>
      </c>
    </row>
    <row r="319" spans="1:7">
      <c r="A319" s="375" t="s">
        <v>1997</v>
      </c>
      <c r="B319" s="376" t="s">
        <v>2734</v>
      </c>
      <c r="C319" s="372">
        <v>229.5</v>
      </c>
      <c r="D319" s="372">
        <f xml:space="preserve"> [1]!'3443.TW-PreClose'</f>
        <v>229.5</v>
      </c>
      <c r="E319" s="372">
        <f xml:space="preserve"> [1]!'3443.TW-Price'</f>
        <v>234.5</v>
      </c>
      <c r="F319" s="372">
        <f xml:space="preserve"> [1]!'3443.TW-BestBid1'</f>
        <v>234.5</v>
      </c>
      <c r="G319" s="372">
        <f xml:space="preserve"> [1]!'3443.TW-BestAsk1'</f>
        <v>235</v>
      </c>
    </row>
    <row r="320" spans="1:7">
      <c r="A320" s="375" t="s">
        <v>1998</v>
      </c>
      <c r="B320" s="376" t="s">
        <v>2735</v>
      </c>
      <c r="C320" s="372">
        <v>7.41</v>
      </c>
      <c r="D320" s="372">
        <f xml:space="preserve"> [1]!'3481.TW-PreClose'</f>
        <v>7.35</v>
      </c>
      <c r="E320" s="372">
        <f xml:space="preserve"> [1]!'3481.TW-Price'</f>
        <v>7.26</v>
      </c>
      <c r="F320" s="372">
        <f xml:space="preserve"> [1]!'3481.TW-BestBid1'</f>
        <v>7.26</v>
      </c>
      <c r="G320" s="372">
        <f xml:space="preserve"> [1]!'3481.TW-BestAsk1'</f>
        <v>7.27</v>
      </c>
    </row>
    <row r="321" spans="1:7">
      <c r="A321" s="375" t="s">
        <v>1999</v>
      </c>
      <c r="B321" s="376" t="s">
        <v>2736</v>
      </c>
      <c r="C321" s="372">
        <v>110.5</v>
      </c>
      <c r="D321" s="372">
        <f xml:space="preserve"> [1]!'3532.TW-PreClose'</f>
        <v>110.5</v>
      </c>
      <c r="E321" s="372">
        <f xml:space="preserve"> [1]!'3532.TW-Price'</f>
        <v>107.5</v>
      </c>
      <c r="F321" s="372">
        <f xml:space="preserve"> [1]!'3532.TW-BestBid1'</f>
        <v>107.5</v>
      </c>
      <c r="G321" s="372">
        <f xml:space="preserve"> [1]!'3532.TW-BestAsk1'</f>
        <v>108</v>
      </c>
    </row>
    <row r="322" spans="1:7">
      <c r="A322" s="375" t="s">
        <v>2000</v>
      </c>
      <c r="B322" s="376" t="s">
        <v>2737</v>
      </c>
      <c r="C322" s="372">
        <v>7.33</v>
      </c>
      <c r="D322" s="372">
        <f xml:space="preserve"> [1]!'3682.TW-PreClose'</f>
        <v>7.33</v>
      </c>
      <c r="E322" s="372">
        <f xml:space="preserve"> [1]!'3682.TW-Price'</f>
        <v>7.35</v>
      </c>
      <c r="F322" s="372">
        <f xml:space="preserve"> [1]!'3682.TW-BestBid1'</f>
        <v>7.35</v>
      </c>
      <c r="G322" s="372">
        <f xml:space="preserve"> [1]!'3682.TW-BestAsk1'</f>
        <v>7.36</v>
      </c>
    </row>
    <row r="323" spans="1:7">
      <c r="A323" s="375" t="s">
        <v>2001</v>
      </c>
      <c r="B323" s="376" t="s">
        <v>2738</v>
      </c>
      <c r="C323" s="372">
        <v>41.45</v>
      </c>
      <c r="D323" s="372">
        <f xml:space="preserve"> [1]!'3702.TW-PreClose'</f>
        <v>41.45</v>
      </c>
      <c r="E323" s="372">
        <f xml:space="preserve"> [1]!'3702.TW-Price'</f>
        <v>41.4</v>
      </c>
      <c r="F323" s="372">
        <f xml:space="preserve"> [1]!'3702.TW-BestBid1'</f>
        <v>41.4</v>
      </c>
      <c r="G323" s="372">
        <f xml:space="preserve"> [1]!'3702.TW-BestAsk1'</f>
        <v>41.45</v>
      </c>
    </row>
    <row r="324" spans="1:7">
      <c r="A324" s="375" t="s">
        <v>2002</v>
      </c>
      <c r="B324" s="376" t="s">
        <v>2739</v>
      </c>
      <c r="C324" s="372">
        <v>32</v>
      </c>
      <c r="D324" s="372">
        <f xml:space="preserve"> [1]!'3706.TW-PreClose'</f>
        <v>32</v>
      </c>
      <c r="E324" s="372">
        <f xml:space="preserve"> [1]!'3706.TW-Price'</f>
        <v>32.15</v>
      </c>
      <c r="F324" s="372">
        <f xml:space="preserve"> [1]!'3706.TW-BestBid1'</f>
        <v>32.15</v>
      </c>
      <c r="G324" s="372">
        <f xml:space="preserve"> [1]!'3706.TW-BestAsk1'</f>
        <v>32.200000000000003</v>
      </c>
    </row>
    <row r="325" spans="1:7">
      <c r="A325" s="375" t="s">
        <v>2003</v>
      </c>
      <c r="B325" s="376" t="s">
        <v>2740</v>
      </c>
      <c r="C325" s="372">
        <v>68.400000000000006</v>
      </c>
      <c r="D325" s="372">
        <f xml:space="preserve"> [1]!'3711.TW-PreClose'</f>
        <v>68.400000000000006</v>
      </c>
      <c r="E325" s="372">
        <f xml:space="preserve"> [1]!'3711.TW-Price'</f>
        <v>67.5</v>
      </c>
      <c r="F325" s="372">
        <f xml:space="preserve"> [1]!'3711.TW-BestBid1'</f>
        <v>67.5</v>
      </c>
      <c r="G325" s="372">
        <f xml:space="preserve"> [1]!'3711.TW-BestAsk1'</f>
        <v>67.599999999999994</v>
      </c>
    </row>
    <row r="326" spans="1:7">
      <c r="A326" s="375" t="s">
        <v>2004</v>
      </c>
      <c r="B326" s="376" t="s">
        <v>2741</v>
      </c>
      <c r="C326" s="372">
        <v>75.400000000000006</v>
      </c>
      <c r="D326" s="372">
        <f xml:space="preserve"> [1]!'4904.TW-PreClose'</f>
        <v>75.400000000000006</v>
      </c>
      <c r="E326" s="372">
        <f xml:space="preserve"> [1]!'4904.TW-Price'</f>
        <v>75.8</v>
      </c>
      <c r="F326" s="372">
        <f xml:space="preserve"> [1]!'4904.TW-BestBid1'</f>
        <v>75.8</v>
      </c>
      <c r="G326" s="372">
        <f xml:space="preserve"> [1]!'4904.TW-BestAsk1'</f>
        <v>75.900000000000006</v>
      </c>
    </row>
    <row r="327" spans="1:7">
      <c r="A327" s="375" t="s">
        <v>2005</v>
      </c>
      <c r="B327" s="376" t="s">
        <v>2742</v>
      </c>
      <c r="C327" s="372">
        <v>55.5</v>
      </c>
      <c r="D327" s="372">
        <f xml:space="preserve"> [1]!'4938.TW-PreClose'</f>
        <v>55.5</v>
      </c>
      <c r="E327" s="372">
        <f xml:space="preserve"> [1]!'4938.TW-Price'</f>
        <v>55</v>
      </c>
      <c r="F327" s="372">
        <f xml:space="preserve"> [1]!'4938.TW-BestBid1'</f>
        <v>55</v>
      </c>
      <c r="G327" s="372">
        <f xml:space="preserve"> [1]!'4938.TW-BestAsk1'</f>
        <v>55.2</v>
      </c>
    </row>
    <row r="328" spans="1:7">
      <c r="A328" s="375" t="s">
        <v>2006</v>
      </c>
      <c r="B328" s="376" t="s">
        <v>2743</v>
      </c>
      <c r="C328" s="372">
        <v>104</v>
      </c>
      <c r="D328" s="372">
        <f xml:space="preserve"> [1]!'4958.TW-PreClose'</f>
        <v>104</v>
      </c>
      <c r="E328" s="372">
        <f xml:space="preserve"> [1]!'4958.TW-Price'</f>
        <v>104.5</v>
      </c>
      <c r="F328" s="372">
        <f xml:space="preserve"> [1]!'4958.TW-BestBid1'</f>
        <v>104</v>
      </c>
      <c r="G328" s="372">
        <f xml:space="preserve"> [1]!'4958.TW-BestAsk1'</f>
        <v>104.5</v>
      </c>
    </row>
    <row r="329" spans="1:7">
      <c r="A329" s="375" t="s">
        <v>2007</v>
      </c>
      <c r="B329" s="376" t="s">
        <v>2744</v>
      </c>
      <c r="C329" s="372">
        <v>520</v>
      </c>
      <c r="D329" s="372">
        <f xml:space="preserve"> [1]!'5269.TW-PreClose'</f>
        <v>520</v>
      </c>
      <c r="E329" s="372">
        <f xml:space="preserve"> [1]!'5269.TW-Price'</f>
        <v>532</v>
      </c>
      <c r="F329" s="372">
        <f xml:space="preserve"> [1]!'5269.TW-BestBid1'</f>
        <v>530</v>
      </c>
      <c r="G329" s="372">
        <f xml:space="preserve"> [1]!'5269.TW-BestAsk1'</f>
        <v>532</v>
      </c>
    </row>
    <row r="330" spans="1:7">
      <c r="A330" s="375" t="s">
        <v>2008</v>
      </c>
      <c r="B330" s="376" t="s">
        <v>2745</v>
      </c>
      <c r="C330" s="372">
        <v>41</v>
      </c>
      <c r="D330" s="372">
        <f xml:space="preserve"> [1]!'5522.TW-PreClose'</f>
        <v>41</v>
      </c>
      <c r="E330" s="372">
        <f xml:space="preserve"> [1]!'5522.TW-Price'</f>
        <v>40.799999999999997</v>
      </c>
      <c r="F330" s="372">
        <f xml:space="preserve"> [1]!'5522.TW-BestBid1'</f>
        <v>40.75</v>
      </c>
      <c r="G330" s="372">
        <f xml:space="preserve"> [1]!'5522.TW-BestAsk1'</f>
        <v>40.799999999999997</v>
      </c>
    </row>
    <row r="331" spans="1:7">
      <c r="A331" s="375" t="s">
        <v>2009</v>
      </c>
      <c r="B331" s="376" t="s">
        <v>2746</v>
      </c>
      <c r="C331" s="372">
        <v>89.6</v>
      </c>
      <c r="D331" s="372">
        <f xml:space="preserve"> [1]!'5534.TW-PreClose'</f>
        <v>89.6</v>
      </c>
      <c r="E331" s="372">
        <f xml:space="preserve"> [1]!'5534.TW-Price'</f>
        <v>89.5</v>
      </c>
      <c r="F331" s="372">
        <f xml:space="preserve"> [1]!'5534.TW-BestBid1'</f>
        <v>89.4</v>
      </c>
      <c r="G331" s="372">
        <f xml:space="preserve"> [1]!'5534.TW-BestAsk1'</f>
        <v>89.5</v>
      </c>
    </row>
    <row r="332" spans="1:7">
      <c r="A332" s="375" t="s">
        <v>2010</v>
      </c>
      <c r="B332" s="376" t="s">
        <v>2747</v>
      </c>
      <c r="C332" s="372">
        <v>136.5</v>
      </c>
      <c r="D332" s="372">
        <f xml:space="preserve"> [1]!'5871.TW-PreClose'</f>
        <v>136.5</v>
      </c>
      <c r="E332" s="372">
        <f xml:space="preserve"> [1]!'5871.TW-Price'</f>
        <v>135</v>
      </c>
      <c r="F332" s="372">
        <f xml:space="preserve"> [1]!'5871.TW-BestBid1'</f>
        <v>134.5</v>
      </c>
      <c r="G332" s="372">
        <f xml:space="preserve"> [1]!'5871.TW-BestAsk1'</f>
        <v>135</v>
      </c>
    </row>
    <row r="333" spans="1:7">
      <c r="A333" s="375" t="s">
        <v>2011</v>
      </c>
      <c r="B333" s="376" t="s">
        <v>2748</v>
      </c>
      <c r="C333" s="372">
        <v>57.5</v>
      </c>
      <c r="D333" s="372">
        <f xml:space="preserve"> [1]!'5876.TW-PreClose'</f>
        <v>57.5</v>
      </c>
      <c r="E333" s="372">
        <f xml:space="preserve"> [1]!'5876.TW-Price'</f>
        <v>57.2</v>
      </c>
      <c r="F333" s="372">
        <f xml:space="preserve"> [1]!'5876.TW-BestBid1'</f>
        <v>57.2</v>
      </c>
      <c r="G333" s="372">
        <f xml:space="preserve"> [1]!'5876.TW-BestAsk1'</f>
        <v>57.3</v>
      </c>
    </row>
    <row r="334" spans="1:7">
      <c r="A334" s="375" t="s">
        <v>2012</v>
      </c>
      <c r="B334" s="376" t="s">
        <v>2749</v>
      </c>
      <c r="C334" s="372">
        <v>20.85</v>
      </c>
      <c r="D334" s="372">
        <f xml:space="preserve"> [1]!'5880.TW-PreClose'</f>
        <v>20.85</v>
      </c>
      <c r="E334" s="372">
        <f xml:space="preserve"> [1]!'5880.TW-Price'</f>
        <v>20.8</v>
      </c>
      <c r="F334" s="372">
        <f xml:space="preserve"> [1]!'5880.TW-BestBid1'</f>
        <v>20.8</v>
      </c>
      <c r="G334" s="372">
        <f xml:space="preserve"> [1]!'5880.TW-BestAsk1'</f>
        <v>20.85</v>
      </c>
    </row>
    <row r="335" spans="1:7">
      <c r="A335" s="375" t="s">
        <v>2013</v>
      </c>
      <c r="B335" s="376" t="s">
        <v>2750</v>
      </c>
      <c r="C335" s="372">
        <v>116</v>
      </c>
      <c r="D335" s="372">
        <f xml:space="preserve"> [1]!'6176.TW-PreClose'</f>
        <v>116</v>
      </c>
      <c r="E335" s="372">
        <f xml:space="preserve"> [1]!'6176.TW-Price'</f>
        <v>119.5</v>
      </c>
      <c r="F335" s="372">
        <f xml:space="preserve"> [1]!'6176.TW-BestBid1'</f>
        <v>119.5</v>
      </c>
      <c r="G335" s="372">
        <f xml:space="preserve"> [1]!'6176.TW-BestAsk1'</f>
        <v>120</v>
      </c>
    </row>
    <row r="336" spans="1:7">
      <c r="A336" s="375" t="s">
        <v>2014</v>
      </c>
      <c r="B336" s="376" t="s">
        <v>2751</v>
      </c>
      <c r="C336" s="372">
        <v>78.599999999999994</v>
      </c>
      <c r="D336" s="372">
        <f xml:space="preserve"> [1]!'6239.TW-PreClose'</f>
        <v>78.599999999999994</v>
      </c>
      <c r="E336" s="372">
        <f xml:space="preserve"> [1]!'6239.TW-Price'</f>
        <v>78.5</v>
      </c>
      <c r="F336" s="372">
        <f xml:space="preserve"> [1]!'6239.TW-BestBid1'</f>
        <v>78.400000000000006</v>
      </c>
      <c r="G336" s="372">
        <f xml:space="preserve"> [1]!'6239.TW-BestAsk1'</f>
        <v>78.5</v>
      </c>
    </row>
    <row r="337" spans="1:7">
      <c r="A337" s="375" t="s">
        <v>2015</v>
      </c>
      <c r="B337" s="376" t="s">
        <v>2752</v>
      </c>
      <c r="C337" s="372">
        <v>91.5</v>
      </c>
      <c r="D337" s="372">
        <f xml:space="preserve"> [1]!'6269.TW-PreClose'</f>
        <v>91.5</v>
      </c>
      <c r="E337" s="372">
        <f xml:space="preserve"> [1]!'6269.TW-Price'</f>
        <v>92</v>
      </c>
      <c r="F337" s="372">
        <f xml:space="preserve"> [1]!'6269.TW-BestBid1'</f>
        <v>92</v>
      </c>
      <c r="G337" s="372">
        <f xml:space="preserve"> [1]!'6269.TW-BestAsk1'</f>
        <v>92.1</v>
      </c>
    </row>
    <row r="338" spans="1:7">
      <c r="A338" s="375" t="s">
        <v>2016</v>
      </c>
      <c r="B338" s="376" t="s">
        <v>2753</v>
      </c>
      <c r="C338" s="372">
        <v>75.400000000000006</v>
      </c>
      <c r="D338" s="372">
        <f xml:space="preserve"> [1]!'6285.TW-PreClose'</f>
        <v>75.400000000000006</v>
      </c>
      <c r="E338" s="372">
        <f xml:space="preserve"> [1]!'6285.TW-Price'</f>
        <v>76.3</v>
      </c>
      <c r="F338" s="372">
        <f xml:space="preserve"> [1]!'6285.TW-BestBid1'</f>
        <v>76.2</v>
      </c>
      <c r="G338" s="372">
        <f xml:space="preserve"> [1]!'6285.TW-BestAsk1'</f>
        <v>76.3</v>
      </c>
    </row>
    <row r="339" spans="1:7">
      <c r="A339" s="375" t="s">
        <v>2017</v>
      </c>
      <c r="B339" s="376" t="s">
        <v>2754</v>
      </c>
      <c r="C339" s="372">
        <v>681</v>
      </c>
      <c r="D339" s="372">
        <f xml:space="preserve"> [1]!'6409.TW-PreClose'</f>
        <v>681</v>
      </c>
      <c r="E339" s="372">
        <f xml:space="preserve"> [1]!'6409.TW-Price'</f>
        <v>665</v>
      </c>
      <c r="F339" s="372">
        <f xml:space="preserve"> [1]!'6409.TW-BestBid1'</f>
        <v>663</v>
      </c>
      <c r="G339" s="372">
        <f xml:space="preserve"> [1]!'6409.TW-BestAsk1'</f>
        <v>669</v>
      </c>
    </row>
    <row r="340" spans="1:7">
      <c r="A340" s="375" t="s">
        <v>2018</v>
      </c>
      <c r="B340" s="376" t="s">
        <v>2755</v>
      </c>
      <c r="C340" s="372">
        <v>629</v>
      </c>
      <c r="D340" s="372">
        <f xml:space="preserve"> [1]!'6415.TW-PreClose'</f>
        <v>629</v>
      </c>
      <c r="E340" s="372">
        <f xml:space="preserve"> [1]!'6415.TW-Price'</f>
        <v>634</v>
      </c>
      <c r="F340" s="372">
        <f xml:space="preserve"> [1]!'6415.TW-BestBid1'</f>
        <v>634</v>
      </c>
      <c r="G340" s="372">
        <f xml:space="preserve"> [1]!'6415.TW-BestAsk1'</f>
        <v>640</v>
      </c>
    </row>
    <row r="341" spans="1:7">
      <c r="A341" s="375" t="s">
        <v>2019</v>
      </c>
      <c r="B341" s="376" t="s">
        <v>2756</v>
      </c>
      <c r="C341" s="372">
        <v>109.5</v>
      </c>
      <c r="D341" s="372">
        <f xml:space="preserve"> [1]!'6456.TW-PreClose'</f>
        <v>109.5</v>
      </c>
      <c r="E341" s="372">
        <f xml:space="preserve"> [1]!'6456.TW-Price'</f>
        <v>107.5</v>
      </c>
      <c r="F341" s="372">
        <f xml:space="preserve"> [1]!'6456.TW-BestBid1'</f>
        <v>107.5</v>
      </c>
      <c r="G341" s="372">
        <f xml:space="preserve"> [1]!'6456.TW-BestAsk1'</f>
        <v>108</v>
      </c>
    </row>
    <row r="342" spans="1:7">
      <c r="A342" s="375" t="s">
        <v>2020</v>
      </c>
      <c r="B342" s="376" t="s">
        <v>2757</v>
      </c>
      <c r="C342" s="372">
        <v>107.5</v>
      </c>
      <c r="D342" s="372">
        <f xml:space="preserve"> [1]!'6505.TW-PreClose'</f>
        <v>107.5</v>
      </c>
      <c r="E342" s="372">
        <f xml:space="preserve"> [1]!'6505.TW-Price'</f>
        <v>107.5</v>
      </c>
      <c r="F342" s="372">
        <f xml:space="preserve"> [1]!'6505.TW-BestBid1'</f>
        <v>107.5</v>
      </c>
      <c r="G342" s="372">
        <f xml:space="preserve"> [1]!'6505.TW-BestAsk1'</f>
        <v>108</v>
      </c>
    </row>
    <row r="343" spans="1:7">
      <c r="A343" s="375" t="s">
        <v>2021</v>
      </c>
      <c r="B343" s="376" t="s">
        <v>2758</v>
      </c>
      <c r="C343" s="372">
        <v>350.5</v>
      </c>
      <c r="D343" s="372">
        <f xml:space="preserve"> [1]!'6669.TW-PreClose'</f>
        <v>350.5</v>
      </c>
      <c r="E343" s="372">
        <f xml:space="preserve"> [1]!'6669.TW-Price'</f>
        <v>347.5</v>
      </c>
      <c r="F343" s="372">
        <f xml:space="preserve"> [1]!'6669.TW-BestBid1'</f>
        <v>347.5</v>
      </c>
      <c r="G343" s="372">
        <f xml:space="preserve"> [1]!'6669.TW-BestAsk1'</f>
        <v>348</v>
      </c>
    </row>
    <row r="344" spans="1:7">
      <c r="A344" s="375" t="s">
        <v>2022</v>
      </c>
      <c r="B344" s="376" t="s">
        <v>2759</v>
      </c>
      <c r="C344" s="372">
        <v>270</v>
      </c>
      <c r="D344" s="372">
        <f xml:space="preserve"> [1]!'8341.TW-PreClose'</f>
        <v>270</v>
      </c>
      <c r="E344" s="372">
        <f xml:space="preserve"> [1]!'8341.TW-Price'</f>
        <v>268.5</v>
      </c>
      <c r="F344" s="372">
        <f xml:space="preserve"> [1]!'8341.TW-BestBid1'</f>
        <v>268.5</v>
      </c>
      <c r="G344" s="372">
        <f xml:space="preserve"> [1]!'8341.TW-BestAsk1'</f>
        <v>270</v>
      </c>
    </row>
    <row r="345" spans="1:7">
      <c r="A345" s="375" t="s">
        <v>2023</v>
      </c>
      <c r="B345" s="376" t="s">
        <v>2760</v>
      </c>
      <c r="C345" s="372">
        <v>262</v>
      </c>
      <c r="D345" s="372">
        <f xml:space="preserve"> [1]!'8454.TW-PreClose'</f>
        <v>262</v>
      </c>
      <c r="E345" s="372">
        <f xml:space="preserve"> [1]!'8454.TW-Price'</f>
        <v>263</v>
      </c>
      <c r="F345" s="372">
        <f xml:space="preserve"> [1]!'8454.TW-BestBid1'</f>
        <v>263</v>
      </c>
      <c r="G345" s="372">
        <f xml:space="preserve"> [1]!'8454.TW-BestAsk1'</f>
        <v>263.5</v>
      </c>
    </row>
    <row r="346" spans="1:7">
      <c r="A346" s="375" t="s">
        <v>2024</v>
      </c>
      <c r="B346" s="376" t="s">
        <v>2761</v>
      </c>
      <c r="C346" s="372">
        <v>248</v>
      </c>
      <c r="D346" s="372">
        <f xml:space="preserve"> [1]!'8464.TW-PreClose'</f>
        <v>248</v>
      </c>
      <c r="E346" s="372">
        <f xml:space="preserve"> [1]!'8464.TW-Price'</f>
        <v>252</v>
      </c>
      <c r="F346" s="372">
        <f xml:space="preserve"> [1]!'8464.TW-BestBid1'</f>
        <v>251</v>
      </c>
      <c r="G346" s="372">
        <f xml:space="preserve"> [1]!'8464.TW-BestAsk1'</f>
        <v>252</v>
      </c>
    </row>
    <row r="347" spans="1:7">
      <c r="A347" s="375" t="s">
        <v>2025</v>
      </c>
      <c r="B347" s="376" t="s">
        <v>2762</v>
      </c>
      <c r="C347" s="372">
        <v>38.450000000000003</v>
      </c>
      <c r="D347" s="372">
        <f xml:space="preserve"> [1]!'9904.TW-PreClose'</f>
        <v>38.450000000000003</v>
      </c>
      <c r="E347" s="372">
        <f xml:space="preserve"> [1]!'9904.TW-Price'</f>
        <v>38.4</v>
      </c>
      <c r="F347" s="372">
        <f xml:space="preserve"> [1]!'9904.TW-BestBid1'</f>
        <v>38.35</v>
      </c>
      <c r="G347" s="372">
        <f xml:space="preserve"> [1]!'9904.TW-BestAsk1'</f>
        <v>38.4</v>
      </c>
    </row>
    <row r="348" spans="1:7">
      <c r="A348" s="375" t="s">
        <v>2026</v>
      </c>
      <c r="B348" s="376" t="s">
        <v>2763</v>
      </c>
      <c r="C348" s="372">
        <v>244.5</v>
      </c>
      <c r="D348" s="372">
        <f xml:space="preserve"> [1]!'9910.TW-PreClose'</f>
        <v>244.5</v>
      </c>
      <c r="E348" s="372">
        <f xml:space="preserve"> [1]!'9910.TW-Price'</f>
        <v>229.5</v>
      </c>
      <c r="F348" s="372">
        <f xml:space="preserve"> [1]!'9910.TW-BestBid1'</f>
        <v>229.5</v>
      </c>
      <c r="G348" s="372">
        <f xml:space="preserve"> [1]!'9910.TW-BestAsk1'</f>
        <v>230</v>
      </c>
    </row>
    <row r="349" spans="1:7">
      <c r="A349" s="375" t="s">
        <v>2027</v>
      </c>
      <c r="B349" s="376" t="s">
        <v>2764</v>
      </c>
      <c r="C349" s="372">
        <v>183</v>
      </c>
      <c r="D349" s="372">
        <f xml:space="preserve"> [1]!'9914.TW-PreClose'</f>
        <v>183</v>
      </c>
      <c r="E349" s="372">
        <f xml:space="preserve"> [1]!'9914.TW-Price'</f>
        <v>181</v>
      </c>
      <c r="F349" s="372">
        <f xml:space="preserve"> [1]!'9914.TW-BestBid1'</f>
        <v>181</v>
      </c>
      <c r="G349" s="372">
        <f xml:space="preserve"> [1]!'9914.TW-BestAsk1'</f>
        <v>181.5</v>
      </c>
    </row>
    <row r="350" spans="1:7">
      <c r="A350" s="375" t="s">
        <v>2028</v>
      </c>
      <c r="B350" s="376" t="s">
        <v>2765</v>
      </c>
      <c r="C350" s="372">
        <v>89.6</v>
      </c>
      <c r="D350" s="372">
        <f xml:space="preserve"> [1]!'9917.TW-PreClose'</f>
        <v>89.6</v>
      </c>
      <c r="E350" s="372">
        <f xml:space="preserve"> [1]!'9917.TW-Price'</f>
        <v>89.5</v>
      </c>
      <c r="F350" s="372">
        <f xml:space="preserve"> [1]!'9917.TW-BestBid1'</f>
        <v>89.5</v>
      </c>
      <c r="G350" s="372">
        <f xml:space="preserve"> [1]!'9917.TW-BestAsk1'</f>
        <v>89.6</v>
      </c>
    </row>
    <row r="351" spans="1:7">
      <c r="A351" s="375" t="s">
        <v>2029</v>
      </c>
      <c r="B351" s="376" t="s">
        <v>2766</v>
      </c>
      <c r="C351" s="372">
        <v>238</v>
      </c>
      <c r="D351" s="372">
        <f xml:space="preserve"> [1]!'9921.TW-PreClose'</f>
        <v>238</v>
      </c>
      <c r="E351" s="372">
        <f xml:space="preserve"> [1]!'9921.TW-Price'</f>
        <v>239</v>
      </c>
      <c r="F351" s="372">
        <f xml:space="preserve"> [1]!'9921.TW-BestBid1'</f>
        <v>238.5</v>
      </c>
      <c r="G351" s="372">
        <f xml:space="preserve"> [1]!'9921.TW-BestAsk1'</f>
        <v>239</v>
      </c>
    </row>
    <row r="352" spans="1:7">
      <c r="A352" s="375" t="s">
        <v>2030</v>
      </c>
      <c r="B352" s="376" t="s">
        <v>2767</v>
      </c>
      <c r="C352" s="372">
        <v>46</v>
      </c>
      <c r="D352" s="372">
        <f xml:space="preserve"> [1]!'9933.TW-PreClose'</f>
        <v>46</v>
      </c>
      <c r="E352" s="372">
        <f xml:space="preserve"> [1]!'9933.TW-Price'</f>
        <v>46.3</v>
      </c>
      <c r="F352" s="372">
        <f xml:space="preserve"> [1]!'9933.TW-BestBid1'</f>
        <v>46.25</v>
      </c>
      <c r="G352" s="372">
        <f xml:space="preserve"> [1]!'9933.TW-BestAsk1'</f>
        <v>46.3</v>
      </c>
    </row>
    <row r="353" spans="1:7">
      <c r="A353" s="375" t="s">
        <v>2031</v>
      </c>
      <c r="B353" s="376" t="s">
        <v>2768</v>
      </c>
      <c r="C353" s="372">
        <v>127</v>
      </c>
      <c r="D353" s="372">
        <f xml:space="preserve"> [1]!'9941.TW-PreClose'</f>
        <v>127</v>
      </c>
      <c r="E353" s="372">
        <f xml:space="preserve"> [1]!'9941.TW-Price'</f>
        <v>127.5</v>
      </c>
      <c r="F353" s="372">
        <f xml:space="preserve"> [1]!'9941.TW-BestBid1'</f>
        <v>127.5</v>
      </c>
      <c r="G353" s="372">
        <f xml:space="preserve"> [1]!'9941.TW-BestAsk1'</f>
        <v>128</v>
      </c>
    </row>
    <row r="354" spans="1:7">
      <c r="A354" s="375" t="s">
        <v>2032</v>
      </c>
      <c r="B354" s="376" t="s">
        <v>2769</v>
      </c>
      <c r="C354" s="372">
        <v>42.6</v>
      </c>
      <c r="D354" s="372">
        <f xml:space="preserve"> [1]!'9945.TW-PreClose'</f>
        <v>42.6</v>
      </c>
      <c r="E354" s="372">
        <f xml:space="preserve"> [1]!'9945.TW-Price'</f>
        <v>42.3</v>
      </c>
      <c r="F354" s="372">
        <f xml:space="preserve"> [1]!'9945.TW-BestBid1'</f>
        <v>42.25</v>
      </c>
      <c r="G354" s="372">
        <f xml:space="preserve"> [1]!'9945.TW-BestAsk1'</f>
        <v>42.3</v>
      </c>
    </row>
    <row r="355" spans="1:7">
      <c r="A355" s="372" t="s">
        <v>2775</v>
      </c>
      <c r="B355" s="384" t="s">
        <v>2776</v>
      </c>
      <c r="C355" s="372">
        <v>82.9</v>
      </c>
      <c r="D355" s="372">
        <f xml:space="preserve"> [1]!'FINYF*1.TF-PreClose'</f>
        <v>82.9</v>
      </c>
      <c r="E355" s="385">
        <f xml:space="preserve"> [1]!'FINYF*1.TF-Price'</f>
        <v>82.9</v>
      </c>
      <c r="F355" s="372">
        <f xml:space="preserve"> [1]!'FINYF*1.TF-BestBid1'</f>
        <v>82.9</v>
      </c>
      <c r="G355" s="372">
        <f xml:space="preserve"> [1]!'FINYF*1.TF-BestAsk1'</f>
        <v>82.95</v>
      </c>
    </row>
    <row r="356" spans="1:7">
      <c r="A356" s="372" t="s">
        <v>2785</v>
      </c>
      <c r="B356" s="384" t="s">
        <v>2776</v>
      </c>
      <c r="C356" s="372">
        <v>82.9</v>
      </c>
      <c r="D356" s="372">
        <f xml:space="preserve"> [1]!'FINYF*2.TF-PreClose'</f>
        <v>82.9</v>
      </c>
      <c r="E356" s="387">
        <f xml:space="preserve"> [1]!'FINYF*2.TF-Price'</f>
        <v>82.9</v>
      </c>
      <c r="F356" s="372">
        <f xml:space="preserve"> [1]!'FINYF*2.TF-BestBid1'</f>
        <v>82.85</v>
      </c>
      <c r="G356" s="372">
        <f xml:space="preserve"> [1]!'FINYF*2.TF-BestAsk1'</f>
        <v>82.95</v>
      </c>
    </row>
    <row r="357" spans="1:7">
      <c r="A357" s="372" t="s">
        <v>2779</v>
      </c>
      <c r="B357" s="384" t="s">
        <v>2780</v>
      </c>
      <c r="C357" s="387">
        <v>10813</v>
      </c>
      <c r="D357" s="372">
        <f xml:space="preserve"> [1]!'FITX*1.TF-PreClose'</f>
        <v>10813</v>
      </c>
      <c r="E357" s="372">
        <f xml:space="preserve"> [1]!'FITX*1.TF-Price'</f>
        <v>10810</v>
      </c>
      <c r="F357" s="372">
        <f xml:space="preserve"> [1]!'FITX*1.TF-BestBid1'</f>
        <v>10810</v>
      </c>
      <c r="G357" s="372">
        <f xml:space="preserve"> [1]!'FITX*1.TF-BestAsk1'</f>
        <v>10812</v>
      </c>
    </row>
    <row r="358" spans="1:7">
      <c r="A358" s="372" t="s">
        <v>2781</v>
      </c>
      <c r="B358" s="386" t="s">
        <v>2782</v>
      </c>
      <c r="C358" s="387">
        <v>10679</v>
      </c>
      <c r="D358" s="372">
        <f xml:space="preserve"> [1]!'FITX*2.TF-PreClose'</f>
        <v>10679</v>
      </c>
      <c r="E358" s="372">
        <f xml:space="preserve"> [1]!'FITX*2.TF-Price'</f>
        <v>10679</v>
      </c>
      <c r="F358" s="372">
        <f xml:space="preserve"> [1]!'FITX*2.TF-BestBid1'</f>
        <v>10679</v>
      </c>
      <c r="G358" s="372">
        <f xml:space="preserve"> [1]!'FITX*2.TF-BestAsk1'</f>
        <v>10683</v>
      </c>
    </row>
    <row r="359" spans="1:7">
      <c r="A359" s="372" t="s">
        <v>2793</v>
      </c>
      <c r="B359" s="384" t="s">
        <v>2780</v>
      </c>
      <c r="C359" s="387">
        <v>1306.8</v>
      </c>
      <c r="D359" s="372">
        <f xml:space="preserve"> [1]!'FITF*1.TF-PreClose'</f>
        <v>1306.8</v>
      </c>
      <c r="E359" s="372">
        <f xml:space="preserve"> [1]!'FITF*1.TF-Price'</f>
        <v>1304.8</v>
      </c>
      <c r="F359" s="372">
        <f xml:space="preserve"> [1]!'FITF*1.TF-BestBid1'</f>
        <v>1304.8</v>
      </c>
      <c r="G359" s="372">
        <f xml:space="preserve"> [1]!'FITF*1.TF-BestAsk1'</f>
        <v>1305.5999999999999</v>
      </c>
    </row>
    <row r="360" spans="1:7">
      <c r="A360" s="372" t="s">
        <v>2794</v>
      </c>
      <c r="B360" s="386" t="s">
        <v>2782</v>
      </c>
      <c r="C360" s="387">
        <v>1291</v>
      </c>
      <c r="D360" s="372">
        <f xml:space="preserve"> [1]!'FITF*2.TF-PreClose'</f>
        <v>1291</v>
      </c>
      <c r="E360" s="372">
        <f xml:space="preserve"> [1]!'FITF*2.TF-Price'</f>
        <v>1289</v>
      </c>
      <c r="F360" s="372">
        <f xml:space="preserve"> [1]!'FITF*2.TF-BestBid1'</f>
        <v>1288.5999999999999</v>
      </c>
      <c r="G360" s="372">
        <f xml:space="preserve"> [1]!'FITF*2.TF-BestAsk1'</f>
        <v>1289.8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723841" r:id="rId4" name="Button 1">
              <controlPr defaultSize="0" print="0" autoFill="0" autoPict="0" macro="[0]!getXQKGIDDE">
                <anchor moveWithCells="1" sizeWithCells="1">
                  <from>
                    <xdr:col>4</xdr:col>
                    <xdr:colOff>259080</xdr:colOff>
                    <xdr:row>1</xdr:row>
                    <xdr:rowOff>76200</xdr:rowOff>
                  </from>
                  <to>
                    <xdr:col>5</xdr:col>
                    <xdr:colOff>259080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1618"/>
  <sheetViews>
    <sheetView workbookViewId="0">
      <pane xSplit="1" ySplit="5" topLeftCell="B30" activePane="bottomRight" state="frozen"/>
      <selection pane="topRight" activeCell="B1" sqref="B1"/>
      <selection pane="bottomLeft" activeCell="A6" sqref="A6"/>
      <selection pane="bottomRight" activeCell="D37" sqref="D37"/>
    </sheetView>
  </sheetViews>
  <sheetFormatPr defaultColWidth="12.88671875" defaultRowHeight="16.2"/>
  <cols>
    <col min="1" max="1" width="12.88671875" style="121"/>
    <col min="2" max="2" width="22.77734375" style="121" customWidth="1"/>
    <col min="3" max="3" width="14.6640625" style="121" customWidth="1"/>
    <col min="4" max="4" width="20.21875" style="121" customWidth="1"/>
    <col min="5" max="5" width="19.109375" style="121" customWidth="1"/>
    <col min="6" max="6" width="21.44140625" style="121" customWidth="1"/>
    <col min="7" max="7" width="22.77734375" style="121" customWidth="1"/>
    <col min="8" max="8" width="23.88671875" style="121" customWidth="1"/>
    <col min="9" max="9" width="23.44140625" style="121" customWidth="1"/>
    <col min="10" max="10" width="35.77734375" style="121" customWidth="1"/>
    <col min="11" max="11" width="14.6640625" style="121" customWidth="1"/>
    <col min="12" max="12" width="15.44140625" style="121" customWidth="1"/>
    <col min="13" max="16384" width="12.88671875" style="121"/>
  </cols>
  <sheetData>
    <row r="1" spans="1:13">
      <c r="A1" s="120" t="s">
        <v>115</v>
      </c>
      <c r="B1" s="120" t="s">
        <v>116</v>
      </c>
      <c r="C1" s="120" t="s">
        <v>117</v>
      </c>
      <c r="D1" s="120" t="s">
        <v>118</v>
      </c>
      <c r="E1" s="120" t="s">
        <v>119</v>
      </c>
      <c r="F1" s="120" t="s">
        <v>120</v>
      </c>
      <c r="G1" s="120" t="s">
        <v>121</v>
      </c>
      <c r="H1" s="120" t="s">
        <v>122</v>
      </c>
      <c r="I1" s="120" t="s">
        <v>123</v>
      </c>
      <c r="J1" s="120" t="s">
        <v>124</v>
      </c>
      <c r="K1" s="120" t="s">
        <v>125</v>
      </c>
      <c r="L1" s="120" t="s">
        <v>126</v>
      </c>
      <c r="M1" s="249" t="s">
        <v>1324</v>
      </c>
    </row>
    <row r="2" spans="1:13">
      <c r="A2" s="120" t="s">
        <v>127</v>
      </c>
      <c r="B2" s="120" t="s">
        <v>128</v>
      </c>
      <c r="C2" s="120"/>
      <c r="D2" s="120"/>
      <c r="E2" s="120"/>
      <c r="F2" s="120"/>
      <c r="G2" s="120"/>
      <c r="H2" s="120"/>
      <c r="I2" s="120"/>
      <c r="J2" s="120"/>
      <c r="K2" s="120"/>
      <c r="L2" s="120"/>
    </row>
    <row r="3" spans="1:13">
      <c r="A3" s="120" t="s">
        <v>129</v>
      </c>
      <c r="B3" s="120" t="s">
        <v>130</v>
      </c>
      <c r="C3" s="120" t="s">
        <v>2474</v>
      </c>
      <c r="D3" s="120" t="s">
        <v>2476</v>
      </c>
      <c r="E3" s="120" t="s">
        <v>2478</v>
      </c>
      <c r="F3" s="120" t="s">
        <v>2480</v>
      </c>
      <c r="G3" s="120" t="s">
        <v>2481</v>
      </c>
      <c r="H3" s="120" t="s">
        <v>2483</v>
      </c>
      <c r="I3" s="120" t="s">
        <v>2485</v>
      </c>
      <c r="J3" s="120" t="s">
        <v>2487</v>
      </c>
      <c r="K3" s="120" t="s">
        <v>2488</v>
      </c>
      <c r="L3" s="120" t="s">
        <v>1835</v>
      </c>
      <c r="M3" s="249" t="s">
        <v>2489</v>
      </c>
    </row>
    <row r="5" spans="1:13" s="383" customFormat="1" ht="54.75" customHeight="1">
      <c r="A5" s="382" t="s">
        <v>57</v>
      </c>
      <c r="B5" s="382" t="s">
        <v>55</v>
      </c>
      <c r="C5" s="382" t="s">
        <v>2475</v>
      </c>
      <c r="D5" s="382" t="s">
        <v>2477</v>
      </c>
      <c r="E5" s="382" t="s">
        <v>2479</v>
      </c>
      <c r="F5" s="382" t="s">
        <v>2480</v>
      </c>
      <c r="G5" s="382" t="s">
        <v>2482</v>
      </c>
      <c r="H5" s="382" t="s">
        <v>2484</v>
      </c>
      <c r="I5" s="382" t="s">
        <v>2486</v>
      </c>
      <c r="J5" s="382" t="s">
        <v>1833</v>
      </c>
      <c r="K5" s="382" t="s">
        <v>1834</v>
      </c>
      <c r="L5" s="382" t="s">
        <v>1835</v>
      </c>
      <c r="M5" s="383" t="s">
        <v>1821</v>
      </c>
    </row>
    <row r="6" spans="1:13">
      <c r="A6" s="123" t="s">
        <v>27</v>
      </c>
      <c r="B6" s="124" t="s">
        <v>2375</v>
      </c>
      <c r="C6" s="122">
        <v>83.12</v>
      </c>
      <c r="D6" s="122">
        <v>140436788</v>
      </c>
      <c r="E6" s="122">
        <v>1689500</v>
      </c>
      <c r="F6" s="122">
        <v>500</v>
      </c>
      <c r="G6" s="122">
        <v>41561642</v>
      </c>
      <c r="H6" s="125"/>
      <c r="I6" s="122">
        <v>0</v>
      </c>
      <c r="J6" s="122" t="s">
        <v>131</v>
      </c>
      <c r="K6" s="122">
        <v>0.32</v>
      </c>
      <c r="L6" s="122">
        <v>3.5000000000000003E-2</v>
      </c>
      <c r="M6" s="121" t="s">
        <v>1325</v>
      </c>
    </row>
    <row r="7" spans="1:13">
      <c r="A7" s="123" t="s">
        <v>28</v>
      </c>
      <c r="B7" s="124" t="s">
        <v>2376</v>
      </c>
      <c r="C7" s="122">
        <v>33.21</v>
      </c>
      <c r="D7" s="122">
        <v>315449</v>
      </c>
      <c r="E7" s="122">
        <v>9500</v>
      </c>
      <c r="F7" s="122">
        <v>500</v>
      </c>
      <c r="G7" s="122">
        <v>16602574</v>
      </c>
      <c r="H7" s="125"/>
      <c r="I7" s="122">
        <v>0</v>
      </c>
      <c r="J7" s="122" t="s">
        <v>131</v>
      </c>
      <c r="K7" s="122">
        <v>0.4</v>
      </c>
      <c r="L7" s="122">
        <v>3.5000000000000003E-2</v>
      </c>
      <c r="M7" s="121" t="s">
        <v>1326</v>
      </c>
    </row>
    <row r="8" spans="1:13">
      <c r="A8" s="123" t="s">
        <v>29</v>
      </c>
      <c r="B8" s="124" t="s">
        <v>2377</v>
      </c>
      <c r="C8" s="122">
        <v>55.26</v>
      </c>
      <c r="D8" s="122">
        <v>1050010</v>
      </c>
      <c r="E8" s="122">
        <v>19000</v>
      </c>
      <c r="F8" s="122">
        <v>500</v>
      </c>
      <c r="G8" s="122">
        <v>27631839</v>
      </c>
      <c r="H8" s="122"/>
      <c r="I8" s="125">
        <v>27664471</v>
      </c>
      <c r="J8" s="122" t="s">
        <v>131</v>
      </c>
      <c r="K8" s="122">
        <v>0.15</v>
      </c>
      <c r="L8" s="122">
        <v>3.5000000000000003E-2</v>
      </c>
      <c r="M8" s="121" t="s">
        <v>1327</v>
      </c>
    </row>
    <row r="9" spans="1:13">
      <c r="A9" s="123" t="s">
        <v>30</v>
      </c>
      <c r="B9" s="124" t="s">
        <v>2378</v>
      </c>
      <c r="C9" s="122">
        <v>35.840000000000003</v>
      </c>
      <c r="D9" s="122">
        <v>232501</v>
      </c>
      <c r="E9" s="122">
        <v>6488</v>
      </c>
      <c r="F9" s="122">
        <v>500</v>
      </c>
      <c r="G9" s="122">
        <v>17917762</v>
      </c>
      <c r="H9" s="125"/>
      <c r="I9" s="122">
        <v>0</v>
      </c>
      <c r="J9" s="122" t="s">
        <v>131</v>
      </c>
      <c r="K9" s="122">
        <v>0.4</v>
      </c>
      <c r="L9" s="122">
        <v>0.04</v>
      </c>
      <c r="M9" s="121" t="s">
        <v>1328</v>
      </c>
    </row>
    <row r="10" spans="1:13">
      <c r="A10" s="123" t="s">
        <v>31</v>
      </c>
      <c r="B10" s="124" t="s">
        <v>2379</v>
      </c>
      <c r="C10" s="122">
        <v>22.85</v>
      </c>
      <c r="D10" s="122">
        <v>242744</v>
      </c>
      <c r="E10" s="122">
        <v>10624</v>
      </c>
      <c r="F10" s="122">
        <v>500</v>
      </c>
      <c r="G10" s="122">
        <v>11424342</v>
      </c>
      <c r="H10" s="125"/>
      <c r="I10" s="122">
        <v>0</v>
      </c>
      <c r="J10" s="122" t="s">
        <v>131</v>
      </c>
      <c r="K10" s="122">
        <v>0.4</v>
      </c>
      <c r="L10" s="122">
        <v>3.5000000000000003E-2</v>
      </c>
      <c r="M10" s="121" t="s">
        <v>1329</v>
      </c>
    </row>
    <row r="11" spans="1:13">
      <c r="A11" s="123" t="s">
        <v>32</v>
      </c>
      <c r="B11" s="124" t="s">
        <v>2380</v>
      </c>
      <c r="C11" s="122">
        <v>18.649999999999999</v>
      </c>
      <c r="D11" s="122">
        <v>702340</v>
      </c>
      <c r="E11" s="122">
        <v>37654</v>
      </c>
      <c r="F11" s="122">
        <v>500</v>
      </c>
      <c r="G11" s="122">
        <v>9326234</v>
      </c>
      <c r="H11" s="125"/>
      <c r="I11" s="122">
        <v>0</v>
      </c>
      <c r="J11" s="122" t="s">
        <v>131</v>
      </c>
      <c r="K11" s="122">
        <v>0.4</v>
      </c>
      <c r="L11" s="122">
        <v>3.5000000000000003E-2</v>
      </c>
      <c r="M11" s="121" t="s">
        <v>1330</v>
      </c>
    </row>
    <row r="12" spans="1:13">
      <c r="A12" s="123" t="s">
        <v>33</v>
      </c>
      <c r="B12" s="124" t="s">
        <v>2381</v>
      </c>
      <c r="C12" s="122">
        <v>27.25</v>
      </c>
      <c r="D12" s="122">
        <v>23118386</v>
      </c>
      <c r="E12" s="122">
        <v>848534</v>
      </c>
      <c r="F12" s="122">
        <v>500</v>
      </c>
      <c r="G12" s="122">
        <v>13622545</v>
      </c>
      <c r="H12" s="125"/>
      <c r="I12" s="122">
        <v>0</v>
      </c>
      <c r="J12" s="122" t="s">
        <v>131</v>
      </c>
      <c r="K12" s="122">
        <v>0.4</v>
      </c>
      <c r="L12" s="122">
        <v>3.5000000000000003E-2</v>
      </c>
      <c r="M12" s="121" t="s">
        <v>1331</v>
      </c>
    </row>
    <row r="13" spans="1:13">
      <c r="A13" s="123" t="s">
        <v>34</v>
      </c>
      <c r="B13" s="124" t="s">
        <v>2382</v>
      </c>
      <c r="C13" s="122">
        <v>52.84</v>
      </c>
      <c r="D13" s="122">
        <v>265609</v>
      </c>
      <c r="E13" s="122">
        <v>5027</v>
      </c>
      <c r="F13" s="122">
        <v>500</v>
      </c>
      <c r="G13" s="122">
        <v>26412542</v>
      </c>
      <c r="H13" s="122">
        <v>5723</v>
      </c>
      <c r="I13" s="125"/>
      <c r="J13" s="122" t="s">
        <v>131</v>
      </c>
      <c r="K13" s="122">
        <v>0.15</v>
      </c>
      <c r="L13" s="122">
        <v>3.5000000000000003E-2</v>
      </c>
      <c r="M13" s="121" t="s">
        <v>1332</v>
      </c>
    </row>
    <row r="14" spans="1:13">
      <c r="A14" s="123" t="s">
        <v>35</v>
      </c>
      <c r="B14" s="124" t="s">
        <v>2383</v>
      </c>
      <c r="C14" s="122">
        <v>47.2</v>
      </c>
      <c r="D14" s="122">
        <v>198049</v>
      </c>
      <c r="E14" s="126">
        <v>4196</v>
      </c>
      <c r="F14" s="122">
        <v>500</v>
      </c>
      <c r="G14" s="122">
        <v>23594590</v>
      </c>
      <c r="H14" s="122">
        <v>5100</v>
      </c>
      <c r="I14" s="125"/>
      <c r="J14" s="122" t="s">
        <v>131</v>
      </c>
      <c r="K14" s="122">
        <v>0.15</v>
      </c>
      <c r="L14" s="122">
        <v>3.5000000000000003E-2</v>
      </c>
      <c r="M14" s="121" t="s">
        <v>1333</v>
      </c>
    </row>
    <row r="15" spans="1:13">
      <c r="A15" s="123" t="s">
        <v>36</v>
      </c>
      <c r="B15" s="124" t="s">
        <v>2384</v>
      </c>
      <c r="C15" s="122">
        <v>47.4</v>
      </c>
      <c r="D15" s="122">
        <v>235733</v>
      </c>
      <c r="E15" s="126">
        <v>4973</v>
      </c>
      <c r="F15" s="122">
        <v>500</v>
      </c>
      <c r="G15" s="122">
        <v>23696067</v>
      </c>
      <c r="H15" s="122">
        <v>5192</v>
      </c>
      <c r="I15" s="125"/>
      <c r="J15" s="122" t="s">
        <v>131</v>
      </c>
      <c r="K15" s="122">
        <v>0.15</v>
      </c>
      <c r="L15" s="122">
        <v>3.5000000000000003E-2</v>
      </c>
      <c r="M15" s="121" t="s">
        <v>1334</v>
      </c>
    </row>
    <row r="16" spans="1:13">
      <c r="A16" s="123" t="s">
        <v>37</v>
      </c>
      <c r="B16" s="124" t="s">
        <v>2385</v>
      </c>
      <c r="C16" s="122">
        <v>18.190000000000001</v>
      </c>
      <c r="D16" s="122">
        <v>5996021</v>
      </c>
      <c r="E16" s="122">
        <v>329616</v>
      </c>
      <c r="F16" s="122">
        <v>500</v>
      </c>
      <c r="G16" s="122">
        <v>9095465</v>
      </c>
      <c r="H16" s="125"/>
      <c r="I16" s="122">
        <v>9118262</v>
      </c>
      <c r="J16" s="122" t="s">
        <v>131</v>
      </c>
      <c r="K16" s="122">
        <v>0.3</v>
      </c>
      <c r="L16" s="122">
        <v>0.1</v>
      </c>
      <c r="M16" s="121" t="s">
        <v>1335</v>
      </c>
    </row>
    <row r="17" spans="1:13">
      <c r="A17" s="123" t="s">
        <v>38</v>
      </c>
      <c r="B17" s="124" t="s">
        <v>2386</v>
      </c>
      <c r="C17" s="122">
        <v>12.95</v>
      </c>
      <c r="D17" s="122">
        <v>556193</v>
      </c>
      <c r="E17" s="122">
        <v>42946</v>
      </c>
      <c r="F17" s="122">
        <v>500</v>
      </c>
      <c r="G17" s="122">
        <v>6475495</v>
      </c>
      <c r="H17" s="125"/>
      <c r="I17" s="122">
        <v>6486972</v>
      </c>
      <c r="J17" s="122" t="s">
        <v>132</v>
      </c>
      <c r="K17" s="122">
        <v>0.4</v>
      </c>
      <c r="L17" s="122">
        <v>3.5000000000000003E-2</v>
      </c>
      <c r="M17" s="121" t="s">
        <v>1336</v>
      </c>
    </row>
    <row r="18" spans="1:13">
      <c r="A18" s="123" t="s">
        <v>39</v>
      </c>
      <c r="B18" s="124" t="s">
        <v>2387</v>
      </c>
      <c r="C18" s="122">
        <v>38.94</v>
      </c>
      <c r="D18" s="122">
        <v>397878</v>
      </c>
      <c r="E18" s="122">
        <v>10218</v>
      </c>
      <c r="F18" s="122">
        <v>500</v>
      </c>
      <c r="G18" s="122">
        <v>19469456</v>
      </c>
      <c r="H18" s="125"/>
      <c r="I18" s="122">
        <v>0</v>
      </c>
      <c r="J18" s="122" t="s">
        <v>131</v>
      </c>
      <c r="K18" s="122">
        <v>0.3</v>
      </c>
      <c r="L18" s="122">
        <v>3.5000000000000003E-2</v>
      </c>
      <c r="M18" s="121" t="s">
        <v>1332</v>
      </c>
    </row>
    <row r="19" spans="1:13">
      <c r="A19" s="123" t="s">
        <v>40</v>
      </c>
      <c r="B19" s="124" t="s">
        <v>2388</v>
      </c>
      <c r="C19" s="122">
        <v>54.69</v>
      </c>
      <c r="D19" s="122">
        <v>328165</v>
      </c>
      <c r="E19" s="122">
        <v>6000</v>
      </c>
      <c r="F19" s="122">
        <v>1000</v>
      </c>
      <c r="G19" s="122">
        <v>54694129</v>
      </c>
      <c r="H19" s="122"/>
      <c r="I19" s="125"/>
      <c r="J19" s="122" t="s">
        <v>131</v>
      </c>
      <c r="K19" s="122">
        <v>0.32</v>
      </c>
      <c r="L19" s="122">
        <v>3.5000000000000003E-2</v>
      </c>
      <c r="M19" s="121" t="s">
        <v>1337</v>
      </c>
    </row>
    <row r="20" spans="1:13">
      <c r="A20" s="123" t="s">
        <v>44</v>
      </c>
      <c r="B20" s="124" t="s">
        <v>2389</v>
      </c>
      <c r="C20" s="122">
        <v>47.23</v>
      </c>
      <c r="D20" s="122">
        <v>1678432</v>
      </c>
      <c r="E20" s="122">
        <v>35540</v>
      </c>
      <c r="F20" s="122">
        <v>500</v>
      </c>
      <c r="G20" s="122">
        <v>23613280</v>
      </c>
      <c r="H20" s="125"/>
      <c r="I20" s="122">
        <v>23641893</v>
      </c>
      <c r="J20" s="122" t="s">
        <v>131</v>
      </c>
      <c r="K20" s="122">
        <v>0.15</v>
      </c>
      <c r="L20" s="122">
        <v>3.5000000000000003E-2</v>
      </c>
      <c r="M20" s="121" t="s">
        <v>1325</v>
      </c>
    </row>
    <row r="21" spans="1:13">
      <c r="A21" s="123" t="s">
        <v>45</v>
      </c>
      <c r="B21" s="124" t="s">
        <v>2390</v>
      </c>
      <c r="C21" s="122">
        <v>40.58</v>
      </c>
      <c r="D21" s="126">
        <v>916367</v>
      </c>
      <c r="E21" s="122">
        <v>22584</v>
      </c>
      <c r="F21" s="122">
        <v>500</v>
      </c>
      <c r="G21" s="122">
        <v>20287978</v>
      </c>
      <c r="H21" s="125"/>
      <c r="I21" s="122">
        <v>20313262</v>
      </c>
      <c r="J21" s="122" t="s">
        <v>133</v>
      </c>
      <c r="K21" s="122">
        <v>1</v>
      </c>
      <c r="L21" s="122">
        <v>0.04</v>
      </c>
      <c r="M21" s="121" t="s">
        <v>1325</v>
      </c>
    </row>
    <row r="22" spans="1:13">
      <c r="A22" s="123" t="s">
        <v>25</v>
      </c>
      <c r="B22" s="124" t="s">
        <v>2391</v>
      </c>
      <c r="C22" s="122">
        <v>11.49</v>
      </c>
      <c r="D22" s="126">
        <v>55248913</v>
      </c>
      <c r="E22" s="122">
        <v>4808149</v>
      </c>
      <c r="F22" s="122">
        <v>500</v>
      </c>
      <c r="G22" s="122">
        <v>5745341</v>
      </c>
      <c r="H22" s="125"/>
      <c r="I22" s="122">
        <v>5751497</v>
      </c>
      <c r="J22" s="122" t="s">
        <v>133</v>
      </c>
      <c r="K22" s="122">
        <v>1</v>
      </c>
      <c r="L22" s="122">
        <v>0.04</v>
      </c>
      <c r="M22" s="121" t="s">
        <v>1325</v>
      </c>
    </row>
    <row r="23" spans="1:13">
      <c r="A23" s="123" t="s">
        <v>41</v>
      </c>
      <c r="B23" s="124" t="s">
        <v>2392</v>
      </c>
      <c r="C23" s="122">
        <v>31.64</v>
      </c>
      <c r="D23" s="122">
        <v>10751016</v>
      </c>
      <c r="E23" s="122">
        <v>339236</v>
      </c>
      <c r="F23" s="122">
        <v>500</v>
      </c>
      <c r="G23" s="122">
        <v>15820926</v>
      </c>
      <c r="H23" s="125"/>
      <c r="I23" s="122">
        <v>15837001</v>
      </c>
      <c r="J23" s="122" t="s">
        <v>133</v>
      </c>
      <c r="K23" s="122">
        <v>0.99</v>
      </c>
      <c r="L23" s="122">
        <v>0.1</v>
      </c>
      <c r="M23" s="121" t="s">
        <v>1338</v>
      </c>
    </row>
    <row r="24" spans="1:13">
      <c r="A24" s="123" t="s">
        <v>42</v>
      </c>
      <c r="B24" s="124" t="s">
        <v>2393</v>
      </c>
      <c r="C24" s="122">
        <v>33.36</v>
      </c>
      <c r="D24" s="122">
        <v>4179243</v>
      </c>
      <c r="E24" s="122">
        <v>125278</v>
      </c>
      <c r="F24" s="122">
        <v>500</v>
      </c>
      <c r="G24" s="122">
        <v>16679876</v>
      </c>
      <c r="H24" s="125"/>
      <c r="I24" s="122">
        <v>16704911</v>
      </c>
      <c r="J24" s="122" t="s">
        <v>133</v>
      </c>
      <c r="K24" s="122">
        <v>0.99</v>
      </c>
      <c r="L24" s="122">
        <v>0.1</v>
      </c>
      <c r="M24" s="121" t="s">
        <v>1339</v>
      </c>
    </row>
    <row r="25" spans="1:13">
      <c r="A25" s="123" t="s">
        <v>43</v>
      </c>
      <c r="B25" s="124" t="s">
        <v>2394</v>
      </c>
      <c r="C25" s="122">
        <v>23.65</v>
      </c>
      <c r="D25" s="126">
        <v>2291576</v>
      </c>
      <c r="E25" s="122">
        <v>96892</v>
      </c>
      <c r="F25" s="122">
        <v>500</v>
      </c>
      <c r="G25" s="122">
        <v>11808998</v>
      </c>
      <c r="H25" s="122">
        <v>16413</v>
      </c>
      <c r="I25" s="125">
        <v>11842237</v>
      </c>
      <c r="J25" s="122" t="s">
        <v>133</v>
      </c>
      <c r="K25" s="122">
        <v>0.75</v>
      </c>
      <c r="L25" s="122">
        <v>0.1</v>
      </c>
      <c r="M25" s="121" t="s">
        <v>1335</v>
      </c>
    </row>
    <row r="26" spans="1:13">
      <c r="A26" s="123" t="s">
        <v>56</v>
      </c>
      <c r="B26" s="124" t="s">
        <v>2395</v>
      </c>
      <c r="C26" s="122">
        <v>21.96</v>
      </c>
      <c r="D26" s="126">
        <v>8322171</v>
      </c>
      <c r="E26" s="122">
        <v>377684</v>
      </c>
      <c r="F26" s="122">
        <v>500</v>
      </c>
      <c r="G26" s="122">
        <v>10780295</v>
      </c>
      <c r="H26" s="122">
        <v>199705</v>
      </c>
      <c r="I26" s="125"/>
      <c r="J26" s="122" t="s">
        <v>133</v>
      </c>
      <c r="K26" s="122">
        <v>0.95</v>
      </c>
      <c r="L26" s="122">
        <v>0.1</v>
      </c>
      <c r="M26" s="121" t="s">
        <v>1340</v>
      </c>
    </row>
    <row r="27" spans="1:13">
      <c r="A27" s="123" t="s">
        <v>46</v>
      </c>
      <c r="B27" s="124" t="s">
        <v>2396</v>
      </c>
      <c r="C27" s="122">
        <v>107.0468</v>
      </c>
      <c r="D27" s="125"/>
      <c r="E27" s="122">
        <v>1549</v>
      </c>
      <c r="F27" s="125"/>
      <c r="G27" s="125"/>
      <c r="H27" s="125"/>
      <c r="I27" s="125"/>
      <c r="J27" s="122" t="s">
        <v>131</v>
      </c>
      <c r="K27" s="122" t="s">
        <v>134</v>
      </c>
      <c r="L27" s="122" t="s">
        <v>135</v>
      </c>
      <c r="M27" s="121" t="s">
        <v>1339</v>
      </c>
    </row>
    <row r="28" spans="1:13">
      <c r="A28" s="123" t="s">
        <v>58</v>
      </c>
      <c r="B28" s="124" t="s">
        <v>2397</v>
      </c>
      <c r="C28" s="122">
        <v>10.38</v>
      </c>
      <c r="D28" s="122">
        <v>2511769</v>
      </c>
      <c r="E28" s="122">
        <v>241903</v>
      </c>
      <c r="F28" s="122">
        <v>500</v>
      </c>
      <c r="G28" s="122">
        <v>5191686</v>
      </c>
      <c r="H28" s="125"/>
      <c r="I28" s="122">
        <v>5201878</v>
      </c>
      <c r="J28" s="122" t="s">
        <v>133</v>
      </c>
      <c r="K28" s="122">
        <v>0.99</v>
      </c>
      <c r="L28" s="122">
        <v>0.1</v>
      </c>
      <c r="M28" s="121" t="s">
        <v>1341</v>
      </c>
    </row>
    <row r="29" spans="1:13">
      <c r="A29" s="123" t="s">
        <v>59</v>
      </c>
      <c r="B29" s="124" t="s">
        <v>2398</v>
      </c>
      <c r="C29" s="122">
        <v>11.6</v>
      </c>
      <c r="D29" s="122">
        <v>2984357</v>
      </c>
      <c r="E29" s="122">
        <v>257089</v>
      </c>
      <c r="F29" s="122">
        <v>500</v>
      </c>
      <c r="G29" s="122">
        <v>5801628</v>
      </c>
      <c r="H29" s="125"/>
      <c r="I29" s="122">
        <v>5818231</v>
      </c>
      <c r="J29" s="122" t="s">
        <v>133</v>
      </c>
      <c r="K29" s="122">
        <v>0.95</v>
      </c>
      <c r="L29" s="122">
        <v>0.13</v>
      </c>
      <c r="M29" s="121" t="s">
        <v>1342</v>
      </c>
    </row>
    <row r="30" spans="1:13">
      <c r="A30" s="123" t="s">
        <v>50</v>
      </c>
      <c r="B30" s="124" t="s">
        <v>2399</v>
      </c>
      <c r="C30" s="122">
        <v>46.23</v>
      </c>
      <c r="D30" s="122">
        <v>20638249</v>
      </c>
      <c r="E30" s="122">
        <v>446458</v>
      </c>
      <c r="F30" s="122">
        <v>500</v>
      </c>
      <c r="G30" s="122">
        <v>23113315</v>
      </c>
      <c r="H30" s="125"/>
      <c r="I30" s="122">
        <v>23129872</v>
      </c>
      <c r="J30" s="122" t="s">
        <v>133</v>
      </c>
      <c r="K30" s="122">
        <v>0.99</v>
      </c>
      <c r="L30" s="122">
        <v>0.23</v>
      </c>
      <c r="M30" s="121" t="s">
        <v>1343</v>
      </c>
    </row>
    <row r="31" spans="1:13">
      <c r="A31" s="123" t="s">
        <v>51</v>
      </c>
      <c r="B31" s="124" t="s">
        <v>2400</v>
      </c>
      <c r="C31" s="122">
        <v>6.15</v>
      </c>
      <c r="D31" s="122">
        <v>789148</v>
      </c>
      <c r="E31" s="122">
        <v>128256</v>
      </c>
      <c r="F31" s="122">
        <v>500</v>
      </c>
      <c r="G31" s="122">
        <v>3076456</v>
      </c>
      <c r="H31" s="125"/>
      <c r="I31" s="122">
        <v>3082225</v>
      </c>
      <c r="J31" s="122" t="s">
        <v>133</v>
      </c>
      <c r="K31" s="122">
        <v>0.99</v>
      </c>
      <c r="L31" s="122">
        <v>0.23</v>
      </c>
      <c r="M31" s="121" t="s">
        <v>1344</v>
      </c>
    </row>
    <row r="32" spans="1:13">
      <c r="A32" s="124" t="s">
        <v>60</v>
      </c>
      <c r="B32" s="124" t="s">
        <v>2401</v>
      </c>
      <c r="C32" s="122">
        <v>17.68</v>
      </c>
      <c r="D32" s="122">
        <v>32740020</v>
      </c>
      <c r="E32" s="122">
        <v>1852106</v>
      </c>
      <c r="F32" s="122">
        <v>500</v>
      </c>
      <c r="G32" s="122">
        <v>8838593</v>
      </c>
      <c r="H32" s="125"/>
      <c r="I32" s="122">
        <v>8848022</v>
      </c>
      <c r="J32" s="122" t="s">
        <v>133</v>
      </c>
      <c r="K32" s="122">
        <v>0.99</v>
      </c>
      <c r="L32" s="122">
        <v>0.23</v>
      </c>
      <c r="M32" s="121" t="s">
        <v>1345</v>
      </c>
    </row>
    <row r="33" spans="1:14">
      <c r="A33" s="124" t="s">
        <v>61</v>
      </c>
      <c r="B33" s="124" t="s">
        <v>2402</v>
      </c>
      <c r="C33" s="122">
        <v>12.42</v>
      </c>
      <c r="D33" s="127">
        <v>738224</v>
      </c>
      <c r="E33" s="122">
        <v>59448</v>
      </c>
      <c r="F33" s="122">
        <v>500</v>
      </c>
      <c r="G33" s="122">
        <v>6208987</v>
      </c>
      <c r="H33" s="125"/>
      <c r="I33" s="122">
        <v>6215546</v>
      </c>
      <c r="J33" s="122" t="s">
        <v>133</v>
      </c>
      <c r="K33" s="122">
        <v>0.99</v>
      </c>
      <c r="L33" s="122">
        <v>0.21</v>
      </c>
      <c r="M33" s="125" t="s">
        <v>1346</v>
      </c>
      <c r="N33" s="125"/>
    </row>
    <row r="34" spans="1:14">
      <c r="A34" s="124" t="s">
        <v>81</v>
      </c>
      <c r="B34" s="124" t="s">
        <v>2403</v>
      </c>
      <c r="C34" s="122">
        <v>33.18</v>
      </c>
      <c r="D34" s="126">
        <v>8740258</v>
      </c>
      <c r="E34" s="122">
        <v>263458</v>
      </c>
      <c r="F34" s="122">
        <v>500</v>
      </c>
      <c r="G34" s="122">
        <v>16590000</v>
      </c>
      <c r="H34" s="125"/>
      <c r="I34" s="122">
        <v>16596210</v>
      </c>
      <c r="J34" s="122" t="s">
        <v>133</v>
      </c>
      <c r="K34" s="122">
        <v>0.95</v>
      </c>
      <c r="L34" s="122">
        <v>0.21</v>
      </c>
      <c r="M34" s="125" t="s">
        <v>1347</v>
      </c>
      <c r="N34" s="125"/>
    </row>
    <row r="35" spans="1:14" ht="16.8" thickBot="1">
      <c r="A35" s="146" t="s">
        <v>82</v>
      </c>
      <c r="B35" s="146" t="s">
        <v>2404</v>
      </c>
      <c r="C35" s="122">
        <v>11.3</v>
      </c>
      <c r="D35" s="135">
        <v>314896</v>
      </c>
      <c r="E35" s="136">
        <v>27857</v>
      </c>
      <c r="F35" s="122">
        <v>500</v>
      </c>
      <c r="G35" s="122">
        <v>5650000</v>
      </c>
      <c r="H35" s="125"/>
      <c r="I35" s="122">
        <v>5655133</v>
      </c>
      <c r="J35" s="122" t="s">
        <v>133</v>
      </c>
      <c r="K35" s="122">
        <v>0.95</v>
      </c>
      <c r="L35" s="122">
        <v>0.18</v>
      </c>
      <c r="M35" s="125" t="s">
        <v>1348</v>
      </c>
      <c r="N35" s="125"/>
    </row>
    <row r="36" spans="1:14">
      <c r="A36" s="148" t="s">
        <v>62</v>
      </c>
      <c r="B36" s="149" t="s">
        <v>2405</v>
      </c>
      <c r="C36" s="145">
        <v>20.57</v>
      </c>
      <c r="D36" s="139">
        <v>1141811.254</v>
      </c>
      <c r="E36" s="138">
        <v>55514</v>
      </c>
      <c r="F36" s="133">
        <v>500</v>
      </c>
      <c r="G36" s="122">
        <v>10330276</v>
      </c>
      <c r="H36" s="125"/>
      <c r="I36" s="122">
        <v>10337290</v>
      </c>
      <c r="J36" s="122" t="s">
        <v>133</v>
      </c>
      <c r="K36" s="122">
        <v>1</v>
      </c>
      <c r="L36" s="122">
        <v>0.15</v>
      </c>
      <c r="M36" s="125" t="s">
        <v>1349</v>
      </c>
      <c r="N36" s="125"/>
    </row>
    <row r="37" spans="1:14">
      <c r="A37" s="150" t="s">
        <v>63</v>
      </c>
      <c r="B37" s="151" t="s">
        <v>2406</v>
      </c>
      <c r="C37" s="145">
        <v>17.760000000000002</v>
      </c>
      <c r="D37" s="139"/>
      <c r="E37" s="140"/>
      <c r="F37" s="134">
        <v>500</v>
      </c>
      <c r="G37" s="122">
        <v>8926656</v>
      </c>
      <c r="H37" s="125"/>
      <c r="I37" s="122">
        <v>8933668</v>
      </c>
      <c r="J37" s="122" t="s">
        <v>133</v>
      </c>
      <c r="K37" s="122">
        <v>1</v>
      </c>
      <c r="L37" s="122">
        <v>0.15</v>
      </c>
      <c r="M37" s="125" t="s">
        <v>1350</v>
      </c>
      <c r="N37" s="125"/>
    </row>
    <row r="38" spans="1:14">
      <c r="A38" s="152" t="s">
        <v>64</v>
      </c>
      <c r="B38" s="151" t="s">
        <v>2407</v>
      </c>
      <c r="C38" s="145">
        <v>28.24</v>
      </c>
      <c r="D38" s="141"/>
      <c r="E38" s="142"/>
      <c r="F38" s="133">
        <v>500</v>
      </c>
      <c r="G38" s="122">
        <v>14137169</v>
      </c>
      <c r="H38" s="125"/>
      <c r="I38" s="122">
        <v>14156324</v>
      </c>
      <c r="J38" s="122" t="s">
        <v>133</v>
      </c>
      <c r="K38" s="122">
        <v>0.5</v>
      </c>
      <c r="L38" s="122">
        <v>0.21</v>
      </c>
      <c r="M38" s="125" t="s">
        <v>1351</v>
      </c>
      <c r="N38" s="125"/>
    </row>
    <row r="39" spans="1:14">
      <c r="A39" s="150" t="s">
        <v>65</v>
      </c>
      <c r="B39" s="151" t="s">
        <v>2408</v>
      </c>
      <c r="C39" s="145">
        <v>37.659999999999997</v>
      </c>
      <c r="D39" s="139"/>
      <c r="E39" s="142"/>
      <c r="F39" s="133">
        <v>500</v>
      </c>
      <c r="G39" s="122">
        <v>18769620</v>
      </c>
      <c r="H39" s="125"/>
      <c r="I39" s="122">
        <v>18789663</v>
      </c>
      <c r="J39" s="122" t="s">
        <v>133</v>
      </c>
      <c r="K39" s="122">
        <v>0.99</v>
      </c>
      <c r="L39" s="122">
        <v>0.2</v>
      </c>
      <c r="M39" s="125" t="s">
        <v>1352</v>
      </c>
      <c r="N39" s="125"/>
    </row>
    <row r="40" spans="1:14">
      <c r="A40" s="150" t="s">
        <v>66</v>
      </c>
      <c r="B40" s="151" t="s">
        <v>2409</v>
      </c>
      <c r="C40" s="145">
        <v>12.04</v>
      </c>
      <c r="D40" s="139"/>
      <c r="E40" s="142"/>
      <c r="F40" s="133">
        <v>500</v>
      </c>
      <c r="G40" s="122">
        <v>6033709</v>
      </c>
      <c r="H40" s="125"/>
      <c r="I40" s="122">
        <v>6039925</v>
      </c>
      <c r="J40" s="122" t="s">
        <v>133</v>
      </c>
      <c r="K40" s="122">
        <v>0.99</v>
      </c>
      <c r="L40" s="122">
        <v>0.18</v>
      </c>
      <c r="M40" s="125" t="s">
        <v>1353</v>
      </c>
      <c r="N40" s="125"/>
    </row>
    <row r="41" spans="1:14">
      <c r="A41" s="153" t="s">
        <v>67</v>
      </c>
      <c r="B41" s="154" t="s">
        <v>2410</v>
      </c>
      <c r="C41" s="145">
        <v>24.68</v>
      </c>
      <c r="D41" s="141"/>
      <c r="E41" s="140"/>
      <c r="F41" s="134">
        <v>500</v>
      </c>
      <c r="G41" s="122">
        <v>12265899</v>
      </c>
      <c r="H41" s="125"/>
      <c r="I41" s="122">
        <v>12295431</v>
      </c>
      <c r="J41" s="122" t="s">
        <v>133</v>
      </c>
      <c r="K41" s="122">
        <v>0.99</v>
      </c>
      <c r="L41" s="122">
        <v>0.26</v>
      </c>
      <c r="M41" s="125" t="s">
        <v>1354</v>
      </c>
      <c r="N41" s="125"/>
    </row>
    <row r="42" spans="1:14">
      <c r="A42" s="153" t="s">
        <v>68</v>
      </c>
      <c r="B42" s="154" t="s">
        <v>2411</v>
      </c>
      <c r="C42" s="145">
        <v>29.74</v>
      </c>
      <c r="D42" s="141"/>
      <c r="E42" s="140"/>
      <c r="F42" s="134">
        <v>500</v>
      </c>
      <c r="G42" s="122">
        <v>14693955</v>
      </c>
      <c r="H42" s="125"/>
      <c r="I42" s="122">
        <v>14713649</v>
      </c>
      <c r="J42" s="122" t="s">
        <v>133</v>
      </c>
      <c r="K42" s="122">
        <v>0.99</v>
      </c>
      <c r="L42" s="122">
        <v>0.23</v>
      </c>
      <c r="M42" s="125" t="s">
        <v>1355</v>
      </c>
      <c r="N42" s="127"/>
    </row>
    <row r="43" spans="1:14" ht="16.8" thickBot="1">
      <c r="A43" s="155" t="s">
        <v>69</v>
      </c>
      <c r="B43" s="156" t="s">
        <v>2412</v>
      </c>
      <c r="C43" s="145">
        <v>13.97</v>
      </c>
      <c r="D43" s="143"/>
      <c r="E43" s="144"/>
      <c r="F43" s="133">
        <v>500</v>
      </c>
      <c r="G43" s="122">
        <v>7049010</v>
      </c>
      <c r="H43" s="125"/>
      <c r="I43" s="122">
        <v>7057535</v>
      </c>
      <c r="J43" s="122" t="s">
        <v>133</v>
      </c>
      <c r="K43" s="122">
        <v>0.99</v>
      </c>
      <c r="L43" s="122">
        <v>0.23</v>
      </c>
      <c r="M43" s="125" t="s">
        <v>1356</v>
      </c>
      <c r="N43" s="127"/>
    </row>
    <row r="44" spans="1:14">
      <c r="A44" s="147" t="s">
        <v>83</v>
      </c>
      <c r="B44" s="137" t="s">
        <v>2413</v>
      </c>
      <c r="C44" s="122">
        <v>21.92</v>
      </c>
      <c r="D44" s="137">
        <v>115579</v>
      </c>
      <c r="E44" s="137">
        <v>5272</v>
      </c>
      <c r="F44" s="122">
        <v>500</v>
      </c>
      <c r="G44" s="122">
        <v>10961630</v>
      </c>
      <c r="H44" s="122">
        <v>0</v>
      </c>
      <c r="I44" s="125">
        <v>10999515</v>
      </c>
      <c r="J44" s="122" t="s">
        <v>133</v>
      </c>
      <c r="K44" s="122">
        <v>0.95</v>
      </c>
      <c r="L44" s="122">
        <v>0.18</v>
      </c>
      <c r="M44" s="125" t="s">
        <v>1357</v>
      </c>
      <c r="N44" s="125"/>
    </row>
    <row r="45" spans="1:14">
      <c r="A45" s="130" t="s">
        <v>84</v>
      </c>
      <c r="B45" s="122" t="s">
        <v>2414</v>
      </c>
      <c r="C45" s="122">
        <v>32.229999999999997</v>
      </c>
      <c r="D45" s="126">
        <v>139831</v>
      </c>
      <c r="E45" s="122">
        <v>4338</v>
      </c>
      <c r="F45" s="122">
        <v>500</v>
      </c>
      <c r="G45" s="122">
        <v>16117028</v>
      </c>
      <c r="H45" s="122">
        <v>0</v>
      </c>
      <c r="I45" s="125">
        <v>16138145</v>
      </c>
      <c r="J45" s="122" t="s">
        <v>133</v>
      </c>
      <c r="K45" s="122">
        <v>0.95</v>
      </c>
      <c r="L45" s="122">
        <v>0.17</v>
      </c>
      <c r="M45" s="125" t="s">
        <v>1358</v>
      </c>
      <c r="N45" s="125"/>
    </row>
    <row r="46" spans="1:14">
      <c r="A46" s="130" t="s">
        <v>85</v>
      </c>
      <c r="B46" s="122" t="s">
        <v>2415</v>
      </c>
      <c r="C46" s="122">
        <v>8.1</v>
      </c>
      <c r="D46" s="126">
        <v>163642</v>
      </c>
      <c r="E46" s="122">
        <v>20192</v>
      </c>
      <c r="F46" s="122">
        <v>500</v>
      </c>
      <c r="G46" s="122">
        <v>4052154</v>
      </c>
      <c r="H46" s="122">
        <v>0</v>
      </c>
      <c r="I46" s="125">
        <v>4059181</v>
      </c>
      <c r="J46" s="122" t="s">
        <v>133</v>
      </c>
      <c r="K46" s="122">
        <v>0.95</v>
      </c>
      <c r="L46" s="126">
        <v>0.17</v>
      </c>
      <c r="M46" s="125" t="s">
        <v>1359</v>
      </c>
      <c r="N46" s="125"/>
    </row>
    <row r="47" spans="1:14">
      <c r="A47" s="130" t="s">
        <v>77</v>
      </c>
      <c r="B47" s="122" t="s">
        <v>2416</v>
      </c>
      <c r="C47" s="122">
        <v>19.07</v>
      </c>
      <c r="D47" s="126">
        <v>236769</v>
      </c>
      <c r="E47" s="122">
        <v>12419</v>
      </c>
      <c r="F47" s="122">
        <v>500</v>
      </c>
      <c r="G47" s="122">
        <v>9532523</v>
      </c>
      <c r="H47" s="125"/>
      <c r="I47" s="122">
        <v>9544196</v>
      </c>
      <c r="J47" s="122" t="s">
        <v>133</v>
      </c>
      <c r="K47" s="122">
        <v>0.99</v>
      </c>
      <c r="L47" s="126">
        <v>0.21</v>
      </c>
      <c r="M47" s="125" t="s">
        <v>1360</v>
      </c>
      <c r="N47" s="125"/>
    </row>
    <row r="48" spans="1:14">
      <c r="A48" s="130" t="s">
        <v>78</v>
      </c>
      <c r="B48" s="122" t="s">
        <v>2417</v>
      </c>
      <c r="C48" s="122">
        <v>15.12</v>
      </c>
      <c r="D48" s="126">
        <v>321503</v>
      </c>
      <c r="E48" s="122">
        <v>21258</v>
      </c>
      <c r="F48" s="122">
        <v>500</v>
      </c>
      <c r="G48" s="122">
        <v>7561930</v>
      </c>
      <c r="H48" s="125"/>
      <c r="I48" s="122">
        <v>7568442</v>
      </c>
      <c r="J48" s="122" t="s">
        <v>133</v>
      </c>
      <c r="K48" s="122">
        <v>0.99</v>
      </c>
      <c r="L48" s="122">
        <v>0.18</v>
      </c>
      <c r="M48" s="125" t="s">
        <v>1361</v>
      </c>
      <c r="N48" s="125"/>
    </row>
    <row r="49" spans="1:13">
      <c r="A49" s="130" t="s">
        <v>86</v>
      </c>
      <c r="B49" s="122" t="s">
        <v>2418</v>
      </c>
      <c r="C49" s="122">
        <v>26.85</v>
      </c>
      <c r="D49" s="122">
        <v>150709</v>
      </c>
      <c r="E49" s="122">
        <v>5314</v>
      </c>
      <c r="F49" s="122">
        <v>500</v>
      </c>
      <c r="G49" s="122">
        <v>13304672</v>
      </c>
      <c r="H49" s="122">
        <v>120328</v>
      </c>
      <c r="I49" s="125"/>
      <c r="J49" s="122" t="s">
        <v>133</v>
      </c>
      <c r="K49" s="122">
        <v>0.95</v>
      </c>
      <c r="L49" s="122">
        <v>0.2</v>
      </c>
      <c r="M49" s="121" t="s">
        <v>1362</v>
      </c>
    </row>
    <row r="50" spans="1:13">
      <c r="A50" s="130" t="s">
        <v>79</v>
      </c>
      <c r="B50" s="122" t="s">
        <v>2419</v>
      </c>
      <c r="C50" s="122">
        <v>32.840000000000003</v>
      </c>
      <c r="D50" s="127">
        <v>159118</v>
      </c>
      <c r="E50" s="122">
        <v>4845</v>
      </c>
      <c r="F50" s="122">
        <v>500</v>
      </c>
      <c r="G50" s="122">
        <v>16420000</v>
      </c>
      <c r="H50" s="125"/>
      <c r="I50" s="122">
        <v>16435951</v>
      </c>
      <c r="J50" s="122" t="s">
        <v>133</v>
      </c>
      <c r="K50" s="122">
        <v>0.95</v>
      </c>
      <c r="L50" s="122">
        <v>0.21</v>
      </c>
      <c r="M50" s="121" t="s">
        <v>1363</v>
      </c>
    </row>
    <row r="51" spans="1:13" ht="16.8" thickBot="1">
      <c r="A51" s="130" t="s">
        <v>80</v>
      </c>
      <c r="B51" s="122" t="s">
        <v>2420</v>
      </c>
      <c r="C51" s="122">
        <v>12.34</v>
      </c>
      <c r="D51" s="135">
        <v>173731</v>
      </c>
      <c r="E51" s="136">
        <v>14080</v>
      </c>
      <c r="F51" s="122">
        <v>500</v>
      </c>
      <c r="G51" s="122">
        <v>6170000</v>
      </c>
      <c r="H51" s="125"/>
      <c r="I51" s="122">
        <v>6172660</v>
      </c>
      <c r="J51" s="122" t="s">
        <v>133</v>
      </c>
      <c r="K51" s="122">
        <v>0.95</v>
      </c>
      <c r="L51" s="127">
        <v>0.18</v>
      </c>
      <c r="M51" s="121" t="s">
        <v>1364</v>
      </c>
    </row>
    <row r="52" spans="1:13" ht="16.8" thickBot="1">
      <c r="A52" s="130" t="s">
        <v>87</v>
      </c>
      <c r="B52" s="122" t="s">
        <v>2421</v>
      </c>
      <c r="C52" s="132">
        <v>25.58</v>
      </c>
      <c r="D52" s="158"/>
      <c r="E52" s="159"/>
      <c r="F52" s="157">
        <v>500</v>
      </c>
      <c r="G52" s="122">
        <v>12800074</v>
      </c>
      <c r="H52" s="125"/>
      <c r="I52" s="122">
        <v>12824292</v>
      </c>
      <c r="J52" s="122" t="s">
        <v>133</v>
      </c>
      <c r="K52" s="122">
        <v>0.5</v>
      </c>
      <c r="L52" s="126">
        <v>0.24</v>
      </c>
      <c r="M52" s="121" t="s">
        <v>1365</v>
      </c>
    </row>
    <row r="53" spans="1:13">
      <c r="A53" s="130" t="s">
        <v>88</v>
      </c>
      <c r="B53" s="122" t="s">
        <v>2422</v>
      </c>
      <c r="C53" s="122">
        <v>27.5</v>
      </c>
      <c r="D53" s="137">
        <v>107938</v>
      </c>
      <c r="E53" s="137">
        <v>3925</v>
      </c>
      <c r="F53" s="122">
        <v>500</v>
      </c>
      <c r="G53" s="122">
        <v>13750092</v>
      </c>
      <c r="H53" s="125"/>
      <c r="I53" s="122">
        <v>13778487</v>
      </c>
      <c r="J53" s="122" t="s">
        <v>133</v>
      </c>
      <c r="K53" s="122">
        <v>0.5</v>
      </c>
      <c r="L53" s="122">
        <v>0.2</v>
      </c>
      <c r="M53" s="121" t="s">
        <v>1366</v>
      </c>
    </row>
    <row r="54" spans="1:13">
      <c r="A54" s="130" t="s">
        <v>89</v>
      </c>
      <c r="B54" s="122" t="s">
        <v>2423</v>
      </c>
      <c r="C54" s="122">
        <v>33.25</v>
      </c>
      <c r="D54" s="122"/>
      <c r="E54" s="122"/>
      <c r="F54" s="122">
        <v>500</v>
      </c>
      <c r="G54" s="122">
        <v>16696122</v>
      </c>
      <c r="H54" s="125"/>
      <c r="I54" s="122">
        <v>16717818</v>
      </c>
      <c r="J54" s="122" t="s">
        <v>133</v>
      </c>
      <c r="K54" s="122">
        <v>0.3</v>
      </c>
      <c r="L54" s="122">
        <v>0.21</v>
      </c>
      <c r="M54" s="121" t="s">
        <v>1367</v>
      </c>
    </row>
    <row r="55" spans="1:13">
      <c r="A55" s="130" t="s">
        <v>90</v>
      </c>
      <c r="B55" s="122" t="s">
        <v>2424</v>
      </c>
      <c r="C55" s="122">
        <v>20.38</v>
      </c>
      <c r="D55" s="122">
        <v>366814</v>
      </c>
      <c r="E55" s="122">
        <v>17997</v>
      </c>
      <c r="F55" s="122">
        <v>500</v>
      </c>
      <c r="G55" s="122">
        <v>10190964</v>
      </c>
      <c r="H55" s="125"/>
      <c r="I55" s="122">
        <v>10213289</v>
      </c>
      <c r="J55" s="122" t="s">
        <v>133</v>
      </c>
      <c r="K55" s="122">
        <v>0.5</v>
      </c>
      <c r="L55" s="122">
        <v>0.2</v>
      </c>
      <c r="M55" s="121" t="s">
        <v>1368</v>
      </c>
    </row>
    <row r="56" spans="1:13">
      <c r="A56" s="130" t="s">
        <v>91</v>
      </c>
      <c r="B56" s="122" t="s">
        <v>2425</v>
      </c>
      <c r="C56" s="122">
        <v>7</v>
      </c>
      <c r="D56" s="125"/>
      <c r="E56" s="122">
        <v>536</v>
      </c>
      <c r="F56" s="125"/>
      <c r="G56" s="125"/>
      <c r="H56" s="125"/>
      <c r="I56" s="125"/>
      <c r="J56" s="122" t="s">
        <v>133</v>
      </c>
      <c r="K56" s="122">
        <v>0.99</v>
      </c>
      <c r="L56" s="122">
        <v>0.1</v>
      </c>
      <c r="M56" s="121" t="s">
        <v>1338</v>
      </c>
    </row>
    <row r="57" spans="1:13">
      <c r="A57" s="130" t="s">
        <v>92</v>
      </c>
      <c r="B57" s="122" t="s">
        <v>2426</v>
      </c>
      <c r="C57" s="122">
        <v>37.479999999999997</v>
      </c>
      <c r="D57" s="122">
        <v>330131</v>
      </c>
      <c r="E57" s="122">
        <v>8809</v>
      </c>
      <c r="F57" s="122">
        <v>500</v>
      </c>
      <c r="G57" s="122">
        <v>18740000</v>
      </c>
      <c r="H57" s="125"/>
      <c r="I57" s="122">
        <v>18751549</v>
      </c>
      <c r="J57" s="122" t="s">
        <v>133</v>
      </c>
      <c r="K57" s="122">
        <v>0.75</v>
      </c>
      <c r="L57" s="122">
        <v>0.04</v>
      </c>
      <c r="M57" s="121" t="s">
        <v>1369</v>
      </c>
    </row>
    <row r="58" spans="1:13">
      <c r="A58" s="130" t="s">
        <v>93</v>
      </c>
      <c r="B58" s="122" t="s">
        <v>2427</v>
      </c>
      <c r="C58" s="122">
        <v>13.04</v>
      </c>
      <c r="D58" s="122">
        <v>1741170</v>
      </c>
      <c r="E58" s="122">
        <v>133575</v>
      </c>
      <c r="F58" s="122">
        <v>500</v>
      </c>
      <c r="G58" s="122">
        <v>6520000</v>
      </c>
      <c r="H58" s="125"/>
      <c r="I58" s="122">
        <v>6520877</v>
      </c>
      <c r="J58" s="122" t="s">
        <v>133</v>
      </c>
      <c r="K58" s="122">
        <v>0.75</v>
      </c>
      <c r="L58" s="122">
        <v>0.04</v>
      </c>
      <c r="M58" s="121" t="s">
        <v>1370</v>
      </c>
    </row>
    <row r="59" spans="1:13">
      <c r="A59" s="130" t="s">
        <v>94</v>
      </c>
      <c r="B59" s="122" t="s">
        <v>2428</v>
      </c>
      <c r="C59" s="122">
        <v>27.79</v>
      </c>
      <c r="D59" s="122">
        <v>443591</v>
      </c>
      <c r="E59" s="122">
        <v>15965</v>
      </c>
      <c r="F59" s="122">
        <v>500</v>
      </c>
      <c r="G59" s="122">
        <v>13892595</v>
      </c>
      <c r="H59" s="125"/>
      <c r="I59" s="122">
        <v>13911488</v>
      </c>
      <c r="J59" s="122" t="s">
        <v>133</v>
      </c>
      <c r="K59" s="122">
        <v>0.85</v>
      </c>
      <c r="L59" s="122">
        <v>0.17</v>
      </c>
      <c r="M59" s="121" t="s">
        <v>1822</v>
      </c>
    </row>
    <row r="60" spans="1:13">
      <c r="A60" s="130" t="s">
        <v>95</v>
      </c>
      <c r="B60" s="122" t="s">
        <v>2429</v>
      </c>
      <c r="C60" s="122">
        <v>13.4</v>
      </c>
      <c r="D60" s="122">
        <v>108884</v>
      </c>
      <c r="E60" s="122">
        <v>8124</v>
      </c>
      <c r="F60" s="122">
        <v>500</v>
      </c>
      <c r="G60" s="122">
        <v>6701396</v>
      </c>
      <c r="H60" s="125"/>
      <c r="I60" s="122">
        <v>6709747</v>
      </c>
      <c r="J60" s="122" t="s">
        <v>133</v>
      </c>
      <c r="K60" s="122">
        <v>0.85</v>
      </c>
      <c r="L60" s="122">
        <v>0.17</v>
      </c>
      <c r="M60" s="121" t="s">
        <v>1823</v>
      </c>
    </row>
    <row r="61" spans="1:13" ht="16.8" thickBot="1">
      <c r="A61" s="130" t="s">
        <v>96</v>
      </c>
      <c r="B61" s="122"/>
      <c r="C61" s="122"/>
      <c r="D61" s="136"/>
      <c r="E61" s="136"/>
      <c r="F61" s="122"/>
      <c r="G61" s="122"/>
      <c r="H61" s="125"/>
      <c r="I61" s="122"/>
      <c r="J61" s="122"/>
      <c r="K61" s="122"/>
      <c r="L61" s="122"/>
    </row>
    <row r="62" spans="1:13">
      <c r="A62" s="128" t="s">
        <v>97</v>
      </c>
      <c r="B62" s="129" t="s">
        <v>2430</v>
      </c>
      <c r="C62" s="132">
        <v>17.579999999999998</v>
      </c>
      <c r="D62" s="160"/>
      <c r="E62" s="138"/>
      <c r="F62" s="157">
        <v>500</v>
      </c>
      <c r="G62" s="122">
        <v>8873982</v>
      </c>
      <c r="H62" s="125"/>
      <c r="I62" s="122">
        <v>8883995</v>
      </c>
      <c r="J62" s="122" t="s">
        <v>133</v>
      </c>
      <c r="K62" s="122">
        <v>1</v>
      </c>
      <c r="L62" s="122">
        <v>0.15</v>
      </c>
      <c r="M62" s="121" t="s">
        <v>1371</v>
      </c>
    </row>
    <row r="63" spans="1:13">
      <c r="A63" s="128" t="s">
        <v>98</v>
      </c>
      <c r="B63" s="129" t="s">
        <v>2431</v>
      </c>
      <c r="C63" s="132">
        <v>14.39</v>
      </c>
      <c r="D63" s="141"/>
      <c r="E63" s="142"/>
      <c r="F63" s="157">
        <v>500</v>
      </c>
      <c r="G63" s="122">
        <v>7174650</v>
      </c>
      <c r="H63" s="125"/>
      <c r="I63" s="122">
        <v>7181660</v>
      </c>
      <c r="J63" s="122" t="s">
        <v>133</v>
      </c>
      <c r="K63" s="122">
        <v>1</v>
      </c>
      <c r="L63" s="122">
        <v>0.15</v>
      </c>
      <c r="M63" s="121" t="s">
        <v>1372</v>
      </c>
    </row>
    <row r="64" spans="1:13">
      <c r="A64" s="128" t="s">
        <v>99</v>
      </c>
      <c r="B64" s="129" t="s">
        <v>2432</v>
      </c>
      <c r="C64" s="132">
        <v>17.95</v>
      </c>
      <c r="D64" s="141"/>
      <c r="E64" s="142"/>
      <c r="F64" s="157">
        <v>500</v>
      </c>
      <c r="G64" s="122">
        <v>8941935</v>
      </c>
      <c r="H64" s="125"/>
      <c r="I64" s="122">
        <v>8948948</v>
      </c>
      <c r="J64" s="122" t="s">
        <v>133</v>
      </c>
      <c r="K64" s="122">
        <v>1</v>
      </c>
      <c r="L64" s="122">
        <v>0.15</v>
      </c>
      <c r="M64" s="121" t="s">
        <v>1373</v>
      </c>
    </row>
    <row r="65" spans="1:13">
      <c r="A65" s="128" t="s">
        <v>100</v>
      </c>
      <c r="B65" s="129" t="s">
        <v>2433</v>
      </c>
      <c r="C65" s="132">
        <v>29.78</v>
      </c>
      <c r="D65" s="141"/>
      <c r="E65" s="142"/>
      <c r="F65" s="157">
        <v>500</v>
      </c>
      <c r="G65" s="122">
        <v>14673141</v>
      </c>
      <c r="H65" s="122">
        <v>146859</v>
      </c>
      <c r="I65" s="125"/>
      <c r="J65" s="122" t="s">
        <v>133</v>
      </c>
      <c r="K65" s="122">
        <v>0.45</v>
      </c>
      <c r="L65" s="122">
        <v>0.18</v>
      </c>
      <c r="M65" s="121" t="s">
        <v>1374</v>
      </c>
    </row>
    <row r="66" spans="1:13" ht="16.8" thickBot="1">
      <c r="A66" s="128" t="s">
        <v>101</v>
      </c>
      <c r="B66" s="129" t="s">
        <v>2434</v>
      </c>
      <c r="C66" s="132">
        <v>12.22</v>
      </c>
      <c r="D66" s="143"/>
      <c r="E66" s="144"/>
      <c r="F66" s="157">
        <v>500</v>
      </c>
      <c r="G66" s="122">
        <v>6165000</v>
      </c>
      <c r="H66" s="125"/>
      <c r="I66" s="122">
        <v>6166467</v>
      </c>
      <c r="J66" s="122" t="s">
        <v>133</v>
      </c>
      <c r="K66" s="122">
        <v>0.85</v>
      </c>
      <c r="L66" s="122">
        <v>0.18</v>
      </c>
      <c r="M66" s="121" t="s">
        <v>1375</v>
      </c>
    </row>
    <row r="67" spans="1:13">
      <c r="A67" s="130" t="s">
        <v>102</v>
      </c>
      <c r="B67" s="122" t="s">
        <v>2435</v>
      </c>
      <c r="C67" s="122">
        <v>16.25</v>
      </c>
      <c r="D67" s="137">
        <v>272751</v>
      </c>
      <c r="E67" s="137">
        <v>16786</v>
      </c>
      <c r="F67" s="122">
        <v>500</v>
      </c>
      <c r="G67" s="122">
        <v>8124352</v>
      </c>
      <c r="H67" s="125"/>
      <c r="I67" s="122">
        <v>8133414</v>
      </c>
      <c r="J67" s="122" t="s">
        <v>133</v>
      </c>
      <c r="K67" s="122">
        <v>0.65</v>
      </c>
      <c r="L67" s="122">
        <v>0.04</v>
      </c>
      <c r="M67" s="121" t="s">
        <v>1376</v>
      </c>
    </row>
    <row r="68" spans="1:13" ht="16.8" thickBot="1">
      <c r="A68" s="130" t="s">
        <v>103</v>
      </c>
      <c r="B68" s="122" t="s">
        <v>2436</v>
      </c>
      <c r="C68" s="122">
        <v>7.06</v>
      </c>
      <c r="D68" s="136">
        <v>953791</v>
      </c>
      <c r="E68" s="136">
        <v>135011</v>
      </c>
      <c r="F68" s="122">
        <v>500</v>
      </c>
      <c r="G68" s="122">
        <v>3532272</v>
      </c>
      <c r="H68" s="125"/>
      <c r="I68" s="122">
        <v>3537978</v>
      </c>
      <c r="J68" s="122" t="s">
        <v>133</v>
      </c>
      <c r="K68" s="122">
        <v>0.65</v>
      </c>
      <c r="L68" s="122">
        <v>0.04</v>
      </c>
      <c r="M68" s="121" t="s">
        <v>1370</v>
      </c>
    </row>
    <row r="69" spans="1:13">
      <c r="A69" s="128" t="s">
        <v>104</v>
      </c>
      <c r="B69" s="129" t="s">
        <v>2437</v>
      </c>
      <c r="C69" s="132">
        <v>4.38</v>
      </c>
      <c r="D69" s="160"/>
      <c r="E69" s="138"/>
      <c r="F69" s="157">
        <v>500</v>
      </c>
      <c r="G69" s="122">
        <v>2225981</v>
      </c>
      <c r="H69" s="125"/>
      <c r="I69" s="122">
        <v>2232094</v>
      </c>
      <c r="J69" s="122" t="s">
        <v>133</v>
      </c>
      <c r="K69" s="122">
        <v>0.99</v>
      </c>
      <c r="L69" s="122">
        <v>0.15</v>
      </c>
      <c r="M69" s="121" t="s">
        <v>1377</v>
      </c>
    </row>
    <row r="70" spans="1:13">
      <c r="A70" s="128" t="s">
        <v>105</v>
      </c>
      <c r="B70" s="129" t="s">
        <v>2438</v>
      </c>
      <c r="C70" s="132">
        <v>21.86</v>
      </c>
      <c r="D70" s="141"/>
      <c r="E70" s="142"/>
      <c r="F70" s="157">
        <v>500</v>
      </c>
      <c r="G70" s="122">
        <v>11134485</v>
      </c>
      <c r="H70" s="125"/>
      <c r="I70" s="122">
        <v>11152846</v>
      </c>
      <c r="J70" s="122" t="s">
        <v>133</v>
      </c>
      <c r="K70" s="122">
        <v>0.85</v>
      </c>
      <c r="L70" s="122">
        <v>0.12</v>
      </c>
      <c r="M70" s="121" t="s">
        <v>1378</v>
      </c>
    </row>
    <row r="71" spans="1:13">
      <c r="A71" s="131" t="s">
        <v>106</v>
      </c>
      <c r="B71" s="129" t="s">
        <v>2439</v>
      </c>
      <c r="C71" s="132">
        <v>41.608899999999998</v>
      </c>
      <c r="D71" s="141"/>
      <c r="E71" s="142"/>
      <c r="F71" s="157">
        <v>500</v>
      </c>
      <c r="G71" s="122">
        <v>21122041</v>
      </c>
      <c r="H71" s="125"/>
      <c r="I71" s="122">
        <v>21133405</v>
      </c>
      <c r="J71" s="122" t="s">
        <v>136</v>
      </c>
      <c r="K71" s="122" t="s">
        <v>1824</v>
      </c>
      <c r="L71" s="122" t="s">
        <v>154</v>
      </c>
      <c r="M71" s="121" t="s">
        <v>1379</v>
      </c>
    </row>
    <row r="72" spans="1:13">
      <c r="A72" s="131" t="s">
        <v>107</v>
      </c>
      <c r="B72" s="129" t="s">
        <v>2440</v>
      </c>
      <c r="C72" s="132">
        <v>21.887799999999999</v>
      </c>
      <c r="D72" s="141"/>
      <c r="E72" s="142"/>
      <c r="F72" s="157">
        <v>500</v>
      </c>
      <c r="G72" s="122">
        <v>11227935</v>
      </c>
      <c r="H72" s="125"/>
      <c r="I72" s="122">
        <v>11234074</v>
      </c>
      <c r="J72" s="122" t="s">
        <v>133</v>
      </c>
      <c r="K72" s="122">
        <v>0.75</v>
      </c>
      <c r="L72" s="122">
        <v>0.21</v>
      </c>
      <c r="M72" s="121" t="s">
        <v>1380</v>
      </c>
    </row>
    <row r="73" spans="1:13">
      <c r="A73" s="131" t="s">
        <v>108</v>
      </c>
      <c r="B73" s="129" t="s">
        <v>2441</v>
      </c>
      <c r="C73" s="132">
        <v>17.192299999999999</v>
      </c>
      <c r="D73" s="141"/>
      <c r="E73" s="142"/>
      <c r="F73" s="157">
        <v>500</v>
      </c>
      <c r="G73" s="122">
        <v>8502774</v>
      </c>
      <c r="H73" s="125"/>
      <c r="I73" s="122">
        <v>8508636</v>
      </c>
      <c r="J73" s="122" t="s">
        <v>133</v>
      </c>
      <c r="K73" s="122">
        <v>0.75</v>
      </c>
      <c r="L73" s="122">
        <v>0.16</v>
      </c>
      <c r="M73" s="121" t="s">
        <v>1381</v>
      </c>
    </row>
    <row r="74" spans="1:13">
      <c r="A74" s="128" t="s">
        <v>109</v>
      </c>
      <c r="B74" s="129" t="s">
        <v>2442</v>
      </c>
      <c r="C74" s="132">
        <v>12.23</v>
      </c>
      <c r="D74" s="141"/>
      <c r="E74" s="142"/>
      <c r="F74" s="157">
        <v>500</v>
      </c>
      <c r="G74" s="122">
        <v>6105722</v>
      </c>
      <c r="H74" s="125"/>
      <c r="I74" s="122">
        <v>6111943</v>
      </c>
      <c r="J74" s="122" t="s">
        <v>133</v>
      </c>
      <c r="K74" s="122">
        <v>0.89</v>
      </c>
      <c r="L74" s="122">
        <v>0.18</v>
      </c>
      <c r="M74" s="121" t="s">
        <v>1382</v>
      </c>
    </row>
    <row r="75" spans="1:13" ht="16.8" thickBot="1">
      <c r="A75" s="128" t="s">
        <v>110</v>
      </c>
      <c r="B75" s="129" t="s">
        <v>2443</v>
      </c>
      <c r="C75" s="132">
        <v>37.200000000000003</v>
      </c>
      <c r="D75" s="143"/>
      <c r="E75" s="144"/>
      <c r="F75" s="157">
        <v>500</v>
      </c>
      <c r="G75" s="122">
        <v>18647448</v>
      </c>
      <c r="H75" s="125"/>
      <c r="I75" s="122">
        <v>18665501</v>
      </c>
      <c r="J75" s="122" t="s">
        <v>133</v>
      </c>
      <c r="K75" s="122">
        <v>0.89</v>
      </c>
      <c r="L75" s="122">
        <v>0.2</v>
      </c>
      <c r="M75" s="121" t="s">
        <v>1383</v>
      </c>
    </row>
    <row r="76" spans="1:13">
      <c r="A76" s="130" t="s">
        <v>111</v>
      </c>
      <c r="B76" s="122" t="s">
        <v>2444</v>
      </c>
      <c r="C76" s="122">
        <v>14.28</v>
      </c>
      <c r="D76" s="137">
        <v>130496</v>
      </c>
      <c r="E76" s="137">
        <v>9139</v>
      </c>
      <c r="F76" s="122">
        <v>500</v>
      </c>
      <c r="G76" s="122">
        <v>7139535</v>
      </c>
      <c r="H76" s="125"/>
      <c r="I76" s="122">
        <v>7145963</v>
      </c>
      <c r="J76" s="122" t="s">
        <v>131</v>
      </c>
      <c r="K76" s="122">
        <v>0.3</v>
      </c>
      <c r="L76" s="122">
        <v>0.04</v>
      </c>
      <c r="M76" s="121" t="s">
        <v>1376</v>
      </c>
    </row>
    <row r="77" spans="1:13">
      <c r="A77" s="130" t="s">
        <v>112</v>
      </c>
      <c r="B77" s="122" t="s">
        <v>2445</v>
      </c>
      <c r="C77" s="122">
        <v>7.71</v>
      </c>
      <c r="D77" s="122">
        <v>125463</v>
      </c>
      <c r="E77" s="122">
        <v>16276</v>
      </c>
      <c r="F77" s="122">
        <v>500</v>
      </c>
      <c r="G77" s="122">
        <v>3854246</v>
      </c>
      <c r="H77" s="125"/>
      <c r="I77" s="122">
        <v>3859631</v>
      </c>
      <c r="J77" s="122" t="s">
        <v>131</v>
      </c>
      <c r="K77" s="122">
        <v>0.3</v>
      </c>
      <c r="L77" s="122">
        <v>0.04</v>
      </c>
      <c r="M77" s="121" t="s">
        <v>1370</v>
      </c>
    </row>
    <row r="78" spans="1:13">
      <c r="A78" s="130" t="s">
        <v>113</v>
      </c>
      <c r="B78" s="122" t="s">
        <v>2446</v>
      </c>
      <c r="C78" s="122">
        <v>15.5</v>
      </c>
      <c r="D78" s="122">
        <v>102391</v>
      </c>
      <c r="E78" s="122">
        <v>6606</v>
      </c>
      <c r="F78" s="122">
        <v>500</v>
      </c>
      <c r="G78" s="122">
        <v>7749843</v>
      </c>
      <c r="H78" s="125"/>
      <c r="I78" s="122">
        <v>7753393</v>
      </c>
      <c r="J78" s="122" t="s">
        <v>131</v>
      </c>
      <c r="K78" s="122">
        <v>0.65</v>
      </c>
      <c r="L78" s="122">
        <v>0.04</v>
      </c>
      <c r="M78" s="121" t="s">
        <v>1384</v>
      </c>
    </row>
    <row r="79" spans="1:13" ht="16.8" thickBot="1">
      <c r="A79" s="130" t="s">
        <v>114</v>
      </c>
      <c r="B79" s="122" t="s">
        <v>2447</v>
      </c>
      <c r="C79" s="122">
        <v>22.35</v>
      </c>
      <c r="D79" s="136">
        <v>443165</v>
      </c>
      <c r="E79" s="136">
        <v>19830</v>
      </c>
      <c r="F79" s="122">
        <v>500</v>
      </c>
      <c r="G79" s="122">
        <v>11174101</v>
      </c>
      <c r="H79" s="125"/>
      <c r="I79" s="122">
        <v>11187275</v>
      </c>
      <c r="J79" s="122" t="s">
        <v>131</v>
      </c>
      <c r="K79" s="122">
        <v>0.32</v>
      </c>
      <c r="L79" s="122">
        <v>3.5000000000000003E-2</v>
      </c>
      <c r="M79" s="121" t="s">
        <v>1385</v>
      </c>
    </row>
    <row r="80" spans="1:13">
      <c r="A80" s="128" t="s">
        <v>334</v>
      </c>
      <c r="B80" s="129" t="s">
        <v>2448</v>
      </c>
      <c r="C80" s="132">
        <v>43.361699999999999</v>
      </c>
      <c r="D80" s="160"/>
      <c r="E80" s="138"/>
      <c r="F80" s="157">
        <v>500</v>
      </c>
      <c r="G80" s="122">
        <v>22027400</v>
      </c>
      <c r="H80" s="125"/>
      <c r="I80" s="122">
        <v>22033815</v>
      </c>
      <c r="J80" s="122" t="s">
        <v>341</v>
      </c>
      <c r="K80" s="122">
        <v>0.2</v>
      </c>
      <c r="L80" s="122" t="s">
        <v>342</v>
      </c>
      <c r="M80" s="121" t="s">
        <v>1386</v>
      </c>
    </row>
    <row r="81" spans="1:13">
      <c r="A81" s="128" t="s">
        <v>335</v>
      </c>
      <c r="B81" s="129" t="s">
        <v>2449</v>
      </c>
      <c r="C81" s="132">
        <v>22.417200000000001</v>
      </c>
      <c r="D81" s="141"/>
      <c r="E81" s="142"/>
      <c r="F81" s="157">
        <v>500</v>
      </c>
      <c r="G81" s="122">
        <v>11489850</v>
      </c>
      <c r="H81" s="125"/>
      <c r="I81" s="122">
        <v>11493014</v>
      </c>
      <c r="J81" s="122" t="s">
        <v>133</v>
      </c>
      <c r="K81" s="122">
        <v>0.65</v>
      </c>
      <c r="L81" s="122">
        <v>0.21</v>
      </c>
      <c r="M81" s="121" t="s">
        <v>1387</v>
      </c>
    </row>
    <row r="82" spans="1:13">
      <c r="A82" s="128" t="s">
        <v>336</v>
      </c>
      <c r="B82" s="129" t="s">
        <v>2450</v>
      </c>
      <c r="C82" s="132">
        <v>17.590599999999998</v>
      </c>
      <c r="D82" s="141"/>
      <c r="E82" s="142"/>
      <c r="F82" s="157">
        <v>500</v>
      </c>
      <c r="G82" s="122">
        <v>8700700</v>
      </c>
      <c r="H82" s="125"/>
      <c r="I82" s="122">
        <v>8703579</v>
      </c>
      <c r="J82" s="122" t="s">
        <v>133</v>
      </c>
      <c r="K82" s="122">
        <v>0.65</v>
      </c>
      <c r="L82" s="122">
        <v>0.16</v>
      </c>
      <c r="M82" s="121" t="s">
        <v>1388</v>
      </c>
    </row>
    <row r="83" spans="1:13" ht="16.8" thickBot="1">
      <c r="A83" s="128" t="s">
        <v>337</v>
      </c>
      <c r="B83" s="129" t="s">
        <v>2451</v>
      </c>
      <c r="C83" s="132">
        <v>15.71</v>
      </c>
      <c r="D83" s="143"/>
      <c r="E83" s="144"/>
      <c r="F83" s="157">
        <v>500</v>
      </c>
      <c r="G83" s="122">
        <v>7823438</v>
      </c>
      <c r="H83" s="125"/>
      <c r="I83" s="122">
        <v>7830438</v>
      </c>
      <c r="J83" s="122" t="s">
        <v>133</v>
      </c>
      <c r="K83" s="122">
        <v>1</v>
      </c>
      <c r="L83" s="122">
        <v>0.15</v>
      </c>
      <c r="M83" s="121" t="s">
        <v>1389</v>
      </c>
    </row>
    <row r="84" spans="1:13" ht="16.8" thickBot="1">
      <c r="A84" s="130" t="s">
        <v>333</v>
      </c>
      <c r="B84" s="122" t="s">
        <v>2452</v>
      </c>
      <c r="C84" s="122">
        <v>21.78</v>
      </c>
      <c r="D84" s="169">
        <v>3458818</v>
      </c>
      <c r="E84" s="169">
        <v>158780</v>
      </c>
      <c r="F84" s="122">
        <v>500</v>
      </c>
      <c r="G84" s="122">
        <v>10891856</v>
      </c>
      <c r="H84" s="125"/>
      <c r="I84" s="122">
        <v>10907748</v>
      </c>
      <c r="J84" s="122" t="s">
        <v>133</v>
      </c>
      <c r="K84" s="122">
        <v>0.15</v>
      </c>
      <c r="L84" s="122">
        <v>3.5000000000000003E-2</v>
      </c>
      <c r="M84" s="121" t="s">
        <v>1390</v>
      </c>
    </row>
    <row r="85" spans="1:13">
      <c r="A85" s="128" t="s">
        <v>338</v>
      </c>
      <c r="B85" s="129" t="s">
        <v>2453</v>
      </c>
      <c r="C85" s="132">
        <v>20.18</v>
      </c>
      <c r="D85" s="160"/>
      <c r="E85" s="138"/>
      <c r="F85" s="157">
        <v>500</v>
      </c>
      <c r="G85" s="122">
        <v>10098143</v>
      </c>
      <c r="H85" s="125"/>
      <c r="I85" s="122">
        <v>10120339</v>
      </c>
      <c r="J85" s="122" t="s">
        <v>133</v>
      </c>
      <c r="K85" s="122">
        <v>0.9</v>
      </c>
      <c r="L85" s="122">
        <v>0.2</v>
      </c>
      <c r="M85" s="121" t="s">
        <v>1391</v>
      </c>
    </row>
    <row r="86" spans="1:13" ht="16.8" thickBot="1">
      <c r="A86" s="130" t="s">
        <v>339</v>
      </c>
      <c r="B86" s="122"/>
      <c r="C86" s="132"/>
      <c r="D86" s="143"/>
      <c r="E86" s="144"/>
      <c r="F86" s="157"/>
      <c r="G86" s="122"/>
      <c r="H86" s="125"/>
      <c r="I86" s="122"/>
      <c r="J86" s="122"/>
      <c r="K86" s="122"/>
      <c r="L86" s="122"/>
    </row>
    <row r="87" spans="1:13" ht="16.8" thickBot="1">
      <c r="A87" s="130" t="s">
        <v>340</v>
      </c>
      <c r="B87" s="122"/>
      <c r="C87" s="122"/>
      <c r="D87" s="169"/>
      <c r="E87" s="169"/>
      <c r="F87" s="122"/>
      <c r="G87" s="122"/>
      <c r="H87" s="125"/>
      <c r="I87" s="122"/>
      <c r="J87" s="122"/>
      <c r="K87" s="122"/>
      <c r="L87" s="122"/>
    </row>
    <row r="88" spans="1:13">
      <c r="A88" s="128" t="s">
        <v>466</v>
      </c>
      <c r="B88" s="129" t="s">
        <v>2454</v>
      </c>
      <c r="C88" s="132">
        <v>18.25</v>
      </c>
      <c r="D88" s="160"/>
      <c r="E88" s="138"/>
      <c r="F88" s="157">
        <v>500</v>
      </c>
      <c r="G88" s="122">
        <v>9139004</v>
      </c>
      <c r="H88" s="125"/>
      <c r="I88" s="122">
        <v>9148025</v>
      </c>
      <c r="J88" s="122" t="s">
        <v>133</v>
      </c>
      <c r="K88" s="122">
        <v>0.8</v>
      </c>
      <c r="L88" s="122">
        <v>0.15</v>
      </c>
      <c r="M88" s="121" t="s">
        <v>1392</v>
      </c>
    </row>
    <row r="89" spans="1:13">
      <c r="A89" s="128" t="s">
        <v>467</v>
      </c>
      <c r="B89" s="129" t="s">
        <v>2455</v>
      </c>
      <c r="C89" s="132">
        <v>19.98</v>
      </c>
      <c r="D89" s="141"/>
      <c r="E89" s="142"/>
      <c r="F89" s="157">
        <v>500</v>
      </c>
      <c r="G89" s="122">
        <v>9988073</v>
      </c>
      <c r="H89" s="125"/>
      <c r="I89" s="122">
        <v>9995096</v>
      </c>
      <c r="J89" s="122" t="s">
        <v>133</v>
      </c>
      <c r="K89" s="122">
        <v>0.8</v>
      </c>
      <c r="L89" s="122">
        <v>0.15</v>
      </c>
      <c r="M89" s="121" t="s">
        <v>1393</v>
      </c>
    </row>
    <row r="90" spans="1:13">
      <c r="A90" s="128" t="s">
        <v>468</v>
      </c>
      <c r="B90" s="129" t="s">
        <v>2456</v>
      </c>
      <c r="C90" s="132">
        <v>20.100000000000001</v>
      </c>
      <c r="D90" s="141"/>
      <c r="E90" s="142"/>
      <c r="F90" s="157">
        <v>500</v>
      </c>
      <c r="G90" s="122">
        <v>10137870</v>
      </c>
      <c r="H90" s="125"/>
      <c r="I90" s="122">
        <v>10146885</v>
      </c>
      <c r="J90" s="122" t="s">
        <v>133</v>
      </c>
      <c r="K90" s="122">
        <v>1</v>
      </c>
      <c r="L90" s="122">
        <v>0.15</v>
      </c>
      <c r="M90" s="121" t="s">
        <v>1394</v>
      </c>
    </row>
    <row r="91" spans="1:13">
      <c r="A91" s="128" t="s">
        <v>470</v>
      </c>
      <c r="B91" s="168" t="s">
        <v>2457</v>
      </c>
      <c r="C91" s="161">
        <v>19.43</v>
      </c>
      <c r="D91" s="164"/>
      <c r="E91" s="165"/>
      <c r="F91" s="162">
        <v>500</v>
      </c>
      <c r="G91" s="121">
        <v>9721324</v>
      </c>
      <c r="I91" s="121">
        <v>9728346</v>
      </c>
      <c r="J91" s="121" t="s">
        <v>133</v>
      </c>
      <c r="K91" s="121">
        <v>0.5</v>
      </c>
      <c r="L91" s="121">
        <v>0.15</v>
      </c>
      <c r="M91" s="121" t="s">
        <v>1395</v>
      </c>
    </row>
    <row r="92" spans="1:13">
      <c r="A92" s="128" t="s">
        <v>471</v>
      </c>
      <c r="B92" s="168" t="s">
        <v>2458</v>
      </c>
      <c r="C92" s="161">
        <v>19.23</v>
      </c>
      <c r="D92" s="164"/>
      <c r="E92" s="165"/>
      <c r="F92" s="162">
        <v>500</v>
      </c>
      <c r="G92" s="121">
        <v>9626669</v>
      </c>
      <c r="I92" s="121">
        <v>9635691</v>
      </c>
      <c r="J92" s="121" t="s">
        <v>133</v>
      </c>
      <c r="K92" s="121">
        <v>0.8</v>
      </c>
      <c r="L92" s="121">
        <v>0.15</v>
      </c>
      <c r="M92" s="121" t="s">
        <v>1396</v>
      </c>
    </row>
    <row r="93" spans="1:13">
      <c r="A93" s="128" t="s">
        <v>472</v>
      </c>
      <c r="B93" s="168" t="s">
        <v>2459</v>
      </c>
      <c r="C93" s="161">
        <v>19.190000000000001</v>
      </c>
      <c r="D93" s="164"/>
      <c r="E93" s="165"/>
      <c r="F93" s="162">
        <v>500</v>
      </c>
      <c r="G93" s="121">
        <v>9596513</v>
      </c>
      <c r="I93" s="121">
        <v>9603535</v>
      </c>
      <c r="J93" s="121" t="s">
        <v>133</v>
      </c>
      <c r="K93" s="121">
        <v>0.8</v>
      </c>
      <c r="L93" s="121">
        <v>0.15</v>
      </c>
      <c r="M93" s="121" t="s">
        <v>1397</v>
      </c>
    </row>
    <row r="94" spans="1:13">
      <c r="A94" s="128" t="s">
        <v>337</v>
      </c>
      <c r="B94" s="168" t="s">
        <v>2451</v>
      </c>
      <c r="C94" s="121">
        <v>15.71</v>
      </c>
      <c r="D94" s="164"/>
      <c r="E94" s="165"/>
      <c r="F94" s="121">
        <v>500</v>
      </c>
      <c r="G94" s="121">
        <v>7823438</v>
      </c>
      <c r="I94" s="121">
        <v>7830438</v>
      </c>
      <c r="J94" s="121" t="s">
        <v>133</v>
      </c>
      <c r="K94" s="121">
        <v>1</v>
      </c>
      <c r="L94" s="121">
        <v>0.15</v>
      </c>
      <c r="M94" s="121" t="s">
        <v>1389</v>
      </c>
    </row>
    <row r="95" spans="1:13">
      <c r="A95" s="128" t="s">
        <v>476</v>
      </c>
      <c r="B95" s="168" t="s">
        <v>2460</v>
      </c>
      <c r="C95" s="121">
        <v>41.292400000000001</v>
      </c>
      <c r="D95" s="164"/>
      <c r="E95" s="165"/>
      <c r="F95" s="121">
        <v>500</v>
      </c>
      <c r="G95" s="121">
        <v>20724766</v>
      </c>
      <c r="I95" s="121">
        <v>20731838</v>
      </c>
      <c r="J95" s="121" t="s">
        <v>132</v>
      </c>
      <c r="K95" s="121" t="s">
        <v>1778</v>
      </c>
      <c r="L95" s="121" t="s">
        <v>1779</v>
      </c>
      <c r="M95" s="121" t="s">
        <v>1825</v>
      </c>
    </row>
    <row r="96" spans="1:13">
      <c r="A96" s="128" t="s">
        <v>477</v>
      </c>
      <c r="B96" s="168" t="s">
        <v>2461</v>
      </c>
      <c r="C96" s="121">
        <v>39.711100000000002</v>
      </c>
      <c r="D96" s="164"/>
      <c r="E96" s="165"/>
      <c r="F96" s="121">
        <v>500</v>
      </c>
      <c r="G96" s="121">
        <v>20007812</v>
      </c>
      <c r="I96" s="121">
        <v>20014813</v>
      </c>
      <c r="J96" s="121" t="s">
        <v>132</v>
      </c>
      <c r="K96" s="121">
        <v>0.2</v>
      </c>
      <c r="L96" s="121" t="s">
        <v>342</v>
      </c>
      <c r="M96" s="121" t="s">
        <v>1826</v>
      </c>
    </row>
    <row r="97" spans="1:13">
      <c r="A97" s="128" t="s">
        <v>478</v>
      </c>
      <c r="B97" s="168" t="s">
        <v>2462</v>
      </c>
      <c r="C97" s="121">
        <v>43.718499999999999</v>
      </c>
      <c r="D97" s="164"/>
      <c r="E97" s="165"/>
      <c r="F97" s="121">
        <v>500</v>
      </c>
      <c r="G97" s="121">
        <v>22196763</v>
      </c>
      <c r="I97" s="121">
        <v>22203983</v>
      </c>
      <c r="J97" s="121" t="s">
        <v>132</v>
      </c>
      <c r="K97" s="121" t="s">
        <v>1780</v>
      </c>
      <c r="L97" s="121" t="s">
        <v>1781</v>
      </c>
      <c r="M97" s="121" t="s">
        <v>1827</v>
      </c>
    </row>
    <row r="98" spans="1:13">
      <c r="A98" s="128" t="s">
        <v>473</v>
      </c>
      <c r="B98" s="168" t="s">
        <v>2463</v>
      </c>
      <c r="C98" s="121">
        <v>41.799300000000002</v>
      </c>
      <c r="D98" s="164"/>
      <c r="E98" s="165"/>
      <c r="F98" s="121">
        <v>500</v>
      </c>
      <c r="G98" s="121">
        <v>21061172</v>
      </c>
      <c r="I98" s="121">
        <v>21068336</v>
      </c>
      <c r="J98" s="121" t="s">
        <v>132</v>
      </c>
      <c r="K98" s="121">
        <v>0.2</v>
      </c>
      <c r="L98" s="121" t="s">
        <v>342</v>
      </c>
      <c r="M98" s="121" t="s">
        <v>1398</v>
      </c>
    </row>
    <row r="99" spans="1:13">
      <c r="A99" s="128" t="s">
        <v>474</v>
      </c>
      <c r="B99" s="168"/>
      <c r="D99" s="164"/>
      <c r="E99" s="165"/>
    </row>
    <row r="100" spans="1:13" ht="16.8" thickBot="1">
      <c r="A100" s="128" t="s">
        <v>475</v>
      </c>
      <c r="B100" s="168"/>
      <c r="D100" s="166"/>
      <c r="E100" s="167"/>
    </row>
    <row r="101" spans="1:13">
      <c r="A101" s="130" t="s">
        <v>479</v>
      </c>
      <c r="B101" s="121" t="s">
        <v>2464</v>
      </c>
      <c r="C101" s="121">
        <v>20.96</v>
      </c>
      <c r="D101" s="163">
        <v>135875</v>
      </c>
      <c r="E101" s="163">
        <v>6483</v>
      </c>
      <c r="F101" s="121">
        <v>500</v>
      </c>
      <c r="G101" s="121">
        <v>10479321</v>
      </c>
      <c r="I101" s="121">
        <v>10511567</v>
      </c>
      <c r="J101" s="121" t="s">
        <v>133</v>
      </c>
      <c r="K101" s="121">
        <v>0.5</v>
      </c>
      <c r="L101" s="121">
        <v>0.18</v>
      </c>
      <c r="M101" s="121" t="s">
        <v>1399</v>
      </c>
    </row>
    <row r="102" spans="1:13">
      <c r="A102" s="130" t="s">
        <v>481</v>
      </c>
      <c r="B102" s="121" t="s">
        <v>2465</v>
      </c>
      <c r="C102" s="121">
        <v>22.59</v>
      </c>
      <c r="D102" s="121">
        <v>325153</v>
      </c>
      <c r="E102" s="121">
        <v>14391</v>
      </c>
      <c r="F102" s="121">
        <v>500</v>
      </c>
      <c r="G102" s="121">
        <v>11233327</v>
      </c>
      <c r="H102" s="121">
        <v>61673</v>
      </c>
      <c r="J102" s="121" t="s">
        <v>133</v>
      </c>
      <c r="K102" s="121">
        <v>0.3</v>
      </c>
      <c r="L102" s="121">
        <v>3.5000000000000003E-2</v>
      </c>
      <c r="M102" s="121" t="s">
        <v>1828</v>
      </c>
    </row>
    <row r="103" spans="1:13" ht="16.8" thickBot="1">
      <c r="A103" s="130" t="s">
        <v>482</v>
      </c>
      <c r="B103" s="121" t="s">
        <v>2466</v>
      </c>
      <c r="C103" s="121">
        <v>21.48</v>
      </c>
      <c r="D103" s="170"/>
      <c r="E103" s="170"/>
      <c r="F103" s="121">
        <v>500</v>
      </c>
      <c r="G103" s="121">
        <v>10570487</v>
      </c>
      <c r="H103" s="121">
        <v>259513</v>
      </c>
      <c r="J103" s="121" t="s">
        <v>133</v>
      </c>
      <c r="K103" s="121">
        <v>0.35</v>
      </c>
      <c r="L103" s="121">
        <v>0.15</v>
      </c>
      <c r="M103" s="121" t="s">
        <v>1400</v>
      </c>
    </row>
    <row r="104" spans="1:13" ht="16.8" thickBot="1">
      <c r="A104" s="128" t="s">
        <v>480</v>
      </c>
      <c r="B104" s="168" t="s">
        <v>2467</v>
      </c>
      <c r="C104" s="121">
        <v>21.04</v>
      </c>
      <c r="D104" s="171"/>
      <c r="E104" s="172"/>
      <c r="F104" s="121">
        <v>500</v>
      </c>
      <c r="G104" s="121">
        <v>10516929</v>
      </c>
      <c r="I104" s="121">
        <v>10537704</v>
      </c>
      <c r="J104" s="121" t="s">
        <v>133</v>
      </c>
      <c r="K104" s="121" t="s">
        <v>1782</v>
      </c>
      <c r="L104" s="121">
        <v>0.28999999999999998</v>
      </c>
      <c r="M104" s="121" t="s">
        <v>1401</v>
      </c>
    </row>
    <row r="105" spans="1:13">
      <c r="A105" s="130" t="s">
        <v>483</v>
      </c>
      <c r="B105" s="121" t="s">
        <v>2468</v>
      </c>
      <c r="C105" s="121">
        <v>20.67</v>
      </c>
      <c r="F105" s="121">
        <v>1500</v>
      </c>
      <c r="G105" s="121">
        <v>31135128</v>
      </c>
      <c r="H105" s="121">
        <v>0</v>
      </c>
      <c r="I105" s="121">
        <v>31238821</v>
      </c>
      <c r="J105" s="121" t="s">
        <v>133</v>
      </c>
      <c r="K105" s="121" t="s">
        <v>486</v>
      </c>
      <c r="L105" s="121" t="s">
        <v>487</v>
      </c>
      <c r="M105" s="121" t="s">
        <v>1402</v>
      </c>
    </row>
    <row r="106" spans="1:13">
      <c r="A106" s="130" t="s">
        <v>484</v>
      </c>
      <c r="B106" s="121" t="s">
        <v>2469</v>
      </c>
      <c r="C106" s="121">
        <v>21.6</v>
      </c>
      <c r="F106" s="121">
        <v>1500</v>
      </c>
      <c r="G106" s="121">
        <v>32570770</v>
      </c>
      <c r="H106" s="121">
        <v>0</v>
      </c>
      <c r="I106" s="121">
        <v>32674866</v>
      </c>
      <c r="J106" s="121" t="s">
        <v>133</v>
      </c>
      <c r="K106" s="121" t="s">
        <v>488</v>
      </c>
      <c r="L106" s="121" t="s">
        <v>489</v>
      </c>
      <c r="M106" s="121" t="s">
        <v>1403</v>
      </c>
    </row>
    <row r="107" spans="1:13">
      <c r="A107" s="130" t="s">
        <v>485</v>
      </c>
      <c r="B107" s="121" t="s">
        <v>2470</v>
      </c>
      <c r="C107" s="121">
        <v>18.23</v>
      </c>
      <c r="F107" s="121">
        <v>500</v>
      </c>
      <c r="G107" s="121">
        <v>9128256</v>
      </c>
      <c r="H107" s="121">
        <v>0</v>
      </c>
      <c r="I107" s="121">
        <v>9142384</v>
      </c>
      <c r="J107" s="121" t="s">
        <v>133</v>
      </c>
      <c r="K107" s="121" t="s">
        <v>490</v>
      </c>
      <c r="L107" s="121" t="s">
        <v>487</v>
      </c>
      <c r="M107" s="121" t="s">
        <v>1404</v>
      </c>
    </row>
    <row r="108" spans="1:13">
      <c r="A108" s="248" t="s">
        <v>1322</v>
      </c>
      <c r="B108" s="121" t="s">
        <v>2471</v>
      </c>
      <c r="C108" s="121">
        <v>32.22</v>
      </c>
      <c r="D108" s="121">
        <v>3206430</v>
      </c>
      <c r="E108" s="121">
        <v>99512</v>
      </c>
      <c r="F108" s="121">
        <v>500</v>
      </c>
      <c r="G108" s="121">
        <v>16110769</v>
      </c>
      <c r="I108" s="121">
        <v>16131895</v>
      </c>
      <c r="J108" s="121" t="s">
        <v>133</v>
      </c>
      <c r="K108" s="121" t="s">
        <v>1323</v>
      </c>
      <c r="L108" s="121">
        <v>3.5000000000000003E-2</v>
      </c>
      <c r="M108" s="121" t="s">
        <v>1405</v>
      </c>
    </row>
    <row r="109" spans="1:13">
      <c r="A109" s="248" t="s">
        <v>1406</v>
      </c>
      <c r="B109" s="250" t="s">
        <v>2472</v>
      </c>
      <c r="C109" s="121">
        <v>23.2</v>
      </c>
      <c r="F109" s="121">
        <v>500</v>
      </c>
      <c r="G109" s="121">
        <v>11797696</v>
      </c>
      <c r="I109" s="121">
        <v>11808595</v>
      </c>
      <c r="J109" s="121" t="s">
        <v>133</v>
      </c>
      <c r="K109" s="121">
        <v>1</v>
      </c>
      <c r="L109" s="121">
        <v>0.15</v>
      </c>
      <c r="M109" s="121" t="s">
        <v>1776</v>
      </c>
    </row>
    <row r="110" spans="1:13">
      <c r="A110" s="248" t="s">
        <v>1407</v>
      </c>
      <c r="B110" s="250" t="s">
        <v>2473</v>
      </c>
      <c r="C110" s="121">
        <v>15.05</v>
      </c>
      <c r="F110" s="121">
        <v>500</v>
      </c>
      <c r="G110" s="121">
        <v>7493086</v>
      </c>
      <c r="I110" s="121">
        <v>7499585</v>
      </c>
      <c r="J110" s="121" t="s">
        <v>133</v>
      </c>
      <c r="K110" s="121">
        <v>1</v>
      </c>
      <c r="L110" s="121">
        <v>0.15</v>
      </c>
      <c r="M110" s="121" t="s">
        <v>1777</v>
      </c>
    </row>
    <row r="111" spans="1:13">
      <c r="A111" s="130"/>
    </row>
    <row r="112" spans="1:13">
      <c r="A112" s="130"/>
    </row>
    <row r="113" spans="1:1">
      <c r="A113" s="130"/>
    </row>
    <row r="114" spans="1:1">
      <c r="A114" s="130"/>
    </row>
    <row r="115" spans="1:1">
      <c r="A115" s="130"/>
    </row>
    <row r="116" spans="1:1">
      <c r="A116" s="130"/>
    </row>
    <row r="117" spans="1:1">
      <c r="A117" s="130"/>
    </row>
    <row r="118" spans="1:1">
      <c r="A118" s="130"/>
    </row>
    <row r="119" spans="1:1">
      <c r="A119" s="130"/>
    </row>
    <row r="120" spans="1:1">
      <c r="A120" s="130"/>
    </row>
    <row r="121" spans="1:1">
      <c r="A121" s="130"/>
    </row>
    <row r="122" spans="1:1">
      <c r="A122" s="130"/>
    </row>
    <row r="123" spans="1:1">
      <c r="A123" s="130"/>
    </row>
    <row r="124" spans="1:1">
      <c r="A124" s="130"/>
    </row>
    <row r="125" spans="1:1">
      <c r="A125" s="130"/>
    </row>
    <row r="126" spans="1:1">
      <c r="A126" s="130"/>
    </row>
    <row r="127" spans="1:1">
      <c r="A127" s="130"/>
    </row>
    <row r="128" spans="1:1">
      <c r="A128" s="130"/>
    </row>
    <row r="129" spans="1:1">
      <c r="A129" s="130"/>
    </row>
    <row r="130" spans="1:1">
      <c r="A130" s="130"/>
    </row>
    <row r="131" spans="1:1">
      <c r="A131" s="130"/>
    </row>
    <row r="132" spans="1:1">
      <c r="A132" s="130"/>
    </row>
    <row r="133" spans="1:1">
      <c r="A133" s="130"/>
    </row>
    <row r="134" spans="1:1">
      <c r="A134" s="130"/>
    </row>
    <row r="135" spans="1:1">
      <c r="A135" s="130"/>
    </row>
    <row r="136" spans="1:1">
      <c r="A136" s="130"/>
    </row>
    <row r="137" spans="1:1">
      <c r="A137" s="130"/>
    </row>
    <row r="138" spans="1:1">
      <c r="A138" s="130"/>
    </row>
    <row r="139" spans="1:1">
      <c r="A139" s="130"/>
    </row>
    <row r="140" spans="1:1">
      <c r="A140" s="130"/>
    </row>
    <row r="141" spans="1:1">
      <c r="A141" s="130"/>
    </row>
    <row r="142" spans="1:1">
      <c r="A142" s="130"/>
    </row>
    <row r="143" spans="1:1">
      <c r="A143" s="130"/>
    </row>
    <row r="144" spans="1:1">
      <c r="A144" s="130"/>
    </row>
    <row r="145" spans="1:1">
      <c r="A145" s="130"/>
    </row>
    <row r="146" spans="1:1">
      <c r="A146" s="130"/>
    </row>
    <row r="147" spans="1:1">
      <c r="A147" s="130"/>
    </row>
    <row r="148" spans="1:1">
      <c r="A148" s="130"/>
    </row>
    <row r="149" spans="1:1">
      <c r="A149" s="130"/>
    </row>
    <row r="150" spans="1:1">
      <c r="A150" s="130"/>
    </row>
    <row r="151" spans="1:1">
      <c r="A151" s="130"/>
    </row>
    <row r="152" spans="1:1">
      <c r="A152" s="130"/>
    </row>
    <row r="153" spans="1:1">
      <c r="A153" s="130"/>
    </row>
    <row r="154" spans="1:1">
      <c r="A154" s="130"/>
    </row>
    <row r="155" spans="1:1">
      <c r="A155" s="130"/>
    </row>
    <row r="156" spans="1:1">
      <c r="A156" s="130"/>
    </row>
    <row r="157" spans="1:1">
      <c r="A157" s="130"/>
    </row>
    <row r="158" spans="1:1">
      <c r="A158" s="130"/>
    </row>
    <row r="159" spans="1:1">
      <c r="A159" s="130"/>
    </row>
    <row r="160" spans="1:1">
      <c r="A160" s="130"/>
    </row>
    <row r="161" spans="1:1">
      <c r="A161" s="130"/>
    </row>
    <row r="162" spans="1:1">
      <c r="A162" s="130"/>
    </row>
    <row r="163" spans="1:1">
      <c r="A163" s="130"/>
    </row>
    <row r="164" spans="1:1">
      <c r="A164" s="130"/>
    </row>
    <row r="165" spans="1:1">
      <c r="A165" s="130"/>
    </row>
    <row r="166" spans="1:1">
      <c r="A166" s="130"/>
    </row>
    <row r="167" spans="1:1">
      <c r="A167" s="130"/>
    </row>
    <row r="168" spans="1:1">
      <c r="A168" s="130"/>
    </row>
    <row r="169" spans="1:1">
      <c r="A169" s="130"/>
    </row>
    <row r="170" spans="1:1">
      <c r="A170" s="130"/>
    </row>
    <row r="171" spans="1:1">
      <c r="A171" s="130"/>
    </row>
    <row r="172" spans="1:1">
      <c r="A172" s="130"/>
    </row>
    <row r="173" spans="1:1">
      <c r="A173" s="130"/>
    </row>
    <row r="174" spans="1:1">
      <c r="A174" s="130"/>
    </row>
    <row r="175" spans="1:1">
      <c r="A175" s="130"/>
    </row>
    <row r="176" spans="1:1">
      <c r="A176" s="130"/>
    </row>
    <row r="177" spans="1:1">
      <c r="A177" s="130"/>
    </row>
    <row r="178" spans="1:1">
      <c r="A178" s="130"/>
    </row>
    <row r="179" spans="1:1">
      <c r="A179" s="130"/>
    </row>
    <row r="180" spans="1:1">
      <c r="A180" s="130"/>
    </row>
    <row r="181" spans="1:1">
      <c r="A181" s="130"/>
    </row>
    <row r="182" spans="1:1">
      <c r="A182" s="130"/>
    </row>
    <row r="183" spans="1:1">
      <c r="A183" s="130"/>
    </row>
    <row r="184" spans="1:1">
      <c r="A184" s="130"/>
    </row>
    <row r="185" spans="1:1">
      <c r="A185" s="130"/>
    </row>
    <row r="186" spans="1:1">
      <c r="A186" s="130"/>
    </row>
    <row r="187" spans="1:1">
      <c r="A187" s="130"/>
    </row>
    <row r="188" spans="1:1">
      <c r="A188" s="130"/>
    </row>
    <row r="189" spans="1:1">
      <c r="A189" s="130"/>
    </row>
    <row r="190" spans="1:1">
      <c r="A190" s="130"/>
    </row>
    <row r="191" spans="1:1">
      <c r="A191" s="130"/>
    </row>
    <row r="192" spans="1:1">
      <c r="A192" s="130"/>
    </row>
    <row r="193" spans="1:1">
      <c r="A193" s="130"/>
    </row>
    <row r="194" spans="1:1">
      <c r="A194" s="130"/>
    </row>
    <row r="195" spans="1:1">
      <c r="A195" s="130"/>
    </row>
    <row r="196" spans="1:1">
      <c r="A196" s="130"/>
    </row>
    <row r="197" spans="1:1">
      <c r="A197" s="130"/>
    </row>
    <row r="198" spans="1:1">
      <c r="A198" s="130"/>
    </row>
    <row r="199" spans="1:1">
      <c r="A199" s="130"/>
    </row>
    <row r="200" spans="1:1">
      <c r="A200" s="130"/>
    </row>
    <row r="201" spans="1:1">
      <c r="A201" s="130"/>
    </row>
    <row r="202" spans="1:1">
      <c r="A202" s="130"/>
    </row>
    <row r="203" spans="1:1">
      <c r="A203" s="130"/>
    </row>
    <row r="204" spans="1:1">
      <c r="A204" s="130"/>
    </row>
    <row r="205" spans="1:1">
      <c r="A205" s="130"/>
    </row>
    <row r="206" spans="1:1">
      <c r="A206" s="130"/>
    </row>
    <row r="207" spans="1:1">
      <c r="A207" s="130"/>
    </row>
    <row r="208" spans="1:1">
      <c r="A208" s="130"/>
    </row>
    <row r="209" spans="1:1">
      <c r="A209" s="130"/>
    </row>
    <row r="210" spans="1:1">
      <c r="A210" s="130"/>
    </row>
    <row r="211" spans="1:1">
      <c r="A211" s="130"/>
    </row>
    <row r="212" spans="1:1">
      <c r="A212" s="130"/>
    </row>
    <row r="213" spans="1:1">
      <c r="A213" s="130"/>
    </row>
    <row r="214" spans="1:1">
      <c r="A214" s="130"/>
    </row>
    <row r="215" spans="1:1">
      <c r="A215" s="130"/>
    </row>
    <row r="216" spans="1:1">
      <c r="A216" s="130"/>
    </row>
    <row r="217" spans="1:1">
      <c r="A217" s="130"/>
    </row>
    <row r="218" spans="1:1">
      <c r="A218" s="130"/>
    </row>
    <row r="219" spans="1:1">
      <c r="A219" s="130"/>
    </row>
    <row r="220" spans="1:1">
      <c r="A220" s="130"/>
    </row>
    <row r="221" spans="1:1">
      <c r="A221" s="130"/>
    </row>
    <row r="222" spans="1:1">
      <c r="A222" s="130"/>
    </row>
    <row r="223" spans="1:1">
      <c r="A223" s="130"/>
    </row>
    <row r="224" spans="1:1">
      <c r="A224" s="130"/>
    </row>
    <row r="225" spans="1:1">
      <c r="A225" s="130"/>
    </row>
    <row r="226" spans="1:1">
      <c r="A226" s="130"/>
    </row>
    <row r="227" spans="1:1">
      <c r="A227" s="130"/>
    </row>
    <row r="228" spans="1:1">
      <c r="A228" s="130"/>
    </row>
    <row r="229" spans="1:1">
      <c r="A229" s="130"/>
    </row>
    <row r="230" spans="1:1">
      <c r="A230" s="130"/>
    </row>
    <row r="231" spans="1:1">
      <c r="A231" s="130"/>
    </row>
    <row r="232" spans="1:1">
      <c r="A232" s="130"/>
    </row>
    <row r="233" spans="1:1">
      <c r="A233" s="130"/>
    </row>
    <row r="234" spans="1:1">
      <c r="A234" s="130"/>
    </row>
    <row r="235" spans="1:1">
      <c r="A235" s="130"/>
    </row>
    <row r="236" spans="1:1">
      <c r="A236" s="130"/>
    </row>
    <row r="237" spans="1:1">
      <c r="A237" s="130"/>
    </row>
    <row r="238" spans="1:1">
      <c r="A238" s="130"/>
    </row>
    <row r="239" spans="1:1">
      <c r="A239" s="130"/>
    </row>
    <row r="240" spans="1:1">
      <c r="A240" s="130"/>
    </row>
    <row r="241" spans="1:1">
      <c r="A241" s="130"/>
    </row>
    <row r="242" spans="1:1">
      <c r="A242" s="130"/>
    </row>
    <row r="243" spans="1:1">
      <c r="A243" s="130"/>
    </row>
    <row r="244" spans="1:1">
      <c r="A244" s="130"/>
    </row>
    <row r="245" spans="1:1">
      <c r="A245" s="130"/>
    </row>
    <row r="246" spans="1:1">
      <c r="A246" s="130"/>
    </row>
    <row r="247" spans="1:1">
      <c r="A247" s="130"/>
    </row>
    <row r="248" spans="1:1">
      <c r="A248" s="130"/>
    </row>
    <row r="249" spans="1:1">
      <c r="A249" s="130"/>
    </row>
    <row r="250" spans="1:1">
      <c r="A250" s="130"/>
    </row>
    <row r="251" spans="1:1">
      <c r="A251" s="130"/>
    </row>
    <row r="252" spans="1:1">
      <c r="A252" s="130"/>
    </row>
    <row r="253" spans="1:1">
      <c r="A253" s="130"/>
    </row>
    <row r="254" spans="1:1">
      <c r="A254" s="130"/>
    </row>
    <row r="255" spans="1:1">
      <c r="A255" s="130"/>
    </row>
    <row r="256" spans="1:1">
      <c r="A256" s="130"/>
    </row>
    <row r="257" spans="1:1">
      <c r="A257" s="130"/>
    </row>
    <row r="258" spans="1:1">
      <c r="A258" s="130"/>
    </row>
    <row r="259" spans="1:1">
      <c r="A259" s="130"/>
    </row>
    <row r="260" spans="1:1">
      <c r="A260" s="130"/>
    </row>
    <row r="261" spans="1:1">
      <c r="A261" s="130"/>
    </row>
    <row r="262" spans="1:1">
      <c r="A262" s="130"/>
    </row>
    <row r="263" spans="1:1">
      <c r="A263" s="130"/>
    </row>
    <row r="264" spans="1:1">
      <c r="A264" s="130"/>
    </row>
    <row r="265" spans="1:1">
      <c r="A265" s="130"/>
    </row>
    <row r="266" spans="1:1">
      <c r="A266" s="130"/>
    </row>
    <row r="267" spans="1:1">
      <c r="A267" s="130"/>
    </row>
    <row r="268" spans="1:1">
      <c r="A268" s="130"/>
    </row>
    <row r="269" spans="1:1">
      <c r="A269" s="130"/>
    </row>
    <row r="270" spans="1:1">
      <c r="A270" s="130"/>
    </row>
    <row r="271" spans="1:1">
      <c r="A271" s="130"/>
    </row>
    <row r="272" spans="1:1">
      <c r="A272" s="130"/>
    </row>
    <row r="273" spans="1:1">
      <c r="A273" s="130"/>
    </row>
    <row r="274" spans="1:1">
      <c r="A274" s="130"/>
    </row>
    <row r="275" spans="1:1">
      <c r="A275" s="130"/>
    </row>
    <row r="276" spans="1:1">
      <c r="A276" s="130"/>
    </row>
    <row r="277" spans="1:1">
      <c r="A277" s="130"/>
    </row>
    <row r="278" spans="1:1">
      <c r="A278" s="130"/>
    </row>
    <row r="279" spans="1:1">
      <c r="A279" s="130"/>
    </row>
    <row r="280" spans="1:1">
      <c r="A280" s="130"/>
    </row>
    <row r="281" spans="1:1">
      <c r="A281" s="130"/>
    </row>
    <row r="282" spans="1:1">
      <c r="A282" s="130"/>
    </row>
    <row r="283" spans="1:1">
      <c r="A283" s="130"/>
    </row>
    <row r="284" spans="1:1">
      <c r="A284" s="130"/>
    </row>
    <row r="285" spans="1:1">
      <c r="A285" s="130"/>
    </row>
    <row r="286" spans="1:1">
      <c r="A286" s="130"/>
    </row>
    <row r="287" spans="1:1">
      <c r="A287" s="130"/>
    </row>
    <row r="288" spans="1:1">
      <c r="A288" s="130"/>
    </row>
    <row r="289" spans="1:1">
      <c r="A289" s="130"/>
    </row>
    <row r="290" spans="1:1">
      <c r="A290" s="130"/>
    </row>
    <row r="291" spans="1:1">
      <c r="A291" s="130"/>
    </row>
    <row r="292" spans="1:1">
      <c r="A292" s="130"/>
    </row>
    <row r="293" spans="1:1">
      <c r="A293" s="130"/>
    </row>
    <row r="294" spans="1:1">
      <c r="A294" s="130"/>
    </row>
    <row r="295" spans="1:1">
      <c r="A295" s="130"/>
    </row>
    <row r="296" spans="1:1">
      <c r="A296" s="130"/>
    </row>
    <row r="297" spans="1:1">
      <c r="A297" s="130"/>
    </row>
    <row r="298" spans="1:1">
      <c r="A298" s="130"/>
    </row>
    <row r="299" spans="1:1">
      <c r="A299" s="130"/>
    </row>
    <row r="300" spans="1:1">
      <c r="A300" s="130"/>
    </row>
    <row r="301" spans="1:1">
      <c r="A301" s="130"/>
    </row>
    <row r="302" spans="1:1">
      <c r="A302" s="130"/>
    </row>
    <row r="303" spans="1:1">
      <c r="A303" s="130"/>
    </row>
    <row r="304" spans="1:1">
      <c r="A304" s="130"/>
    </row>
    <row r="305" spans="1:1">
      <c r="A305" s="130"/>
    </row>
    <row r="306" spans="1:1">
      <c r="A306" s="130"/>
    </row>
    <row r="307" spans="1:1">
      <c r="A307" s="130"/>
    </row>
    <row r="308" spans="1:1">
      <c r="A308" s="130"/>
    </row>
    <row r="309" spans="1:1">
      <c r="A309" s="130"/>
    </row>
    <row r="310" spans="1:1">
      <c r="A310" s="130"/>
    </row>
    <row r="311" spans="1:1">
      <c r="A311" s="130"/>
    </row>
    <row r="312" spans="1:1">
      <c r="A312" s="130"/>
    </row>
    <row r="313" spans="1:1">
      <c r="A313" s="130"/>
    </row>
    <row r="314" spans="1:1">
      <c r="A314" s="130"/>
    </row>
    <row r="315" spans="1:1">
      <c r="A315" s="130"/>
    </row>
    <row r="316" spans="1:1">
      <c r="A316" s="130"/>
    </row>
    <row r="317" spans="1:1">
      <c r="A317" s="130"/>
    </row>
    <row r="318" spans="1:1">
      <c r="A318" s="130"/>
    </row>
    <row r="319" spans="1:1">
      <c r="A319" s="130"/>
    </row>
    <row r="320" spans="1:1">
      <c r="A320" s="130"/>
    </row>
    <row r="321" spans="1:1">
      <c r="A321" s="130"/>
    </row>
    <row r="322" spans="1:1">
      <c r="A322" s="130"/>
    </row>
    <row r="323" spans="1:1">
      <c r="A323" s="130"/>
    </row>
    <row r="324" spans="1:1">
      <c r="A324" s="130"/>
    </row>
    <row r="325" spans="1:1">
      <c r="A325" s="130"/>
    </row>
    <row r="326" spans="1:1">
      <c r="A326" s="130"/>
    </row>
    <row r="327" spans="1:1">
      <c r="A327" s="130"/>
    </row>
    <row r="328" spans="1:1">
      <c r="A328" s="130"/>
    </row>
    <row r="329" spans="1:1">
      <c r="A329" s="130"/>
    </row>
    <row r="330" spans="1:1">
      <c r="A330" s="130"/>
    </row>
    <row r="331" spans="1:1">
      <c r="A331" s="130"/>
    </row>
    <row r="332" spans="1:1">
      <c r="A332" s="130"/>
    </row>
    <row r="333" spans="1:1">
      <c r="A333" s="130"/>
    </row>
    <row r="334" spans="1:1">
      <c r="A334" s="130"/>
    </row>
    <row r="335" spans="1:1">
      <c r="A335" s="130"/>
    </row>
    <row r="336" spans="1:1">
      <c r="A336" s="130"/>
    </row>
    <row r="337" spans="1:1">
      <c r="A337" s="130"/>
    </row>
    <row r="338" spans="1:1">
      <c r="A338" s="130"/>
    </row>
    <row r="339" spans="1:1">
      <c r="A339" s="130"/>
    </row>
    <row r="340" spans="1:1">
      <c r="A340" s="130"/>
    </row>
    <row r="341" spans="1:1">
      <c r="A341" s="130"/>
    </row>
    <row r="342" spans="1:1">
      <c r="A342" s="130"/>
    </row>
    <row r="343" spans="1:1">
      <c r="A343" s="130"/>
    </row>
    <row r="344" spans="1:1">
      <c r="A344" s="130"/>
    </row>
    <row r="345" spans="1:1">
      <c r="A345" s="130"/>
    </row>
    <row r="346" spans="1:1">
      <c r="A346" s="130"/>
    </row>
    <row r="347" spans="1:1">
      <c r="A347" s="130"/>
    </row>
    <row r="348" spans="1:1">
      <c r="A348" s="130"/>
    </row>
    <row r="349" spans="1:1">
      <c r="A349" s="130"/>
    </row>
    <row r="350" spans="1:1">
      <c r="A350" s="130"/>
    </row>
    <row r="351" spans="1:1">
      <c r="A351" s="130"/>
    </row>
    <row r="352" spans="1:1">
      <c r="A352" s="130"/>
    </row>
    <row r="353" spans="1:1">
      <c r="A353" s="130"/>
    </row>
    <row r="354" spans="1:1">
      <c r="A354" s="130"/>
    </row>
    <row r="355" spans="1:1">
      <c r="A355" s="130"/>
    </row>
    <row r="356" spans="1:1">
      <c r="A356" s="130"/>
    </row>
    <row r="357" spans="1:1">
      <c r="A357" s="130"/>
    </row>
    <row r="358" spans="1:1">
      <c r="A358" s="130"/>
    </row>
    <row r="359" spans="1:1">
      <c r="A359" s="130"/>
    </row>
    <row r="360" spans="1:1">
      <c r="A360" s="130"/>
    </row>
    <row r="361" spans="1:1">
      <c r="A361" s="130"/>
    </row>
    <row r="362" spans="1:1">
      <c r="A362" s="130"/>
    </row>
    <row r="363" spans="1:1">
      <c r="A363" s="130"/>
    </row>
    <row r="364" spans="1:1">
      <c r="A364" s="130"/>
    </row>
    <row r="365" spans="1:1">
      <c r="A365" s="130"/>
    </row>
    <row r="366" spans="1:1">
      <c r="A366" s="130"/>
    </row>
    <row r="367" spans="1:1">
      <c r="A367" s="130"/>
    </row>
    <row r="368" spans="1:1">
      <c r="A368" s="130"/>
    </row>
    <row r="369" spans="1:1">
      <c r="A369" s="130"/>
    </row>
    <row r="370" spans="1:1">
      <c r="A370" s="130"/>
    </row>
    <row r="371" spans="1:1">
      <c r="A371" s="130"/>
    </row>
    <row r="372" spans="1:1">
      <c r="A372" s="130"/>
    </row>
    <row r="373" spans="1:1">
      <c r="A373" s="130"/>
    </row>
    <row r="374" spans="1:1">
      <c r="A374" s="130"/>
    </row>
    <row r="375" spans="1:1">
      <c r="A375" s="130"/>
    </row>
    <row r="376" spans="1:1">
      <c r="A376" s="130"/>
    </row>
    <row r="377" spans="1:1">
      <c r="A377" s="130"/>
    </row>
    <row r="378" spans="1:1">
      <c r="A378" s="130"/>
    </row>
    <row r="379" spans="1:1">
      <c r="A379" s="130"/>
    </row>
    <row r="380" spans="1:1">
      <c r="A380" s="130"/>
    </row>
    <row r="381" spans="1:1">
      <c r="A381" s="130"/>
    </row>
    <row r="382" spans="1:1">
      <c r="A382" s="130"/>
    </row>
    <row r="383" spans="1:1">
      <c r="A383" s="130"/>
    </row>
    <row r="384" spans="1:1">
      <c r="A384" s="130"/>
    </row>
    <row r="385" spans="1:1">
      <c r="A385" s="130"/>
    </row>
    <row r="386" spans="1:1">
      <c r="A386" s="130"/>
    </row>
    <row r="387" spans="1:1">
      <c r="A387" s="130"/>
    </row>
    <row r="388" spans="1:1">
      <c r="A388" s="130"/>
    </row>
    <row r="389" spans="1:1">
      <c r="A389" s="130"/>
    </row>
    <row r="390" spans="1:1">
      <c r="A390" s="130"/>
    </row>
    <row r="391" spans="1:1">
      <c r="A391" s="130"/>
    </row>
    <row r="392" spans="1:1">
      <c r="A392" s="130"/>
    </row>
    <row r="393" spans="1:1">
      <c r="A393" s="130"/>
    </row>
    <row r="394" spans="1:1">
      <c r="A394" s="130"/>
    </row>
    <row r="395" spans="1:1">
      <c r="A395" s="130"/>
    </row>
    <row r="396" spans="1:1">
      <c r="A396" s="130"/>
    </row>
    <row r="397" spans="1:1">
      <c r="A397" s="130"/>
    </row>
    <row r="398" spans="1:1">
      <c r="A398" s="130"/>
    </row>
    <row r="399" spans="1:1">
      <c r="A399" s="130"/>
    </row>
    <row r="400" spans="1:1">
      <c r="A400" s="130"/>
    </row>
    <row r="401" spans="1:1">
      <c r="A401" s="130"/>
    </row>
    <row r="402" spans="1:1">
      <c r="A402" s="130"/>
    </row>
    <row r="403" spans="1:1">
      <c r="A403" s="130"/>
    </row>
    <row r="404" spans="1:1">
      <c r="A404" s="130"/>
    </row>
    <row r="405" spans="1:1">
      <c r="A405" s="130"/>
    </row>
    <row r="406" spans="1:1">
      <c r="A406" s="130"/>
    </row>
    <row r="407" spans="1:1">
      <c r="A407" s="130"/>
    </row>
    <row r="408" spans="1:1">
      <c r="A408" s="130"/>
    </row>
    <row r="409" spans="1:1">
      <c r="A409" s="130"/>
    </row>
    <row r="410" spans="1:1">
      <c r="A410" s="130"/>
    </row>
    <row r="411" spans="1:1">
      <c r="A411" s="130"/>
    </row>
    <row r="412" spans="1:1">
      <c r="A412" s="130"/>
    </row>
    <row r="413" spans="1:1">
      <c r="A413" s="130"/>
    </row>
    <row r="414" spans="1:1">
      <c r="A414" s="130"/>
    </row>
    <row r="415" spans="1:1">
      <c r="A415" s="130"/>
    </row>
    <row r="416" spans="1:1">
      <c r="A416" s="130"/>
    </row>
    <row r="417" spans="1:1">
      <c r="A417" s="130"/>
    </row>
    <row r="418" spans="1:1">
      <c r="A418" s="130"/>
    </row>
    <row r="419" spans="1:1">
      <c r="A419" s="130"/>
    </row>
    <row r="420" spans="1:1">
      <c r="A420" s="130"/>
    </row>
    <row r="421" spans="1:1">
      <c r="A421" s="130"/>
    </row>
    <row r="422" spans="1:1">
      <c r="A422" s="130"/>
    </row>
    <row r="423" spans="1:1">
      <c r="A423" s="130"/>
    </row>
    <row r="424" spans="1:1">
      <c r="A424" s="130"/>
    </row>
    <row r="425" spans="1:1">
      <c r="A425" s="130"/>
    </row>
    <row r="426" spans="1:1">
      <c r="A426" s="130"/>
    </row>
    <row r="427" spans="1:1">
      <c r="A427" s="130"/>
    </row>
    <row r="428" spans="1:1">
      <c r="A428" s="130"/>
    </row>
    <row r="429" spans="1:1">
      <c r="A429" s="130"/>
    </row>
    <row r="430" spans="1:1">
      <c r="A430" s="130"/>
    </row>
    <row r="431" spans="1:1">
      <c r="A431" s="130"/>
    </row>
    <row r="432" spans="1:1">
      <c r="A432" s="130"/>
    </row>
    <row r="433" spans="1:1">
      <c r="A433" s="130"/>
    </row>
    <row r="434" spans="1:1">
      <c r="A434" s="130"/>
    </row>
    <row r="435" spans="1:1">
      <c r="A435" s="130"/>
    </row>
    <row r="436" spans="1:1">
      <c r="A436" s="130"/>
    </row>
    <row r="437" spans="1:1">
      <c r="A437" s="130"/>
    </row>
    <row r="438" spans="1:1">
      <c r="A438" s="130"/>
    </row>
    <row r="439" spans="1:1">
      <c r="A439" s="130"/>
    </row>
    <row r="440" spans="1:1">
      <c r="A440" s="130"/>
    </row>
    <row r="441" spans="1:1">
      <c r="A441" s="130"/>
    </row>
    <row r="442" spans="1:1">
      <c r="A442" s="130"/>
    </row>
    <row r="443" spans="1:1">
      <c r="A443" s="130"/>
    </row>
    <row r="444" spans="1:1">
      <c r="A444" s="130"/>
    </row>
    <row r="445" spans="1:1">
      <c r="A445" s="130"/>
    </row>
    <row r="446" spans="1:1">
      <c r="A446" s="130"/>
    </row>
    <row r="447" spans="1:1">
      <c r="A447" s="130"/>
    </row>
    <row r="448" spans="1:1">
      <c r="A448" s="130"/>
    </row>
    <row r="449" spans="1:1">
      <c r="A449" s="130"/>
    </row>
    <row r="450" spans="1:1">
      <c r="A450" s="130"/>
    </row>
    <row r="451" spans="1:1">
      <c r="A451" s="130"/>
    </row>
    <row r="452" spans="1:1">
      <c r="A452" s="130"/>
    </row>
    <row r="453" spans="1:1">
      <c r="A453" s="130"/>
    </row>
    <row r="454" spans="1:1">
      <c r="A454" s="130"/>
    </row>
    <row r="455" spans="1:1">
      <c r="A455" s="130"/>
    </row>
    <row r="456" spans="1:1">
      <c r="A456" s="130"/>
    </row>
    <row r="457" spans="1:1">
      <c r="A457" s="130"/>
    </row>
    <row r="458" spans="1:1">
      <c r="A458" s="130"/>
    </row>
    <row r="459" spans="1:1">
      <c r="A459" s="130"/>
    </row>
    <row r="460" spans="1:1">
      <c r="A460" s="130"/>
    </row>
    <row r="461" spans="1:1">
      <c r="A461" s="130"/>
    </row>
    <row r="462" spans="1:1">
      <c r="A462" s="130"/>
    </row>
    <row r="463" spans="1:1">
      <c r="A463" s="130"/>
    </row>
    <row r="464" spans="1:1">
      <c r="A464" s="130"/>
    </row>
    <row r="465" spans="1:1">
      <c r="A465" s="130"/>
    </row>
    <row r="466" spans="1:1">
      <c r="A466" s="130"/>
    </row>
    <row r="467" spans="1:1">
      <c r="A467" s="130"/>
    </row>
    <row r="468" spans="1:1">
      <c r="A468" s="130"/>
    </row>
    <row r="469" spans="1:1">
      <c r="A469" s="130"/>
    </row>
    <row r="470" spans="1:1">
      <c r="A470" s="130"/>
    </row>
    <row r="471" spans="1:1">
      <c r="A471" s="130"/>
    </row>
    <row r="472" spans="1:1">
      <c r="A472" s="130"/>
    </row>
    <row r="473" spans="1:1">
      <c r="A473" s="130"/>
    </row>
    <row r="474" spans="1:1">
      <c r="A474" s="130"/>
    </row>
    <row r="475" spans="1:1">
      <c r="A475" s="130"/>
    </row>
    <row r="476" spans="1:1">
      <c r="A476" s="130"/>
    </row>
    <row r="477" spans="1:1">
      <c r="A477" s="130"/>
    </row>
    <row r="478" spans="1:1">
      <c r="A478" s="130"/>
    </row>
    <row r="479" spans="1:1">
      <c r="A479" s="130"/>
    </row>
    <row r="480" spans="1:1">
      <c r="A480" s="130"/>
    </row>
    <row r="481" spans="1:1">
      <c r="A481" s="130"/>
    </row>
    <row r="482" spans="1:1">
      <c r="A482" s="130"/>
    </row>
    <row r="483" spans="1:1">
      <c r="A483" s="130"/>
    </row>
    <row r="484" spans="1:1">
      <c r="A484" s="130"/>
    </row>
    <row r="485" spans="1:1">
      <c r="A485" s="130"/>
    </row>
    <row r="486" spans="1:1">
      <c r="A486" s="130"/>
    </row>
    <row r="487" spans="1:1">
      <c r="A487" s="130"/>
    </row>
    <row r="488" spans="1:1">
      <c r="A488" s="130"/>
    </row>
    <row r="489" spans="1:1">
      <c r="A489" s="130"/>
    </row>
    <row r="490" spans="1:1">
      <c r="A490" s="130"/>
    </row>
    <row r="491" spans="1:1">
      <c r="A491" s="130"/>
    </row>
    <row r="492" spans="1:1">
      <c r="A492" s="130"/>
    </row>
    <row r="493" spans="1:1">
      <c r="A493" s="130"/>
    </row>
    <row r="494" spans="1:1">
      <c r="A494" s="130"/>
    </row>
    <row r="495" spans="1:1">
      <c r="A495" s="130"/>
    </row>
    <row r="496" spans="1:1">
      <c r="A496" s="130"/>
    </row>
    <row r="497" spans="1:1">
      <c r="A497" s="130"/>
    </row>
    <row r="498" spans="1:1">
      <c r="A498" s="130"/>
    </row>
    <row r="499" spans="1:1">
      <c r="A499" s="130"/>
    </row>
    <row r="500" spans="1:1">
      <c r="A500" s="130"/>
    </row>
    <row r="501" spans="1:1">
      <c r="A501" s="130"/>
    </row>
    <row r="502" spans="1:1">
      <c r="A502" s="130"/>
    </row>
    <row r="503" spans="1:1">
      <c r="A503" s="130"/>
    </row>
    <row r="504" spans="1:1">
      <c r="A504" s="130"/>
    </row>
    <row r="505" spans="1:1">
      <c r="A505" s="130"/>
    </row>
    <row r="506" spans="1:1">
      <c r="A506" s="130"/>
    </row>
    <row r="507" spans="1:1">
      <c r="A507" s="130"/>
    </row>
    <row r="508" spans="1:1">
      <c r="A508" s="130"/>
    </row>
    <row r="509" spans="1:1">
      <c r="A509" s="130"/>
    </row>
    <row r="510" spans="1:1">
      <c r="A510" s="130"/>
    </row>
    <row r="511" spans="1:1">
      <c r="A511" s="130"/>
    </row>
    <row r="512" spans="1:1">
      <c r="A512" s="130"/>
    </row>
    <row r="513" spans="1:1">
      <c r="A513" s="130"/>
    </row>
    <row r="514" spans="1:1">
      <c r="A514" s="130"/>
    </row>
    <row r="515" spans="1:1">
      <c r="A515" s="130"/>
    </row>
    <row r="516" spans="1:1">
      <c r="A516" s="130"/>
    </row>
    <row r="517" spans="1:1">
      <c r="A517" s="130"/>
    </row>
    <row r="518" spans="1:1">
      <c r="A518" s="130"/>
    </row>
    <row r="519" spans="1:1">
      <c r="A519" s="130"/>
    </row>
    <row r="520" spans="1:1">
      <c r="A520" s="130"/>
    </row>
    <row r="521" spans="1:1">
      <c r="A521" s="130"/>
    </row>
    <row r="522" spans="1:1">
      <c r="A522" s="130"/>
    </row>
    <row r="523" spans="1:1">
      <c r="A523" s="130"/>
    </row>
    <row r="524" spans="1:1">
      <c r="A524" s="130"/>
    </row>
    <row r="525" spans="1:1">
      <c r="A525" s="130"/>
    </row>
    <row r="526" spans="1:1">
      <c r="A526" s="130"/>
    </row>
    <row r="527" spans="1:1">
      <c r="A527" s="130"/>
    </row>
    <row r="528" spans="1:1">
      <c r="A528" s="130"/>
    </row>
    <row r="529" spans="1:1">
      <c r="A529" s="130"/>
    </row>
    <row r="530" spans="1:1">
      <c r="A530" s="130"/>
    </row>
    <row r="531" spans="1:1">
      <c r="A531" s="130"/>
    </row>
    <row r="532" spans="1:1">
      <c r="A532" s="130"/>
    </row>
    <row r="533" spans="1:1">
      <c r="A533" s="130"/>
    </row>
    <row r="534" spans="1:1">
      <c r="A534" s="130"/>
    </row>
    <row r="535" spans="1:1">
      <c r="A535" s="130"/>
    </row>
    <row r="536" spans="1:1">
      <c r="A536" s="130"/>
    </row>
    <row r="537" spans="1:1">
      <c r="A537" s="130"/>
    </row>
    <row r="538" spans="1:1">
      <c r="A538" s="130"/>
    </row>
    <row r="539" spans="1:1">
      <c r="A539" s="130"/>
    </row>
    <row r="540" spans="1:1">
      <c r="A540" s="130"/>
    </row>
    <row r="541" spans="1:1">
      <c r="A541" s="130"/>
    </row>
    <row r="542" spans="1:1">
      <c r="A542" s="130"/>
    </row>
    <row r="543" spans="1:1">
      <c r="A543" s="130"/>
    </row>
    <row r="544" spans="1:1">
      <c r="A544" s="130"/>
    </row>
    <row r="545" spans="1:1">
      <c r="A545" s="130"/>
    </row>
    <row r="546" spans="1:1">
      <c r="A546" s="130"/>
    </row>
    <row r="547" spans="1:1">
      <c r="A547" s="130"/>
    </row>
    <row r="548" spans="1:1">
      <c r="A548" s="130"/>
    </row>
    <row r="549" spans="1:1">
      <c r="A549" s="130"/>
    </row>
    <row r="550" spans="1:1">
      <c r="A550" s="130"/>
    </row>
    <row r="551" spans="1:1">
      <c r="A551" s="130"/>
    </row>
    <row r="552" spans="1:1">
      <c r="A552" s="130"/>
    </row>
    <row r="553" spans="1:1">
      <c r="A553" s="130"/>
    </row>
    <row r="554" spans="1:1">
      <c r="A554" s="130"/>
    </row>
    <row r="555" spans="1:1">
      <c r="A555" s="130"/>
    </row>
    <row r="556" spans="1:1">
      <c r="A556" s="130"/>
    </row>
    <row r="557" spans="1:1">
      <c r="A557" s="130"/>
    </row>
    <row r="558" spans="1:1">
      <c r="A558" s="130"/>
    </row>
    <row r="559" spans="1:1">
      <c r="A559" s="130"/>
    </row>
    <row r="560" spans="1:1">
      <c r="A560" s="130"/>
    </row>
    <row r="561" spans="1:1">
      <c r="A561" s="130"/>
    </row>
    <row r="562" spans="1:1">
      <c r="A562" s="130"/>
    </row>
    <row r="563" spans="1:1">
      <c r="A563" s="130"/>
    </row>
    <row r="564" spans="1:1">
      <c r="A564" s="130"/>
    </row>
    <row r="565" spans="1:1">
      <c r="A565" s="130"/>
    </row>
    <row r="566" spans="1:1">
      <c r="A566" s="130"/>
    </row>
    <row r="567" spans="1:1">
      <c r="A567" s="130"/>
    </row>
    <row r="568" spans="1:1">
      <c r="A568" s="130"/>
    </row>
    <row r="569" spans="1:1">
      <c r="A569" s="130"/>
    </row>
    <row r="570" spans="1:1">
      <c r="A570" s="130"/>
    </row>
    <row r="571" spans="1:1">
      <c r="A571" s="130"/>
    </row>
    <row r="572" spans="1:1">
      <c r="A572" s="130"/>
    </row>
    <row r="573" spans="1:1">
      <c r="A573" s="130"/>
    </row>
    <row r="574" spans="1:1">
      <c r="A574" s="130"/>
    </row>
    <row r="575" spans="1:1">
      <c r="A575" s="130"/>
    </row>
    <row r="576" spans="1:1">
      <c r="A576" s="130"/>
    </row>
    <row r="577" spans="1:1">
      <c r="A577" s="130"/>
    </row>
    <row r="578" spans="1:1">
      <c r="A578" s="130"/>
    </row>
    <row r="579" spans="1:1">
      <c r="A579" s="130"/>
    </row>
    <row r="580" spans="1:1">
      <c r="A580" s="130"/>
    </row>
    <row r="581" spans="1:1">
      <c r="A581" s="130"/>
    </row>
    <row r="582" spans="1:1">
      <c r="A582" s="130"/>
    </row>
    <row r="583" spans="1:1">
      <c r="A583" s="130"/>
    </row>
    <row r="584" spans="1:1">
      <c r="A584" s="130"/>
    </row>
    <row r="585" spans="1:1">
      <c r="A585" s="130"/>
    </row>
    <row r="586" spans="1:1">
      <c r="A586" s="130"/>
    </row>
    <row r="587" spans="1:1">
      <c r="A587" s="130"/>
    </row>
    <row r="588" spans="1:1">
      <c r="A588" s="130"/>
    </row>
    <row r="589" spans="1:1">
      <c r="A589" s="130"/>
    </row>
    <row r="590" spans="1:1">
      <c r="A590" s="130"/>
    </row>
    <row r="591" spans="1:1">
      <c r="A591" s="130"/>
    </row>
    <row r="592" spans="1:1">
      <c r="A592" s="130"/>
    </row>
    <row r="593" spans="1:1">
      <c r="A593" s="130"/>
    </row>
    <row r="594" spans="1:1">
      <c r="A594" s="130"/>
    </row>
    <row r="595" spans="1:1">
      <c r="A595" s="130"/>
    </row>
    <row r="596" spans="1:1">
      <c r="A596" s="130"/>
    </row>
    <row r="597" spans="1:1">
      <c r="A597" s="130"/>
    </row>
    <row r="598" spans="1:1">
      <c r="A598" s="130"/>
    </row>
    <row r="599" spans="1:1">
      <c r="A599" s="130"/>
    </row>
    <row r="600" spans="1:1">
      <c r="A600" s="130"/>
    </row>
    <row r="601" spans="1:1">
      <c r="A601" s="130"/>
    </row>
    <row r="602" spans="1:1">
      <c r="A602" s="130"/>
    </row>
    <row r="603" spans="1:1">
      <c r="A603" s="130"/>
    </row>
    <row r="604" spans="1:1">
      <c r="A604" s="130"/>
    </row>
    <row r="605" spans="1:1">
      <c r="A605" s="130"/>
    </row>
    <row r="606" spans="1:1">
      <c r="A606" s="130"/>
    </row>
    <row r="607" spans="1:1">
      <c r="A607" s="130"/>
    </row>
    <row r="608" spans="1:1">
      <c r="A608" s="130"/>
    </row>
    <row r="609" spans="1:1">
      <c r="A609" s="130"/>
    </row>
    <row r="610" spans="1:1">
      <c r="A610" s="130"/>
    </row>
    <row r="611" spans="1:1">
      <c r="A611" s="130"/>
    </row>
    <row r="612" spans="1:1">
      <c r="A612" s="130"/>
    </row>
    <row r="613" spans="1:1">
      <c r="A613" s="130"/>
    </row>
    <row r="614" spans="1:1">
      <c r="A614" s="130"/>
    </row>
    <row r="615" spans="1:1">
      <c r="A615" s="130"/>
    </row>
    <row r="616" spans="1:1">
      <c r="A616" s="130"/>
    </row>
    <row r="617" spans="1:1">
      <c r="A617" s="130"/>
    </row>
    <row r="618" spans="1:1">
      <c r="A618" s="130"/>
    </row>
    <row r="619" spans="1:1">
      <c r="A619" s="130"/>
    </row>
    <row r="620" spans="1:1">
      <c r="A620" s="130"/>
    </row>
    <row r="621" spans="1:1">
      <c r="A621" s="130"/>
    </row>
    <row r="622" spans="1:1">
      <c r="A622" s="130"/>
    </row>
    <row r="623" spans="1:1">
      <c r="A623" s="130"/>
    </row>
    <row r="624" spans="1:1">
      <c r="A624" s="130"/>
    </row>
    <row r="625" spans="1:1">
      <c r="A625" s="130"/>
    </row>
    <row r="626" spans="1:1">
      <c r="A626" s="130"/>
    </row>
    <row r="627" spans="1:1">
      <c r="A627" s="130"/>
    </row>
    <row r="628" spans="1:1">
      <c r="A628" s="130"/>
    </row>
    <row r="629" spans="1:1">
      <c r="A629" s="130"/>
    </row>
    <row r="630" spans="1:1">
      <c r="A630" s="130"/>
    </row>
    <row r="631" spans="1:1">
      <c r="A631" s="130"/>
    </row>
    <row r="632" spans="1:1">
      <c r="A632" s="130"/>
    </row>
    <row r="633" spans="1:1">
      <c r="A633" s="130"/>
    </row>
    <row r="634" spans="1:1">
      <c r="A634" s="130"/>
    </row>
    <row r="635" spans="1:1">
      <c r="A635" s="130"/>
    </row>
    <row r="636" spans="1:1">
      <c r="A636" s="130"/>
    </row>
    <row r="637" spans="1:1">
      <c r="A637" s="130"/>
    </row>
    <row r="638" spans="1:1">
      <c r="A638" s="130"/>
    </row>
    <row r="639" spans="1:1">
      <c r="A639" s="130"/>
    </row>
    <row r="640" spans="1:1">
      <c r="A640" s="130"/>
    </row>
    <row r="641" spans="1:1">
      <c r="A641" s="130"/>
    </row>
    <row r="642" spans="1:1">
      <c r="A642" s="130"/>
    </row>
    <row r="643" spans="1:1">
      <c r="A643" s="130"/>
    </row>
    <row r="644" spans="1:1">
      <c r="A644" s="130"/>
    </row>
    <row r="645" spans="1:1">
      <c r="A645" s="130"/>
    </row>
    <row r="646" spans="1:1">
      <c r="A646" s="130"/>
    </row>
    <row r="647" spans="1:1">
      <c r="A647" s="130"/>
    </row>
    <row r="648" spans="1:1">
      <c r="A648" s="130"/>
    </row>
    <row r="649" spans="1:1">
      <c r="A649" s="130"/>
    </row>
    <row r="650" spans="1:1">
      <c r="A650" s="130"/>
    </row>
    <row r="651" spans="1:1">
      <c r="A651" s="130"/>
    </row>
    <row r="652" spans="1:1">
      <c r="A652" s="130"/>
    </row>
    <row r="653" spans="1:1">
      <c r="A653" s="130"/>
    </row>
    <row r="654" spans="1:1">
      <c r="A654" s="130"/>
    </row>
    <row r="655" spans="1:1">
      <c r="A655" s="130"/>
    </row>
    <row r="656" spans="1:1">
      <c r="A656" s="130"/>
    </row>
    <row r="657" spans="1:1">
      <c r="A657" s="130"/>
    </row>
    <row r="658" spans="1:1">
      <c r="A658" s="130"/>
    </row>
    <row r="659" spans="1:1">
      <c r="A659" s="130"/>
    </row>
    <row r="660" spans="1:1">
      <c r="A660" s="130"/>
    </row>
    <row r="661" spans="1:1">
      <c r="A661" s="130"/>
    </row>
    <row r="662" spans="1:1">
      <c r="A662" s="130"/>
    </row>
    <row r="663" spans="1:1">
      <c r="A663" s="130"/>
    </row>
    <row r="664" spans="1:1">
      <c r="A664" s="130"/>
    </row>
    <row r="665" spans="1:1">
      <c r="A665" s="130"/>
    </row>
    <row r="666" spans="1:1">
      <c r="A666" s="130"/>
    </row>
    <row r="667" spans="1:1">
      <c r="A667" s="130"/>
    </row>
    <row r="668" spans="1:1">
      <c r="A668" s="130"/>
    </row>
    <row r="669" spans="1:1">
      <c r="A669" s="130"/>
    </row>
    <row r="670" spans="1:1">
      <c r="A670" s="130"/>
    </row>
    <row r="671" spans="1:1">
      <c r="A671" s="130"/>
    </row>
    <row r="672" spans="1:1">
      <c r="A672" s="130"/>
    </row>
    <row r="673" spans="1:1">
      <c r="A673" s="130"/>
    </row>
    <row r="674" spans="1:1">
      <c r="A674" s="130"/>
    </row>
    <row r="675" spans="1:1">
      <c r="A675" s="130"/>
    </row>
    <row r="676" spans="1:1">
      <c r="A676" s="130"/>
    </row>
    <row r="677" spans="1:1">
      <c r="A677" s="130"/>
    </row>
    <row r="678" spans="1:1">
      <c r="A678" s="130"/>
    </row>
    <row r="679" spans="1:1">
      <c r="A679" s="130"/>
    </row>
    <row r="680" spans="1:1">
      <c r="A680" s="130"/>
    </row>
    <row r="681" spans="1:1">
      <c r="A681" s="130"/>
    </row>
    <row r="682" spans="1:1">
      <c r="A682" s="130"/>
    </row>
    <row r="683" spans="1:1">
      <c r="A683" s="130"/>
    </row>
    <row r="684" spans="1:1">
      <c r="A684" s="130"/>
    </row>
    <row r="685" spans="1:1">
      <c r="A685" s="130"/>
    </row>
    <row r="686" spans="1:1">
      <c r="A686" s="130"/>
    </row>
    <row r="687" spans="1:1">
      <c r="A687" s="130"/>
    </row>
    <row r="688" spans="1:1">
      <c r="A688" s="130"/>
    </row>
    <row r="689" spans="1:1">
      <c r="A689" s="130"/>
    </row>
    <row r="690" spans="1:1">
      <c r="A690" s="130"/>
    </row>
    <row r="691" spans="1:1">
      <c r="A691" s="130"/>
    </row>
    <row r="692" spans="1:1">
      <c r="A692" s="130"/>
    </row>
    <row r="693" spans="1:1">
      <c r="A693" s="130"/>
    </row>
    <row r="694" spans="1:1">
      <c r="A694" s="130"/>
    </row>
    <row r="695" spans="1:1">
      <c r="A695" s="130"/>
    </row>
    <row r="696" spans="1:1">
      <c r="A696" s="130"/>
    </row>
    <row r="697" spans="1:1">
      <c r="A697" s="130"/>
    </row>
    <row r="698" spans="1:1">
      <c r="A698" s="130"/>
    </row>
    <row r="699" spans="1:1">
      <c r="A699" s="130"/>
    </row>
    <row r="700" spans="1:1">
      <c r="A700" s="130"/>
    </row>
    <row r="701" spans="1:1">
      <c r="A701" s="130"/>
    </row>
    <row r="702" spans="1:1">
      <c r="A702" s="130"/>
    </row>
    <row r="703" spans="1:1">
      <c r="A703" s="130"/>
    </row>
    <row r="704" spans="1:1">
      <c r="A704" s="130"/>
    </row>
    <row r="705" spans="1:1">
      <c r="A705" s="130"/>
    </row>
    <row r="706" spans="1:1">
      <c r="A706" s="130"/>
    </row>
    <row r="707" spans="1:1">
      <c r="A707" s="130"/>
    </row>
    <row r="708" spans="1:1">
      <c r="A708" s="130"/>
    </row>
    <row r="709" spans="1:1">
      <c r="A709" s="130"/>
    </row>
    <row r="710" spans="1:1">
      <c r="A710" s="130"/>
    </row>
    <row r="711" spans="1:1">
      <c r="A711" s="130"/>
    </row>
    <row r="712" spans="1:1">
      <c r="A712" s="130"/>
    </row>
    <row r="713" spans="1:1">
      <c r="A713" s="130"/>
    </row>
    <row r="714" spans="1:1">
      <c r="A714" s="130"/>
    </row>
    <row r="715" spans="1:1">
      <c r="A715" s="130"/>
    </row>
    <row r="716" spans="1:1">
      <c r="A716" s="130"/>
    </row>
    <row r="717" spans="1:1">
      <c r="A717" s="130"/>
    </row>
    <row r="718" spans="1:1">
      <c r="A718" s="130"/>
    </row>
    <row r="719" spans="1:1">
      <c r="A719" s="130"/>
    </row>
    <row r="720" spans="1:1">
      <c r="A720" s="130"/>
    </row>
    <row r="721" spans="1:1">
      <c r="A721" s="130"/>
    </row>
    <row r="722" spans="1:1">
      <c r="A722" s="130"/>
    </row>
    <row r="723" spans="1:1">
      <c r="A723" s="130"/>
    </row>
    <row r="724" spans="1:1">
      <c r="A724" s="130"/>
    </row>
    <row r="725" spans="1:1">
      <c r="A725" s="130"/>
    </row>
    <row r="726" spans="1:1">
      <c r="A726" s="130"/>
    </row>
    <row r="727" spans="1:1">
      <c r="A727" s="130"/>
    </row>
    <row r="728" spans="1:1">
      <c r="A728" s="130"/>
    </row>
    <row r="729" spans="1:1">
      <c r="A729" s="130"/>
    </row>
    <row r="730" spans="1:1">
      <c r="A730" s="130"/>
    </row>
    <row r="731" spans="1:1">
      <c r="A731" s="130"/>
    </row>
    <row r="732" spans="1:1">
      <c r="A732" s="130"/>
    </row>
    <row r="733" spans="1:1">
      <c r="A733" s="130"/>
    </row>
    <row r="734" spans="1:1">
      <c r="A734" s="130"/>
    </row>
    <row r="735" spans="1:1">
      <c r="A735" s="130"/>
    </row>
    <row r="736" spans="1:1">
      <c r="A736" s="130"/>
    </row>
    <row r="737" spans="1:1">
      <c r="A737" s="130"/>
    </row>
    <row r="738" spans="1:1">
      <c r="A738" s="130"/>
    </row>
    <row r="739" spans="1:1">
      <c r="A739" s="130"/>
    </row>
    <row r="740" spans="1:1">
      <c r="A740" s="130"/>
    </row>
    <row r="741" spans="1:1">
      <c r="A741" s="130"/>
    </row>
    <row r="742" spans="1:1">
      <c r="A742" s="130"/>
    </row>
    <row r="743" spans="1:1">
      <c r="A743" s="130"/>
    </row>
    <row r="744" spans="1:1">
      <c r="A744" s="130"/>
    </row>
    <row r="745" spans="1:1">
      <c r="A745" s="130"/>
    </row>
    <row r="746" spans="1:1">
      <c r="A746" s="130"/>
    </row>
    <row r="747" spans="1:1">
      <c r="A747" s="130"/>
    </row>
    <row r="748" spans="1:1">
      <c r="A748" s="130"/>
    </row>
    <row r="749" spans="1:1">
      <c r="A749" s="130"/>
    </row>
    <row r="750" spans="1:1">
      <c r="A750" s="130"/>
    </row>
    <row r="751" spans="1:1">
      <c r="A751" s="130"/>
    </row>
    <row r="752" spans="1:1">
      <c r="A752" s="130"/>
    </row>
    <row r="753" spans="1:1">
      <c r="A753" s="130"/>
    </row>
    <row r="754" spans="1:1">
      <c r="A754" s="130"/>
    </row>
    <row r="755" spans="1:1">
      <c r="A755" s="130"/>
    </row>
    <row r="756" spans="1:1">
      <c r="A756" s="130"/>
    </row>
    <row r="757" spans="1:1">
      <c r="A757" s="130"/>
    </row>
    <row r="758" spans="1:1">
      <c r="A758" s="130"/>
    </row>
    <row r="759" spans="1:1">
      <c r="A759" s="130"/>
    </row>
    <row r="760" spans="1:1">
      <c r="A760" s="130"/>
    </row>
    <row r="761" spans="1:1">
      <c r="A761" s="130"/>
    </row>
    <row r="762" spans="1:1">
      <c r="A762" s="130"/>
    </row>
    <row r="763" spans="1:1">
      <c r="A763" s="130"/>
    </row>
    <row r="764" spans="1:1">
      <c r="A764" s="130"/>
    </row>
    <row r="765" spans="1:1">
      <c r="A765" s="130"/>
    </row>
    <row r="766" spans="1:1">
      <c r="A766" s="130"/>
    </row>
    <row r="767" spans="1:1">
      <c r="A767" s="130"/>
    </row>
    <row r="768" spans="1:1">
      <c r="A768" s="130"/>
    </row>
    <row r="769" spans="1:1">
      <c r="A769" s="130"/>
    </row>
    <row r="770" spans="1:1">
      <c r="A770" s="130"/>
    </row>
    <row r="771" spans="1:1">
      <c r="A771" s="130"/>
    </row>
    <row r="772" spans="1:1">
      <c r="A772" s="130"/>
    </row>
    <row r="773" spans="1:1">
      <c r="A773" s="130"/>
    </row>
    <row r="774" spans="1:1">
      <c r="A774" s="130"/>
    </row>
    <row r="775" spans="1:1">
      <c r="A775" s="130"/>
    </row>
    <row r="776" spans="1:1">
      <c r="A776" s="130"/>
    </row>
    <row r="777" spans="1:1">
      <c r="A777" s="130"/>
    </row>
    <row r="778" spans="1:1">
      <c r="A778" s="130"/>
    </row>
    <row r="779" spans="1:1">
      <c r="A779" s="130"/>
    </row>
    <row r="780" spans="1:1">
      <c r="A780" s="130"/>
    </row>
    <row r="781" spans="1:1">
      <c r="A781" s="130"/>
    </row>
    <row r="782" spans="1:1">
      <c r="A782" s="130"/>
    </row>
    <row r="783" spans="1:1">
      <c r="A783" s="130"/>
    </row>
    <row r="784" spans="1:1">
      <c r="A784" s="130"/>
    </row>
    <row r="785" spans="1:1">
      <c r="A785" s="130"/>
    </row>
    <row r="786" spans="1:1">
      <c r="A786" s="130"/>
    </row>
    <row r="787" spans="1:1">
      <c r="A787" s="130"/>
    </row>
    <row r="788" spans="1:1">
      <c r="A788" s="130"/>
    </row>
    <row r="789" spans="1:1">
      <c r="A789" s="130"/>
    </row>
    <row r="790" spans="1:1">
      <c r="A790" s="130"/>
    </row>
    <row r="791" spans="1:1">
      <c r="A791" s="130"/>
    </row>
    <row r="792" spans="1:1">
      <c r="A792" s="130"/>
    </row>
    <row r="793" spans="1:1">
      <c r="A793" s="130"/>
    </row>
    <row r="794" spans="1:1">
      <c r="A794" s="130"/>
    </row>
    <row r="795" spans="1:1">
      <c r="A795" s="130"/>
    </row>
    <row r="796" spans="1:1">
      <c r="A796" s="130"/>
    </row>
    <row r="797" spans="1:1">
      <c r="A797" s="130"/>
    </row>
    <row r="798" spans="1:1">
      <c r="A798" s="130"/>
    </row>
    <row r="799" spans="1:1">
      <c r="A799" s="130"/>
    </row>
    <row r="800" spans="1:1">
      <c r="A800" s="130"/>
    </row>
    <row r="801" spans="1:1">
      <c r="A801" s="130"/>
    </row>
    <row r="802" spans="1:1">
      <c r="A802" s="130"/>
    </row>
    <row r="803" spans="1:1">
      <c r="A803" s="130"/>
    </row>
    <row r="804" spans="1:1">
      <c r="A804" s="130"/>
    </row>
    <row r="805" spans="1:1">
      <c r="A805" s="130"/>
    </row>
    <row r="806" spans="1:1">
      <c r="A806" s="130"/>
    </row>
    <row r="807" spans="1:1">
      <c r="A807" s="130"/>
    </row>
    <row r="808" spans="1:1">
      <c r="A808" s="130"/>
    </row>
    <row r="809" spans="1:1">
      <c r="A809" s="130"/>
    </row>
    <row r="810" spans="1:1">
      <c r="A810" s="130"/>
    </row>
    <row r="811" spans="1:1">
      <c r="A811" s="130"/>
    </row>
    <row r="812" spans="1:1">
      <c r="A812" s="130"/>
    </row>
    <row r="813" spans="1:1">
      <c r="A813" s="130"/>
    </row>
    <row r="814" spans="1:1">
      <c r="A814" s="130"/>
    </row>
    <row r="815" spans="1:1">
      <c r="A815" s="130"/>
    </row>
    <row r="816" spans="1:1">
      <c r="A816" s="130"/>
    </row>
    <row r="817" spans="1:1">
      <c r="A817" s="130"/>
    </row>
    <row r="818" spans="1:1">
      <c r="A818" s="130"/>
    </row>
    <row r="819" spans="1:1">
      <c r="A819" s="130"/>
    </row>
    <row r="820" spans="1:1">
      <c r="A820" s="130"/>
    </row>
    <row r="821" spans="1:1">
      <c r="A821" s="130"/>
    </row>
    <row r="822" spans="1:1">
      <c r="A822" s="130"/>
    </row>
    <row r="823" spans="1:1">
      <c r="A823" s="130"/>
    </row>
    <row r="824" spans="1:1">
      <c r="A824" s="130"/>
    </row>
    <row r="825" spans="1:1">
      <c r="A825" s="130"/>
    </row>
    <row r="826" spans="1:1">
      <c r="A826" s="130"/>
    </row>
    <row r="827" spans="1:1">
      <c r="A827" s="130"/>
    </row>
    <row r="828" spans="1:1">
      <c r="A828" s="130"/>
    </row>
    <row r="829" spans="1:1">
      <c r="A829" s="130"/>
    </row>
    <row r="830" spans="1:1">
      <c r="A830" s="130"/>
    </row>
    <row r="831" spans="1:1">
      <c r="A831" s="130"/>
    </row>
    <row r="832" spans="1:1">
      <c r="A832" s="130"/>
    </row>
    <row r="833" spans="1:1">
      <c r="A833" s="130"/>
    </row>
    <row r="834" spans="1:1">
      <c r="A834" s="130"/>
    </row>
    <row r="835" spans="1:1">
      <c r="A835" s="130"/>
    </row>
    <row r="836" spans="1:1">
      <c r="A836" s="130"/>
    </row>
    <row r="837" spans="1:1">
      <c r="A837" s="130"/>
    </row>
    <row r="838" spans="1:1">
      <c r="A838" s="130"/>
    </row>
    <row r="839" spans="1:1">
      <c r="A839" s="130"/>
    </row>
    <row r="840" spans="1:1">
      <c r="A840" s="130"/>
    </row>
    <row r="841" spans="1:1">
      <c r="A841" s="130"/>
    </row>
    <row r="842" spans="1:1">
      <c r="A842" s="130"/>
    </row>
    <row r="843" spans="1:1">
      <c r="A843" s="130"/>
    </row>
    <row r="844" spans="1:1">
      <c r="A844" s="130"/>
    </row>
    <row r="845" spans="1:1">
      <c r="A845" s="130"/>
    </row>
    <row r="846" spans="1:1">
      <c r="A846" s="130"/>
    </row>
    <row r="847" spans="1:1">
      <c r="A847" s="130"/>
    </row>
    <row r="848" spans="1:1">
      <c r="A848" s="130"/>
    </row>
    <row r="849" spans="1:1">
      <c r="A849" s="130"/>
    </row>
    <row r="850" spans="1:1">
      <c r="A850" s="130"/>
    </row>
    <row r="851" spans="1:1">
      <c r="A851" s="130"/>
    </row>
    <row r="852" spans="1:1">
      <c r="A852" s="130"/>
    </row>
    <row r="853" spans="1:1">
      <c r="A853" s="130"/>
    </row>
    <row r="854" spans="1:1">
      <c r="A854" s="130"/>
    </row>
    <row r="855" spans="1:1">
      <c r="A855" s="130"/>
    </row>
    <row r="856" spans="1:1">
      <c r="A856" s="130"/>
    </row>
    <row r="857" spans="1:1">
      <c r="A857" s="130"/>
    </row>
    <row r="858" spans="1:1">
      <c r="A858" s="130"/>
    </row>
    <row r="859" spans="1:1">
      <c r="A859" s="130"/>
    </row>
    <row r="860" spans="1:1">
      <c r="A860" s="130"/>
    </row>
    <row r="861" spans="1:1">
      <c r="A861" s="130"/>
    </row>
    <row r="862" spans="1:1">
      <c r="A862" s="130"/>
    </row>
    <row r="863" spans="1:1">
      <c r="A863" s="130"/>
    </row>
    <row r="864" spans="1:1">
      <c r="A864" s="130"/>
    </row>
    <row r="865" spans="1:1">
      <c r="A865" s="130"/>
    </row>
    <row r="866" spans="1:1">
      <c r="A866" s="130"/>
    </row>
    <row r="867" spans="1:1">
      <c r="A867" s="130"/>
    </row>
    <row r="868" spans="1:1">
      <c r="A868" s="130"/>
    </row>
    <row r="869" spans="1:1">
      <c r="A869" s="130"/>
    </row>
    <row r="870" spans="1:1">
      <c r="A870" s="130"/>
    </row>
    <row r="871" spans="1:1">
      <c r="A871" s="130"/>
    </row>
    <row r="872" spans="1:1">
      <c r="A872" s="130"/>
    </row>
    <row r="873" spans="1:1">
      <c r="A873" s="130"/>
    </row>
    <row r="874" spans="1:1">
      <c r="A874" s="130"/>
    </row>
    <row r="875" spans="1:1">
      <c r="A875" s="130"/>
    </row>
    <row r="876" spans="1:1">
      <c r="A876" s="130"/>
    </row>
    <row r="877" spans="1:1">
      <c r="A877" s="130"/>
    </row>
    <row r="878" spans="1:1">
      <c r="A878" s="130"/>
    </row>
    <row r="879" spans="1:1">
      <c r="A879" s="130"/>
    </row>
    <row r="880" spans="1:1">
      <c r="A880" s="130"/>
    </row>
    <row r="881" spans="1:1">
      <c r="A881" s="130"/>
    </row>
    <row r="882" spans="1:1">
      <c r="A882" s="130"/>
    </row>
    <row r="883" spans="1:1">
      <c r="A883" s="130"/>
    </row>
    <row r="884" spans="1:1">
      <c r="A884" s="130"/>
    </row>
    <row r="885" spans="1:1">
      <c r="A885" s="130"/>
    </row>
    <row r="886" spans="1:1">
      <c r="A886" s="130"/>
    </row>
    <row r="887" spans="1:1">
      <c r="A887" s="130"/>
    </row>
    <row r="888" spans="1:1">
      <c r="A888" s="130"/>
    </row>
    <row r="889" spans="1:1">
      <c r="A889" s="130"/>
    </row>
    <row r="890" spans="1:1">
      <c r="A890" s="130"/>
    </row>
    <row r="891" spans="1:1">
      <c r="A891" s="130"/>
    </row>
    <row r="892" spans="1:1">
      <c r="A892" s="130"/>
    </row>
    <row r="893" spans="1:1">
      <c r="A893" s="130"/>
    </row>
    <row r="894" spans="1:1">
      <c r="A894" s="130"/>
    </row>
    <row r="895" spans="1:1">
      <c r="A895" s="130"/>
    </row>
    <row r="896" spans="1:1">
      <c r="A896" s="130"/>
    </row>
    <row r="897" spans="1:1">
      <c r="A897" s="130"/>
    </row>
    <row r="898" spans="1:1">
      <c r="A898" s="130"/>
    </row>
    <row r="899" spans="1:1">
      <c r="A899" s="130"/>
    </row>
    <row r="900" spans="1:1">
      <c r="A900" s="130"/>
    </row>
    <row r="901" spans="1:1">
      <c r="A901" s="130"/>
    </row>
    <row r="902" spans="1:1">
      <c r="A902" s="130"/>
    </row>
    <row r="903" spans="1:1">
      <c r="A903" s="130"/>
    </row>
    <row r="904" spans="1:1">
      <c r="A904" s="130"/>
    </row>
    <row r="905" spans="1:1">
      <c r="A905" s="130"/>
    </row>
    <row r="906" spans="1:1">
      <c r="A906" s="130"/>
    </row>
    <row r="907" spans="1:1">
      <c r="A907" s="130"/>
    </row>
    <row r="908" spans="1:1">
      <c r="A908" s="130"/>
    </row>
    <row r="909" spans="1:1">
      <c r="A909" s="130"/>
    </row>
    <row r="910" spans="1:1">
      <c r="A910" s="130"/>
    </row>
    <row r="911" spans="1:1">
      <c r="A911" s="130"/>
    </row>
    <row r="912" spans="1:1">
      <c r="A912" s="130"/>
    </row>
    <row r="913" spans="1:1">
      <c r="A913" s="130"/>
    </row>
    <row r="914" spans="1:1">
      <c r="A914" s="130"/>
    </row>
    <row r="915" spans="1:1">
      <c r="A915" s="130"/>
    </row>
    <row r="916" spans="1:1">
      <c r="A916" s="130"/>
    </row>
    <row r="917" spans="1:1">
      <c r="A917" s="130"/>
    </row>
    <row r="918" spans="1:1">
      <c r="A918" s="130"/>
    </row>
    <row r="919" spans="1:1">
      <c r="A919" s="130"/>
    </row>
    <row r="920" spans="1:1">
      <c r="A920" s="130"/>
    </row>
    <row r="921" spans="1:1">
      <c r="A921" s="130"/>
    </row>
    <row r="922" spans="1:1">
      <c r="A922" s="130"/>
    </row>
    <row r="923" spans="1:1">
      <c r="A923" s="130"/>
    </row>
    <row r="924" spans="1:1">
      <c r="A924" s="130"/>
    </row>
    <row r="925" spans="1:1">
      <c r="A925" s="130"/>
    </row>
    <row r="926" spans="1:1">
      <c r="A926" s="130"/>
    </row>
    <row r="927" spans="1:1">
      <c r="A927" s="130"/>
    </row>
    <row r="928" spans="1:1">
      <c r="A928" s="130"/>
    </row>
    <row r="929" spans="1:1">
      <c r="A929" s="130"/>
    </row>
    <row r="930" spans="1:1">
      <c r="A930" s="130"/>
    </row>
    <row r="931" spans="1:1">
      <c r="A931" s="130"/>
    </row>
    <row r="932" spans="1:1">
      <c r="A932" s="130"/>
    </row>
    <row r="933" spans="1:1">
      <c r="A933" s="130"/>
    </row>
    <row r="934" spans="1:1">
      <c r="A934" s="130"/>
    </row>
    <row r="935" spans="1:1">
      <c r="A935" s="130"/>
    </row>
    <row r="936" spans="1:1">
      <c r="A936" s="130"/>
    </row>
    <row r="937" spans="1:1">
      <c r="A937" s="130"/>
    </row>
    <row r="938" spans="1:1">
      <c r="A938" s="130"/>
    </row>
    <row r="939" spans="1:1">
      <c r="A939" s="130"/>
    </row>
    <row r="940" spans="1:1">
      <c r="A940" s="130"/>
    </row>
    <row r="941" spans="1:1">
      <c r="A941" s="130"/>
    </row>
    <row r="942" spans="1:1">
      <c r="A942" s="130"/>
    </row>
    <row r="943" spans="1:1">
      <c r="A943" s="130"/>
    </row>
    <row r="944" spans="1:1">
      <c r="A944" s="130"/>
    </row>
    <row r="945" spans="1:1">
      <c r="A945" s="130"/>
    </row>
    <row r="946" spans="1:1">
      <c r="A946" s="130"/>
    </row>
    <row r="947" spans="1:1">
      <c r="A947" s="130"/>
    </row>
    <row r="948" spans="1:1">
      <c r="A948" s="130"/>
    </row>
    <row r="949" spans="1:1">
      <c r="A949" s="130"/>
    </row>
    <row r="950" spans="1:1">
      <c r="A950" s="130"/>
    </row>
    <row r="951" spans="1:1">
      <c r="A951" s="130"/>
    </row>
    <row r="952" spans="1:1">
      <c r="A952" s="130"/>
    </row>
    <row r="953" spans="1:1">
      <c r="A953" s="130"/>
    </row>
    <row r="954" spans="1:1">
      <c r="A954" s="130"/>
    </row>
    <row r="955" spans="1:1">
      <c r="A955" s="130"/>
    </row>
    <row r="956" spans="1:1">
      <c r="A956" s="130"/>
    </row>
    <row r="957" spans="1:1">
      <c r="A957" s="130"/>
    </row>
    <row r="958" spans="1:1">
      <c r="A958" s="130"/>
    </row>
    <row r="959" spans="1:1">
      <c r="A959" s="130"/>
    </row>
    <row r="960" spans="1:1">
      <c r="A960" s="130"/>
    </row>
    <row r="961" spans="1:1">
      <c r="A961" s="130"/>
    </row>
    <row r="962" spans="1:1">
      <c r="A962" s="130"/>
    </row>
    <row r="963" spans="1:1">
      <c r="A963" s="130"/>
    </row>
    <row r="964" spans="1:1">
      <c r="A964" s="130"/>
    </row>
    <row r="965" spans="1:1">
      <c r="A965" s="130"/>
    </row>
    <row r="966" spans="1:1">
      <c r="A966" s="130"/>
    </row>
    <row r="967" spans="1:1">
      <c r="A967" s="130"/>
    </row>
    <row r="968" spans="1:1">
      <c r="A968" s="130"/>
    </row>
    <row r="969" spans="1:1">
      <c r="A969" s="130"/>
    </row>
    <row r="970" spans="1:1">
      <c r="A970" s="130"/>
    </row>
    <row r="971" spans="1:1">
      <c r="A971" s="130"/>
    </row>
    <row r="972" spans="1:1">
      <c r="A972" s="130"/>
    </row>
    <row r="973" spans="1:1">
      <c r="A973" s="130"/>
    </row>
    <row r="974" spans="1:1">
      <c r="A974" s="130"/>
    </row>
    <row r="975" spans="1:1">
      <c r="A975" s="130"/>
    </row>
    <row r="976" spans="1:1">
      <c r="A976" s="130"/>
    </row>
    <row r="977" spans="1:1">
      <c r="A977" s="130"/>
    </row>
    <row r="978" spans="1:1">
      <c r="A978" s="130"/>
    </row>
    <row r="979" spans="1:1">
      <c r="A979" s="130"/>
    </row>
    <row r="980" spans="1:1">
      <c r="A980" s="130"/>
    </row>
    <row r="981" spans="1:1">
      <c r="A981" s="130"/>
    </row>
    <row r="982" spans="1:1">
      <c r="A982" s="130"/>
    </row>
    <row r="983" spans="1:1">
      <c r="A983" s="130"/>
    </row>
    <row r="984" spans="1:1">
      <c r="A984" s="130"/>
    </row>
    <row r="985" spans="1:1">
      <c r="A985" s="130"/>
    </row>
    <row r="986" spans="1:1">
      <c r="A986" s="130"/>
    </row>
    <row r="987" spans="1:1">
      <c r="A987" s="130"/>
    </row>
    <row r="988" spans="1:1">
      <c r="A988" s="130"/>
    </row>
    <row r="989" spans="1:1">
      <c r="A989" s="130"/>
    </row>
    <row r="990" spans="1:1">
      <c r="A990" s="130"/>
    </row>
    <row r="991" spans="1:1">
      <c r="A991" s="130"/>
    </row>
    <row r="992" spans="1:1">
      <c r="A992" s="130"/>
    </row>
    <row r="993" spans="1:1">
      <c r="A993" s="130"/>
    </row>
    <row r="994" spans="1:1">
      <c r="A994" s="130"/>
    </row>
    <row r="995" spans="1:1">
      <c r="A995" s="130"/>
    </row>
    <row r="996" spans="1:1">
      <c r="A996" s="130"/>
    </row>
    <row r="997" spans="1:1">
      <c r="A997" s="130"/>
    </row>
    <row r="998" spans="1:1">
      <c r="A998" s="130"/>
    </row>
    <row r="999" spans="1:1">
      <c r="A999" s="130"/>
    </row>
    <row r="1000" spans="1:1">
      <c r="A1000" s="130"/>
    </row>
    <row r="1001" spans="1:1">
      <c r="A1001" s="130"/>
    </row>
    <row r="1002" spans="1:1">
      <c r="A1002" s="130"/>
    </row>
    <row r="1003" spans="1:1">
      <c r="A1003" s="130"/>
    </row>
    <row r="1004" spans="1:1">
      <c r="A1004" s="130"/>
    </row>
    <row r="1005" spans="1:1">
      <c r="A1005" s="130"/>
    </row>
    <row r="1006" spans="1:1">
      <c r="A1006" s="130"/>
    </row>
    <row r="1007" spans="1:1">
      <c r="A1007" s="130"/>
    </row>
    <row r="1008" spans="1:1">
      <c r="A1008" s="130"/>
    </row>
    <row r="1009" spans="1:1">
      <c r="A1009" s="130"/>
    </row>
    <row r="1010" spans="1:1">
      <c r="A1010" s="130"/>
    </row>
    <row r="1011" spans="1:1">
      <c r="A1011" s="130"/>
    </row>
    <row r="1012" spans="1:1">
      <c r="A1012" s="130"/>
    </row>
    <row r="1013" spans="1:1">
      <c r="A1013" s="130"/>
    </row>
    <row r="1014" spans="1:1">
      <c r="A1014" s="130"/>
    </row>
    <row r="1015" spans="1:1">
      <c r="A1015" s="130"/>
    </row>
    <row r="1016" spans="1:1">
      <c r="A1016" s="130"/>
    </row>
    <row r="1017" spans="1:1">
      <c r="A1017" s="130"/>
    </row>
    <row r="1018" spans="1:1">
      <c r="A1018" s="130"/>
    </row>
    <row r="1019" spans="1:1">
      <c r="A1019" s="130"/>
    </row>
    <row r="1020" spans="1:1">
      <c r="A1020" s="130"/>
    </row>
    <row r="1021" spans="1:1">
      <c r="A1021" s="130"/>
    </row>
    <row r="1022" spans="1:1">
      <c r="A1022" s="130"/>
    </row>
    <row r="1023" spans="1:1">
      <c r="A1023" s="130"/>
    </row>
    <row r="1024" spans="1:1">
      <c r="A1024" s="130"/>
    </row>
    <row r="1025" spans="1:1">
      <c r="A1025" s="130"/>
    </row>
    <row r="1026" spans="1:1">
      <c r="A1026" s="130"/>
    </row>
    <row r="1027" spans="1:1">
      <c r="A1027" s="130"/>
    </row>
    <row r="1028" spans="1:1">
      <c r="A1028" s="130"/>
    </row>
    <row r="1029" spans="1:1">
      <c r="A1029" s="130"/>
    </row>
    <row r="1030" spans="1:1">
      <c r="A1030" s="130"/>
    </row>
    <row r="1031" spans="1:1">
      <c r="A1031" s="130"/>
    </row>
    <row r="1032" spans="1:1">
      <c r="A1032" s="130"/>
    </row>
    <row r="1033" spans="1:1">
      <c r="A1033" s="130"/>
    </row>
    <row r="1034" spans="1:1">
      <c r="A1034" s="130"/>
    </row>
    <row r="1035" spans="1:1">
      <c r="A1035" s="130"/>
    </row>
    <row r="1036" spans="1:1">
      <c r="A1036" s="130"/>
    </row>
    <row r="1037" spans="1:1">
      <c r="A1037" s="130"/>
    </row>
    <row r="1038" spans="1:1">
      <c r="A1038" s="130"/>
    </row>
    <row r="1039" spans="1:1">
      <c r="A1039" s="130"/>
    </row>
    <row r="1040" spans="1:1">
      <c r="A1040" s="130"/>
    </row>
    <row r="1041" spans="1:1">
      <c r="A1041" s="130"/>
    </row>
    <row r="1042" spans="1:1">
      <c r="A1042" s="130"/>
    </row>
    <row r="1043" spans="1:1">
      <c r="A1043" s="130"/>
    </row>
    <row r="1044" spans="1:1">
      <c r="A1044" s="130"/>
    </row>
    <row r="1045" spans="1:1">
      <c r="A1045" s="130"/>
    </row>
    <row r="1046" spans="1:1">
      <c r="A1046" s="130"/>
    </row>
    <row r="1047" spans="1:1">
      <c r="A1047" s="130"/>
    </row>
    <row r="1048" spans="1:1">
      <c r="A1048" s="130"/>
    </row>
    <row r="1049" spans="1:1">
      <c r="A1049" s="130"/>
    </row>
    <row r="1050" spans="1:1">
      <c r="A1050" s="130"/>
    </row>
    <row r="1051" spans="1:1">
      <c r="A1051" s="130"/>
    </row>
    <row r="1052" spans="1:1">
      <c r="A1052" s="130"/>
    </row>
    <row r="1053" spans="1:1">
      <c r="A1053" s="130"/>
    </row>
    <row r="1054" spans="1:1">
      <c r="A1054" s="130"/>
    </row>
    <row r="1055" spans="1:1">
      <c r="A1055" s="130"/>
    </row>
    <row r="1056" spans="1:1">
      <c r="A1056" s="130"/>
    </row>
    <row r="1057" spans="1:1">
      <c r="A1057" s="130"/>
    </row>
    <row r="1058" spans="1:1">
      <c r="A1058" s="130"/>
    </row>
    <row r="1059" spans="1:1">
      <c r="A1059" s="130"/>
    </row>
    <row r="1060" spans="1:1">
      <c r="A1060" s="130"/>
    </row>
    <row r="1061" spans="1:1">
      <c r="A1061" s="130"/>
    </row>
    <row r="1062" spans="1:1">
      <c r="A1062" s="130"/>
    </row>
    <row r="1063" spans="1:1">
      <c r="A1063" s="130"/>
    </row>
    <row r="1064" spans="1:1">
      <c r="A1064" s="130"/>
    </row>
    <row r="1065" spans="1:1">
      <c r="A1065" s="130"/>
    </row>
    <row r="1066" spans="1:1">
      <c r="A1066" s="130"/>
    </row>
    <row r="1067" spans="1:1">
      <c r="A1067" s="130"/>
    </row>
    <row r="1068" spans="1:1">
      <c r="A1068" s="130"/>
    </row>
    <row r="1069" spans="1:1">
      <c r="A1069" s="130"/>
    </row>
    <row r="1070" spans="1:1">
      <c r="A1070" s="130"/>
    </row>
    <row r="1071" spans="1:1">
      <c r="A1071" s="130"/>
    </row>
    <row r="1072" spans="1:1">
      <c r="A1072" s="130"/>
    </row>
    <row r="1073" spans="1:1">
      <c r="A1073" s="130"/>
    </row>
    <row r="1074" spans="1:1">
      <c r="A1074" s="130"/>
    </row>
    <row r="1075" spans="1:1">
      <c r="A1075" s="130"/>
    </row>
    <row r="1076" spans="1:1">
      <c r="A1076" s="130"/>
    </row>
    <row r="1077" spans="1:1">
      <c r="A1077" s="130"/>
    </row>
    <row r="1078" spans="1:1">
      <c r="A1078" s="130"/>
    </row>
    <row r="1079" spans="1:1">
      <c r="A1079" s="130"/>
    </row>
    <row r="1080" spans="1:1">
      <c r="A1080" s="130"/>
    </row>
    <row r="1081" spans="1:1">
      <c r="A1081" s="130"/>
    </row>
    <row r="1082" spans="1:1">
      <c r="A1082" s="130"/>
    </row>
    <row r="1083" spans="1:1">
      <c r="A1083" s="130"/>
    </row>
    <row r="1084" spans="1:1">
      <c r="A1084" s="130"/>
    </row>
    <row r="1085" spans="1:1">
      <c r="A1085" s="130"/>
    </row>
    <row r="1086" spans="1:1">
      <c r="A1086" s="130"/>
    </row>
    <row r="1087" spans="1:1">
      <c r="A1087" s="130"/>
    </row>
    <row r="1088" spans="1:1">
      <c r="A1088" s="130"/>
    </row>
    <row r="1089" spans="1:1">
      <c r="A1089" s="130"/>
    </row>
    <row r="1090" spans="1:1">
      <c r="A1090" s="130"/>
    </row>
    <row r="1091" spans="1:1">
      <c r="A1091" s="130"/>
    </row>
    <row r="1092" spans="1:1">
      <c r="A1092" s="130"/>
    </row>
    <row r="1093" spans="1:1">
      <c r="A1093" s="130"/>
    </row>
    <row r="1094" spans="1:1">
      <c r="A1094" s="130"/>
    </row>
    <row r="1095" spans="1:1">
      <c r="A1095" s="130"/>
    </row>
    <row r="1096" spans="1:1">
      <c r="A1096" s="130"/>
    </row>
    <row r="1097" spans="1:1">
      <c r="A1097" s="130"/>
    </row>
    <row r="1098" spans="1:1">
      <c r="A1098" s="130"/>
    </row>
    <row r="1099" spans="1:1">
      <c r="A1099" s="130"/>
    </row>
    <row r="1100" spans="1:1">
      <c r="A1100" s="130"/>
    </row>
    <row r="1101" spans="1:1">
      <c r="A1101" s="130"/>
    </row>
    <row r="1102" spans="1:1">
      <c r="A1102" s="130"/>
    </row>
    <row r="1103" spans="1:1">
      <c r="A1103" s="130"/>
    </row>
    <row r="1104" spans="1:1">
      <c r="A1104" s="130"/>
    </row>
    <row r="1105" spans="1:1">
      <c r="A1105" s="130"/>
    </row>
    <row r="1106" spans="1:1">
      <c r="A1106" s="130"/>
    </row>
    <row r="1107" spans="1:1">
      <c r="A1107" s="130"/>
    </row>
    <row r="1108" spans="1:1">
      <c r="A1108" s="130"/>
    </row>
    <row r="1109" spans="1:1">
      <c r="A1109" s="130"/>
    </row>
    <row r="1110" spans="1:1">
      <c r="A1110" s="130"/>
    </row>
    <row r="1111" spans="1:1">
      <c r="A1111" s="130"/>
    </row>
    <row r="1112" spans="1:1">
      <c r="A1112" s="130"/>
    </row>
    <row r="1113" spans="1:1">
      <c r="A1113" s="130"/>
    </row>
    <row r="1114" spans="1:1">
      <c r="A1114" s="130"/>
    </row>
    <row r="1115" spans="1:1">
      <c r="A1115" s="130"/>
    </row>
    <row r="1116" spans="1:1">
      <c r="A1116" s="130"/>
    </row>
    <row r="1117" spans="1:1">
      <c r="A1117" s="130"/>
    </row>
    <row r="1118" spans="1:1">
      <c r="A1118" s="130"/>
    </row>
    <row r="1119" spans="1:1">
      <c r="A1119" s="130"/>
    </row>
    <row r="1120" spans="1:1">
      <c r="A1120" s="130"/>
    </row>
    <row r="1121" spans="1:1">
      <c r="A1121" s="130"/>
    </row>
    <row r="1122" spans="1:1">
      <c r="A1122" s="130"/>
    </row>
    <row r="1123" spans="1:1">
      <c r="A1123" s="130"/>
    </row>
    <row r="1124" spans="1:1">
      <c r="A1124" s="130"/>
    </row>
    <row r="1125" spans="1:1">
      <c r="A1125" s="130"/>
    </row>
    <row r="1126" spans="1:1">
      <c r="A1126" s="130"/>
    </row>
    <row r="1127" spans="1:1">
      <c r="A1127" s="130"/>
    </row>
    <row r="1128" spans="1:1">
      <c r="A1128" s="130"/>
    </row>
    <row r="1129" spans="1:1">
      <c r="A1129" s="130"/>
    </row>
    <row r="1130" spans="1:1">
      <c r="A1130" s="130"/>
    </row>
    <row r="1131" spans="1:1">
      <c r="A1131" s="130"/>
    </row>
    <row r="1132" spans="1:1">
      <c r="A1132" s="130"/>
    </row>
    <row r="1133" spans="1:1">
      <c r="A1133" s="130"/>
    </row>
    <row r="1134" spans="1:1">
      <c r="A1134" s="130"/>
    </row>
    <row r="1135" spans="1:1">
      <c r="A1135" s="130"/>
    </row>
    <row r="1136" spans="1:1">
      <c r="A1136" s="130"/>
    </row>
    <row r="1137" spans="1:1">
      <c r="A1137" s="130"/>
    </row>
    <row r="1138" spans="1:1">
      <c r="A1138" s="130"/>
    </row>
    <row r="1139" spans="1:1">
      <c r="A1139" s="130"/>
    </row>
    <row r="1140" spans="1:1">
      <c r="A1140" s="130"/>
    </row>
    <row r="1141" spans="1:1">
      <c r="A1141" s="130"/>
    </row>
    <row r="1142" spans="1:1">
      <c r="A1142" s="130"/>
    </row>
    <row r="1143" spans="1:1">
      <c r="A1143" s="130"/>
    </row>
    <row r="1144" spans="1:1">
      <c r="A1144" s="130"/>
    </row>
    <row r="1145" spans="1:1">
      <c r="A1145" s="130"/>
    </row>
    <row r="1146" spans="1:1">
      <c r="A1146" s="130"/>
    </row>
    <row r="1147" spans="1:1">
      <c r="A1147" s="130"/>
    </row>
    <row r="1148" spans="1:1">
      <c r="A1148" s="130"/>
    </row>
    <row r="1149" spans="1:1">
      <c r="A1149" s="130"/>
    </row>
    <row r="1150" spans="1:1">
      <c r="A1150" s="130"/>
    </row>
    <row r="1151" spans="1:1">
      <c r="A1151" s="130"/>
    </row>
    <row r="1152" spans="1:1">
      <c r="A1152" s="130"/>
    </row>
    <row r="1153" spans="1:1">
      <c r="A1153" s="130"/>
    </row>
    <row r="1154" spans="1:1">
      <c r="A1154" s="130"/>
    </row>
    <row r="1155" spans="1:1">
      <c r="A1155" s="130"/>
    </row>
    <row r="1156" spans="1:1">
      <c r="A1156" s="130"/>
    </row>
    <row r="1157" spans="1:1">
      <c r="A1157" s="130"/>
    </row>
    <row r="1158" spans="1:1">
      <c r="A1158" s="130"/>
    </row>
    <row r="1159" spans="1:1">
      <c r="A1159" s="130"/>
    </row>
    <row r="1160" spans="1:1">
      <c r="A1160" s="130"/>
    </row>
    <row r="1161" spans="1:1">
      <c r="A1161" s="130"/>
    </row>
    <row r="1162" spans="1:1">
      <c r="A1162" s="130"/>
    </row>
    <row r="1163" spans="1:1">
      <c r="A1163" s="130"/>
    </row>
    <row r="1164" spans="1:1">
      <c r="A1164" s="130"/>
    </row>
    <row r="1165" spans="1:1">
      <c r="A1165" s="130"/>
    </row>
    <row r="1166" spans="1:1">
      <c r="A1166" s="130"/>
    </row>
    <row r="1167" spans="1:1">
      <c r="A1167" s="130"/>
    </row>
    <row r="1168" spans="1:1">
      <c r="A1168" s="130"/>
    </row>
    <row r="1169" spans="1:1">
      <c r="A1169" s="130"/>
    </row>
    <row r="1170" spans="1:1">
      <c r="A1170" s="130"/>
    </row>
    <row r="1171" spans="1:1">
      <c r="A1171" s="130"/>
    </row>
    <row r="1172" spans="1:1">
      <c r="A1172" s="130"/>
    </row>
    <row r="1173" spans="1:1">
      <c r="A1173" s="130"/>
    </row>
    <row r="1174" spans="1:1">
      <c r="A1174" s="130"/>
    </row>
    <row r="1175" spans="1:1">
      <c r="A1175" s="130"/>
    </row>
    <row r="1176" spans="1:1">
      <c r="A1176" s="130"/>
    </row>
    <row r="1177" spans="1:1">
      <c r="A1177" s="130"/>
    </row>
    <row r="1178" spans="1:1">
      <c r="A1178" s="130"/>
    </row>
    <row r="1179" spans="1:1">
      <c r="A1179" s="130"/>
    </row>
    <row r="1180" spans="1:1">
      <c r="A1180" s="130"/>
    </row>
    <row r="1181" spans="1:1">
      <c r="A1181" s="130"/>
    </row>
    <row r="1182" spans="1:1">
      <c r="A1182" s="130"/>
    </row>
    <row r="1183" spans="1:1">
      <c r="A1183" s="130"/>
    </row>
    <row r="1184" spans="1:1">
      <c r="A1184" s="130"/>
    </row>
    <row r="1185" spans="1:1">
      <c r="A1185" s="130"/>
    </row>
    <row r="1186" spans="1:1">
      <c r="A1186" s="130"/>
    </row>
    <row r="1187" spans="1:1">
      <c r="A1187" s="130"/>
    </row>
    <row r="1188" spans="1:1">
      <c r="A1188" s="130"/>
    </row>
    <row r="1189" spans="1:1">
      <c r="A1189" s="130"/>
    </row>
    <row r="1190" spans="1:1">
      <c r="A1190" s="130"/>
    </row>
    <row r="1191" spans="1:1">
      <c r="A1191" s="130"/>
    </row>
    <row r="1192" spans="1:1">
      <c r="A1192" s="130"/>
    </row>
    <row r="1193" spans="1:1">
      <c r="A1193" s="130"/>
    </row>
    <row r="1194" spans="1:1">
      <c r="A1194" s="130"/>
    </row>
    <row r="1195" spans="1:1">
      <c r="A1195" s="130"/>
    </row>
    <row r="1196" spans="1:1">
      <c r="A1196" s="130"/>
    </row>
    <row r="1197" spans="1:1">
      <c r="A1197" s="130"/>
    </row>
    <row r="1198" spans="1:1">
      <c r="A1198" s="130"/>
    </row>
    <row r="1199" spans="1:1">
      <c r="A1199" s="130"/>
    </row>
    <row r="1200" spans="1:1">
      <c r="A1200" s="130"/>
    </row>
    <row r="1201" spans="1:1">
      <c r="A1201" s="130"/>
    </row>
    <row r="1202" spans="1:1">
      <c r="A1202" s="130"/>
    </row>
    <row r="1203" spans="1:1">
      <c r="A1203" s="130"/>
    </row>
    <row r="1204" spans="1:1">
      <c r="A1204" s="130"/>
    </row>
    <row r="1205" spans="1:1">
      <c r="A1205" s="130"/>
    </row>
    <row r="1206" spans="1:1">
      <c r="A1206" s="130"/>
    </row>
    <row r="1207" spans="1:1">
      <c r="A1207" s="130"/>
    </row>
    <row r="1208" spans="1:1">
      <c r="A1208" s="130"/>
    </row>
    <row r="1209" spans="1:1">
      <c r="A1209" s="130"/>
    </row>
    <row r="1210" spans="1:1">
      <c r="A1210" s="130"/>
    </row>
    <row r="1211" spans="1:1">
      <c r="A1211" s="130"/>
    </row>
    <row r="1212" spans="1:1">
      <c r="A1212" s="130"/>
    </row>
    <row r="1213" spans="1:1">
      <c r="A1213" s="130"/>
    </row>
    <row r="1214" spans="1:1">
      <c r="A1214" s="130"/>
    </row>
    <row r="1215" spans="1:1">
      <c r="A1215" s="130"/>
    </row>
    <row r="1216" spans="1:1">
      <c r="A1216" s="130"/>
    </row>
    <row r="1217" spans="1:1">
      <c r="A1217" s="130"/>
    </row>
    <row r="1218" spans="1:1">
      <c r="A1218" s="130"/>
    </row>
    <row r="1219" spans="1:1">
      <c r="A1219" s="130"/>
    </row>
    <row r="1220" spans="1:1">
      <c r="A1220" s="130"/>
    </row>
    <row r="1221" spans="1:1">
      <c r="A1221" s="130"/>
    </row>
    <row r="1222" spans="1:1">
      <c r="A1222" s="130"/>
    </row>
    <row r="1223" spans="1:1">
      <c r="A1223" s="130"/>
    </row>
    <row r="1224" spans="1:1">
      <c r="A1224" s="130"/>
    </row>
    <row r="1225" spans="1:1">
      <c r="A1225" s="130"/>
    </row>
    <row r="1226" spans="1:1">
      <c r="A1226" s="130"/>
    </row>
    <row r="1227" spans="1:1">
      <c r="A1227" s="130"/>
    </row>
    <row r="1228" spans="1:1">
      <c r="A1228" s="130"/>
    </row>
    <row r="1229" spans="1:1">
      <c r="A1229" s="130"/>
    </row>
    <row r="1230" spans="1:1">
      <c r="A1230" s="130"/>
    </row>
    <row r="1231" spans="1:1">
      <c r="A1231" s="130"/>
    </row>
    <row r="1232" spans="1:1">
      <c r="A1232" s="130"/>
    </row>
    <row r="1233" spans="1:1">
      <c r="A1233" s="130"/>
    </row>
    <row r="1234" spans="1:1">
      <c r="A1234" s="130"/>
    </row>
    <row r="1235" spans="1:1">
      <c r="A1235" s="130"/>
    </row>
    <row r="1236" spans="1:1">
      <c r="A1236" s="130"/>
    </row>
    <row r="1237" spans="1:1">
      <c r="A1237" s="130"/>
    </row>
    <row r="1238" spans="1:1">
      <c r="A1238" s="130"/>
    </row>
    <row r="1239" spans="1:1">
      <c r="A1239" s="130"/>
    </row>
    <row r="1240" spans="1:1">
      <c r="A1240" s="130"/>
    </row>
    <row r="1241" spans="1:1">
      <c r="A1241" s="130"/>
    </row>
    <row r="1242" spans="1:1">
      <c r="A1242" s="130"/>
    </row>
    <row r="1243" spans="1:1">
      <c r="A1243" s="130"/>
    </row>
    <row r="1244" spans="1:1">
      <c r="A1244" s="130"/>
    </row>
    <row r="1245" spans="1:1">
      <c r="A1245" s="130"/>
    </row>
    <row r="1246" spans="1:1">
      <c r="A1246" s="130"/>
    </row>
    <row r="1247" spans="1:1">
      <c r="A1247" s="130"/>
    </row>
    <row r="1248" spans="1:1">
      <c r="A1248" s="130"/>
    </row>
    <row r="1249" spans="1:1">
      <c r="A1249" s="130"/>
    </row>
    <row r="1250" spans="1:1">
      <c r="A1250" s="130"/>
    </row>
    <row r="1251" spans="1:1">
      <c r="A1251" s="130"/>
    </row>
    <row r="1252" spans="1:1">
      <c r="A1252" s="130"/>
    </row>
    <row r="1253" spans="1:1">
      <c r="A1253" s="130"/>
    </row>
    <row r="1254" spans="1:1">
      <c r="A1254" s="130"/>
    </row>
    <row r="1255" spans="1:1">
      <c r="A1255" s="130"/>
    </row>
    <row r="1256" spans="1:1">
      <c r="A1256" s="130"/>
    </row>
    <row r="1257" spans="1:1">
      <c r="A1257" s="130"/>
    </row>
    <row r="1258" spans="1:1">
      <c r="A1258" s="130"/>
    </row>
    <row r="1259" spans="1:1">
      <c r="A1259" s="130"/>
    </row>
    <row r="1260" spans="1:1">
      <c r="A1260" s="130"/>
    </row>
    <row r="1261" spans="1:1">
      <c r="A1261" s="130"/>
    </row>
    <row r="1262" spans="1:1">
      <c r="A1262" s="130"/>
    </row>
    <row r="1263" spans="1:1">
      <c r="A1263" s="130"/>
    </row>
    <row r="1264" spans="1:1">
      <c r="A1264" s="130"/>
    </row>
    <row r="1265" spans="1:1">
      <c r="A1265" s="130"/>
    </row>
    <row r="1266" spans="1:1">
      <c r="A1266" s="130"/>
    </row>
    <row r="1267" spans="1:1">
      <c r="A1267" s="130"/>
    </row>
    <row r="1268" spans="1:1">
      <c r="A1268" s="130"/>
    </row>
    <row r="1269" spans="1:1">
      <c r="A1269" s="130"/>
    </row>
    <row r="1270" spans="1:1">
      <c r="A1270" s="130"/>
    </row>
    <row r="1271" spans="1:1">
      <c r="A1271" s="130"/>
    </row>
    <row r="1272" spans="1:1">
      <c r="A1272" s="130"/>
    </row>
    <row r="1273" spans="1:1">
      <c r="A1273" s="130"/>
    </row>
    <row r="1274" spans="1:1">
      <c r="A1274" s="130"/>
    </row>
    <row r="1275" spans="1:1">
      <c r="A1275" s="130"/>
    </row>
    <row r="1276" spans="1:1">
      <c r="A1276" s="130"/>
    </row>
    <row r="1277" spans="1:1">
      <c r="A1277" s="130"/>
    </row>
    <row r="1278" spans="1:1">
      <c r="A1278" s="130"/>
    </row>
    <row r="1279" spans="1:1">
      <c r="A1279" s="130"/>
    </row>
    <row r="1280" spans="1:1">
      <c r="A1280" s="130"/>
    </row>
    <row r="1281" spans="1:1">
      <c r="A1281" s="130"/>
    </row>
    <row r="1282" spans="1:1">
      <c r="A1282" s="130"/>
    </row>
    <row r="1283" spans="1:1">
      <c r="A1283" s="130"/>
    </row>
    <row r="1284" spans="1:1">
      <c r="A1284" s="130"/>
    </row>
    <row r="1285" spans="1:1">
      <c r="A1285" s="130"/>
    </row>
    <row r="1286" spans="1:1">
      <c r="A1286" s="130"/>
    </row>
    <row r="1287" spans="1:1">
      <c r="A1287" s="130"/>
    </row>
    <row r="1288" spans="1:1">
      <c r="A1288" s="130"/>
    </row>
    <row r="1289" spans="1:1">
      <c r="A1289" s="130"/>
    </row>
    <row r="1290" spans="1:1">
      <c r="A1290" s="130"/>
    </row>
    <row r="1291" spans="1:1">
      <c r="A1291" s="130"/>
    </row>
    <row r="1292" spans="1:1">
      <c r="A1292" s="130"/>
    </row>
    <row r="1293" spans="1:1">
      <c r="A1293" s="130"/>
    </row>
    <row r="1294" spans="1:1">
      <c r="A1294" s="130"/>
    </row>
    <row r="1295" spans="1:1">
      <c r="A1295" s="130"/>
    </row>
    <row r="1296" spans="1:1">
      <c r="A1296" s="130"/>
    </row>
    <row r="1297" spans="1:1">
      <c r="A1297" s="130"/>
    </row>
    <row r="1298" spans="1:1">
      <c r="A1298" s="130"/>
    </row>
    <row r="1299" spans="1:1">
      <c r="A1299" s="130"/>
    </row>
    <row r="1300" spans="1:1">
      <c r="A1300" s="130"/>
    </row>
    <row r="1301" spans="1:1">
      <c r="A1301" s="130"/>
    </row>
    <row r="1302" spans="1:1">
      <c r="A1302" s="130"/>
    </row>
    <row r="1303" spans="1:1">
      <c r="A1303" s="130"/>
    </row>
    <row r="1304" spans="1:1">
      <c r="A1304" s="130"/>
    </row>
    <row r="1305" spans="1:1">
      <c r="A1305" s="130"/>
    </row>
    <row r="1306" spans="1:1">
      <c r="A1306" s="130"/>
    </row>
    <row r="1307" spans="1:1">
      <c r="A1307" s="130"/>
    </row>
    <row r="1308" spans="1:1">
      <c r="A1308" s="130"/>
    </row>
    <row r="1309" spans="1:1">
      <c r="A1309" s="130"/>
    </row>
    <row r="1310" spans="1:1">
      <c r="A1310" s="130"/>
    </row>
    <row r="1311" spans="1:1">
      <c r="A1311" s="130"/>
    </row>
    <row r="1312" spans="1:1">
      <c r="A1312" s="130"/>
    </row>
    <row r="1313" spans="1:1">
      <c r="A1313" s="130"/>
    </row>
    <row r="1314" spans="1:1">
      <c r="A1314" s="130"/>
    </row>
    <row r="1315" spans="1:1">
      <c r="A1315" s="130"/>
    </row>
    <row r="1316" spans="1:1">
      <c r="A1316" s="130"/>
    </row>
    <row r="1317" spans="1:1">
      <c r="A1317" s="130"/>
    </row>
    <row r="1318" spans="1:1">
      <c r="A1318" s="130"/>
    </row>
    <row r="1319" spans="1:1">
      <c r="A1319" s="130"/>
    </row>
    <row r="1320" spans="1:1">
      <c r="A1320" s="130"/>
    </row>
    <row r="1321" spans="1:1">
      <c r="A1321" s="130"/>
    </row>
    <row r="1322" spans="1:1">
      <c r="A1322" s="130"/>
    </row>
    <row r="1323" spans="1:1">
      <c r="A1323" s="130"/>
    </row>
    <row r="1324" spans="1:1">
      <c r="A1324" s="130"/>
    </row>
    <row r="1325" spans="1:1">
      <c r="A1325" s="130"/>
    </row>
    <row r="1326" spans="1:1">
      <c r="A1326" s="130"/>
    </row>
    <row r="1327" spans="1:1">
      <c r="A1327" s="130"/>
    </row>
    <row r="1328" spans="1:1">
      <c r="A1328" s="130"/>
    </row>
    <row r="1329" spans="1:1">
      <c r="A1329" s="130"/>
    </row>
    <row r="1330" spans="1:1">
      <c r="A1330" s="130"/>
    </row>
    <row r="1331" spans="1:1">
      <c r="A1331" s="130"/>
    </row>
    <row r="1332" spans="1:1">
      <c r="A1332" s="130"/>
    </row>
    <row r="1333" spans="1:1">
      <c r="A1333" s="130"/>
    </row>
    <row r="1334" spans="1:1">
      <c r="A1334" s="130"/>
    </row>
    <row r="1335" spans="1:1">
      <c r="A1335" s="130"/>
    </row>
    <row r="1336" spans="1:1">
      <c r="A1336" s="130"/>
    </row>
    <row r="1337" spans="1:1">
      <c r="A1337" s="130"/>
    </row>
    <row r="1338" spans="1:1">
      <c r="A1338" s="130"/>
    </row>
    <row r="1339" spans="1:1">
      <c r="A1339" s="130"/>
    </row>
    <row r="1340" spans="1:1">
      <c r="A1340" s="130"/>
    </row>
    <row r="1341" spans="1:1">
      <c r="A1341" s="130"/>
    </row>
    <row r="1342" spans="1:1">
      <c r="A1342" s="130"/>
    </row>
    <row r="1343" spans="1:1">
      <c r="A1343" s="130"/>
    </row>
    <row r="1344" spans="1:1">
      <c r="A1344" s="130"/>
    </row>
    <row r="1345" spans="1:1">
      <c r="A1345" s="130"/>
    </row>
    <row r="1346" spans="1:1">
      <c r="A1346" s="130"/>
    </row>
    <row r="1347" spans="1:1">
      <c r="A1347" s="130"/>
    </row>
    <row r="1348" spans="1:1">
      <c r="A1348" s="130"/>
    </row>
    <row r="1349" spans="1:1">
      <c r="A1349" s="130"/>
    </row>
    <row r="1350" spans="1:1">
      <c r="A1350" s="130"/>
    </row>
    <row r="1351" spans="1:1">
      <c r="A1351" s="130"/>
    </row>
    <row r="1352" spans="1:1">
      <c r="A1352" s="130"/>
    </row>
    <row r="1353" spans="1:1">
      <c r="A1353" s="130"/>
    </row>
    <row r="1354" spans="1:1">
      <c r="A1354" s="130"/>
    </row>
    <row r="1355" spans="1:1">
      <c r="A1355" s="130"/>
    </row>
    <row r="1356" spans="1:1">
      <c r="A1356" s="130"/>
    </row>
    <row r="1357" spans="1:1">
      <c r="A1357" s="130"/>
    </row>
    <row r="1358" spans="1:1">
      <c r="A1358" s="130"/>
    </row>
    <row r="1359" spans="1:1">
      <c r="A1359" s="130"/>
    </row>
    <row r="1360" spans="1:1">
      <c r="A1360" s="130"/>
    </row>
    <row r="1361" spans="1:1">
      <c r="A1361" s="130"/>
    </row>
    <row r="1362" spans="1:1">
      <c r="A1362" s="130"/>
    </row>
    <row r="1363" spans="1:1">
      <c r="A1363" s="130"/>
    </row>
    <row r="1364" spans="1:1">
      <c r="A1364" s="130"/>
    </row>
    <row r="1365" spans="1:1">
      <c r="A1365" s="130"/>
    </row>
    <row r="1366" spans="1:1">
      <c r="A1366" s="130"/>
    </row>
    <row r="1367" spans="1:1">
      <c r="A1367" s="130"/>
    </row>
    <row r="1368" spans="1:1">
      <c r="A1368" s="130"/>
    </row>
    <row r="1369" spans="1:1">
      <c r="A1369" s="130"/>
    </row>
    <row r="1370" spans="1:1">
      <c r="A1370" s="130"/>
    </row>
    <row r="1371" spans="1:1">
      <c r="A1371" s="130"/>
    </row>
    <row r="1372" spans="1:1">
      <c r="A1372" s="130"/>
    </row>
    <row r="1373" spans="1:1">
      <c r="A1373" s="130"/>
    </row>
    <row r="1374" spans="1:1">
      <c r="A1374" s="130"/>
    </row>
    <row r="1375" spans="1:1">
      <c r="A1375" s="130"/>
    </row>
    <row r="1376" spans="1:1">
      <c r="A1376" s="130"/>
    </row>
    <row r="1377" spans="1:1">
      <c r="A1377" s="130"/>
    </row>
    <row r="1378" spans="1:1">
      <c r="A1378" s="130"/>
    </row>
    <row r="1379" spans="1:1">
      <c r="A1379" s="130"/>
    </row>
    <row r="1380" spans="1:1">
      <c r="A1380" s="130"/>
    </row>
    <row r="1381" spans="1:1">
      <c r="A1381" s="130"/>
    </row>
    <row r="1382" spans="1:1">
      <c r="A1382" s="130"/>
    </row>
    <row r="1383" spans="1:1">
      <c r="A1383" s="130"/>
    </row>
    <row r="1384" spans="1:1">
      <c r="A1384" s="130"/>
    </row>
    <row r="1385" spans="1:1">
      <c r="A1385" s="130"/>
    </row>
    <row r="1386" spans="1:1">
      <c r="A1386" s="130"/>
    </row>
    <row r="1387" spans="1:1">
      <c r="A1387" s="130"/>
    </row>
    <row r="1388" spans="1:1">
      <c r="A1388" s="130"/>
    </row>
    <row r="1389" spans="1:1">
      <c r="A1389" s="130"/>
    </row>
    <row r="1390" spans="1:1">
      <c r="A1390" s="130"/>
    </row>
    <row r="1391" spans="1:1">
      <c r="A1391" s="130"/>
    </row>
    <row r="1392" spans="1:1">
      <c r="A1392" s="130"/>
    </row>
    <row r="1393" spans="1:1">
      <c r="A1393" s="130"/>
    </row>
    <row r="1394" spans="1:1">
      <c r="A1394" s="130"/>
    </row>
    <row r="1395" spans="1:1">
      <c r="A1395" s="130"/>
    </row>
    <row r="1396" spans="1:1">
      <c r="A1396" s="130"/>
    </row>
    <row r="1397" spans="1:1">
      <c r="A1397" s="130"/>
    </row>
    <row r="1398" spans="1:1">
      <c r="A1398" s="130"/>
    </row>
    <row r="1399" spans="1:1">
      <c r="A1399" s="130"/>
    </row>
    <row r="1400" spans="1:1">
      <c r="A1400" s="130"/>
    </row>
    <row r="1401" spans="1:1">
      <c r="A1401" s="130"/>
    </row>
    <row r="1402" spans="1:1">
      <c r="A1402" s="130"/>
    </row>
    <row r="1403" spans="1:1">
      <c r="A1403" s="130"/>
    </row>
    <row r="1404" spans="1:1">
      <c r="A1404" s="130"/>
    </row>
    <row r="1405" spans="1:1">
      <c r="A1405" s="130"/>
    </row>
    <row r="1406" spans="1:1">
      <c r="A1406" s="130"/>
    </row>
    <row r="1407" spans="1:1">
      <c r="A1407" s="130"/>
    </row>
    <row r="1408" spans="1:1">
      <c r="A1408" s="130"/>
    </row>
    <row r="1409" spans="1:1">
      <c r="A1409" s="130"/>
    </row>
    <row r="1410" spans="1:1">
      <c r="A1410" s="130"/>
    </row>
    <row r="1411" spans="1:1">
      <c r="A1411" s="130"/>
    </row>
    <row r="1412" spans="1:1">
      <c r="A1412" s="130"/>
    </row>
    <row r="1413" spans="1:1">
      <c r="A1413" s="130"/>
    </row>
    <row r="1414" spans="1:1">
      <c r="A1414" s="130"/>
    </row>
    <row r="1415" spans="1:1">
      <c r="A1415" s="130"/>
    </row>
    <row r="1416" spans="1:1">
      <c r="A1416" s="130"/>
    </row>
    <row r="1417" spans="1:1">
      <c r="A1417" s="130"/>
    </row>
    <row r="1418" spans="1:1">
      <c r="A1418" s="130"/>
    </row>
    <row r="1419" spans="1:1">
      <c r="A1419" s="130"/>
    </row>
    <row r="1420" spans="1:1">
      <c r="A1420" s="130"/>
    </row>
    <row r="1421" spans="1:1">
      <c r="A1421" s="130"/>
    </row>
    <row r="1422" spans="1:1">
      <c r="A1422" s="130"/>
    </row>
    <row r="1423" spans="1:1">
      <c r="A1423" s="130"/>
    </row>
    <row r="1424" spans="1:1">
      <c r="A1424" s="130"/>
    </row>
    <row r="1425" spans="1:1">
      <c r="A1425" s="130"/>
    </row>
    <row r="1426" spans="1:1">
      <c r="A1426" s="130"/>
    </row>
    <row r="1427" spans="1:1">
      <c r="A1427" s="130"/>
    </row>
    <row r="1428" spans="1:1">
      <c r="A1428" s="130"/>
    </row>
    <row r="1429" spans="1:1">
      <c r="A1429" s="130"/>
    </row>
    <row r="1430" spans="1:1">
      <c r="A1430" s="130"/>
    </row>
    <row r="1431" spans="1:1">
      <c r="A1431" s="130"/>
    </row>
    <row r="1432" spans="1:1">
      <c r="A1432" s="130"/>
    </row>
    <row r="1433" spans="1:1">
      <c r="A1433" s="130"/>
    </row>
    <row r="1434" spans="1:1">
      <c r="A1434" s="130"/>
    </row>
    <row r="1435" spans="1:1">
      <c r="A1435" s="130"/>
    </row>
    <row r="1436" spans="1:1">
      <c r="A1436" s="130"/>
    </row>
    <row r="1437" spans="1:1">
      <c r="A1437" s="130"/>
    </row>
    <row r="1438" spans="1:1">
      <c r="A1438" s="130"/>
    </row>
    <row r="1439" spans="1:1">
      <c r="A1439" s="130"/>
    </row>
    <row r="1440" spans="1:1">
      <c r="A1440" s="130"/>
    </row>
    <row r="1441" spans="1:1">
      <c r="A1441" s="130"/>
    </row>
    <row r="1442" spans="1:1">
      <c r="A1442" s="130"/>
    </row>
    <row r="1443" spans="1:1">
      <c r="A1443" s="130"/>
    </row>
    <row r="1444" spans="1:1">
      <c r="A1444" s="130"/>
    </row>
    <row r="1445" spans="1:1">
      <c r="A1445" s="130"/>
    </row>
    <row r="1446" spans="1:1">
      <c r="A1446" s="130"/>
    </row>
    <row r="1447" spans="1:1">
      <c r="A1447" s="130"/>
    </row>
    <row r="1448" spans="1:1">
      <c r="A1448" s="130"/>
    </row>
    <row r="1449" spans="1:1">
      <c r="A1449" s="130"/>
    </row>
    <row r="1450" spans="1:1">
      <c r="A1450" s="130"/>
    </row>
    <row r="1451" spans="1:1">
      <c r="A1451" s="130"/>
    </row>
    <row r="1452" spans="1:1">
      <c r="A1452" s="130"/>
    </row>
    <row r="1453" spans="1:1">
      <c r="A1453" s="130"/>
    </row>
    <row r="1454" spans="1:1">
      <c r="A1454" s="130"/>
    </row>
    <row r="1455" spans="1:1">
      <c r="A1455" s="130"/>
    </row>
    <row r="1456" spans="1:1">
      <c r="A1456" s="130"/>
    </row>
    <row r="1457" spans="1:1">
      <c r="A1457" s="130"/>
    </row>
    <row r="1458" spans="1:1">
      <c r="A1458" s="130"/>
    </row>
    <row r="1459" spans="1:1">
      <c r="A1459" s="130"/>
    </row>
    <row r="1460" spans="1:1">
      <c r="A1460" s="130"/>
    </row>
    <row r="1461" spans="1:1">
      <c r="A1461" s="130"/>
    </row>
    <row r="1462" spans="1:1">
      <c r="A1462" s="130"/>
    </row>
    <row r="1463" spans="1:1">
      <c r="A1463" s="130"/>
    </row>
    <row r="1464" spans="1:1">
      <c r="A1464" s="130"/>
    </row>
    <row r="1465" spans="1:1">
      <c r="A1465" s="130"/>
    </row>
    <row r="1466" spans="1:1">
      <c r="A1466" s="130"/>
    </row>
    <row r="1467" spans="1:1">
      <c r="A1467" s="130"/>
    </row>
    <row r="1468" spans="1:1">
      <c r="A1468" s="130"/>
    </row>
    <row r="1469" spans="1:1">
      <c r="A1469" s="130"/>
    </row>
    <row r="1470" spans="1:1">
      <c r="A1470" s="130"/>
    </row>
    <row r="1471" spans="1:1">
      <c r="A1471" s="130"/>
    </row>
    <row r="1472" spans="1:1">
      <c r="A1472" s="130"/>
    </row>
    <row r="1473" spans="1:1">
      <c r="A1473" s="130"/>
    </row>
    <row r="1474" spans="1:1">
      <c r="A1474" s="130"/>
    </row>
    <row r="1475" spans="1:1">
      <c r="A1475" s="130"/>
    </row>
    <row r="1476" spans="1:1">
      <c r="A1476" s="130"/>
    </row>
    <row r="1477" spans="1:1">
      <c r="A1477" s="130"/>
    </row>
    <row r="1478" spans="1:1">
      <c r="A1478" s="130"/>
    </row>
    <row r="1479" spans="1:1">
      <c r="A1479" s="130"/>
    </row>
    <row r="1480" spans="1:1">
      <c r="A1480" s="130"/>
    </row>
    <row r="1481" spans="1:1">
      <c r="A1481" s="130"/>
    </row>
    <row r="1482" spans="1:1">
      <c r="A1482" s="130"/>
    </row>
    <row r="1483" spans="1:1">
      <c r="A1483" s="130"/>
    </row>
    <row r="1484" spans="1:1">
      <c r="A1484" s="130"/>
    </row>
    <row r="1485" spans="1:1">
      <c r="A1485" s="130"/>
    </row>
    <row r="1486" spans="1:1">
      <c r="A1486" s="130"/>
    </row>
    <row r="1487" spans="1:1">
      <c r="A1487" s="130"/>
    </row>
    <row r="1488" spans="1:1">
      <c r="A1488" s="130"/>
    </row>
    <row r="1489" spans="1:1">
      <c r="A1489" s="130"/>
    </row>
    <row r="1490" spans="1:1">
      <c r="A1490" s="130"/>
    </row>
    <row r="1491" spans="1:1">
      <c r="A1491" s="130"/>
    </row>
    <row r="1492" spans="1:1">
      <c r="A1492" s="130"/>
    </row>
    <row r="1493" spans="1:1">
      <c r="A1493" s="130"/>
    </row>
    <row r="1494" spans="1:1">
      <c r="A1494" s="130"/>
    </row>
    <row r="1495" spans="1:1">
      <c r="A1495" s="130"/>
    </row>
    <row r="1496" spans="1:1">
      <c r="A1496" s="130"/>
    </row>
    <row r="1497" spans="1:1">
      <c r="A1497" s="130"/>
    </row>
    <row r="1498" spans="1:1">
      <c r="A1498" s="130"/>
    </row>
    <row r="1499" spans="1:1">
      <c r="A1499" s="130"/>
    </row>
    <row r="1500" spans="1:1">
      <c r="A1500" s="130"/>
    </row>
    <row r="1501" spans="1:1">
      <c r="A1501" s="130"/>
    </row>
    <row r="1502" spans="1:1">
      <c r="A1502" s="130"/>
    </row>
    <row r="1503" spans="1:1">
      <c r="A1503" s="130"/>
    </row>
    <row r="1504" spans="1:1">
      <c r="A1504" s="130"/>
    </row>
    <row r="1505" spans="1:1">
      <c r="A1505" s="130"/>
    </row>
    <row r="1506" spans="1:1">
      <c r="A1506" s="130"/>
    </row>
    <row r="1507" spans="1:1">
      <c r="A1507" s="130"/>
    </row>
    <row r="1508" spans="1:1">
      <c r="A1508" s="130"/>
    </row>
    <row r="1509" spans="1:1">
      <c r="A1509" s="130"/>
    </row>
    <row r="1510" spans="1:1">
      <c r="A1510" s="130"/>
    </row>
    <row r="1511" spans="1:1">
      <c r="A1511" s="130"/>
    </row>
    <row r="1512" spans="1:1">
      <c r="A1512" s="130"/>
    </row>
    <row r="1513" spans="1:1">
      <c r="A1513" s="130"/>
    </row>
    <row r="1514" spans="1:1">
      <c r="A1514" s="130"/>
    </row>
    <row r="1515" spans="1:1">
      <c r="A1515" s="130"/>
    </row>
    <row r="1516" spans="1:1">
      <c r="A1516" s="130"/>
    </row>
    <row r="1517" spans="1:1">
      <c r="A1517" s="130"/>
    </row>
    <row r="1518" spans="1:1">
      <c r="A1518" s="130"/>
    </row>
    <row r="1519" spans="1:1">
      <c r="A1519" s="130"/>
    </row>
    <row r="1520" spans="1:1">
      <c r="A1520" s="130"/>
    </row>
    <row r="1521" spans="1:1">
      <c r="A1521" s="130"/>
    </row>
    <row r="1522" spans="1:1">
      <c r="A1522" s="130"/>
    </row>
    <row r="1523" spans="1:1">
      <c r="A1523" s="130"/>
    </row>
    <row r="1524" spans="1:1">
      <c r="A1524" s="130"/>
    </row>
    <row r="1525" spans="1:1">
      <c r="A1525" s="130"/>
    </row>
    <row r="1526" spans="1:1">
      <c r="A1526" s="130"/>
    </row>
    <row r="1527" spans="1:1">
      <c r="A1527" s="130"/>
    </row>
    <row r="1528" spans="1:1">
      <c r="A1528" s="130"/>
    </row>
    <row r="1529" spans="1:1">
      <c r="A1529" s="130"/>
    </row>
    <row r="1530" spans="1:1">
      <c r="A1530" s="130"/>
    </row>
    <row r="1531" spans="1:1">
      <c r="A1531" s="130"/>
    </row>
    <row r="1532" spans="1:1">
      <c r="A1532" s="130"/>
    </row>
    <row r="1533" spans="1:1">
      <c r="A1533" s="130"/>
    </row>
    <row r="1534" spans="1:1">
      <c r="A1534" s="130"/>
    </row>
    <row r="1535" spans="1:1">
      <c r="A1535" s="130"/>
    </row>
    <row r="1536" spans="1:1">
      <c r="A1536" s="130"/>
    </row>
    <row r="1537" spans="1:1">
      <c r="A1537" s="130"/>
    </row>
    <row r="1538" spans="1:1">
      <c r="A1538" s="130"/>
    </row>
    <row r="1539" spans="1:1">
      <c r="A1539" s="130"/>
    </row>
    <row r="1540" spans="1:1">
      <c r="A1540" s="130"/>
    </row>
    <row r="1541" spans="1:1">
      <c r="A1541" s="130"/>
    </row>
    <row r="1542" spans="1:1">
      <c r="A1542" s="130"/>
    </row>
    <row r="1543" spans="1:1">
      <c r="A1543" s="130"/>
    </row>
    <row r="1544" spans="1:1">
      <c r="A1544" s="130"/>
    </row>
    <row r="1545" spans="1:1">
      <c r="A1545" s="130"/>
    </row>
    <row r="1546" spans="1:1">
      <c r="A1546" s="130"/>
    </row>
    <row r="1547" spans="1:1">
      <c r="A1547" s="130"/>
    </row>
    <row r="1548" spans="1:1">
      <c r="A1548" s="130"/>
    </row>
    <row r="1549" spans="1:1">
      <c r="A1549" s="130"/>
    </row>
    <row r="1550" spans="1:1">
      <c r="A1550" s="130"/>
    </row>
    <row r="1551" spans="1:1">
      <c r="A1551" s="130"/>
    </row>
    <row r="1552" spans="1:1">
      <c r="A1552" s="130"/>
    </row>
    <row r="1553" spans="1:1">
      <c r="A1553" s="130"/>
    </row>
    <row r="1554" spans="1:1">
      <c r="A1554" s="130"/>
    </row>
    <row r="1555" spans="1:1">
      <c r="A1555" s="130"/>
    </row>
    <row r="1556" spans="1:1">
      <c r="A1556" s="130"/>
    </row>
    <row r="1557" spans="1:1">
      <c r="A1557" s="130"/>
    </row>
    <row r="1558" spans="1:1">
      <c r="A1558" s="130"/>
    </row>
    <row r="1559" spans="1:1">
      <c r="A1559" s="130"/>
    </row>
    <row r="1560" spans="1:1">
      <c r="A1560" s="130"/>
    </row>
    <row r="1561" spans="1:1">
      <c r="A1561" s="130"/>
    </row>
    <row r="1562" spans="1:1">
      <c r="A1562" s="130"/>
    </row>
    <row r="1563" spans="1:1">
      <c r="A1563" s="130"/>
    </row>
    <row r="1564" spans="1:1">
      <c r="A1564" s="130"/>
    </row>
    <row r="1565" spans="1:1">
      <c r="A1565" s="130"/>
    </row>
    <row r="1566" spans="1:1">
      <c r="A1566" s="130"/>
    </row>
    <row r="1567" spans="1:1">
      <c r="A1567" s="130"/>
    </row>
    <row r="1568" spans="1:1">
      <c r="A1568" s="130"/>
    </row>
    <row r="1569" spans="1:1">
      <c r="A1569" s="130"/>
    </row>
    <row r="1570" spans="1:1">
      <c r="A1570" s="130"/>
    </row>
    <row r="1571" spans="1:1">
      <c r="A1571" s="130"/>
    </row>
    <row r="1572" spans="1:1">
      <c r="A1572" s="130"/>
    </row>
    <row r="1573" spans="1:1">
      <c r="A1573" s="130"/>
    </row>
    <row r="1574" spans="1:1">
      <c r="A1574" s="130"/>
    </row>
    <row r="1575" spans="1:1">
      <c r="A1575" s="130"/>
    </row>
    <row r="1576" spans="1:1">
      <c r="A1576" s="130"/>
    </row>
    <row r="1577" spans="1:1">
      <c r="A1577" s="130"/>
    </row>
    <row r="1578" spans="1:1">
      <c r="A1578" s="130"/>
    </row>
    <row r="1579" spans="1:1">
      <c r="A1579" s="130"/>
    </row>
    <row r="1580" spans="1:1">
      <c r="A1580" s="130"/>
    </row>
    <row r="1581" spans="1:1">
      <c r="A1581" s="130"/>
    </row>
    <row r="1582" spans="1:1">
      <c r="A1582" s="130"/>
    </row>
    <row r="1583" spans="1:1">
      <c r="A1583" s="130"/>
    </row>
    <row r="1584" spans="1:1">
      <c r="A1584" s="130"/>
    </row>
    <row r="1585" spans="1:1">
      <c r="A1585" s="130"/>
    </row>
    <row r="1586" spans="1:1">
      <c r="A1586" s="130"/>
    </row>
    <row r="1587" spans="1:1">
      <c r="A1587" s="130"/>
    </row>
    <row r="1588" spans="1:1">
      <c r="A1588" s="130"/>
    </row>
    <row r="1589" spans="1:1">
      <c r="A1589" s="130"/>
    </row>
    <row r="1590" spans="1:1">
      <c r="A1590" s="130"/>
    </row>
    <row r="1591" spans="1:1">
      <c r="A1591" s="130"/>
    </row>
    <row r="1592" spans="1:1">
      <c r="A1592" s="130"/>
    </row>
    <row r="1593" spans="1:1">
      <c r="A1593" s="130"/>
    </row>
    <row r="1594" spans="1:1">
      <c r="A1594" s="130"/>
    </row>
    <row r="1595" spans="1:1">
      <c r="A1595" s="130"/>
    </row>
    <row r="1596" spans="1:1">
      <c r="A1596" s="130"/>
    </row>
    <row r="1597" spans="1:1">
      <c r="A1597" s="130"/>
    </row>
    <row r="1598" spans="1:1">
      <c r="A1598" s="130"/>
    </row>
    <row r="1599" spans="1:1">
      <c r="A1599" s="130"/>
    </row>
    <row r="1600" spans="1:1">
      <c r="A1600" s="130"/>
    </row>
    <row r="1601" spans="1:1">
      <c r="A1601" s="130"/>
    </row>
    <row r="1602" spans="1:1">
      <c r="A1602" s="130"/>
    </row>
    <row r="1603" spans="1:1">
      <c r="A1603" s="130"/>
    </row>
    <row r="1604" spans="1:1">
      <c r="A1604" s="130"/>
    </row>
    <row r="1605" spans="1:1">
      <c r="A1605" s="130"/>
    </row>
    <row r="1606" spans="1:1">
      <c r="A1606" s="130"/>
    </row>
    <row r="1607" spans="1:1">
      <c r="A1607" s="130"/>
    </row>
    <row r="1608" spans="1:1">
      <c r="A1608" s="130"/>
    </row>
    <row r="1609" spans="1:1">
      <c r="A1609" s="130"/>
    </row>
    <row r="1610" spans="1:1">
      <c r="A1610" s="130"/>
    </row>
    <row r="1611" spans="1:1">
      <c r="A1611" s="130"/>
    </row>
    <row r="1612" spans="1:1">
      <c r="A1612" s="130"/>
    </row>
    <row r="1613" spans="1:1">
      <c r="A1613" s="130"/>
    </row>
    <row r="1614" spans="1:1">
      <c r="A1614" s="130"/>
    </row>
    <row r="1615" spans="1:1">
      <c r="A1615" s="130"/>
    </row>
    <row r="1616" spans="1:1">
      <c r="A1616" s="130"/>
    </row>
    <row r="1617" spans="1:1">
      <c r="A1617" s="130"/>
    </row>
    <row r="1618" spans="1:1">
      <c r="A1618" s="130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W78"/>
  <sheetViews>
    <sheetView view="pageBreakPreview" zoomScale="70" zoomScaleSheetLayoutView="70" workbookViewId="0">
      <selection activeCell="N10" sqref="N10"/>
    </sheetView>
  </sheetViews>
  <sheetFormatPr defaultRowHeight="13.8"/>
  <cols>
    <col min="1" max="1" width="12.21875" style="389" bestFit="1" customWidth="1"/>
    <col min="2" max="2" width="12.44140625" style="389" customWidth="1"/>
    <col min="3" max="3" width="16.109375" style="389" customWidth="1"/>
    <col min="4" max="4" width="15.21875" style="389" bestFit="1" customWidth="1"/>
    <col min="5" max="5" width="15.109375" style="389" customWidth="1"/>
    <col min="6" max="6" width="11.77734375" style="389" customWidth="1"/>
    <col min="7" max="7" width="15" style="389" customWidth="1"/>
    <col min="8" max="8" width="9.44140625" style="389" customWidth="1"/>
    <col min="9" max="9" width="10.109375" style="389" customWidth="1"/>
    <col min="10" max="10" width="15" style="389" customWidth="1"/>
    <col min="11" max="12" width="15.44140625" style="389" customWidth="1"/>
    <col min="13" max="13" width="18" style="389" customWidth="1"/>
    <col min="14" max="14" width="12.6640625" style="389" customWidth="1"/>
    <col min="15" max="19" width="8.88671875" style="389"/>
    <col min="20" max="20" width="11.21875" style="389" customWidth="1"/>
    <col min="21" max="21" width="12.109375" style="389" customWidth="1"/>
    <col min="22" max="22" width="12.6640625" style="389" customWidth="1"/>
    <col min="23" max="16384" width="8.88671875" style="389"/>
  </cols>
  <sheetData>
    <row r="1" spans="1:14" s="503" customFormat="1">
      <c r="A1" s="483" t="s">
        <v>238</v>
      </c>
      <c r="B1" s="483" t="s">
        <v>322</v>
      </c>
      <c r="C1" s="483" t="s">
        <v>248</v>
      </c>
      <c r="D1" s="483" t="s">
        <v>314</v>
      </c>
      <c r="E1" s="484" t="s">
        <v>249</v>
      </c>
      <c r="F1" s="575" t="s">
        <v>320</v>
      </c>
      <c r="G1" s="486" t="s">
        <v>157</v>
      </c>
      <c r="H1" s="486" t="s">
        <v>52</v>
      </c>
      <c r="I1" s="496" t="s">
        <v>53</v>
      </c>
      <c r="J1" s="489" t="s">
        <v>245</v>
      </c>
      <c r="K1" s="486" t="s">
        <v>246</v>
      </c>
      <c r="L1" s="487" t="s">
        <v>247</v>
      </c>
    </row>
    <row r="2" spans="1:14" ht="14.4" thickBot="1">
      <c r="A2" s="494" t="s">
        <v>72</v>
      </c>
      <c r="B2" s="390">
        <f>C2/100000000</f>
        <v>8.9588217300000004</v>
      </c>
      <c r="C2" s="391">
        <v>895882173</v>
      </c>
      <c r="D2" s="391">
        <v>22084</v>
      </c>
      <c r="E2" s="392">
        <f>VLOOKUP($A2,'ETF Update'!$A:$O,3,FALSE)</f>
        <v>40.58</v>
      </c>
      <c r="F2" s="576"/>
      <c r="G2" s="393">
        <f>J2/(D2*1000)</f>
        <v>40.565886754856393</v>
      </c>
      <c r="H2" s="393">
        <f>K2/(D2*1000)</f>
        <v>40.565904867517148</v>
      </c>
      <c r="I2" s="394">
        <f>L2/(D2*1000)</f>
        <v>40.593454251686687</v>
      </c>
      <c r="J2" s="395">
        <f>C2+(SUM(K10:K15)-SUM(G10:G15))-N10</f>
        <v>895857043.09424865</v>
      </c>
      <c r="K2" s="396">
        <f>C2+(SUM(L10:L15)-SUM(G10:G15))-N10</f>
        <v>895857443.09424865</v>
      </c>
      <c r="L2" s="397">
        <f>C2+(SUM(M10:M15)-SUM(G10:G15))-N10</f>
        <v>896465843.6942488</v>
      </c>
    </row>
    <row r="3" spans="1:14" s="503" customFormat="1">
      <c r="A3" s="483" t="s">
        <v>238</v>
      </c>
      <c r="B3" s="483" t="s">
        <v>322</v>
      </c>
      <c r="C3" s="483" t="s">
        <v>248</v>
      </c>
      <c r="D3" s="483" t="s">
        <v>315</v>
      </c>
      <c r="E3" s="484" t="s">
        <v>249</v>
      </c>
      <c r="F3" s="575" t="s">
        <v>320</v>
      </c>
      <c r="G3" s="483" t="s">
        <v>157</v>
      </c>
      <c r="H3" s="483" t="s">
        <v>52</v>
      </c>
      <c r="I3" s="484" t="s">
        <v>53</v>
      </c>
      <c r="J3" s="497" t="s">
        <v>245</v>
      </c>
      <c r="K3" s="483" t="s">
        <v>246</v>
      </c>
      <c r="L3" s="498" t="s">
        <v>247</v>
      </c>
    </row>
    <row r="4" spans="1:14" ht="14.4" thickBot="1">
      <c r="A4" s="494" t="s">
        <v>73</v>
      </c>
      <c r="B4" s="390">
        <f>C4/100000000</f>
        <v>552.57092643999999</v>
      </c>
      <c r="C4" s="391">
        <v>55257092644</v>
      </c>
      <c r="D4" s="391">
        <f>VLOOKUP($A4,'ETF Update'!$A:$O,5,FALSE)</f>
        <v>4808149</v>
      </c>
      <c r="E4" s="392">
        <f>VLOOKUP($A4,'ETF Update'!$A:$O,3,FALSE)</f>
        <v>11.49</v>
      </c>
      <c r="F4" s="576"/>
      <c r="G4" s="393">
        <f>J4/D4/1000</f>
        <v>11.492056131233223</v>
      </c>
      <c r="H4" s="393">
        <f>L4/D4/1000</f>
        <v>11.489531251076638</v>
      </c>
      <c r="I4" s="394">
        <f>K4/D4/1000</f>
        <v>11.492056131233223</v>
      </c>
      <c r="J4" s="395">
        <f>C4+(SUM(K19:K21)-SUM(G19:G21))-N19</f>
        <v>55255518195.332886</v>
      </c>
      <c r="K4" s="396">
        <f>C4+(SUM(L19:L21)-SUM(G19:G21))-N19</f>
        <v>55255518195.332886</v>
      </c>
      <c r="L4" s="397">
        <f>C4+(SUM(M19:M21)-SUM(G19:G21))-N19</f>
        <v>55243378195.332886</v>
      </c>
    </row>
    <row r="5" spans="1:14" s="503" customFormat="1">
      <c r="A5" s="483" t="s">
        <v>238</v>
      </c>
      <c r="B5" s="483" t="s">
        <v>322</v>
      </c>
      <c r="C5" s="483" t="s">
        <v>248</v>
      </c>
      <c r="D5" s="483" t="s">
        <v>315</v>
      </c>
      <c r="E5" s="484" t="s">
        <v>249</v>
      </c>
      <c r="F5" s="575" t="s">
        <v>320</v>
      </c>
      <c r="G5" s="483" t="s">
        <v>157</v>
      </c>
      <c r="H5" s="483" t="s">
        <v>52</v>
      </c>
      <c r="I5" s="484" t="s">
        <v>53</v>
      </c>
      <c r="J5" s="497" t="s">
        <v>245</v>
      </c>
      <c r="K5" s="483" t="s">
        <v>246</v>
      </c>
      <c r="L5" s="498" t="s">
        <v>247</v>
      </c>
    </row>
    <row r="6" spans="1:14" ht="14.4" thickBot="1">
      <c r="A6" s="495" t="s">
        <v>70</v>
      </c>
      <c r="B6" s="398">
        <f>C6/100000000</f>
        <v>1400.6200373300001</v>
      </c>
      <c r="C6" s="391">
        <v>140062003733</v>
      </c>
      <c r="D6" s="391">
        <f>VLOOKUP($A6,'ETF Update'!$A:$O,5,FALSE)</f>
        <v>1689500</v>
      </c>
      <c r="E6" s="392">
        <f>VLOOKUP($A6,'ETF Update'!$A:$O,3,FALSE)</f>
        <v>83.12</v>
      </c>
      <c r="F6" s="576"/>
      <c r="G6" s="399">
        <f>J6/D6/1000</f>
        <v>82.899090219131352</v>
      </c>
      <c r="H6" s="399">
        <f>K6/D6/1000</f>
        <v>82.828241068731828</v>
      </c>
      <c r="I6" s="400">
        <f>L6/D6/1000</f>
        <v>83.004232514218671</v>
      </c>
      <c r="J6" s="401">
        <f>C6+(SUM(K27:K206)-SUM(G27:G206))-N27</f>
        <v>140058012925.22241</v>
      </c>
      <c r="K6" s="402">
        <f>C6+(SUM(L27:L206)-SUM(G27:G206))-N27</f>
        <v>139938313285.62244</v>
      </c>
      <c r="L6" s="403">
        <f>C6+(SUM(M27:M206)-SUM(G27:G206))-N27</f>
        <v>140235650832.77246</v>
      </c>
    </row>
    <row r="7" spans="1:14" ht="14.4" thickBot="1">
      <c r="A7" s="404"/>
      <c r="B7" s="404"/>
      <c r="C7" s="405" t="e">
        <f>VLOOKUP(A7,'ETF Update'!$A:$E,4,FALSE)*1000</f>
        <v>#N/A</v>
      </c>
      <c r="D7" s="391" t="e">
        <f>VLOOKUP($A7,'ETF Update'!$A:$O,5,FALSE)</f>
        <v>#N/A</v>
      </c>
      <c r="E7" s="404"/>
      <c r="F7" s="404"/>
      <c r="G7" s="404"/>
      <c r="H7" s="404"/>
      <c r="I7" s="404"/>
      <c r="J7" s="404"/>
      <c r="K7" s="404"/>
      <c r="L7" s="404"/>
    </row>
    <row r="8" spans="1:14" ht="14.4" thickBot="1">
      <c r="A8" s="493" t="s">
        <v>72</v>
      </c>
      <c r="B8" s="406">
        <f>SUM(A10:A15)</f>
        <v>1.9999996137884977</v>
      </c>
    </row>
    <row r="9" spans="1:14" s="503" customFormat="1">
      <c r="A9" s="489" t="s">
        <v>18</v>
      </c>
      <c r="B9" s="486" t="s">
        <v>24</v>
      </c>
      <c r="C9" s="486" t="s">
        <v>19</v>
      </c>
      <c r="D9" s="486" t="s">
        <v>20</v>
      </c>
      <c r="E9" s="486" t="s">
        <v>47</v>
      </c>
      <c r="F9" s="486" t="s">
        <v>234</v>
      </c>
      <c r="G9" s="486" t="s">
        <v>250</v>
      </c>
      <c r="H9" s="486" t="s">
        <v>157</v>
      </c>
      <c r="I9" s="486" t="s">
        <v>52</v>
      </c>
      <c r="J9" s="486" t="s">
        <v>53</v>
      </c>
      <c r="K9" s="486" t="s">
        <v>242</v>
      </c>
      <c r="L9" s="486" t="s">
        <v>243</v>
      </c>
      <c r="M9" s="487" t="s">
        <v>244</v>
      </c>
      <c r="N9" s="499" t="s">
        <v>22</v>
      </c>
    </row>
    <row r="10" spans="1:14" ht="14.4" thickBot="1">
      <c r="A10" s="407">
        <f>G10/C2</f>
        <v>0.74027592019067889</v>
      </c>
      <c r="B10" s="408" t="s">
        <v>2791</v>
      </c>
      <c r="C10" s="408" t="s">
        <v>143</v>
      </c>
      <c r="D10" s="408">
        <v>10000</v>
      </c>
      <c r="E10" s="409">
        <v>82.9</v>
      </c>
      <c r="F10" s="408">
        <v>800</v>
      </c>
      <c r="G10" s="396">
        <f t="shared" ref="G10:G15" si="0">F10*E10*D10</f>
        <v>663200000</v>
      </c>
      <c r="H10" s="409">
        <f>VLOOKUP(TEXT($C10,"@"),XQKGIAP!$A:$L,5,FALSE)</f>
        <v>82.9</v>
      </c>
      <c r="I10" s="409">
        <f>VLOOKUP(TEXT($C10,"@"),XQKGIAP!$A:$L,6,FALSE)</f>
        <v>82.9</v>
      </c>
      <c r="J10" s="409">
        <f>VLOOKUP(TEXT($C10,"@"),XQKGIAP!$A:$L,7,FALSE)</f>
        <v>82.95</v>
      </c>
      <c r="K10" s="396">
        <f>IF(ISNUMBER(H10)=TRUE,H10*$F$10*$D$10,E10*$F$10*$D$10)</f>
        <v>663200000</v>
      </c>
      <c r="L10" s="396">
        <f>IF(ISNUMBER(I10)=TRUE,I10*$F$10*$D$10,F10*$F$10*$D$10)</f>
        <v>663200000</v>
      </c>
      <c r="M10" s="397">
        <f>IF(ISNUMBER(J10)=TRUE,J10*$F$10*$D$10,G10*$F$10*$D$10)</f>
        <v>663600000</v>
      </c>
      <c r="N10" s="410">
        <f>1.04%/365*(C2+SUM(K10:K13)-SUM(G10:G13))</f>
        <v>25526.505751232875</v>
      </c>
    </row>
    <row r="11" spans="1:14">
      <c r="A11" s="407">
        <f>G11/C2</f>
        <v>0</v>
      </c>
      <c r="B11" s="408" t="s">
        <v>2792</v>
      </c>
      <c r="C11" s="408" t="s">
        <v>2786</v>
      </c>
      <c r="D11" s="408">
        <v>10000</v>
      </c>
      <c r="E11" s="409">
        <v>82.9</v>
      </c>
      <c r="F11" s="408">
        <v>0</v>
      </c>
      <c r="G11" s="396">
        <f t="shared" si="0"/>
        <v>0</v>
      </c>
      <c r="H11" s="409">
        <f>VLOOKUP(TEXT($C11,"@"),XQKGIAP!$A:$L,5,FALSE)</f>
        <v>82.9</v>
      </c>
      <c r="I11" s="409">
        <f>VLOOKUP(TEXT($C11,"@"),XQKGIAP!$A:$L,6,FALSE)</f>
        <v>82.85</v>
      </c>
      <c r="J11" s="409">
        <f>VLOOKUP(TEXT($C11,"@"),XQKGIAP!$A:$L,7,FALSE)</f>
        <v>82.95</v>
      </c>
      <c r="K11" s="396">
        <f>IF(ISNUMBER(H11)=TRUE,H11*$F$11*$D$11,E11*$F$11*$D$11)</f>
        <v>0</v>
      </c>
      <c r="L11" s="396">
        <f>IF(ISNUMBER(I11)=TRUE,I11*$F$11*$D$11,F11*$F$11*$D$11)</f>
        <v>0</v>
      </c>
      <c r="M11" s="397">
        <f>IF(ISNUMBER(J11)=TRUE,J11*$F$11*$D$11,G11*$F$11*$D$11)</f>
        <v>0</v>
      </c>
    </row>
    <row r="12" spans="1:14">
      <c r="A12" s="411">
        <f>G12/C2</f>
        <v>1.2597236935978187</v>
      </c>
      <c r="B12" s="408" t="s">
        <v>2787</v>
      </c>
      <c r="C12" s="408" t="s">
        <v>2788</v>
      </c>
      <c r="D12" s="412">
        <v>200</v>
      </c>
      <c r="E12" s="409">
        <v>10810</v>
      </c>
      <c r="F12" s="408">
        <v>522</v>
      </c>
      <c r="G12" s="396">
        <f>F12*E12*D12</f>
        <v>1128564000</v>
      </c>
      <c r="H12" s="409">
        <f>VLOOKUP(TEXT($C12,"@"),XQKGIAP!$A:$L,5,FALSE)</f>
        <v>10810</v>
      </c>
      <c r="I12" s="409">
        <f>VLOOKUP(TEXT($C12,"@"),XQKGIAP!$A:$L,6,FALSE)</f>
        <v>10810</v>
      </c>
      <c r="J12" s="409">
        <f>VLOOKUP(TEXT($C12,"@"),XQKGIAP!$A:$L,7,FALSE)</f>
        <v>10812</v>
      </c>
      <c r="K12" s="396">
        <f>IF(ISNUMBER(H12)=TRUE,H12*$F$12*$D$12,E12*$F$12*$D$12)</f>
        <v>1128564000</v>
      </c>
      <c r="L12" s="396">
        <f>IF(ISNUMBER(I12)=TRUE,I12*$F$12*$D$12,F12*$F$12*$D$12)</f>
        <v>1128564000</v>
      </c>
      <c r="M12" s="397">
        <f>IF(ISNUMBER(J12)=TRUE,J12*$F$12*$D$12,G12*$F$12*$D$12)</f>
        <v>1128772800</v>
      </c>
    </row>
    <row r="13" spans="1:14">
      <c r="A13" s="411">
        <f>G13/C2</f>
        <v>0</v>
      </c>
      <c r="B13" s="408" t="s">
        <v>2789</v>
      </c>
      <c r="C13" s="408" t="s">
        <v>2790</v>
      </c>
      <c r="D13" s="412">
        <v>200</v>
      </c>
      <c r="E13" s="409">
        <v>10679</v>
      </c>
      <c r="F13" s="408">
        <v>0</v>
      </c>
      <c r="G13" s="396">
        <f t="shared" si="0"/>
        <v>0</v>
      </c>
      <c r="H13" s="409">
        <f>VLOOKUP(TEXT($C13,"@"),XQKGIAP!$A:$L,5,FALSE)</f>
        <v>10679</v>
      </c>
      <c r="I13" s="409">
        <f>VLOOKUP(TEXT($C13,"@"),XQKGIAP!$A:$L,6,FALSE)</f>
        <v>10679</v>
      </c>
      <c r="J13" s="409" t="e">
        <f>VLOOKUP($A13,'ETF Update'!$A:$O,4,FALSE)*1000</f>
        <v>#N/A</v>
      </c>
      <c r="K13" s="396">
        <f>IF(ISNUMBER(H13)=TRUE,H13*$F$13*$D$13,E13*$F$13*$D$13)</f>
        <v>0</v>
      </c>
      <c r="L13" s="396">
        <f>IF(ISNUMBER(I13)=TRUE,I13*$F$13*$D$13,F13*$F$13*$D$13)</f>
        <v>0</v>
      </c>
      <c r="M13" s="397">
        <f>IF(ISNUMBER(J13)=TRUE,J13*$F$13*$D$13,G13*$F$13*$D$13)</f>
        <v>0</v>
      </c>
    </row>
    <row r="14" spans="1:14">
      <c r="A14" s="407">
        <f>G14/C2</f>
        <v>0</v>
      </c>
      <c r="B14" s="413" t="s">
        <v>141</v>
      </c>
      <c r="C14" s="414">
        <v>2314</v>
      </c>
      <c r="D14" s="408">
        <v>0</v>
      </c>
      <c r="E14" s="408"/>
      <c r="F14" s="408">
        <v>20</v>
      </c>
      <c r="G14" s="396">
        <f t="shared" si="0"/>
        <v>0</v>
      </c>
      <c r="H14" s="409" t="e">
        <f>VLOOKUP(TEXT($C14,"@"),XQKGIAP!$A:$L,5,FALSE)</f>
        <v>#N/A</v>
      </c>
      <c r="I14" s="409" t="e">
        <f>VLOOKUP(TEXT($C14,"@"),XQKGIAP!$A:$L,6,FALSE)</f>
        <v>#N/A</v>
      </c>
      <c r="J14" s="409" t="e">
        <f>VLOOKUP(TEXT($C14,"@"),XQKGIAP!$A:$L,7,FALSE)</f>
        <v>#N/A</v>
      </c>
      <c r="K14" s="396">
        <f t="shared" ref="K14:M15" si="1">IF(ISNUMBER(H14)=TRUE,H14*$F14,E14*$F14)</f>
        <v>0</v>
      </c>
      <c r="L14" s="396">
        <f t="shared" si="1"/>
        <v>400</v>
      </c>
      <c r="M14" s="397">
        <f t="shared" si="1"/>
        <v>0</v>
      </c>
    </row>
    <row r="15" spans="1:14" ht="14.4" thickBot="1">
      <c r="A15" s="415">
        <f>G15/C2</f>
        <v>0</v>
      </c>
      <c r="B15" s="416" t="s">
        <v>142</v>
      </c>
      <c r="C15" s="417">
        <v>2354</v>
      </c>
      <c r="D15" s="416">
        <v>0</v>
      </c>
      <c r="E15" s="416"/>
      <c r="F15" s="416">
        <v>6</v>
      </c>
      <c r="G15" s="402">
        <f t="shared" si="0"/>
        <v>0</v>
      </c>
      <c r="H15" s="451">
        <f>VLOOKUP(TEXT($C15,"@"),XQKGIAP!$A:$L,5,FALSE)</f>
        <v>66.099999999999994</v>
      </c>
      <c r="I15" s="451">
        <f>VLOOKUP(TEXT($C15,"@"),XQKGIAP!$A:$L,6,FALSE)</f>
        <v>66.099999999999994</v>
      </c>
      <c r="J15" s="451">
        <f>VLOOKUP(TEXT($C15,"@"),XQKGIAP!$A:$L,7,FALSE)</f>
        <v>66.2</v>
      </c>
      <c r="K15" s="402">
        <f t="shared" si="1"/>
        <v>396.59999999999997</v>
      </c>
      <c r="L15" s="402">
        <f t="shared" si="1"/>
        <v>396.59999999999997</v>
      </c>
      <c r="M15" s="403">
        <f t="shared" si="1"/>
        <v>397.20000000000005</v>
      </c>
    </row>
    <row r="16" spans="1:14" ht="14.4" thickBot="1">
      <c r="A16" s="418"/>
      <c r="B16" s="419"/>
      <c r="C16" s="420"/>
      <c r="D16" s="419"/>
      <c r="E16" s="419"/>
      <c r="F16" s="419"/>
      <c r="G16" s="419"/>
      <c r="H16" s="419"/>
      <c r="I16" s="419"/>
      <c r="J16" s="419"/>
      <c r="K16" s="419"/>
      <c r="L16" s="419"/>
      <c r="M16" s="419"/>
    </row>
    <row r="17" spans="1:23" ht="14.4" thickBot="1">
      <c r="A17" s="493" t="s">
        <v>73</v>
      </c>
      <c r="B17" s="406">
        <f>SUM(A19:A21)</f>
        <v>-0.98052571004897338</v>
      </c>
    </row>
    <row r="18" spans="1:23" s="503" customFormat="1">
      <c r="A18" s="489" t="s">
        <v>18</v>
      </c>
      <c r="B18" s="486" t="s">
        <v>24</v>
      </c>
      <c r="C18" s="486" t="s">
        <v>19</v>
      </c>
      <c r="D18" s="486" t="s">
        <v>20</v>
      </c>
      <c r="E18" s="486" t="s">
        <v>47</v>
      </c>
      <c r="F18" s="486" t="s">
        <v>234</v>
      </c>
      <c r="G18" s="486" t="s">
        <v>250</v>
      </c>
      <c r="H18" s="486" t="s">
        <v>157</v>
      </c>
      <c r="I18" s="486" t="s">
        <v>52</v>
      </c>
      <c r="J18" s="486" t="s">
        <v>53</v>
      </c>
      <c r="K18" s="486" t="s">
        <v>242</v>
      </c>
      <c r="L18" s="486" t="s">
        <v>243</v>
      </c>
      <c r="M18" s="487" t="s">
        <v>244</v>
      </c>
      <c r="N18" s="490" t="s">
        <v>22</v>
      </c>
    </row>
    <row r="19" spans="1:23" ht="14.4" thickBot="1">
      <c r="A19" s="421">
        <f>G19/C4</f>
        <v>-0.82556279777331676</v>
      </c>
      <c r="B19" s="408" t="s">
        <v>2787</v>
      </c>
      <c r="C19" s="408" t="s">
        <v>48</v>
      </c>
      <c r="D19" s="408">
        <v>200</v>
      </c>
      <c r="E19" s="409">
        <v>10810</v>
      </c>
      <c r="F19" s="422">
        <v>-21100</v>
      </c>
      <c r="G19" s="422">
        <f>F19*E19*D19</f>
        <v>-45618200000</v>
      </c>
      <c r="H19" s="409">
        <f>VLOOKUP(TEXT($C19,"@"),XQKGIAP!$A:$L,5,FALSE)</f>
        <v>10810</v>
      </c>
      <c r="I19" s="409">
        <f>VLOOKUP(TEXT($C19,"@"),XQKGIAP!$A:$L,6,FALSE)</f>
        <v>10810</v>
      </c>
      <c r="J19" s="409">
        <f>VLOOKUP(TEXT($C19,"@"),XQKGIAP!$A:$L,7,FALSE)</f>
        <v>10812</v>
      </c>
      <c r="K19" s="422">
        <f>IF(ISNUMBER(H19)=TRUE,H19*$F$19*$D$19,E19*$F$19*$D$19)</f>
        <v>-45618200000</v>
      </c>
      <c r="L19" s="422">
        <f>IF(ISNUMBER(I19)=TRUE,I19*$F$19*$D$19,F19*$F$19*$D$19)</f>
        <v>-45618200000</v>
      </c>
      <c r="M19" s="422">
        <f>IF(ISNUMBER(J19)=TRUE,J19*$F$19*$D$19,G19*$F$19*$D$19)</f>
        <v>-45626640000</v>
      </c>
      <c r="N19" s="423">
        <f>1.04%/365*(C4+SUM(K19:K22)-SUM(G19:G22))</f>
        <v>1574448.6671167123</v>
      </c>
    </row>
    <row r="20" spans="1:23">
      <c r="A20" s="421">
        <f>G20/C4</f>
        <v>-0.11595615500946442</v>
      </c>
      <c r="B20" s="408" t="s">
        <v>2789</v>
      </c>
      <c r="C20" s="408" t="s">
        <v>591</v>
      </c>
      <c r="D20" s="408">
        <v>200</v>
      </c>
      <c r="E20" s="409">
        <v>10679</v>
      </c>
      <c r="F20" s="422">
        <v>-3000</v>
      </c>
      <c r="G20" s="422">
        <f>F20*E20*D20</f>
        <v>-6407400000</v>
      </c>
      <c r="H20" s="409">
        <f>VLOOKUP(TEXT($C20,"@"),XQKGIAP!$A:$L,5,FALSE)</f>
        <v>10679</v>
      </c>
      <c r="I20" s="409">
        <f>VLOOKUP(TEXT($C20,"@"),XQKGIAP!$A:$L,6,FALSE)</f>
        <v>10679</v>
      </c>
      <c r="J20" s="409">
        <f>VLOOKUP(TEXT($C20,"@"),XQKGIAP!$A:$L,7,FALSE)</f>
        <v>10683</v>
      </c>
      <c r="K20" s="422">
        <f>IF(ISNUMBER(H20)=TRUE,H20*$F$20*$D$20,E20*$F$20*$D$20)</f>
        <v>-6407400000</v>
      </c>
      <c r="L20" s="422">
        <f>IF(ISNUMBER(I20)=TRUE,I20*$F$20*$D$20,F20*$F$20*$D$20)</f>
        <v>-6407400000</v>
      </c>
      <c r="M20" s="422">
        <f>IF(ISNUMBER(J20)=TRUE,J20*$F$20*$D$20,G20*$F$20*$D$20)</f>
        <v>-6409800000</v>
      </c>
    </row>
    <row r="21" spans="1:23">
      <c r="A21" s="421">
        <f>G21/C4</f>
        <v>-3.9006757266192162E-2</v>
      </c>
      <c r="B21" s="408" t="s">
        <v>2791</v>
      </c>
      <c r="C21" s="408" t="s">
        <v>143</v>
      </c>
      <c r="D21" s="408">
        <v>10000</v>
      </c>
      <c r="E21" s="409">
        <v>82.9</v>
      </c>
      <c r="F21" s="422">
        <v>-2600</v>
      </c>
      <c r="G21" s="422">
        <f>F21*E21*D21</f>
        <v>-2155400000.0000005</v>
      </c>
      <c r="H21" s="409">
        <f>VLOOKUP(TEXT($C21,"@"),XQKGIAP!$A:$L,5,FALSE)</f>
        <v>82.9</v>
      </c>
      <c r="I21" s="409">
        <f>VLOOKUP(TEXT($C21,"@"),XQKGIAP!$A:$L,6,FALSE)</f>
        <v>82.9</v>
      </c>
      <c r="J21" s="409">
        <f>VLOOKUP(TEXT($C21,"@"),XQKGIAP!$A:$L,7,FALSE)</f>
        <v>82.95</v>
      </c>
      <c r="K21" s="422">
        <f>IF(ISNUMBER(H21)=TRUE,H21*$F$21*$D$21,E21*$F$21*$D$21)</f>
        <v>-2155400000.0000005</v>
      </c>
      <c r="L21" s="422">
        <f>IF(ISNUMBER(I21)=TRUE,I21*$F$21*$D$21,F21*$F$21*$D$21)</f>
        <v>-2155400000.0000005</v>
      </c>
      <c r="M21" s="422">
        <f>IF(ISNUMBER(J21)=TRUE,J21*$F$21*$D$21,G21*$F$21*$D$21)</f>
        <v>-2156700000</v>
      </c>
    </row>
    <row r="22" spans="1:23">
      <c r="A22" s="421">
        <f>G22/C4</f>
        <v>-1.35023390536819E-2</v>
      </c>
      <c r="B22" s="408" t="s">
        <v>2792</v>
      </c>
      <c r="C22" s="408" t="s">
        <v>592</v>
      </c>
      <c r="D22" s="408">
        <v>10000</v>
      </c>
      <c r="E22" s="409">
        <v>82.9</v>
      </c>
      <c r="F22" s="422">
        <v>-900</v>
      </c>
      <c r="G22" s="422">
        <f>F22*E22*D22</f>
        <v>-746100000</v>
      </c>
      <c r="H22" s="409">
        <f>VLOOKUP(TEXT($C22,"@"),XQKGIAP!$A:$L,5,FALSE)</f>
        <v>82.9</v>
      </c>
      <c r="I22" s="409">
        <f>VLOOKUP(TEXT($C22,"@"),XQKGIAP!$A:$L,6,FALSE)</f>
        <v>82.85</v>
      </c>
      <c r="J22" s="409">
        <f>VLOOKUP(TEXT($C22,"@"),XQKGIAP!$A:$L,7,FALSE)</f>
        <v>82.95</v>
      </c>
      <c r="K22" s="422">
        <f>IF(ISNUMBER(H22)=TRUE,H22*$F$22*$D$22,E22*$F$22*$D$22)</f>
        <v>-746100000</v>
      </c>
      <c r="L22" s="422">
        <f>IF(ISNUMBER(I22)=TRUE,I22*$F$22*$D$22,F22*$F$22*$D$22)</f>
        <v>-745650000</v>
      </c>
      <c r="M22" s="422">
        <f>IF(ISNUMBER(J22)=TRUE,J22*$F$22*$D$22,G22*$F$22*$D$22)</f>
        <v>-746550000</v>
      </c>
    </row>
    <row r="23" spans="1:23">
      <c r="A23" s="418"/>
      <c r="B23" s="419"/>
      <c r="C23" s="419"/>
      <c r="D23" s="419"/>
      <c r="E23" s="419"/>
      <c r="F23" s="424"/>
      <c r="G23" s="424"/>
      <c r="H23" s="419"/>
      <c r="I23" s="419"/>
      <c r="J23" s="419"/>
      <c r="K23" s="424"/>
      <c r="L23" s="424"/>
      <c r="M23" s="424"/>
    </row>
    <row r="24" spans="1:23" ht="14.4" thickBot="1">
      <c r="A24" s="406"/>
      <c r="E24" s="404"/>
      <c r="F24" s="404"/>
      <c r="G24" s="404"/>
      <c r="H24" s="404"/>
      <c r="I24" s="404"/>
      <c r="J24" s="404"/>
    </row>
    <row r="25" spans="1:23" ht="14.4" thickBot="1">
      <c r="A25" s="492" t="s">
        <v>70</v>
      </c>
      <c r="B25" s="406">
        <f>SUM(A29:A78)</f>
        <v>0.97179664829684809</v>
      </c>
      <c r="D25" s="425"/>
      <c r="E25" s="404" t="e">
        <f>VLOOKUP(TEXT($C25,"@"),XQKGIAP!$A:$L,3,FALSE)</f>
        <v>#N/A</v>
      </c>
      <c r="F25" s="404"/>
      <c r="G25" s="448">
        <f>SUM(G27:G78)</f>
        <v>140176218781.46997</v>
      </c>
      <c r="H25" s="449" t="e">
        <f>VLOOKUP(TEXT($C25,"@"),XQKGIAP!$A:$L,5,FALSE)</f>
        <v>#N/A</v>
      </c>
      <c r="I25" s="449" t="e">
        <f>VLOOKUP(TEXT($C25,"@"),XQKGIAP!$A:$L,6,FALSE)</f>
        <v>#N/A</v>
      </c>
      <c r="J25" s="449" t="e">
        <f>VLOOKUP(TEXT($C25,"@"),XQKGIAP!$A:$L,7,FALSE)</f>
        <v>#N/A</v>
      </c>
    </row>
    <row r="26" spans="1:23" s="503" customFormat="1" ht="14.4" thickBot="1">
      <c r="A26" s="500" t="s">
        <v>18</v>
      </c>
      <c r="B26" s="501" t="s">
        <v>24</v>
      </c>
      <c r="C26" s="501" t="s">
        <v>19</v>
      </c>
      <c r="D26" s="501" t="s">
        <v>20</v>
      </c>
      <c r="E26" s="501" t="s">
        <v>47</v>
      </c>
      <c r="F26" s="501" t="s">
        <v>234</v>
      </c>
      <c r="G26" s="501" t="s">
        <v>250</v>
      </c>
      <c r="H26" s="501" t="s">
        <v>157</v>
      </c>
      <c r="I26" s="501" t="s">
        <v>52</v>
      </c>
      <c r="J26" s="501" t="s">
        <v>53</v>
      </c>
      <c r="K26" s="501" t="s">
        <v>242</v>
      </c>
      <c r="L26" s="501" t="s">
        <v>243</v>
      </c>
      <c r="M26" s="502" t="s">
        <v>244</v>
      </c>
      <c r="N26" s="490" t="s">
        <v>22</v>
      </c>
    </row>
    <row r="27" spans="1:23" ht="14.4" thickBot="1">
      <c r="A27" s="426">
        <f>G27/$C$6</f>
        <v>1.8878253412970541E-2</v>
      </c>
      <c r="B27" s="427" t="s">
        <v>2783</v>
      </c>
      <c r="C27" s="427" t="s">
        <v>2777</v>
      </c>
      <c r="D27" s="427">
        <v>200</v>
      </c>
      <c r="E27" s="450">
        <v>10810</v>
      </c>
      <c r="F27" s="428">
        <v>1223</v>
      </c>
      <c r="G27" s="429">
        <f>F27*E27*D27</f>
        <v>2644126000</v>
      </c>
      <c r="H27" s="450">
        <f>VLOOKUP(TEXT($C27,"@"),XQKGIAP!$A:$L,5,FALSE)</f>
        <v>10810</v>
      </c>
      <c r="I27" s="450">
        <f>VLOOKUP(TEXT($C27,"@"),XQKGIAP!$A:$L,6,FALSE)</f>
        <v>10810</v>
      </c>
      <c r="J27" s="450">
        <f>VLOOKUP(TEXT($C27,"@"),XQKGIAP!$A:$L,7,FALSE)</f>
        <v>10812</v>
      </c>
      <c r="K27" s="429">
        <f>IF(ISNUMBER(H27)=TRUE,H27*F27*D27,E27*F27*D27)</f>
        <v>2644126000</v>
      </c>
      <c r="L27" s="429">
        <f>IF(ISNUMBER(I27)=TRUE,I27*F27*D27,E27*F27*D27)</f>
        <v>2644126000</v>
      </c>
      <c r="M27" s="430">
        <f>IF(ISNUMBER(J27)=TRUE,J27*F27*D27,D27*E27*F27)</f>
        <v>2644615200</v>
      </c>
      <c r="N27" s="423">
        <f>1.04%/365*(C6+SUM(K29:K206)-SUM(G29:G206))</f>
        <v>3990807.7775978073</v>
      </c>
    </row>
    <row r="28" spans="1:23" ht="14.4" thickBot="1">
      <c r="A28" s="431">
        <f>G28/$C$6</f>
        <v>1.0140558910663089E-2</v>
      </c>
      <c r="B28" s="416" t="s">
        <v>2784</v>
      </c>
      <c r="C28" s="416" t="s">
        <v>2778</v>
      </c>
      <c r="D28" s="416">
        <v>200</v>
      </c>
      <c r="E28" s="451">
        <v>10679</v>
      </c>
      <c r="F28" s="402">
        <v>665</v>
      </c>
      <c r="G28" s="432">
        <f>F28*E28*D28</f>
        <v>1420307000</v>
      </c>
      <c r="H28" s="451">
        <f>VLOOKUP(TEXT($C28,"@"),XQKGIAP!$A:$L,5,FALSE)</f>
        <v>10679</v>
      </c>
      <c r="I28" s="451">
        <f>VLOOKUP(TEXT($C28,"@"),XQKGIAP!$A:$L,6,FALSE)</f>
        <v>10679</v>
      </c>
      <c r="J28" s="451">
        <f>VLOOKUP(TEXT($C28,"@"),XQKGIAP!$A:$L,7,FALSE)</f>
        <v>10683</v>
      </c>
      <c r="K28" s="432">
        <f>IF(ISNUMBER(H28)=TRUE,H28*F28*D28,E28*F28*D28)</f>
        <v>1420307000</v>
      </c>
      <c r="L28" s="432">
        <f>IF(ISNUMBER(I28)=TRUE,I28*F28*D28,E28*F28*D28)</f>
        <v>1420307000</v>
      </c>
      <c r="M28" s="433">
        <f>IF(ISNUMBER(J28)=TRUE,J28*F28*D28,D28*E28*F28)</f>
        <v>1420839000</v>
      </c>
      <c r="S28" s="471" t="s">
        <v>2771</v>
      </c>
      <c r="T28" s="471" t="s">
        <v>2772</v>
      </c>
      <c r="U28" s="471" t="s">
        <v>2773</v>
      </c>
      <c r="V28" s="471" t="s">
        <v>2774</v>
      </c>
    </row>
    <row r="29" spans="1:23" ht="18" customHeight="1" thickBot="1">
      <c r="A29" s="434">
        <f>G29/$C$6</f>
        <v>1.1480215457756963E-2</v>
      </c>
      <c r="B29" s="413" t="str">
        <f t="shared" ref="B29:B60" si="2">T29</f>
        <v>台泥</v>
      </c>
      <c r="C29" s="413">
        <f t="shared" ref="C29:C60" si="3">S29</f>
        <v>1101</v>
      </c>
      <c r="D29" s="435">
        <v>1</v>
      </c>
      <c r="E29" s="409">
        <v>44.35</v>
      </c>
      <c r="F29" s="436">
        <f t="shared" ref="F29:F60" si="4">VLOOKUP(C29,$S$28:$V$78,4,FALSE)</f>
        <v>36255738</v>
      </c>
      <c r="G29" s="436">
        <f>F29*E29*D29</f>
        <v>1607941980.3</v>
      </c>
      <c r="H29" s="409">
        <f>VLOOKUP(TEXT($C29,"@"),XQKGIAP!$A:$L,5,FALSE)</f>
        <v>44.35</v>
      </c>
      <c r="I29" s="409">
        <f>VLOOKUP(TEXT($C29,"@"),XQKGIAP!$A:$L,6,FALSE)</f>
        <v>44.35</v>
      </c>
      <c r="J29" s="409">
        <f>VLOOKUP(TEXT($C29,"@"),XQKGIAP!$A:$L,7,FALSE)</f>
        <v>44.4</v>
      </c>
      <c r="K29" s="436">
        <f>IF(ISNUMBER(H29)=TRUE,H29*F29*D29,E29*F29*D29)</f>
        <v>1607941980.3</v>
      </c>
      <c r="L29" s="436">
        <f>IF(ISNUMBER(I29)=TRUE,I29*F29*D29,E29*F29*D29)</f>
        <v>1607941980.3</v>
      </c>
      <c r="M29" s="436">
        <f>IF(ISNUMBER(J29)=TRUE,J29*F29*D29,D29*E29*F29)</f>
        <v>1609754767.2</v>
      </c>
      <c r="S29" s="475">
        <v>1101</v>
      </c>
      <c r="T29" s="476" t="s">
        <v>158</v>
      </c>
      <c r="U29" s="477">
        <v>1.1499999999999999</v>
      </c>
      <c r="V29" s="478">
        <v>36255738</v>
      </c>
      <c r="W29" s="437">
        <f>U29-A29*100</f>
        <v>1.9784542243035386E-3</v>
      </c>
    </row>
    <row r="30" spans="1:23" ht="18" customHeight="1" thickBot="1">
      <c r="A30" s="434">
        <f t="shared" ref="A30:A78" si="5">G30/$C$6</f>
        <v>6.1373017034559892E-3</v>
      </c>
      <c r="B30" s="413" t="str">
        <f t="shared" si="2"/>
        <v>亞泥</v>
      </c>
      <c r="C30" s="413">
        <f t="shared" si="3"/>
        <v>1102</v>
      </c>
      <c r="D30" s="412">
        <v>1</v>
      </c>
      <c r="E30" s="409">
        <v>46.1</v>
      </c>
      <c r="F30" s="436">
        <f t="shared" si="4"/>
        <v>18646481</v>
      </c>
      <c r="G30" s="438">
        <f t="shared" ref="G30:G78" si="6">F30*E30*D30</f>
        <v>859602774.10000002</v>
      </c>
      <c r="H30" s="409">
        <f>VLOOKUP(TEXT($C30,"@"),XQKGIAP!$A:$L,5,FALSE)</f>
        <v>46.1</v>
      </c>
      <c r="I30" s="409">
        <f>VLOOKUP(TEXT($C30,"@"),XQKGIAP!$A:$L,6,FALSE)</f>
        <v>46.05</v>
      </c>
      <c r="J30" s="409">
        <f>VLOOKUP(TEXT($C30,"@"),XQKGIAP!$A:$L,7,FALSE)</f>
        <v>46.1</v>
      </c>
      <c r="K30" s="438">
        <f t="shared" ref="K30:K78" si="7">IF(ISNUMBER(H30)=TRUE,H30*F30*D30,E30*F30*D30)</f>
        <v>859602774.10000002</v>
      </c>
      <c r="L30" s="438">
        <f t="shared" ref="L30:L78" si="8">IF(ISNUMBER(I30)=TRUE,I30*F30*D30,E30*F30*D30)</f>
        <v>858670450.04999995</v>
      </c>
      <c r="M30" s="436">
        <f t="shared" ref="M30:M78" si="9">IF(ISNUMBER(J30)=TRUE,J30*F30*D30,D30*E30*F30)</f>
        <v>859602774.10000002</v>
      </c>
      <c r="S30" s="479">
        <v>1102</v>
      </c>
      <c r="T30" s="480" t="s">
        <v>159</v>
      </c>
      <c r="U30" s="481">
        <v>0.61</v>
      </c>
      <c r="V30" s="482">
        <v>18646481</v>
      </c>
      <c r="W30" s="437">
        <f>U30-A30*100</f>
        <v>-3.730170345598971E-3</v>
      </c>
    </row>
    <row r="31" spans="1:23" ht="18" customHeight="1" thickBot="1">
      <c r="A31" s="434">
        <f t="shared" si="5"/>
        <v>2.2563169209148016E-2</v>
      </c>
      <c r="B31" s="413" t="str">
        <f t="shared" si="2"/>
        <v>統一</v>
      </c>
      <c r="C31" s="413">
        <f t="shared" si="3"/>
        <v>1216</v>
      </c>
      <c r="D31" s="412">
        <v>1</v>
      </c>
      <c r="E31" s="409">
        <v>82</v>
      </c>
      <c r="F31" s="436">
        <f t="shared" si="4"/>
        <v>38539545</v>
      </c>
      <c r="G31" s="438">
        <f t="shared" si="6"/>
        <v>3160242690</v>
      </c>
      <c r="H31" s="409">
        <f>VLOOKUP(TEXT($C31,"@"),XQKGIAP!$A:$L,5,FALSE)</f>
        <v>82</v>
      </c>
      <c r="I31" s="409">
        <f>VLOOKUP(TEXT($C31,"@"),XQKGIAP!$A:$L,6,FALSE)</f>
        <v>82</v>
      </c>
      <c r="J31" s="409">
        <f>VLOOKUP(TEXT($C31,"@"),XQKGIAP!$A:$L,7,FALSE)</f>
        <v>82.1</v>
      </c>
      <c r="K31" s="438">
        <f t="shared" si="7"/>
        <v>3160242690</v>
      </c>
      <c r="L31" s="438">
        <f t="shared" si="8"/>
        <v>3160242690</v>
      </c>
      <c r="M31" s="436">
        <f t="shared" si="9"/>
        <v>3164096644.5</v>
      </c>
      <c r="S31" s="475">
        <v>1216</v>
      </c>
      <c r="T31" s="476" t="s">
        <v>160</v>
      </c>
      <c r="U31" s="477">
        <v>2.2599999999999998</v>
      </c>
      <c r="V31" s="478">
        <v>38539545</v>
      </c>
      <c r="W31" s="437">
        <f t="shared" ref="W31:W78" si="10">U31-A31*100</f>
        <v>3.6830790851980488E-3</v>
      </c>
    </row>
    <row r="32" spans="1:23" ht="18" customHeight="1" thickBot="1">
      <c r="A32" s="434">
        <f t="shared" si="5"/>
        <v>2.9068008878133419E-2</v>
      </c>
      <c r="B32" s="413" t="str">
        <f t="shared" si="2"/>
        <v>台塑</v>
      </c>
      <c r="C32" s="413">
        <f t="shared" si="3"/>
        <v>1301</v>
      </c>
      <c r="D32" s="412">
        <v>1</v>
      </c>
      <c r="E32" s="409">
        <v>104</v>
      </c>
      <c r="F32" s="436">
        <f t="shared" si="4"/>
        <v>39147342</v>
      </c>
      <c r="G32" s="438">
        <f t="shared" si="6"/>
        <v>4071323568</v>
      </c>
      <c r="H32" s="409">
        <f>VLOOKUP(TEXT($C32,"@"),XQKGIAP!$A:$L,5,FALSE)</f>
        <v>104</v>
      </c>
      <c r="I32" s="409">
        <f>VLOOKUP(TEXT($C32,"@"),XQKGIAP!$A:$L,6,FALSE)</f>
        <v>104</v>
      </c>
      <c r="J32" s="409">
        <f>VLOOKUP(TEXT($C32,"@"),XQKGIAP!$A:$L,7,FALSE)</f>
        <v>104.5</v>
      </c>
      <c r="K32" s="438">
        <f t="shared" si="7"/>
        <v>4071323568</v>
      </c>
      <c r="L32" s="438">
        <f t="shared" si="8"/>
        <v>4071323568</v>
      </c>
      <c r="M32" s="436">
        <f t="shared" si="9"/>
        <v>4090897239</v>
      </c>
      <c r="S32" s="479">
        <v>1301</v>
      </c>
      <c r="T32" s="480" t="s">
        <v>161</v>
      </c>
      <c r="U32" s="481">
        <v>2.91</v>
      </c>
      <c r="V32" s="482">
        <v>39147342</v>
      </c>
      <c r="W32" s="437">
        <f t="shared" si="10"/>
        <v>3.1991121866581373E-3</v>
      </c>
    </row>
    <row r="33" spans="1:23" ht="18" customHeight="1" thickBot="1">
      <c r="A33" s="434">
        <f t="shared" si="5"/>
        <v>2.3333451477889976E-2</v>
      </c>
      <c r="B33" s="413" t="str">
        <f t="shared" si="2"/>
        <v>南亞</v>
      </c>
      <c r="C33" s="413">
        <f t="shared" si="3"/>
        <v>1303</v>
      </c>
      <c r="D33" s="412">
        <v>1</v>
      </c>
      <c r="E33" s="409">
        <v>72</v>
      </c>
      <c r="F33" s="436">
        <f t="shared" si="4"/>
        <v>45390694</v>
      </c>
      <c r="G33" s="438">
        <f t="shared" si="6"/>
        <v>3268129968</v>
      </c>
      <c r="H33" s="409">
        <f>VLOOKUP(TEXT($C33,"@"),XQKGIAP!$A:$L,5,FALSE)</f>
        <v>72</v>
      </c>
      <c r="I33" s="409">
        <f>VLOOKUP(TEXT($C33,"@"),XQKGIAP!$A:$L,6,FALSE)</f>
        <v>72</v>
      </c>
      <c r="J33" s="409">
        <f>VLOOKUP(TEXT($C33,"@"),XQKGIAP!$A:$L,7,FALSE)</f>
        <v>72.099999999999994</v>
      </c>
      <c r="K33" s="438">
        <f t="shared" si="7"/>
        <v>3268129968</v>
      </c>
      <c r="L33" s="438">
        <f t="shared" si="8"/>
        <v>3268129968</v>
      </c>
      <c r="M33" s="436">
        <f t="shared" si="9"/>
        <v>3272669037.3999996</v>
      </c>
      <c r="S33" s="475">
        <v>1303</v>
      </c>
      <c r="T33" s="476" t="s">
        <v>162</v>
      </c>
      <c r="U33" s="477">
        <v>2.33</v>
      </c>
      <c r="V33" s="478">
        <v>45390694</v>
      </c>
      <c r="W33" s="437">
        <f t="shared" si="10"/>
        <v>-3.3451477889974157E-3</v>
      </c>
    </row>
    <row r="34" spans="1:23" ht="18" customHeight="1" thickBot="1">
      <c r="A34" s="434">
        <f t="shared" si="5"/>
        <v>1.9335898066706835E-2</v>
      </c>
      <c r="B34" s="413" t="str">
        <f t="shared" si="2"/>
        <v>台化</v>
      </c>
      <c r="C34" s="413">
        <f t="shared" si="3"/>
        <v>1326</v>
      </c>
      <c r="D34" s="412">
        <v>1</v>
      </c>
      <c r="E34" s="409">
        <v>98.4</v>
      </c>
      <c r="F34" s="436">
        <f t="shared" si="4"/>
        <v>27522608</v>
      </c>
      <c r="G34" s="438">
        <f t="shared" si="6"/>
        <v>2708224627.2000003</v>
      </c>
      <c r="H34" s="409">
        <f>VLOOKUP(TEXT($C34,"@"),XQKGIAP!$A:$L,5,FALSE)</f>
        <v>98.4</v>
      </c>
      <c r="I34" s="409">
        <f>VLOOKUP(TEXT($C34,"@"),XQKGIAP!$A:$L,6,FALSE)</f>
        <v>98.4</v>
      </c>
      <c r="J34" s="409">
        <f>VLOOKUP(TEXT($C34,"@"),XQKGIAP!$A:$L,7,FALSE)</f>
        <v>98.5</v>
      </c>
      <c r="K34" s="438">
        <f t="shared" si="7"/>
        <v>2708224627.2000003</v>
      </c>
      <c r="L34" s="438">
        <f t="shared" si="8"/>
        <v>2708224627.2000003</v>
      </c>
      <c r="M34" s="436">
        <f t="shared" si="9"/>
        <v>2710976888</v>
      </c>
      <c r="S34" s="479">
        <v>1326</v>
      </c>
      <c r="T34" s="480" t="s">
        <v>163</v>
      </c>
      <c r="U34" s="481">
        <v>1.93</v>
      </c>
      <c r="V34" s="482">
        <v>27522608</v>
      </c>
      <c r="W34" s="437">
        <f t="shared" si="10"/>
        <v>-3.5898066706836484E-3</v>
      </c>
    </row>
    <row r="35" spans="1:23" ht="18" customHeight="1" thickBot="1">
      <c r="A35" s="434">
        <f t="shared" si="5"/>
        <v>7.6114015792051928E-3</v>
      </c>
      <c r="B35" s="413" t="str">
        <f t="shared" si="2"/>
        <v>遠東新</v>
      </c>
      <c r="C35" s="413">
        <f t="shared" si="3"/>
        <v>1402</v>
      </c>
      <c r="D35" s="412">
        <v>1</v>
      </c>
      <c r="E35" s="409">
        <v>33.799999999999997</v>
      </c>
      <c r="F35" s="436">
        <f t="shared" si="4"/>
        <v>31540478</v>
      </c>
      <c r="G35" s="438">
        <f t="shared" si="6"/>
        <v>1066068156.3999999</v>
      </c>
      <c r="H35" s="409">
        <f>VLOOKUP(TEXT($C35,"@"),XQKGIAP!$A:$L,5,FALSE)</f>
        <v>33.799999999999997</v>
      </c>
      <c r="I35" s="409">
        <f>VLOOKUP(TEXT($C35,"@"),XQKGIAP!$A:$L,6,FALSE)</f>
        <v>33.799999999999997</v>
      </c>
      <c r="J35" s="409">
        <f>VLOOKUP(TEXT($C35,"@"),XQKGIAP!$A:$L,7,FALSE)</f>
        <v>33.85</v>
      </c>
      <c r="K35" s="438">
        <f t="shared" si="7"/>
        <v>1066068156.3999999</v>
      </c>
      <c r="L35" s="438">
        <f t="shared" si="8"/>
        <v>1066068156.3999999</v>
      </c>
      <c r="M35" s="436">
        <f t="shared" si="9"/>
        <v>1067645180.3000001</v>
      </c>
      <c r="S35" s="475">
        <v>1402</v>
      </c>
      <c r="T35" s="476" t="s">
        <v>164</v>
      </c>
      <c r="U35" s="477">
        <v>0.76</v>
      </c>
      <c r="V35" s="478">
        <v>31540478</v>
      </c>
      <c r="W35" s="437">
        <f t="shared" si="10"/>
        <v>-1.1401579205192469E-3</v>
      </c>
    </row>
    <row r="36" spans="1:23" ht="18" customHeight="1" thickBot="1">
      <c r="A36" s="434">
        <f t="shared" si="5"/>
        <v>1.755476227433617E-2</v>
      </c>
      <c r="B36" s="413" t="str">
        <f t="shared" si="2"/>
        <v>中鋼</v>
      </c>
      <c r="C36" s="413">
        <f t="shared" si="3"/>
        <v>2002</v>
      </c>
      <c r="D36" s="412">
        <v>1</v>
      </c>
      <c r="E36" s="409">
        <v>24.8</v>
      </c>
      <c r="F36" s="436">
        <f t="shared" si="4"/>
        <v>99143354</v>
      </c>
      <c r="G36" s="438">
        <f t="shared" si="6"/>
        <v>2458755179.2000003</v>
      </c>
      <c r="H36" s="409">
        <f>VLOOKUP(TEXT($C36,"@"),XQKGIAP!$A:$L,5,FALSE)</f>
        <v>24.8</v>
      </c>
      <c r="I36" s="409">
        <f>VLOOKUP(TEXT($C36,"@"),XQKGIAP!$A:$L,6,FALSE)</f>
        <v>24.8</v>
      </c>
      <c r="J36" s="409">
        <f>VLOOKUP(TEXT($C36,"@"),XQKGIAP!$A:$L,7,FALSE)</f>
        <v>24.85</v>
      </c>
      <c r="K36" s="438">
        <f t="shared" si="7"/>
        <v>2458755179.2000003</v>
      </c>
      <c r="L36" s="438">
        <f t="shared" si="8"/>
        <v>2458755179.2000003</v>
      </c>
      <c r="M36" s="436">
        <f t="shared" si="9"/>
        <v>2463712346.9000001</v>
      </c>
      <c r="S36" s="479">
        <v>2002</v>
      </c>
      <c r="T36" s="480" t="s">
        <v>165</v>
      </c>
      <c r="U36" s="481">
        <v>1.76</v>
      </c>
      <c r="V36" s="482">
        <v>99143354</v>
      </c>
      <c r="W36" s="437">
        <f t="shared" si="10"/>
        <v>4.523772566382922E-3</v>
      </c>
    </row>
    <row r="37" spans="1:23" ht="18" customHeight="1" thickBot="1">
      <c r="A37" s="434">
        <f t="shared" si="5"/>
        <v>4.2779844438911628E-3</v>
      </c>
      <c r="B37" s="413" t="str">
        <f t="shared" si="2"/>
        <v>正新</v>
      </c>
      <c r="C37" s="413">
        <f t="shared" si="3"/>
        <v>2105</v>
      </c>
      <c r="D37" s="412">
        <v>1</v>
      </c>
      <c r="E37" s="409">
        <v>40.65</v>
      </c>
      <c r="F37" s="436">
        <f t="shared" si="4"/>
        <v>14740051</v>
      </c>
      <c r="G37" s="438">
        <f t="shared" si="6"/>
        <v>599183073.14999998</v>
      </c>
      <c r="H37" s="409">
        <f>VLOOKUP(TEXT($C37,"@"),XQKGIAP!$A:$L,5,FALSE)</f>
        <v>40.65</v>
      </c>
      <c r="I37" s="409">
        <f>VLOOKUP(TEXT($C37,"@"),XQKGIAP!$A:$L,6,FALSE)</f>
        <v>40.6</v>
      </c>
      <c r="J37" s="409">
        <f>VLOOKUP(TEXT($C37,"@"),XQKGIAP!$A:$L,7,FALSE)</f>
        <v>40.65</v>
      </c>
      <c r="K37" s="438">
        <f t="shared" si="7"/>
        <v>599183073.14999998</v>
      </c>
      <c r="L37" s="438">
        <f t="shared" si="8"/>
        <v>598446070.60000002</v>
      </c>
      <c r="M37" s="436">
        <f t="shared" si="9"/>
        <v>599183073.14999998</v>
      </c>
      <c r="S37" s="475">
        <v>2105</v>
      </c>
      <c r="T37" s="476" t="s">
        <v>166</v>
      </c>
      <c r="U37" s="477">
        <v>0.43</v>
      </c>
      <c r="V37" s="478">
        <v>14740051</v>
      </c>
      <c r="W37" s="437">
        <f t="shared" si="10"/>
        <v>2.2015556108836987E-3</v>
      </c>
    </row>
    <row r="38" spans="1:23" ht="18" customHeight="1" thickBot="1">
      <c r="A38" s="434">
        <f t="shared" si="5"/>
        <v>8.9911940600296489E-3</v>
      </c>
      <c r="B38" s="413" t="str">
        <f t="shared" si="2"/>
        <v>和泰車</v>
      </c>
      <c r="C38" s="413">
        <f t="shared" si="3"/>
        <v>2207</v>
      </c>
      <c r="D38" s="412">
        <v>1</v>
      </c>
      <c r="E38" s="409">
        <v>491</v>
      </c>
      <c r="F38" s="436">
        <f t="shared" si="4"/>
        <v>2564816</v>
      </c>
      <c r="G38" s="438">
        <f t="shared" si="6"/>
        <v>1259324656</v>
      </c>
      <c r="H38" s="409">
        <f>VLOOKUP(TEXT($C38,"@"),XQKGIAP!$A:$L,5,FALSE)</f>
        <v>491</v>
      </c>
      <c r="I38" s="409">
        <f>VLOOKUP(TEXT($C38,"@"),XQKGIAP!$A:$L,6,FALSE)</f>
        <v>491</v>
      </c>
      <c r="J38" s="409">
        <f>VLOOKUP(TEXT($C38,"@"),XQKGIAP!$A:$L,7,FALSE)</f>
        <v>492</v>
      </c>
      <c r="K38" s="438">
        <f t="shared" si="7"/>
        <v>1259324656</v>
      </c>
      <c r="L38" s="438">
        <f t="shared" si="8"/>
        <v>1259324656</v>
      </c>
      <c r="M38" s="436">
        <f t="shared" si="9"/>
        <v>1261889472</v>
      </c>
      <c r="S38" s="479">
        <v>2207</v>
      </c>
      <c r="T38" s="480" t="s">
        <v>167</v>
      </c>
      <c r="U38" s="481">
        <v>0.9</v>
      </c>
      <c r="V38" s="482">
        <v>2564816</v>
      </c>
      <c r="W38" s="437">
        <f t="shared" si="10"/>
        <v>8.8059399703510621E-4</v>
      </c>
    </row>
    <row r="39" spans="1:23" ht="18" customHeight="1" thickBot="1">
      <c r="A39" s="434">
        <f t="shared" si="5"/>
        <v>5.71281325037532E-3</v>
      </c>
      <c r="B39" s="413" t="str">
        <f t="shared" si="2"/>
        <v>光寶科</v>
      </c>
      <c r="C39" s="413">
        <f t="shared" si="3"/>
        <v>2301</v>
      </c>
      <c r="D39" s="412">
        <v>1</v>
      </c>
      <c r="E39" s="409">
        <v>46.8</v>
      </c>
      <c r="F39" s="436">
        <f t="shared" si="4"/>
        <v>17097181</v>
      </c>
      <c r="G39" s="438">
        <f t="shared" si="6"/>
        <v>800148070.79999995</v>
      </c>
      <c r="H39" s="409">
        <f>VLOOKUP(TEXT($C39,"@"),XQKGIAP!$A:$L,5,FALSE)</f>
        <v>46.8</v>
      </c>
      <c r="I39" s="409">
        <f>VLOOKUP(TEXT($C39,"@"),XQKGIAP!$A:$L,6,FALSE)</f>
        <v>46.8</v>
      </c>
      <c r="J39" s="409">
        <f>VLOOKUP(TEXT($C39,"@"),XQKGIAP!$A:$L,7,FALSE)</f>
        <v>46.95</v>
      </c>
      <c r="K39" s="438">
        <f t="shared" si="7"/>
        <v>800148070.79999995</v>
      </c>
      <c r="L39" s="438">
        <f t="shared" si="8"/>
        <v>800148070.79999995</v>
      </c>
      <c r="M39" s="436">
        <f t="shared" si="9"/>
        <v>802712647.95000005</v>
      </c>
      <c r="S39" s="475">
        <v>2301</v>
      </c>
      <c r="T39" s="476" t="s">
        <v>168</v>
      </c>
      <c r="U39" s="477">
        <v>0.56999999999999995</v>
      </c>
      <c r="V39" s="478">
        <v>17097181</v>
      </c>
      <c r="W39" s="437">
        <f t="shared" si="10"/>
        <v>-1.2813250375320884E-3</v>
      </c>
    </row>
    <row r="40" spans="1:23" ht="18" customHeight="1" thickBot="1">
      <c r="A40" s="434">
        <f t="shared" si="5"/>
        <v>9.5298967044944068E-3</v>
      </c>
      <c r="B40" s="413" t="str">
        <f t="shared" si="2"/>
        <v>聯電</v>
      </c>
      <c r="C40" s="413">
        <f t="shared" si="3"/>
        <v>2303</v>
      </c>
      <c r="D40" s="412">
        <v>1</v>
      </c>
      <c r="E40" s="409">
        <v>14.6</v>
      </c>
      <c r="F40" s="436">
        <f t="shared" si="4"/>
        <v>91423043</v>
      </c>
      <c r="G40" s="438">
        <f t="shared" si="6"/>
        <v>1334776427.8</v>
      </c>
      <c r="H40" s="409">
        <f>VLOOKUP(TEXT($C40,"@"),XQKGIAP!$A:$L,5,FALSE)</f>
        <v>14.6</v>
      </c>
      <c r="I40" s="409">
        <f>VLOOKUP(TEXT($C40,"@"),XQKGIAP!$A:$L,6,FALSE)</f>
        <v>14.6</v>
      </c>
      <c r="J40" s="409">
        <f>VLOOKUP(TEXT($C40,"@"),XQKGIAP!$A:$L,7,FALSE)</f>
        <v>14.65</v>
      </c>
      <c r="K40" s="438">
        <f t="shared" si="7"/>
        <v>1334776427.8</v>
      </c>
      <c r="L40" s="438">
        <f t="shared" si="8"/>
        <v>1334776427.8</v>
      </c>
      <c r="M40" s="436">
        <f t="shared" si="9"/>
        <v>1339347579.95</v>
      </c>
      <c r="S40" s="479">
        <v>2303</v>
      </c>
      <c r="T40" s="480" t="s">
        <v>169</v>
      </c>
      <c r="U40" s="481">
        <v>0.95</v>
      </c>
      <c r="V40" s="482">
        <v>91423043</v>
      </c>
      <c r="W40" s="437">
        <f t="shared" si="10"/>
        <v>-2.9896704494407622E-3</v>
      </c>
    </row>
    <row r="41" spans="1:23" ht="18" customHeight="1" thickBot="1">
      <c r="A41" s="434">
        <f t="shared" si="5"/>
        <v>1.8724273336824318E-2</v>
      </c>
      <c r="B41" s="413" t="str">
        <f t="shared" si="2"/>
        <v>台達電</v>
      </c>
      <c r="C41" s="413">
        <f t="shared" si="3"/>
        <v>2308</v>
      </c>
      <c r="D41" s="412">
        <v>1</v>
      </c>
      <c r="E41" s="409">
        <v>151</v>
      </c>
      <c r="F41" s="436">
        <f t="shared" si="4"/>
        <v>17367942</v>
      </c>
      <c r="G41" s="438">
        <f t="shared" si="6"/>
        <v>2622559242</v>
      </c>
      <c r="H41" s="409">
        <f>VLOOKUP(TEXT($C41,"@"),XQKGIAP!$A:$L,5,FALSE)</f>
        <v>151</v>
      </c>
      <c r="I41" s="409">
        <f>VLOOKUP(TEXT($C41,"@"),XQKGIAP!$A:$L,6,FALSE)</f>
        <v>151</v>
      </c>
      <c r="J41" s="409">
        <f>VLOOKUP(TEXT($C41,"@"),XQKGIAP!$A:$L,7,FALSE)</f>
        <v>151.5</v>
      </c>
      <c r="K41" s="438">
        <f t="shared" si="7"/>
        <v>2622559242</v>
      </c>
      <c r="L41" s="438">
        <f t="shared" si="8"/>
        <v>2622559242</v>
      </c>
      <c r="M41" s="436">
        <f t="shared" si="9"/>
        <v>2631243213</v>
      </c>
      <c r="S41" s="475">
        <v>2308</v>
      </c>
      <c r="T41" s="476" t="s">
        <v>170</v>
      </c>
      <c r="U41" s="477">
        <v>1.87</v>
      </c>
      <c r="V41" s="478">
        <v>17367942</v>
      </c>
      <c r="W41" s="437">
        <f t="shared" si="10"/>
        <v>-2.4273336824316427E-3</v>
      </c>
    </row>
    <row r="42" spans="1:23" ht="18" customHeight="1" thickBot="1">
      <c r="A42" s="434">
        <f t="shared" si="5"/>
        <v>5.3152612288709981E-2</v>
      </c>
      <c r="B42" s="413" t="str">
        <f t="shared" si="2"/>
        <v>鴻海</v>
      </c>
      <c r="C42" s="413">
        <f t="shared" si="3"/>
        <v>2317</v>
      </c>
      <c r="D42" s="412">
        <v>1</v>
      </c>
      <c r="E42" s="409">
        <v>77.599999999999994</v>
      </c>
      <c r="F42" s="436">
        <f t="shared" si="4"/>
        <v>95936358</v>
      </c>
      <c r="G42" s="438">
        <f t="shared" si="6"/>
        <v>7444661380.7999992</v>
      </c>
      <c r="H42" s="409">
        <f>VLOOKUP(TEXT($C42,"@"),XQKGIAP!$A:$L,5,FALSE)</f>
        <v>77.599999999999994</v>
      </c>
      <c r="I42" s="409">
        <f>VLOOKUP(TEXT($C42,"@"),XQKGIAP!$A:$L,6,FALSE)</f>
        <v>77.599999999999994</v>
      </c>
      <c r="J42" s="409">
        <f>VLOOKUP(TEXT($C42,"@"),XQKGIAP!$A:$L,7,FALSE)</f>
        <v>77.7</v>
      </c>
      <c r="K42" s="438">
        <f t="shared" si="7"/>
        <v>7444661380.7999992</v>
      </c>
      <c r="L42" s="438">
        <f t="shared" si="8"/>
        <v>7444661380.7999992</v>
      </c>
      <c r="M42" s="436">
        <f t="shared" si="9"/>
        <v>7454255016.6000004</v>
      </c>
      <c r="S42" s="479">
        <v>2317</v>
      </c>
      <c r="T42" s="480" t="s">
        <v>171</v>
      </c>
      <c r="U42" s="481">
        <v>5.32</v>
      </c>
      <c r="V42" s="482">
        <v>95936358</v>
      </c>
      <c r="W42" s="437">
        <f t="shared" si="10"/>
        <v>4.7387711290021173E-3</v>
      </c>
    </row>
    <row r="43" spans="1:23" ht="18" customHeight="1" thickBot="1">
      <c r="A43" s="434">
        <f t="shared" si="5"/>
        <v>6.19356942910572E-3</v>
      </c>
      <c r="B43" s="413" t="str">
        <f t="shared" si="2"/>
        <v>國巨</v>
      </c>
      <c r="C43" s="413">
        <f t="shared" si="3"/>
        <v>2327</v>
      </c>
      <c r="D43" s="412">
        <v>1</v>
      </c>
      <c r="E43" s="409">
        <v>273.5</v>
      </c>
      <c r="F43" s="436">
        <f t="shared" si="4"/>
        <v>3171787</v>
      </c>
      <c r="G43" s="438">
        <f t="shared" si="6"/>
        <v>867483744.5</v>
      </c>
      <c r="H43" s="409">
        <f>VLOOKUP(TEXT($C43,"@"),XQKGIAP!$A:$L,5,FALSE)</f>
        <v>273.5</v>
      </c>
      <c r="I43" s="409">
        <f>VLOOKUP(TEXT($C43,"@"),XQKGIAP!$A:$L,6,FALSE)</f>
        <v>273.5</v>
      </c>
      <c r="J43" s="409">
        <f>VLOOKUP(TEXT($C43,"@"),XQKGIAP!$A:$L,7,FALSE)</f>
        <v>274</v>
      </c>
      <c r="K43" s="438">
        <f t="shared" si="7"/>
        <v>867483744.5</v>
      </c>
      <c r="L43" s="438">
        <f t="shared" si="8"/>
        <v>867483744.5</v>
      </c>
      <c r="M43" s="436">
        <f t="shared" si="9"/>
        <v>869069638</v>
      </c>
      <c r="S43" s="475">
        <v>2327</v>
      </c>
      <c r="T43" s="476" t="s">
        <v>1829</v>
      </c>
      <c r="U43" s="477">
        <v>0.62</v>
      </c>
      <c r="V43" s="478">
        <v>3171787</v>
      </c>
      <c r="W43" s="437">
        <f t="shared" si="10"/>
        <v>6.4305708942802298E-4</v>
      </c>
    </row>
    <row r="44" spans="1:23" ht="18" customHeight="1" thickBot="1">
      <c r="A44" s="434">
        <f t="shared" si="5"/>
        <v>0.34526074158688047</v>
      </c>
      <c r="B44" s="413" t="str">
        <f t="shared" si="2"/>
        <v>台積電</v>
      </c>
      <c r="C44" s="413">
        <f t="shared" si="3"/>
        <v>2330</v>
      </c>
      <c r="D44" s="412">
        <v>1</v>
      </c>
      <c r="E44" s="409">
        <v>250.5</v>
      </c>
      <c r="F44" s="436">
        <f t="shared" si="4"/>
        <v>193045554</v>
      </c>
      <c r="G44" s="438">
        <f t="shared" si="6"/>
        <v>48357911277</v>
      </c>
      <c r="H44" s="409">
        <f>VLOOKUP(TEXT($C44,"@"),XQKGIAP!$A:$L,5,FALSE)</f>
        <v>250.5</v>
      </c>
      <c r="I44" s="409">
        <f>VLOOKUP(TEXT($C44,"@"),XQKGIAP!$A:$L,6,FALSE)</f>
        <v>250</v>
      </c>
      <c r="J44" s="409">
        <f>VLOOKUP(TEXT($C44,"@"),XQKGIAP!$A:$L,7,FALSE)</f>
        <v>250.5</v>
      </c>
      <c r="K44" s="438">
        <f t="shared" si="7"/>
        <v>48357911277</v>
      </c>
      <c r="L44" s="438">
        <f t="shared" si="8"/>
        <v>48261388500</v>
      </c>
      <c r="M44" s="436">
        <f t="shared" si="9"/>
        <v>48357911277</v>
      </c>
      <c r="S44" s="479">
        <v>2330</v>
      </c>
      <c r="T44" s="480" t="s">
        <v>173</v>
      </c>
      <c r="U44" s="481">
        <v>34.53</v>
      </c>
      <c r="V44" s="482">
        <v>193045554</v>
      </c>
      <c r="W44" s="437">
        <f t="shared" si="10"/>
        <v>3.9258413119540592E-3</v>
      </c>
    </row>
    <row r="45" spans="1:23" ht="18" customHeight="1" thickBot="1">
      <c r="A45" s="434">
        <f t="shared" si="5"/>
        <v>8.7237247785576059E-3</v>
      </c>
      <c r="B45" s="413" t="str">
        <f t="shared" si="2"/>
        <v>華碩</v>
      </c>
      <c r="C45" s="413">
        <f t="shared" si="3"/>
        <v>2357</v>
      </c>
      <c r="D45" s="412">
        <v>1</v>
      </c>
      <c r="E45" s="409">
        <v>215.5</v>
      </c>
      <c r="F45" s="436">
        <f t="shared" si="4"/>
        <v>5669895</v>
      </c>
      <c r="G45" s="438">
        <f t="shared" si="6"/>
        <v>1221862372.5</v>
      </c>
      <c r="H45" s="409">
        <f>VLOOKUP(TEXT($C45,"@"),XQKGIAP!$A:$L,5,FALSE)</f>
        <v>215.5</v>
      </c>
      <c r="I45" s="409">
        <f>VLOOKUP(TEXT($C45,"@"),XQKGIAP!$A:$L,6,FALSE)</f>
        <v>215.5</v>
      </c>
      <c r="J45" s="409">
        <f>VLOOKUP(TEXT($C45,"@"),XQKGIAP!$A:$L,7,FALSE)</f>
        <v>216.5</v>
      </c>
      <c r="K45" s="438">
        <f t="shared" si="7"/>
        <v>1221862372.5</v>
      </c>
      <c r="L45" s="438">
        <f t="shared" si="8"/>
        <v>1221862372.5</v>
      </c>
      <c r="M45" s="436">
        <f t="shared" si="9"/>
        <v>1227532267.5</v>
      </c>
      <c r="S45" s="475">
        <v>2357</v>
      </c>
      <c r="T45" s="476" t="s">
        <v>174</v>
      </c>
      <c r="U45" s="477">
        <v>0.87</v>
      </c>
      <c r="V45" s="478">
        <v>5669895</v>
      </c>
      <c r="W45" s="437">
        <f t="shared" si="10"/>
        <v>-2.3724778557605575E-3</v>
      </c>
    </row>
    <row r="46" spans="1:23" ht="18" customHeight="1" thickBot="1">
      <c r="A46" s="434">
        <f t="shared" si="5"/>
        <v>9.2697654395622348E-3</v>
      </c>
      <c r="B46" s="413" t="str">
        <f t="shared" si="2"/>
        <v>廣達</v>
      </c>
      <c r="C46" s="413">
        <f t="shared" si="3"/>
        <v>2382</v>
      </c>
      <c r="D46" s="412">
        <v>1</v>
      </c>
      <c r="E46" s="409">
        <v>60.7</v>
      </c>
      <c r="F46" s="436">
        <f t="shared" si="4"/>
        <v>21389488</v>
      </c>
      <c r="G46" s="438">
        <f t="shared" si="6"/>
        <v>1298341921.6000001</v>
      </c>
      <c r="H46" s="409">
        <f>VLOOKUP(TEXT($C46,"@"),XQKGIAP!$A:$L,5,FALSE)</f>
        <v>60.7</v>
      </c>
      <c r="I46" s="409">
        <f>VLOOKUP(TEXT($C46,"@"),XQKGIAP!$A:$L,6,FALSE)</f>
        <v>60.7</v>
      </c>
      <c r="J46" s="409">
        <f>VLOOKUP(TEXT($C46,"@"),XQKGIAP!$A:$L,7,FALSE)</f>
        <v>60.8</v>
      </c>
      <c r="K46" s="438">
        <f t="shared" si="7"/>
        <v>1298341921.6000001</v>
      </c>
      <c r="L46" s="438">
        <f t="shared" si="8"/>
        <v>1298341921.6000001</v>
      </c>
      <c r="M46" s="436">
        <f t="shared" si="9"/>
        <v>1300480870.3999999</v>
      </c>
      <c r="S46" s="479">
        <v>2382</v>
      </c>
      <c r="T46" s="480" t="s">
        <v>175</v>
      </c>
      <c r="U46" s="481">
        <v>0.93</v>
      </c>
      <c r="V46" s="482">
        <v>21389488</v>
      </c>
      <c r="W46" s="437">
        <f t="shared" si="10"/>
        <v>3.0234560437765179E-3</v>
      </c>
    </row>
    <row r="47" spans="1:23" ht="18" customHeight="1" thickBot="1">
      <c r="A47" s="434">
        <f t="shared" si="5"/>
        <v>5.5602671619962782E-3</v>
      </c>
      <c r="B47" s="413" t="str">
        <f t="shared" si="2"/>
        <v>研華</v>
      </c>
      <c r="C47" s="413">
        <f t="shared" si="3"/>
        <v>2395</v>
      </c>
      <c r="D47" s="412">
        <v>1</v>
      </c>
      <c r="E47" s="409">
        <v>260</v>
      </c>
      <c r="F47" s="436">
        <f t="shared" si="4"/>
        <v>2995316</v>
      </c>
      <c r="G47" s="438">
        <f t="shared" si="6"/>
        <v>778782160</v>
      </c>
      <c r="H47" s="409">
        <f>VLOOKUP(TEXT($C47,"@"),XQKGIAP!$A:$L,5,FALSE)</f>
        <v>260</v>
      </c>
      <c r="I47" s="409">
        <f>VLOOKUP(TEXT($C47,"@"),XQKGIAP!$A:$L,6,FALSE)</f>
        <v>260</v>
      </c>
      <c r="J47" s="409">
        <f>VLOOKUP(TEXT($C47,"@"),XQKGIAP!$A:$L,7,FALSE)</f>
        <v>260.5</v>
      </c>
      <c r="K47" s="438">
        <f t="shared" si="7"/>
        <v>778782160</v>
      </c>
      <c r="L47" s="438">
        <f t="shared" si="8"/>
        <v>778782160</v>
      </c>
      <c r="M47" s="436">
        <f t="shared" si="9"/>
        <v>780279818</v>
      </c>
      <c r="S47" s="475">
        <v>2395</v>
      </c>
      <c r="T47" s="476" t="s">
        <v>176</v>
      </c>
      <c r="U47" s="477">
        <v>0.56000000000000005</v>
      </c>
      <c r="V47" s="478">
        <v>2995316</v>
      </c>
      <c r="W47" s="437">
        <f t="shared" si="10"/>
        <v>3.9732838003722071E-3</v>
      </c>
    </row>
    <row r="48" spans="1:23" ht="18" customHeight="1" thickBot="1">
      <c r="A48" s="434">
        <f t="shared" si="5"/>
        <v>3.0883858324960065E-3</v>
      </c>
      <c r="B48" s="413" t="str">
        <f t="shared" si="2"/>
        <v>南亞科</v>
      </c>
      <c r="C48" s="413">
        <f t="shared" si="3"/>
        <v>2408</v>
      </c>
      <c r="D48" s="412">
        <v>1</v>
      </c>
      <c r="E48" s="409">
        <v>66.7</v>
      </c>
      <c r="F48" s="436">
        <f t="shared" si="4"/>
        <v>6485240</v>
      </c>
      <c r="G48" s="438">
        <f t="shared" si="6"/>
        <v>432565508</v>
      </c>
      <c r="H48" s="409">
        <f>VLOOKUP(TEXT($C48,"@"),XQKGIAP!$A:$L,5,FALSE)</f>
        <v>66.7</v>
      </c>
      <c r="I48" s="409">
        <f>VLOOKUP(TEXT($C48,"@"),XQKGIAP!$A:$L,6,FALSE)</f>
        <v>66.599999999999994</v>
      </c>
      <c r="J48" s="409">
        <f>VLOOKUP(TEXT($C48,"@"),XQKGIAP!$A:$L,7,FALSE)</f>
        <v>66.7</v>
      </c>
      <c r="K48" s="438">
        <f t="shared" si="7"/>
        <v>432565508</v>
      </c>
      <c r="L48" s="438">
        <f t="shared" si="8"/>
        <v>431916983.99999994</v>
      </c>
      <c r="M48" s="436">
        <f t="shared" si="9"/>
        <v>432565508</v>
      </c>
      <c r="S48" s="479">
        <v>2408</v>
      </c>
      <c r="T48" s="480" t="s">
        <v>177</v>
      </c>
      <c r="U48" s="481">
        <v>0.31</v>
      </c>
      <c r="V48" s="482">
        <v>6485240</v>
      </c>
      <c r="W48" s="437">
        <f t="shared" si="10"/>
        <v>1.1614167503993245E-3</v>
      </c>
    </row>
    <row r="49" spans="1:23" ht="18" customHeight="1" thickBot="1">
      <c r="A49" s="434">
        <f t="shared" si="5"/>
        <v>4.5109490021606677E-3</v>
      </c>
      <c r="B49" s="413" t="str">
        <f t="shared" si="2"/>
        <v>友達</v>
      </c>
      <c r="C49" s="413">
        <f t="shared" si="3"/>
        <v>2409</v>
      </c>
      <c r="D49" s="412">
        <v>1</v>
      </c>
      <c r="E49" s="409">
        <v>8.93</v>
      </c>
      <c r="F49" s="436">
        <f t="shared" si="4"/>
        <v>70751686</v>
      </c>
      <c r="G49" s="438">
        <f t="shared" si="6"/>
        <v>631812555.98000002</v>
      </c>
      <c r="H49" s="409">
        <f>VLOOKUP(TEXT($C49,"@"),XQKGIAP!$A:$L,5,FALSE)</f>
        <v>8.93</v>
      </c>
      <c r="I49" s="409">
        <f>VLOOKUP(TEXT($C49,"@"),XQKGIAP!$A:$L,6,FALSE)</f>
        <v>8.93</v>
      </c>
      <c r="J49" s="409">
        <f>VLOOKUP(TEXT($C49,"@"),XQKGIAP!$A:$L,7,FALSE)</f>
        <v>8.94</v>
      </c>
      <c r="K49" s="438">
        <f t="shared" si="7"/>
        <v>631812555.98000002</v>
      </c>
      <c r="L49" s="438">
        <f t="shared" si="8"/>
        <v>631812555.98000002</v>
      </c>
      <c r="M49" s="436">
        <f t="shared" si="9"/>
        <v>632520072.83999991</v>
      </c>
      <c r="S49" s="475">
        <v>2409</v>
      </c>
      <c r="T49" s="476" t="s">
        <v>178</v>
      </c>
      <c r="U49" s="477">
        <v>0.45</v>
      </c>
      <c r="V49" s="478">
        <v>70751686</v>
      </c>
      <c r="W49" s="437">
        <f t="shared" si="10"/>
        <v>-1.0949002160667853E-3</v>
      </c>
    </row>
    <row r="50" spans="1:23" ht="18" customHeight="1" thickBot="1">
      <c r="A50" s="434">
        <f t="shared" si="5"/>
        <v>2.4668896045401401E-2</v>
      </c>
      <c r="B50" s="413" t="str">
        <f t="shared" si="2"/>
        <v>中華電</v>
      </c>
      <c r="C50" s="413">
        <f t="shared" si="3"/>
        <v>2412</v>
      </c>
      <c r="D50" s="412">
        <v>1</v>
      </c>
      <c r="E50" s="409">
        <v>113</v>
      </c>
      <c r="F50" s="436">
        <f t="shared" si="4"/>
        <v>30576770</v>
      </c>
      <c r="G50" s="438">
        <f t="shared" si="6"/>
        <v>3455175010</v>
      </c>
      <c r="H50" s="409">
        <f>VLOOKUP(TEXT($C50,"@"),XQKGIAP!$A:$L,5,FALSE)</f>
        <v>113</v>
      </c>
      <c r="I50" s="409">
        <f>VLOOKUP(TEXT($C50,"@"),XQKGIAP!$A:$L,6,FALSE)</f>
        <v>113</v>
      </c>
      <c r="J50" s="409">
        <f>VLOOKUP(TEXT($C50,"@"),XQKGIAP!$A:$L,7,FALSE)</f>
        <v>113.5</v>
      </c>
      <c r="K50" s="438">
        <f t="shared" si="7"/>
        <v>3455175010</v>
      </c>
      <c r="L50" s="438">
        <f t="shared" si="8"/>
        <v>3455175010</v>
      </c>
      <c r="M50" s="436">
        <f t="shared" si="9"/>
        <v>3470463395</v>
      </c>
      <c r="S50" s="479">
        <v>2412</v>
      </c>
      <c r="T50" s="480" t="s">
        <v>179</v>
      </c>
      <c r="U50" s="481">
        <v>2.4700000000000002</v>
      </c>
      <c r="V50" s="482">
        <v>30576770</v>
      </c>
      <c r="W50" s="437">
        <f t="shared" si="10"/>
        <v>3.11039545986036E-3</v>
      </c>
    </row>
    <row r="51" spans="1:23" ht="18" customHeight="1" thickBot="1">
      <c r="A51" s="434">
        <f t="shared" si="5"/>
        <v>2.6960406272627861E-2</v>
      </c>
      <c r="B51" s="413" t="str">
        <f t="shared" si="2"/>
        <v>聯發科</v>
      </c>
      <c r="C51" s="413">
        <f t="shared" si="3"/>
        <v>2454</v>
      </c>
      <c r="D51" s="412">
        <v>1</v>
      </c>
      <c r="E51" s="409">
        <v>318</v>
      </c>
      <c r="F51" s="436">
        <f t="shared" si="4"/>
        <v>11874618</v>
      </c>
      <c r="G51" s="438">
        <f t="shared" si="6"/>
        <v>3776128524</v>
      </c>
      <c r="H51" s="409">
        <f>VLOOKUP(TEXT($C51,"@"),XQKGIAP!$A:$L,5,FALSE)</f>
        <v>318</v>
      </c>
      <c r="I51" s="409">
        <f>VLOOKUP(TEXT($C51,"@"),XQKGIAP!$A:$L,6,FALSE)</f>
        <v>318</v>
      </c>
      <c r="J51" s="409">
        <f>VLOOKUP(TEXT($C51,"@"),XQKGIAP!$A:$L,7,FALSE)</f>
        <v>319</v>
      </c>
      <c r="K51" s="438">
        <f t="shared" si="7"/>
        <v>3776128524</v>
      </c>
      <c r="L51" s="438">
        <f t="shared" si="8"/>
        <v>3776128524</v>
      </c>
      <c r="M51" s="436">
        <f t="shared" si="9"/>
        <v>3788003142</v>
      </c>
      <c r="S51" s="475">
        <v>2454</v>
      </c>
      <c r="T51" s="476" t="s">
        <v>180</v>
      </c>
      <c r="U51" s="477">
        <v>2.7</v>
      </c>
      <c r="V51" s="478">
        <v>11874618</v>
      </c>
      <c r="W51" s="437">
        <f t="shared" si="10"/>
        <v>3.9593727372140286E-3</v>
      </c>
    </row>
    <row r="52" spans="1:23" ht="18" customHeight="1" thickBot="1">
      <c r="A52" s="434">
        <f t="shared" si="5"/>
        <v>9.6605600658074952E-3</v>
      </c>
      <c r="B52" s="413" t="str">
        <f t="shared" si="2"/>
        <v>可成</v>
      </c>
      <c r="C52" s="413">
        <f t="shared" si="3"/>
        <v>2474</v>
      </c>
      <c r="D52" s="412">
        <v>1</v>
      </c>
      <c r="E52" s="409">
        <v>228</v>
      </c>
      <c r="F52" s="436">
        <f t="shared" si="4"/>
        <v>5934550</v>
      </c>
      <c r="G52" s="438">
        <f t="shared" si="6"/>
        <v>1353077400</v>
      </c>
      <c r="H52" s="409">
        <f>VLOOKUP(TEXT($C52,"@"),XQKGIAP!$A:$L,5,FALSE)</f>
        <v>228</v>
      </c>
      <c r="I52" s="409">
        <f>VLOOKUP(TEXT($C52,"@"),XQKGIAP!$A:$L,6,FALSE)</f>
        <v>228</v>
      </c>
      <c r="J52" s="409">
        <f>VLOOKUP(TEXT($C52,"@"),XQKGIAP!$A:$L,7,FALSE)</f>
        <v>228.5</v>
      </c>
      <c r="K52" s="438">
        <f t="shared" si="7"/>
        <v>1353077400</v>
      </c>
      <c r="L52" s="438">
        <f t="shared" si="8"/>
        <v>1353077400</v>
      </c>
      <c r="M52" s="436">
        <f t="shared" si="9"/>
        <v>1356044675</v>
      </c>
      <c r="S52" s="479">
        <v>2474</v>
      </c>
      <c r="T52" s="480" t="s">
        <v>181</v>
      </c>
      <c r="U52" s="481">
        <v>0.97</v>
      </c>
      <c r="V52" s="482">
        <v>5934550</v>
      </c>
      <c r="W52" s="437">
        <f t="shared" si="10"/>
        <v>3.9439934192504467E-3</v>
      </c>
    </row>
    <row r="53" spans="1:23" ht="18" customHeight="1" thickBot="1">
      <c r="A53" s="434">
        <f t="shared" si="5"/>
        <v>5.2264386770837518E-3</v>
      </c>
      <c r="B53" s="413" t="str">
        <f t="shared" si="2"/>
        <v>台灣高鐵</v>
      </c>
      <c r="C53" s="413">
        <f t="shared" si="3"/>
        <v>2633</v>
      </c>
      <c r="D53" s="412">
        <v>1</v>
      </c>
      <c r="E53" s="409">
        <v>43.7</v>
      </c>
      <c r="F53" s="436">
        <f t="shared" si="4"/>
        <v>16751155</v>
      </c>
      <c r="G53" s="438">
        <f t="shared" si="6"/>
        <v>732025473.5</v>
      </c>
      <c r="H53" s="409">
        <f>VLOOKUP(TEXT($C53,"@"),XQKGIAP!$A:$L,5,FALSE)</f>
        <v>43.7</v>
      </c>
      <c r="I53" s="409">
        <f>VLOOKUP(TEXT($C53,"@"),XQKGIAP!$A:$L,6,FALSE)</f>
        <v>43.7</v>
      </c>
      <c r="J53" s="409">
        <f>VLOOKUP(TEXT($C53,"@"),XQKGIAP!$A:$L,7,FALSE)</f>
        <v>43.75</v>
      </c>
      <c r="K53" s="438">
        <f t="shared" si="7"/>
        <v>732025473.5</v>
      </c>
      <c r="L53" s="438">
        <f t="shared" si="8"/>
        <v>732025473.5</v>
      </c>
      <c r="M53" s="436">
        <f t="shared" si="9"/>
        <v>732863031.25</v>
      </c>
      <c r="S53" s="475">
        <v>2633</v>
      </c>
      <c r="T53" s="476" t="s">
        <v>182</v>
      </c>
      <c r="U53" s="477">
        <v>0.52</v>
      </c>
      <c r="V53" s="478">
        <v>16751155</v>
      </c>
      <c r="W53" s="437">
        <f t="shared" si="10"/>
        <v>-2.6438677083752138E-3</v>
      </c>
    </row>
    <row r="54" spans="1:23" ht="18" customHeight="1" thickBot="1">
      <c r="A54" s="434">
        <f t="shared" si="5"/>
        <v>7.5573369885369411E-3</v>
      </c>
      <c r="B54" s="413" t="str">
        <f t="shared" si="2"/>
        <v>彰銀</v>
      </c>
      <c r="C54" s="413">
        <f t="shared" si="3"/>
        <v>2801</v>
      </c>
      <c r="D54" s="412">
        <v>1</v>
      </c>
      <c r="E54" s="409">
        <v>21.5</v>
      </c>
      <c r="F54" s="436">
        <f t="shared" si="4"/>
        <v>49232361</v>
      </c>
      <c r="G54" s="438">
        <f t="shared" si="6"/>
        <v>1058495761.5</v>
      </c>
      <c r="H54" s="409">
        <f>VLOOKUP(TEXT($C54,"@"),XQKGIAP!$A:$L,5,FALSE)</f>
        <v>21.5</v>
      </c>
      <c r="I54" s="409">
        <f>VLOOKUP(TEXT($C54,"@"),XQKGIAP!$A:$L,6,FALSE)</f>
        <v>21.5</v>
      </c>
      <c r="J54" s="409">
        <f>VLOOKUP(TEXT($C54,"@"),XQKGIAP!$A:$L,7,FALSE)</f>
        <v>21.6</v>
      </c>
      <c r="K54" s="438">
        <f t="shared" si="7"/>
        <v>1058495761.5</v>
      </c>
      <c r="L54" s="438">
        <f t="shared" si="8"/>
        <v>1058495761.5</v>
      </c>
      <c r="M54" s="436">
        <f t="shared" si="9"/>
        <v>1063418997.6</v>
      </c>
      <c r="S54" s="479">
        <v>2801</v>
      </c>
      <c r="T54" s="480" t="s">
        <v>183</v>
      </c>
      <c r="U54" s="481">
        <v>0.76</v>
      </c>
      <c r="V54" s="482">
        <v>49232361</v>
      </c>
      <c r="W54" s="437">
        <f t="shared" si="10"/>
        <v>4.2663011463058842E-3</v>
      </c>
    </row>
    <row r="55" spans="1:23" ht="18" customHeight="1" thickBot="1">
      <c r="A55" s="434">
        <f t="shared" si="5"/>
        <v>4.1787206694237963E-3</v>
      </c>
      <c r="B55" s="413" t="str">
        <f t="shared" si="2"/>
        <v>中壽</v>
      </c>
      <c r="C55" s="413">
        <f t="shared" si="3"/>
        <v>2823</v>
      </c>
      <c r="D55" s="412">
        <v>1</v>
      </c>
      <c r="E55" s="409">
        <v>25.75</v>
      </c>
      <c r="F55" s="436">
        <f t="shared" si="4"/>
        <v>22729320</v>
      </c>
      <c r="G55" s="438">
        <f t="shared" si="6"/>
        <v>585279990</v>
      </c>
      <c r="H55" s="409">
        <f>VLOOKUP(TEXT($C55,"@"),XQKGIAP!$A:$L,5,FALSE)</f>
        <v>25.75</v>
      </c>
      <c r="I55" s="409">
        <f>VLOOKUP(TEXT($C55,"@"),XQKGIAP!$A:$L,6,FALSE)</f>
        <v>25.75</v>
      </c>
      <c r="J55" s="409">
        <f>VLOOKUP(TEXT($C55,"@"),XQKGIAP!$A:$L,7,FALSE)</f>
        <v>25.8</v>
      </c>
      <c r="K55" s="438">
        <f t="shared" si="7"/>
        <v>585279990</v>
      </c>
      <c r="L55" s="438">
        <f t="shared" si="8"/>
        <v>585279990</v>
      </c>
      <c r="M55" s="436">
        <f t="shared" si="9"/>
        <v>586416456</v>
      </c>
      <c r="S55" s="475">
        <v>2823</v>
      </c>
      <c r="T55" s="476" t="s">
        <v>184</v>
      </c>
      <c r="U55" s="477">
        <v>0.42</v>
      </c>
      <c r="V55" s="478">
        <v>22729320</v>
      </c>
      <c r="W55" s="437">
        <f t="shared" si="10"/>
        <v>2.1279330576203792E-3</v>
      </c>
    </row>
    <row r="56" spans="1:23" ht="18" customHeight="1" thickBot="1">
      <c r="A56" s="434">
        <f t="shared" si="5"/>
        <v>1.0459787623721016E-2</v>
      </c>
      <c r="B56" s="413" t="str">
        <f t="shared" si="2"/>
        <v>華南金</v>
      </c>
      <c r="C56" s="413">
        <f t="shared" si="3"/>
        <v>2880</v>
      </c>
      <c r="D56" s="412">
        <v>1</v>
      </c>
      <c r="E56" s="409">
        <v>21.2</v>
      </c>
      <c r="F56" s="436">
        <f t="shared" si="4"/>
        <v>69104661</v>
      </c>
      <c r="G56" s="438">
        <f t="shared" si="6"/>
        <v>1465018813.2</v>
      </c>
      <c r="H56" s="409">
        <f>VLOOKUP(TEXT($C56,"@"),XQKGIAP!$A:$L,5,FALSE)</f>
        <v>21.2</v>
      </c>
      <c r="I56" s="409">
        <f>VLOOKUP(TEXT($C56,"@"),XQKGIAP!$A:$L,6,FALSE)</f>
        <v>21.2</v>
      </c>
      <c r="J56" s="409">
        <f>VLOOKUP(TEXT($C56,"@"),XQKGIAP!$A:$L,7,FALSE)</f>
        <v>21.25</v>
      </c>
      <c r="K56" s="438">
        <f t="shared" si="7"/>
        <v>1465018813.2</v>
      </c>
      <c r="L56" s="438">
        <f t="shared" si="8"/>
        <v>1465018813.2</v>
      </c>
      <c r="M56" s="436">
        <f t="shared" si="9"/>
        <v>1468474046.25</v>
      </c>
      <c r="S56" s="479">
        <v>2880</v>
      </c>
      <c r="T56" s="480" t="s">
        <v>185</v>
      </c>
      <c r="U56" s="481">
        <v>1.05</v>
      </c>
      <c r="V56" s="482">
        <v>69104661</v>
      </c>
      <c r="W56" s="437">
        <f t="shared" si="10"/>
        <v>4.0212376278985218E-3</v>
      </c>
    </row>
    <row r="57" spans="1:23" ht="18" customHeight="1" thickBot="1">
      <c r="A57" s="434">
        <f t="shared" si="5"/>
        <v>1.8531206260249084E-2</v>
      </c>
      <c r="B57" s="413" t="str">
        <f t="shared" si="2"/>
        <v>富邦金</v>
      </c>
      <c r="C57" s="413">
        <f t="shared" si="3"/>
        <v>2881</v>
      </c>
      <c r="D57" s="412">
        <v>1</v>
      </c>
      <c r="E57" s="409">
        <v>43.95</v>
      </c>
      <c r="F57" s="436">
        <f t="shared" si="4"/>
        <v>59056152</v>
      </c>
      <c r="G57" s="438">
        <f t="shared" si="6"/>
        <v>2595517880.4000001</v>
      </c>
      <c r="H57" s="409">
        <f>VLOOKUP(TEXT($C57,"@"),XQKGIAP!$A:$L,5,FALSE)</f>
        <v>43.95</v>
      </c>
      <c r="I57" s="409">
        <f>VLOOKUP(TEXT($C57,"@"),XQKGIAP!$A:$L,6,FALSE)</f>
        <v>43.95</v>
      </c>
      <c r="J57" s="409">
        <f>VLOOKUP(TEXT($C57,"@"),XQKGIAP!$A:$L,7,FALSE)</f>
        <v>44</v>
      </c>
      <c r="K57" s="438">
        <f t="shared" si="7"/>
        <v>2595517880.4000001</v>
      </c>
      <c r="L57" s="438">
        <f t="shared" si="8"/>
        <v>2595517880.4000001</v>
      </c>
      <c r="M57" s="436">
        <f t="shared" si="9"/>
        <v>2598470688</v>
      </c>
      <c r="S57" s="475">
        <v>2881</v>
      </c>
      <c r="T57" s="476" t="s">
        <v>186</v>
      </c>
      <c r="U57" s="477">
        <v>1.85</v>
      </c>
      <c r="V57" s="478">
        <v>59056152</v>
      </c>
      <c r="W57" s="437">
        <f t="shared" si="10"/>
        <v>-3.1206260249083684E-3</v>
      </c>
    </row>
    <row r="58" spans="1:23" ht="18" customHeight="1" thickBot="1">
      <c r="A58" s="434">
        <f t="shared" si="5"/>
        <v>1.8822960849722889E-2</v>
      </c>
      <c r="B58" s="413" t="str">
        <f t="shared" si="2"/>
        <v>國泰金</v>
      </c>
      <c r="C58" s="413">
        <f t="shared" si="3"/>
        <v>2882</v>
      </c>
      <c r="D58" s="412">
        <v>1</v>
      </c>
      <c r="E58" s="409">
        <v>41.6</v>
      </c>
      <c r="F58" s="436">
        <f t="shared" si="4"/>
        <v>63374558</v>
      </c>
      <c r="G58" s="438">
        <f t="shared" si="6"/>
        <v>2636381612.8000002</v>
      </c>
      <c r="H58" s="409">
        <f>VLOOKUP(TEXT($C58,"@"),XQKGIAP!$A:$L,5,FALSE)</f>
        <v>41.6</v>
      </c>
      <c r="I58" s="409">
        <f>VLOOKUP(TEXT($C58,"@"),XQKGIAP!$A:$L,6,FALSE)</f>
        <v>41.6</v>
      </c>
      <c r="J58" s="409">
        <f>VLOOKUP(TEXT($C58,"@"),XQKGIAP!$A:$L,7,FALSE)</f>
        <v>41.65</v>
      </c>
      <c r="K58" s="438">
        <f t="shared" si="7"/>
        <v>2636381612.8000002</v>
      </c>
      <c r="L58" s="438">
        <f t="shared" si="8"/>
        <v>2636381612.8000002</v>
      </c>
      <c r="M58" s="436">
        <f t="shared" si="9"/>
        <v>2639550340.6999998</v>
      </c>
      <c r="S58" s="479">
        <v>2882</v>
      </c>
      <c r="T58" s="480" t="s">
        <v>187</v>
      </c>
      <c r="U58" s="481">
        <v>1.88</v>
      </c>
      <c r="V58" s="482">
        <v>63374558</v>
      </c>
      <c r="W58" s="437">
        <f t="shared" si="10"/>
        <v>-2.2960849722890586E-3</v>
      </c>
    </row>
    <row r="59" spans="1:23" ht="18" customHeight="1" thickBot="1">
      <c r="A59" s="434">
        <f t="shared" si="5"/>
        <v>7.4971983121971605E-3</v>
      </c>
      <c r="B59" s="413" t="str">
        <f t="shared" si="2"/>
        <v>開發金</v>
      </c>
      <c r="C59" s="413">
        <f t="shared" si="3"/>
        <v>2883</v>
      </c>
      <c r="D59" s="412">
        <v>1</v>
      </c>
      <c r="E59" s="409">
        <v>9.41</v>
      </c>
      <c r="F59" s="436">
        <f t="shared" si="4"/>
        <v>111591139</v>
      </c>
      <c r="G59" s="438">
        <f t="shared" si="6"/>
        <v>1050072617.99</v>
      </c>
      <c r="H59" s="409">
        <f>VLOOKUP(TEXT($C59,"@"),XQKGIAP!$A:$L,5,FALSE)</f>
        <v>9.41</v>
      </c>
      <c r="I59" s="409">
        <f>VLOOKUP(TEXT($C59,"@"),XQKGIAP!$A:$L,6,FALSE)</f>
        <v>9.41</v>
      </c>
      <c r="J59" s="409">
        <f>VLOOKUP(TEXT($C59,"@"),XQKGIAP!$A:$L,7,FALSE)</f>
        <v>9.42</v>
      </c>
      <c r="K59" s="438">
        <f t="shared" si="7"/>
        <v>1050072617.99</v>
      </c>
      <c r="L59" s="438">
        <f t="shared" si="8"/>
        <v>1050072617.99</v>
      </c>
      <c r="M59" s="436">
        <f t="shared" si="9"/>
        <v>1051188529.38</v>
      </c>
      <c r="S59" s="475">
        <v>2883</v>
      </c>
      <c r="T59" s="476" t="s">
        <v>188</v>
      </c>
      <c r="U59" s="477">
        <v>0.75</v>
      </c>
      <c r="V59" s="478">
        <v>111591139</v>
      </c>
      <c r="W59" s="437">
        <f t="shared" si="10"/>
        <v>2.8016878028391812E-4</v>
      </c>
    </row>
    <row r="60" spans="1:23" ht="18" customHeight="1" thickBot="1">
      <c r="A60" s="434">
        <f t="shared" si="5"/>
        <v>1.6159258755961557E-2</v>
      </c>
      <c r="B60" s="413" t="str">
        <f t="shared" si="2"/>
        <v>玉山金</v>
      </c>
      <c r="C60" s="413">
        <f t="shared" si="3"/>
        <v>2884</v>
      </c>
      <c r="D60" s="412">
        <v>1</v>
      </c>
      <c r="E60" s="409">
        <v>27.35</v>
      </c>
      <c r="F60" s="436">
        <f t="shared" si="4"/>
        <v>82753132</v>
      </c>
      <c r="G60" s="438">
        <f t="shared" si="6"/>
        <v>2263298160.2000003</v>
      </c>
      <c r="H60" s="409">
        <f>VLOOKUP(TEXT($C60,"@"),XQKGIAP!$A:$L,5,FALSE)</f>
        <v>27.35</v>
      </c>
      <c r="I60" s="409">
        <f>VLOOKUP(TEXT($C60,"@"),XQKGIAP!$A:$L,6,FALSE)</f>
        <v>27.3</v>
      </c>
      <c r="J60" s="409">
        <f>VLOOKUP(TEXT($C60,"@"),XQKGIAP!$A:$L,7,FALSE)</f>
        <v>27.35</v>
      </c>
      <c r="K60" s="438">
        <f t="shared" si="7"/>
        <v>2263298160.2000003</v>
      </c>
      <c r="L60" s="438">
        <f t="shared" si="8"/>
        <v>2259160503.5999999</v>
      </c>
      <c r="M60" s="436">
        <f t="shared" si="9"/>
        <v>2263298160.2000003</v>
      </c>
      <c r="S60" s="479">
        <v>2884</v>
      </c>
      <c r="T60" s="480" t="s">
        <v>189</v>
      </c>
      <c r="U60" s="481">
        <v>1.62</v>
      </c>
      <c r="V60" s="482">
        <v>82753132</v>
      </c>
      <c r="W60" s="437">
        <f t="shared" si="10"/>
        <v>4.0741244038444702E-3</v>
      </c>
    </row>
    <row r="61" spans="1:23" ht="18" customHeight="1" thickBot="1">
      <c r="A61" s="434">
        <f t="shared" si="5"/>
        <v>1.1599608817871088E-2</v>
      </c>
      <c r="B61" s="413" t="str">
        <f t="shared" ref="B61:B78" si="11">T61</f>
        <v>元大金</v>
      </c>
      <c r="C61" s="413">
        <f t="shared" ref="C61:C78" si="12">S61</f>
        <v>2885</v>
      </c>
      <c r="D61" s="412">
        <v>1</v>
      </c>
      <c r="E61" s="409">
        <v>18.05</v>
      </c>
      <c r="F61" s="436">
        <f t="shared" ref="F61:F78" si="13">VLOOKUP(C61,$S$28:$V$78,4,FALSE)</f>
        <v>90009111</v>
      </c>
      <c r="G61" s="438">
        <f t="shared" si="6"/>
        <v>1624664453.55</v>
      </c>
      <c r="H61" s="409">
        <f>VLOOKUP(TEXT($C61,"@"),XQKGIAP!$A:$L,5,FALSE)</f>
        <v>18.05</v>
      </c>
      <c r="I61" s="409">
        <f>VLOOKUP(TEXT($C61,"@"),XQKGIAP!$A:$L,6,FALSE)</f>
        <v>18</v>
      </c>
      <c r="J61" s="409">
        <f>VLOOKUP(TEXT($C61,"@"),XQKGIAP!$A:$L,7,FALSE)</f>
        <v>18.05</v>
      </c>
      <c r="K61" s="438">
        <f t="shared" si="7"/>
        <v>1624664453.55</v>
      </c>
      <c r="L61" s="438">
        <f t="shared" si="8"/>
        <v>1620163998</v>
      </c>
      <c r="M61" s="436">
        <f t="shared" si="9"/>
        <v>1624664453.55</v>
      </c>
      <c r="S61" s="475">
        <v>2885</v>
      </c>
      <c r="T61" s="476" t="s">
        <v>190</v>
      </c>
      <c r="U61" s="477">
        <v>1.1599999999999999</v>
      </c>
      <c r="V61" s="478">
        <v>90009111</v>
      </c>
      <c r="W61" s="437">
        <f t="shared" si="10"/>
        <v>3.9118212891153803E-5</v>
      </c>
    </row>
    <row r="62" spans="1:23" ht="18" customHeight="1" thickBot="1">
      <c r="A62" s="434">
        <f t="shared" si="5"/>
        <v>1.9901559131723666E-2</v>
      </c>
      <c r="B62" s="413" t="str">
        <f t="shared" si="11"/>
        <v>兆豐金</v>
      </c>
      <c r="C62" s="413">
        <f t="shared" si="12"/>
        <v>2886</v>
      </c>
      <c r="D62" s="412">
        <v>1</v>
      </c>
      <c r="E62" s="409">
        <v>31.85</v>
      </c>
      <c r="F62" s="436">
        <f t="shared" si="13"/>
        <v>87518124</v>
      </c>
      <c r="G62" s="438">
        <f t="shared" si="6"/>
        <v>2787452249.4000001</v>
      </c>
      <c r="H62" s="409">
        <f>VLOOKUP(TEXT($C62,"@"),XQKGIAP!$A:$L,5,FALSE)</f>
        <v>31.85</v>
      </c>
      <c r="I62" s="409">
        <f>VLOOKUP(TEXT($C62,"@"),XQKGIAP!$A:$L,6,FALSE)</f>
        <v>31.85</v>
      </c>
      <c r="J62" s="409">
        <f>VLOOKUP(TEXT($C62,"@"),XQKGIAP!$A:$L,7,FALSE)</f>
        <v>31.9</v>
      </c>
      <c r="K62" s="438">
        <f t="shared" si="7"/>
        <v>2787452249.4000001</v>
      </c>
      <c r="L62" s="438">
        <f t="shared" si="8"/>
        <v>2787452249.4000001</v>
      </c>
      <c r="M62" s="436">
        <f t="shared" si="9"/>
        <v>2791828155.5999999</v>
      </c>
      <c r="S62" s="479">
        <v>2886</v>
      </c>
      <c r="T62" s="480" t="s">
        <v>191</v>
      </c>
      <c r="U62" s="481">
        <v>1.99</v>
      </c>
      <c r="V62" s="482">
        <v>87518124</v>
      </c>
      <c r="W62" s="437">
        <f t="shared" si="10"/>
        <v>-1.5591317236651747E-4</v>
      </c>
    </row>
    <row r="63" spans="1:23" ht="18" customHeight="1" thickBot="1">
      <c r="A63" s="434">
        <f t="shared" si="5"/>
        <v>8.2751291864241738E-3</v>
      </c>
      <c r="B63" s="413" t="str">
        <f t="shared" si="11"/>
        <v>台新金</v>
      </c>
      <c r="C63" s="413">
        <f t="shared" si="12"/>
        <v>2887</v>
      </c>
      <c r="D63" s="412">
        <v>1</v>
      </c>
      <c r="E63" s="409">
        <v>14.55</v>
      </c>
      <c r="F63" s="436">
        <f t="shared" si="13"/>
        <v>79658500</v>
      </c>
      <c r="G63" s="438">
        <f t="shared" si="6"/>
        <v>1159031175</v>
      </c>
      <c r="H63" s="409">
        <f>VLOOKUP(TEXT($C63,"@"),XQKGIAP!$A:$L,5,FALSE)</f>
        <v>14.55</v>
      </c>
      <c r="I63" s="409">
        <f>VLOOKUP(TEXT($C63,"@"),XQKGIAP!$A:$L,6,FALSE)</f>
        <v>14.55</v>
      </c>
      <c r="J63" s="409">
        <f>VLOOKUP(TEXT($C63,"@"),XQKGIAP!$A:$L,7,FALSE)</f>
        <v>14.6</v>
      </c>
      <c r="K63" s="438">
        <f t="shared" si="7"/>
        <v>1159031175</v>
      </c>
      <c r="L63" s="438">
        <f t="shared" si="8"/>
        <v>1159031175</v>
      </c>
      <c r="M63" s="436">
        <f t="shared" si="9"/>
        <v>1163014100</v>
      </c>
      <c r="S63" s="475">
        <v>2887</v>
      </c>
      <c r="T63" s="476" t="s">
        <v>192</v>
      </c>
      <c r="U63" s="477">
        <v>0.83</v>
      </c>
      <c r="V63" s="478">
        <v>79658500</v>
      </c>
      <c r="W63" s="437">
        <f t="shared" si="10"/>
        <v>2.4870813575825768E-3</v>
      </c>
    </row>
    <row r="64" spans="1:23" ht="18" customHeight="1" thickBot="1">
      <c r="A64" s="434">
        <f t="shared" si="5"/>
        <v>7.5250826199030896E-3</v>
      </c>
      <c r="B64" s="413" t="str">
        <f t="shared" si="11"/>
        <v>永豐金</v>
      </c>
      <c r="C64" s="413">
        <f t="shared" si="12"/>
        <v>2890</v>
      </c>
      <c r="D64" s="412">
        <v>1</v>
      </c>
      <c r="E64" s="409">
        <v>12.5</v>
      </c>
      <c r="F64" s="436">
        <f t="shared" si="13"/>
        <v>84318252</v>
      </c>
      <c r="G64" s="438">
        <f t="shared" si="6"/>
        <v>1053978150</v>
      </c>
      <c r="H64" s="409">
        <f>VLOOKUP(TEXT($C64,"@"),XQKGIAP!$A:$L,5,FALSE)</f>
        <v>12.5</v>
      </c>
      <c r="I64" s="409">
        <f>VLOOKUP(TEXT($C64,"@"),XQKGIAP!$A:$L,6,FALSE)</f>
        <v>12.5</v>
      </c>
      <c r="J64" s="409">
        <f>VLOOKUP(TEXT($C64,"@"),XQKGIAP!$A:$L,7,FALSE)</f>
        <v>12.55</v>
      </c>
      <c r="K64" s="438">
        <f t="shared" si="7"/>
        <v>1053978150</v>
      </c>
      <c r="L64" s="438">
        <f t="shared" si="8"/>
        <v>1053978150</v>
      </c>
      <c r="M64" s="436">
        <f t="shared" si="9"/>
        <v>1058194062.6</v>
      </c>
      <c r="S64" s="479">
        <v>2890</v>
      </c>
      <c r="T64" s="480" t="s">
        <v>193</v>
      </c>
      <c r="U64" s="481">
        <v>0.75</v>
      </c>
      <c r="V64" s="482">
        <v>84318252</v>
      </c>
      <c r="W64" s="437">
        <f t="shared" si="10"/>
        <v>-2.5082619903089576E-3</v>
      </c>
    </row>
    <row r="65" spans="1:23" ht="18" customHeight="1" thickBot="1">
      <c r="A65" s="434">
        <f t="shared" si="5"/>
        <v>2.2493516305862431E-2</v>
      </c>
      <c r="B65" s="413" t="str">
        <f t="shared" si="11"/>
        <v>中信金</v>
      </c>
      <c r="C65" s="413">
        <f t="shared" si="12"/>
        <v>2891</v>
      </c>
      <c r="D65" s="412">
        <v>1</v>
      </c>
      <c r="E65" s="409">
        <v>21.6</v>
      </c>
      <c r="F65" s="436">
        <f t="shared" si="13"/>
        <v>145855878</v>
      </c>
      <c r="G65" s="438">
        <f t="shared" si="6"/>
        <v>3150486964.8000002</v>
      </c>
      <c r="H65" s="409">
        <f>VLOOKUP(TEXT($C65,"@"),XQKGIAP!$A:$L,5,FALSE)</f>
        <v>21.6</v>
      </c>
      <c r="I65" s="409">
        <f>VLOOKUP(TEXT($C65,"@"),XQKGIAP!$A:$L,6,FALSE)</f>
        <v>21.6</v>
      </c>
      <c r="J65" s="409">
        <f>VLOOKUP(TEXT($C65,"@"),XQKGIAP!$A:$L,7,FALSE)</f>
        <v>21.65</v>
      </c>
      <c r="K65" s="438">
        <f t="shared" si="7"/>
        <v>3150486964.8000002</v>
      </c>
      <c r="L65" s="438">
        <f t="shared" si="8"/>
        <v>3150486964.8000002</v>
      </c>
      <c r="M65" s="436">
        <f t="shared" si="9"/>
        <v>3157779758.6999998</v>
      </c>
      <c r="S65" s="475">
        <v>2891</v>
      </c>
      <c r="T65" s="476" t="s">
        <v>194</v>
      </c>
      <c r="U65" s="477">
        <v>2.25</v>
      </c>
      <c r="V65" s="478">
        <v>145855878</v>
      </c>
      <c r="W65" s="437">
        <f t="shared" si="10"/>
        <v>6.483694137568996E-4</v>
      </c>
    </row>
    <row r="66" spans="1:23" ht="18" customHeight="1" thickBot="1">
      <c r="A66" s="434">
        <f t="shared" si="5"/>
        <v>1.2754596168747358E-2</v>
      </c>
      <c r="B66" s="413" t="str">
        <f t="shared" si="11"/>
        <v>第一金</v>
      </c>
      <c r="C66" s="413">
        <f t="shared" si="12"/>
        <v>2892</v>
      </c>
      <c r="D66" s="412">
        <v>1</v>
      </c>
      <c r="E66" s="409">
        <v>22.85</v>
      </c>
      <c r="F66" s="436">
        <f t="shared" si="13"/>
        <v>78180932</v>
      </c>
      <c r="G66" s="438">
        <f t="shared" si="6"/>
        <v>1786434296.2</v>
      </c>
      <c r="H66" s="409">
        <f>VLOOKUP(TEXT($C66,"@"),XQKGIAP!$A:$L,5,FALSE)</f>
        <v>22.85</v>
      </c>
      <c r="I66" s="409">
        <f>VLOOKUP(TEXT($C66,"@"),XQKGIAP!$A:$L,6,FALSE)</f>
        <v>22.85</v>
      </c>
      <c r="J66" s="409">
        <f>VLOOKUP(TEXT($C66,"@"),XQKGIAP!$A:$L,7,FALSE)</f>
        <v>22.9</v>
      </c>
      <c r="K66" s="438">
        <f t="shared" si="7"/>
        <v>1786434296.2</v>
      </c>
      <c r="L66" s="438">
        <f t="shared" si="8"/>
        <v>1786434296.2</v>
      </c>
      <c r="M66" s="436">
        <f t="shared" si="9"/>
        <v>1790343342.8</v>
      </c>
      <c r="S66" s="479">
        <v>2892</v>
      </c>
      <c r="T66" s="480" t="s">
        <v>195</v>
      </c>
      <c r="U66" s="481">
        <v>1.28</v>
      </c>
      <c r="V66" s="482">
        <v>78180932</v>
      </c>
      <c r="W66" s="437">
        <f t="shared" si="10"/>
        <v>4.5403831252641691E-3</v>
      </c>
    </row>
    <row r="67" spans="1:23" ht="18" customHeight="1" thickBot="1">
      <c r="A67" s="434">
        <f t="shared" si="5"/>
        <v>9.666319657834592E-3</v>
      </c>
      <c r="B67" s="413" t="str">
        <f t="shared" si="11"/>
        <v>統一超</v>
      </c>
      <c r="C67" s="413">
        <f t="shared" si="12"/>
        <v>2912</v>
      </c>
      <c r="D67" s="412">
        <v>1</v>
      </c>
      <c r="E67" s="409">
        <v>300</v>
      </c>
      <c r="F67" s="436">
        <f t="shared" si="13"/>
        <v>4512947</v>
      </c>
      <c r="G67" s="438">
        <f t="shared" si="6"/>
        <v>1353884100</v>
      </c>
      <c r="H67" s="409">
        <f>VLOOKUP(TEXT($C67,"@"),XQKGIAP!$A:$L,5,FALSE)</f>
        <v>300</v>
      </c>
      <c r="I67" s="409">
        <f>VLOOKUP(TEXT($C67,"@"),XQKGIAP!$A:$L,6,FALSE)</f>
        <v>300</v>
      </c>
      <c r="J67" s="409">
        <f>VLOOKUP(TEXT($C67,"@"),XQKGIAP!$A:$L,7,FALSE)</f>
        <v>300.5</v>
      </c>
      <c r="K67" s="438">
        <f t="shared" si="7"/>
        <v>1353884100</v>
      </c>
      <c r="L67" s="438">
        <f t="shared" si="8"/>
        <v>1353884100</v>
      </c>
      <c r="M67" s="436">
        <f t="shared" si="9"/>
        <v>1356140573.5</v>
      </c>
      <c r="S67" s="475">
        <v>2912</v>
      </c>
      <c r="T67" s="476" t="s">
        <v>196</v>
      </c>
      <c r="U67" s="477">
        <v>0.97</v>
      </c>
      <c r="V67" s="478">
        <v>4512947</v>
      </c>
      <c r="W67" s="437">
        <f t="shared" si="10"/>
        <v>3.3680342165407495E-3</v>
      </c>
    </row>
    <row r="68" spans="1:23" ht="18" customHeight="1" thickBot="1">
      <c r="A68" s="434">
        <f t="shared" si="5"/>
        <v>2.474432667411167E-2</v>
      </c>
      <c r="B68" s="413" t="str">
        <f t="shared" si="11"/>
        <v>大立光</v>
      </c>
      <c r="C68" s="413">
        <f t="shared" si="12"/>
        <v>3008</v>
      </c>
      <c r="D68" s="412">
        <v>1</v>
      </c>
      <c r="E68" s="409">
        <v>4205</v>
      </c>
      <c r="F68" s="436">
        <f t="shared" si="13"/>
        <v>824195</v>
      </c>
      <c r="G68" s="438">
        <f t="shared" si="6"/>
        <v>3465739975</v>
      </c>
      <c r="H68" s="409">
        <f>VLOOKUP(TEXT($C68,"@"),XQKGIAP!$A:$L,5,FALSE)</f>
        <v>4205</v>
      </c>
      <c r="I68" s="409">
        <f>VLOOKUP(TEXT($C68,"@"),XQKGIAP!$A:$L,6,FALSE)</f>
        <v>4205</v>
      </c>
      <c r="J68" s="409">
        <f>VLOOKUP(TEXT($C68,"@"),XQKGIAP!$A:$L,7,FALSE)</f>
        <v>4210</v>
      </c>
      <c r="K68" s="438">
        <f t="shared" si="7"/>
        <v>3465739975</v>
      </c>
      <c r="L68" s="438">
        <f t="shared" si="8"/>
        <v>3465739975</v>
      </c>
      <c r="M68" s="436">
        <f t="shared" si="9"/>
        <v>3469860950</v>
      </c>
      <c r="S68" s="479">
        <v>3008</v>
      </c>
      <c r="T68" s="480" t="s">
        <v>197</v>
      </c>
      <c r="U68" s="481">
        <v>2.4700000000000002</v>
      </c>
      <c r="V68" s="482">
        <v>824195</v>
      </c>
      <c r="W68" s="437">
        <f t="shared" si="10"/>
        <v>-4.4326674111667685E-3</v>
      </c>
    </row>
    <row r="69" spans="1:23" ht="18" customHeight="1" thickBot="1">
      <c r="A69" s="434">
        <f t="shared" si="5"/>
        <v>1.0206179159231863E-2</v>
      </c>
      <c r="B69" s="413" t="str">
        <f t="shared" si="11"/>
        <v>台灣大</v>
      </c>
      <c r="C69" s="413">
        <f t="shared" si="12"/>
        <v>3045</v>
      </c>
      <c r="D69" s="412">
        <v>1</v>
      </c>
      <c r="E69" s="409">
        <v>111.5</v>
      </c>
      <c r="F69" s="436">
        <f t="shared" si="13"/>
        <v>12820609</v>
      </c>
      <c r="G69" s="438">
        <f t="shared" si="6"/>
        <v>1429497903.5</v>
      </c>
      <c r="H69" s="409">
        <f>VLOOKUP(TEXT($C69,"@"),XQKGIAP!$A:$L,5,FALSE)</f>
        <v>111.5</v>
      </c>
      <c r="I69" s="409">
        <f>VLOOKUP(TEXT($C69,"@"),XQKGIAP!$A:$L,6,FALSE)</f>
        <v>111</v>
      </c>
      <c r="J69" s="409">
        <f>VLOOKUP(TEXT($C69,"@"),XQKGIAP!$A:$L,7,FALSE)</f>
        <v>111.5</v>
      </c>
      <c r="K69" s="438">
        <f t="shared" si="7"/>
        <v>1429497903.5</v>
      </c>
      <c r="L69" s="438">
        <f t="shared" si="8"/>
        <v>1423087599</v>
      </c>
      <c r="M69" s="436">
        <f t="shared" si="9"/>
        <v>1429497903.5</v>
      </c>
      <c r="S69" s="475">
        <v>3045</v>
      </c>
      <c r="T69" s="476" t="s">
        <v>198</v>
      </c>
      <c r="U69" s="477">
        <v>1.02</v>
      </c>
      <c r="V69" s="478">
        <v>12820609</v>
      </c>
      <c r="W69" s="437">
        <f t="shared" si="10"/>
        <v>-6.1791592318627409E-4</v>
      </c>
    </row>
    <row r="70" spans="1:23" ht="18" customHeight="1" thickBot="1">
      <c r="A70" s="434">
        <f t="shared" si="5"/>
        <v>1.3082458401730539E-2</v>
      </c>
      <c r="B70" s="413" t="str">
        <f t="shared" si="11"/>
        <v>日月光投控</v>
      </c>
      <c r="C70" s="413">
        <f t="shared" si="12"/>
        <v>3711</v>
      </c>
      <c r="D70" s="412">
        <v>1</v>
      </c>
      <c r="E70" s="409">
        <v>67.5</v>
      </c>
      <c r="F70" s="436">
        <f t="shared" si="13"/>
        <v>27146005</v>
      </c>
      <c r="G70" s="438">
        <f t="shared" si="6"/>
        <v>1832355337.5</v>
      </c>
      <c r="H70" s="409">
        <f>VLOOKUP(TEXT($C70,"@"),XQKGIAP!$A:$L,5,FALSE)</f>
        <v>67.5</v>
      </c>
      <c r="I70" s="409">
        <f>VLOOKUP(TEXT($C70,"@"),XQKGIAP!$A:$L,6,FALSE)</f>
        <v>67.5</v>
      </c>
      <c r="J70" s="409">
        <f>VLOOKUP(TEXT($C70,"@"),XQKGIAP!$A:$L,7,FALSE)</f>
        <v>67.599999999999994</v>
      </c>
      <c r="K70" s="438">
        <f t="shared" si="7"/>
        <v>1832355337.5</v>
      </c>
      <c r="L70" s="438">
        <f t="shared" si="8"/>
        <v>1832355337.5</v>
      </c>
      <c r="M70" s="436">
        <f t="shared" si="9"/>
        <v>1835069937.9999998</v>
      </c>
      <c r="S70" s="479">
        <v>3711</v>
      </c>
      <c r="T70" s="480" t="s">
        <v>1830</v>
      </c>
      <c r="U70" s="481">
        <v>1.31</v>
      </c>
      <c r="V70" s="482">
        <v>27146005</v>
      </c>
      <c r="W70" s="437">
        <f t="shared" si="10"/>
        <v>1.7541598269461556E-3</v>
      </c>
    </row>
    <row r="71" spans="1:23" ht="18" customHeight="1" thickBot="1">
      <c r="A71" s="434">
        <f t="shared" si="5"/>
        <v>6.9508433626001469E-3</v>
      </c>
      <c r="B71" s="413" t="str">
        <f t="shared" si="11"/>
        <v>遠傳</v>
      </c>
      <c r="C71" s="413">
        <f t="shared" si="12"/>
        <v>4904</v>
      </c>
      <c r="D71" s="412">
        <v>1</v>
      </c>
      <c r="E71" s="409">
        <v>75.8</v>
      </c>
      <c r="F71" s="436">
        <f t="shared" si="13"/>
        <v>12843655</v>
      </c>
      <c r="G71" s="438">
        <f t="shared" si="6"/>
        <v>973549049</v>
      </c>
      <c r="H71" s="409">
        <f>VLOOKUP(TEXT($C71,"@"),XQKGIAP!$A:$L,5,FALSE)</f>
        <v>75.8</v>
      </c>
      <c r="I71" s="409">
        <f>VLOOKUP(TEXT($C71,"@"),XQKGIAP!$A:$L,6,FALSE)</f>
        <v>75.8</v>
      </c>
      <c r="J71" s="409">
        <f>VLOOKUP(TEXT($C71,"@"),XQKGIAP!$A:$L,7,FALSE)</f>
        <v>75.900000000000006</v>
      </c>
      <c r="K71" s="438">
        <f t="shared" si="7"/>
        <v>973549049</v>
      </c>
      <c r="L71" s="438">
        <f t="shared" si="8"/>
        <v>973549049</v>
      </c>
      <c r="M71" s="436">
        <f t="shared" si="9"/>
        <v>974833414.50000012</v>
      </c>
      <c r="S71" s="475">
        <v>4904</v>
      </c>
      <c r="T71" s="476" t="s">
        <v>199</v>
      </c>
      <c r="U71" s="477">
        <v>0.7</v>
      </c>
      <c r="V71" s="478">
        <v>12843655</v>
      </c>
      <c r="W71" s="437">
        <f t="shared" si="10"/>
        <v>4.9156637399853098E-3</v>
      </c>
    </row>
    <row r="72" spans="1:23" ht="18" customHeight="1" thickBot="1">
      <c r="A72" s="434">
        <f t="shared" si="5"/>
        <v>6.3205460182305098E-3</v>
      </c>
      <c r="B72" s="413" t="str">
        <f t="shared" si="11"/>
        <v>和碩</v>
      </c>
      <c r="C72" s="413">
        <f t="shared" si="12"/>
        <v>4938</v>
      </c>
      <c r="D72" s="412">
        <v>1</v>
      </c>
      <c r="E72" s="409">
        <v>55</v>
      </c>
      <c r="F72" s="436">
        <f t="shared" si="13"/>
        <v>16095788</v>
      </c>
      <c r="G72" s="438">
        <f t="shared" si="6"/>
        <v>885268340</v>
      </c>
      <c r="H72" s="409">
        <f>VLOOKUP(TEXT($C72,"@"),XQKGIAP!$A:$L,5,FALSE)</f>
        <v>55</v>
      </c>
      <c r="I72" s="409">
        <f>VLOOKUP(TEXT($C72,"@"),XQKGIAP!$A:$L,6,FALSE)</f>
        <v>55</v>
      </c>
      <c r="J72" s="409">
        <f>VLOOKUP(TEXT($C72,"@"),XQKGIAP!$A:$L,7,FALSE)</f>
        <v>55.2</v>
      </c>
      <c r="K72" s="438">
        <f t="shared" si="7"/>
        <v>885268340</v>
      </c>
      <c r="L72" s="438">
        <f t="shared" si="8"/>
        <v>885268340</v>
      </c>
      <c r="M72" s="436">
        <f t="shared" si="9"/>
        <v>888487497.60000002</v>
      </c>
      <c r="S72" s="479">
        <v>4938</v>
      </c>
      <c r="T72" s="480" t="s">
        <v>200</v>
      </c>
      <c r="U72" s="481">
        <v>0.63</v>
      </c>
      <c r="V72" s="482">
        <v>16095788</v>
      </c>
      <c r="W72" s="437">
        <f t="shared" si="10"/>
        <v>-2.05460182305095E-3</v>
      </c>
    </row>
    <row r="73" spans="1:23" ht="18" customHeight="1" thickBot="1">
      <c r="A73" s="434">
        <f t="shared" si="5"/>
        <v>9.1448863779050645E-3</v>
      </c>
      <c r="B73" s="413" t="str">
        <f t="shared" si="11"/>
        <v>中租-KY</v>
      </c>
      <c r="C73" s="413">
        <f t="shared" si="12"/>
        <v>5871</v>
      </c>
      <c r="D73" s="412">
        <v>1</v>
      </c>
      <c r="E73" s="409">
        <v>135</v>
      </c>
      <c r="F73" s="436">
        <f t="shared" si="13"/>
        <v>9487786</v>
      </c>
      <c r="G73" s="438">
        <f t="shared" si="6"/>
        <v>1280851110</v>
      </c>
      <c r="H73" s="409">
        <f>VLOOKUP(TEXT($C73,"@"),XQKGIAP!$A:$L,5,FALSE)</f>
        <v>135</v>
      </c>
      <c r="I73" s="409">
        <f>VLOOKUP(TEXT($C73,"@"),XQKGIAP!$A:$L,6,FALSE)</f>
        <v>134.5</v>
      </c>
      <c r="J73" s="409">
        <f>VLOOKUP(TEXT($C73,"@"),XQKGIAP!$A:$L,7,FALSE)</f>
        <v>135</v>
      </c>
      <c r="K73" s="438">
        <f t="shared" si="7"/>
        <v>1280851110</v>
      </c>
      <c r="L73" s="438">
        <f t="shared" si="8"/>
        <v>1276107217</v>
      </c>
      <c r="M73" s="436">
        <f t="shared" si="9"/>
        <v>1280851110</v>
      </c>
      <c r="S73" s="475">
        <v>5871</v>
      </c>
      <c r="T73" s="476" t="s">
        <v>206</v>
      </c>
      <c r="U73" s="477">
        <v>0.91</v>
      </c>
      <c r="V73" s="478">
        <v>9487786</v>
      </c>
      <c r="W73" s="437">
        <f t="shared" si="10"/>
        <v>-4.4886377905064556E-3</v>
      </c>
    </row>
    <row r="74" spans="1:23" ht="18" customHeight="1" thickBot="1">
      <c r="A74" s="434">
        <f t="shared" si="5"/>
        <v>9.8442131773896716E-3</v>
      </c>
      <c r="B74" s="413" t="str">
        <f t="shared" si="11"/>
        <v>上海商銀</v>
      </c>
      <c r="C74" s="413">
        <f t="shared" si="12"/>
        <v>5876</v>
      </c>
      <c r="D74" s="412">
        <v>1</v>
      </c>
      <c r="E74" s="409">
        <v>57.2</v>
      </c>
      <c r="F74" s="436">
        <f t="shared" si="13"/>
        <v>24104899</v>
      </c>
      <c r="G74" s="438">
        <f t="shared" si="6"/>
        <v>1378800222.8</v>
      </c>
      <c r="H74" s="409">
        <f>VLOOKUP(TEXT($C74,"@"),XQKGIAP!$A:$L,5,FALSE)</f>
        <v>57.2</v>
      </c>
      <c r="I74" s="409">
        <f>VLOOKUP(TEXT($C74,"@"),XQKGIAP!$A:$L,6,FALSE)</f>
        <v>57.2</v>
      </c>
      <c r="J74" s="409">
        <f>VLOOKUP(TEXT($C74,"@"),XQKGIAP!$A:$L,7,FALSE)</f>
        <v>57.3</v>
      </c>
      <c r="K74" s="438">
        <f t="shared" si="7"/>
        <v>1378800222.8</v>
      </c>
      <c r="L74" s="438">
        <f t="shared" si="8"/>
        <v>1378800222.8</v>
      </c>
      <c r="M74" s="436">
        <f t="shared" si="9"/>
        <v>1381210712.7</v>
      </c>
      <c r="S74" s="479">
        <v>5876</v>
      </c>
      <c r="T74" s="480" t="s">
        <v>1831</v>
      </c>
      <c r="U74" s="481">
        <v>0.98</v>
      </c>
      <c r="V74" s="482">
        <v>24104899</v>
      </c>
      <c r="W74" s="437">
        <f t="shared" si="10"/>
        <v>-4.4213177389671454E-3</v>
      </c>
    </row>
    <row r="75" spans="1:23" ht="18" customHeight="1" thickBot="1">
      <c r="A75" s="434">
        <f t="shared" si="5"/>
        <v>1.0810487181708467E-2</v>
      </c>
      <c r="B75" s="413" t="str">
        <f t="shared" si="11"/>
        <v>合庫金</v>
      </c>
      <c r="C75" s="413">
        <f t="shared" si="12"/>
        <v>5880</v>
      </c>
      <c r="D75" s="412">
        <v>1</v>
      </c>
      <c r="E75" s="409">
        <v>20.8</v>
      </c>
      <c r="F75" s="436">
        <f t="shared" si="13"/>
        <v>72795120</v>
      </c>
      <c r="G75" s="438">
        <f t="shared" si="6"/>
        <v>1514138496</v>
      </c>
      <c r="H75" s="409">
        <f>VLOOKUP(TEXT($C75,"@"),XQKGIAP!$A:$L,5,FALSE)</f>
        <v>20.8</v>
      </c>
      <c r="I75" s="409">
        <f>VLOOKUP(TEXT($C75,"@"),XQKGIAP!$A:$L,6,FALSE)</f>
        <v>20.8</v>
      </c>
      <c r="J75" s="409">
        <f>VLOOKUP(TEXT($C75,"@"),XQKGIAP!$A:$L,7,FALSE)</f>
        <v>20.85</v>
      </c>
      <c r="K75" s="438">
        <f t="shared" si="7"/>
        <v>1514138496</v>
      </c>
      <c r="L75" s="438">
        <f t="shared" si="8"/>
        <v>1514138496</v>
      </c>
      <c r="M75" s="436">
        <f t="shared" si="9"/>
        <v>1517778252</v>
      </c>
      <c r="S75" s="475">
        <v>5880</v>
      </c>
      <c r="T75" s="476" t="s">
        <v>201</v>
      </c>
      <c r="U75" s="477">
        <v>1.08</v>
      </c>
      <c r="V75" s="478">
        <v>72795120</v>
      </c>
      <c r="W75" s="437">
        <f t="shared" si="10"/>
        <v>-1.0487181708465076E-3</v>
      </c>
    </row>
    <row r="76" spans="1:23" ht="18" customHeight="1" thickBot="1">
      <c r="A76" s="434">
        <f t="shared" si="5"/>
        <v>8.4222865306764465E-3</v>
      </c>
      <c r="B76" s="413" t="str">
        <f t="shared" si="11"/>
        <v>台塑化</v>
      </c>
      <c r="C76" s="413">
        <f t="shared" si="12"/>
        <v>6505</v>
      </c>
      <c r="D76" s="412">
        <v>1</v>
      </c>
      <c r="E76" s="409">
        <v>107.5</v>
      </c>
      <c r="F76" s="436">
        <f t="shared" si="13"/>
        <v>10973417</v>
      </c>
      <c r="G76" s="438">
        <f t="shared" si="6"/>
        <v>1179642327.5</v>
      </c>
      <c r="H76" s="409">
        <f>VLOOKUP(TEXT($C76,"@"),XQKGIAP!$A:$L,5,FALSE)</f>
        <v>107.5</v>
      </c>
      <c r="I76" s="409">
        <f>VLOOKUP(TEXT($C76,"@"),XQKGIAP!$A:$L,6,FALSE)</f>
        <v>107.5</v>
      </c>
      <c r="J76" s="409">
        <f>VLOOKUP(TEXT($C76,"@"),XQKGIAP!$A:$L,7,FALSE)</f>
        <v>108</v>
      </c>
      <c r="K76" s="438">
        <f t="shared" si="7"/>
        <v>1179642327.5</v>
      </c>
      <c r="L76" s="438">
        <f t="shared" si="8"/>
        <v>1179642327.5</v>
      </c>
      <c r="M76" s="436">
        <f t="shared" si="9"/>
        <v>1185129036</v>
      </c>
      <c r="S76" s="479">
        <v>6505</v>
      </c>
      <c r="T76" s="480" t="s">
        <v>202</v>
      </c>
      <c r="U76" s="481">
        <v>0.84</v>
      </c>
      <c r="V76" s="482">
        <v>10973417</v>
      </c>
      <c r="W76" s="437">
        <f t="shared" si="10"/>
        <v>-2.228653067644637E-3</v>
      </c>
    </row>
    <row r="77" spans="1:23" ht="18" customHeight="1" thickBot="1">
      <c r="A77" s="434">
        <f t="shared" si="5"/>
        <v>5.8490338776081771E-3</v>
      </c>
      <c r="B77" s="413" t="str">
        <f t="shared" si="11"/>
        <v>寶成</v>
      </c>
      <c r="C77" s="413">
        <f t="shared" si="12"/>
        <v>9904</v>
      </c>
      <c r="D77" s="412">
        <v>1</v>
      </c>
      <c r="E77" s="409">
        <v>38.4</v>
      </c>
      <c r="F77" s="436">
        <f t="shared" si="13"/>
        <v>21334047</v>
      </c>
      <c r="G77" s="438">
        <f t="shared" si="6"/>
        <v>819227404.79999995</v>
      </c>
      <c r="H77" s="409">
        <f>VLOOKUP(TEXT($C77,"@"),XQKGIAP!$A:$L,5,FALSE)</f>
        <v>38.4</v>
      </c>
      <c r="I77" s="409">
        <f>VLOOKUP(TEXT($C77,"@"),XQKGIAP!$A:$L,6,FALSE)</f>
        <v>38.35</v>
      </c>
      <c r="J77" s="409">
        <f>VLOOKUP(TEXT($C77,"@"),XQKGIAP!$A:$L,7,FALSE)</f>
        <v>38.4</v>
      </c>
      <c r="K77" s="438">
        <f t="shared" si="7"/>
        <v>819227404.79999995</v>
      </c>
      <c r="L77" s="438">
        <f t="shared" si="8"/>
        <v>818160702.45000005</v>
      </c>
      <c r="M77" s="436">
        <f t="shared" si="9"/>
        <v>819227404.79999995</v>
      </c>
      <c r="S77" s="475">
        <v>9904</v>
      </c>
      <c r="T77" s="476" t="s">
        <v>203</v>
      </c>
      <c r="U77" s="477">
        <v>0.57999999999999996</v>
      </c>
      <c r="V77" s="478">
        <v>21334047</v>
      </c>
      <c r="W77" s="437">
        <f t="shared" si="10"/>
        <v>-4.9033877608177789E-3</v>
      </c>
    </row>
    <row r="78" spans="1:23" ht="18" customHeight="1" thickBot="1">
      <c r="A78" s="434">
        <f t="shared" si="5"/>
        <v>4.402419164839637E-3</v>
      </c>
      <c r="B78" s="413" t="str">
        <f t="shared" si="11"/>
        <v>豐泰</v>
      </c>
      <c r="C78" s="413">
        <f t="shared" si="12"/>
        <v>9910</v>
      </c>
      <c r="D78" s="412">
        <v>1</v>
      </c>
      <c r="E78" s="409">
        <v>229.5</v>
      </c>
      <c r="F78" s="436">
        <f t="shared" si="13"/>
        <v>2686761</v>
      </c>
      <c r="G78" s="438">
        <f t="shared" si="6"/>
        <v>616611649.5</v>
      </c>
      <c r="H78" s="409">
        <f>VLOOKUP(TEXT($C78,"@"),XQKGIAP!$A:$L,5,FALSE)</f>
        <v>229.5</v>
      </c>
      <c r="I78" s="409">
        <f>VLOOKUP(TEXT($C78,"@"),XQKGIAP!$A:$L,6,FALSE)</f>
        <v>229.5</v>
      </c>
      <c r="J78" s="409">
        <f>VLOOKUP(TEXT($C78,"@"),XQKGIAP!$A:$L,7,FALSE)</f>
        <v>230</v>
      </c>
      <c r="K78" s="438">
        <f t="shared" si="7"/>
        <v>616611649.5</v>
      </c>
      <c r="L78" s="438">
        <f t="shared" si="8"/>
        <v>616611649.5</v>
      </c>
      <c r="M78" s="436">
        <f t="shared" si="9"/>
        <v>617955030</v>
      </c>
      <c r="S78" s="479">
        <v>9910</v>
      </c>
      <c r="T78" s="480" t="s">
        <v>1832</v>
      </c>
      <c r="U78" s="481">
        <v>0.44</v>
      </c>
      <c r="V78" s="482">
        <v>2686761</v>
      </c>
      <c r="W78" s="437">
        <f t="shared" si="10"/>
        <v>-2.4191648396371113E-4</v>
      </c>
    </row>
  </sheetData>
  <mergeCells count="3">
    <mergeCell ref="F1:F2"/>
    <mergeCell ref="F3:F4"/>
    <mergeCell ref="F5:F6"/>
  </mergeCells>
  <phoneticPr fontId="0" type="noConversion"/>
  <conditionalFormatting sqref="A19:A23">
    <cfRule type="cellIs" dxfId="3" priority="1" operator="lessThan">
      <formula>0</formula>
    </cfRule>
  </conditionalFormatting>
  <pageMargins left="0.75" right="0.75" top="1" bottom="1" header="0.5" footer="0.5"/>
  <pageSetup paperSize="9" scale="3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4755" r:id="rId4" name="CommandButton1">
          <controlPr defaultSize="0" autoLine="0" r:id="rId5">
            <anchor moveWithCells="1">
              <from>
                <xdr:col>13</xdr:col>
                <xdr:colOff>274320</xdr:colOff>
                <xdr:row>28</xdr:row>
                <xdr:rowOff>22860</xdr:rowOff>
              </from>
              <to>
                <xdr:col>14</xdr:col>
                <xdr:colOff>548640</xdr:colOff>
                <xdr:row>29</xdr:row>
                <xdr:rowOff>152400</xdr:rowOff>
              </to>
            </anchor>
          </controlPr>
        </control>
      </mc:Choice>
      <mc:Fallback>
        <control shapeId="74755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A1:U29"/>
  <sheetViews>
    <sheetView zoomScale="85" zoomScaleNormal="85" workbookViewId="0">
      <pane xSplit="10152" topLeftCell="Q1"/>
      <selection activeCell="A5" sqref="A5:A24"/>
      <selection pane="topRight" activeCell="N12" sqref="N12"/>
    </sheetView>
  </sheetViews>
  <sheetFormatPr defaultRowHeight="13.8"/>
  <cols>
    <col min="1" max="1" width="11.88671875" style="389" customWidth="1"/>
    <col min="2" max="2" width="16.88671875" style="389" customWidth="1"/>
    <col min="3" max="3" width="17.44140625" style="389" customWidth="1"/>
    <col min="4" max="4" width="15.88671875" style="389" customWidth="1"/>
    <col min="5" max="5" width="14.6640625" style="389" customWidth="1"/>
    <col min="6" max="6" width="13.77734375" style="389" customWidth="1"/>
    <col min="7" max="7" width="15.6640625" style="389" customWidth="1"/>
    <col min="8" max="8" width="11.77734375" style="389" customWidth="1"/>
    <col min="9" max="9" width="11.6640625" style="389" customWidth="1"/>
    <col min="10" max="10" width="16.6640625" style="389" customWidth="1"/>
    <col min="11" max="11" width="20.33203125" style="389" customWidth="1"/>
    <col min="12" max="12" width="20.88671875" style="389" customWidth="1"/>
    <col min="13" max="13" width="18.21875" style="389" customWidth="1"/>
    <col min="14" max="14" width="14.88671875" style="389" customWidth="1"/>
    <col min="15" max="16" width="8.88671875" style="389"/>
    <col min="17" max="17" width="10.21875" style="389" bestFit="1" customWidth="1"/>
    <col min="18" max="18" width="9" style="389" bestFit="1" customWidth="1"/>
    <col min="19" max="19" width="8.88671875" style="389"/>
    <col min="20" max="20" width="9" style="389" bestFit="1" customWidth="1"/>
    <col min="21" max="21" width="10.21875" style="389" bestFit="1" customWidth="1"/>
    <col min="22" max="16384" width="8.88671875" style="389"/>
  </cols>
  <sheetData>
    <row r="1" spans="1:21" s="452" customFormat="1">
      <c r="A1" s="483" t="s">
        <v>238</v>
      </c>
      <c r="B1" s="483" t="s">
        <v>322</v>
      </c>
      <c r="C1" s="483" t="s">
        <v>248</v>
      </c>
      <c r="D1" s="483" t="s">
        <v>314</v>
      </c>
      <c r="E1" s="484" t="s">
        <v>249</v>
      </c>
      <c r="F1" s="575" t="s">
        <v>320</v>
      </c>
      <c r="G1" s="485" t="s">
        <v>157</v>
      </c>
      <c r="H1" s="486" t="s">
        <v>52</v>
      </c>
      <c r="I1" s="487" t="s">
        <v>53</v>
      </c>
      <c r="J1" s="488" t="s">
        <v>245</v>
      </c>
      <c r="K1" s="483" t="s">
        <v>246</v>
      </c>
      <c r="L1" s="483" t="s">
        <v>247</v>
      </c>
    </row>
    <row r="2" spans="1:21" ht="14.4" thickBot="1">
      <c r="A2" s="491" t="s">
        <v>71</v>
      </c>
      <c r="B2" s="454">
        <f>C2/100000000</f>
        <v>7.0020436300000002</v>
      </c>
      <c r="C2" s="455">
        <v>700204363</v>
      </c>
      <c r="D2" s="454">
        <f>'ETF Update'!E11</f>
        <v>37654</v>
      </c>
      <c r="E2" s="456">
        <f>'ETF Update'!C11</f>
        <v>18.649999999999999</v>
      </c>
      <c r="F2" s="576"/>
      <c r="G2" s="457">
        <f>J2/D2/1000</f>
        <v>18.592882902985579</v>
      </c>
      <c r="H2" s="458">
        <f>K2/D2/1000</f>
        <v>18.583547904047887</v>
      </c>
      <c r="I2" s="459">
        <f>L2/D2/1000</f>
        <v>18.623430228369337</v>
      </c>
      <c r="J2" s="460">
        <f>C2+(SUM(K5:K182)-SUM(G5:G182))-N5</f>
        <v>700096412.82901907</v>
      </c>
      <c r="K2" s="461">
        <f>C2+(SUM(L5:L182)-SUM(G5:G182))-N5</f>
        <v>699744912.77901912</v>
      </c>
      <c r="L2" s="461">
        <f>C2+(SUM(M5:M182)-SUM(G5:G182))-N5</f>
        <v>701246641.81901896</v>
      </c>
    </row>
    <row r="3" spans="1:21" ht="14.4" thickBot="1">
      <c r="A3" s="511">
        <f>SUM(A7:A24)</f>
        <v>0.97778829412978119</v>
      </c>
      <c r="C3" s="389">
        <f>'ETF Update'!D11*1000</f>
        <v>702340000</v>
      </c>
    </row>
    <row r="4" spans="1:21">
      <c r="A4" s="489" t="s">
        <v>18</v>
      </c>
      <c r="B4" s="486" t="s">
        <v>24</v>
      </c>
      <c r="C4" s="486" t="s">
        <v>19</v>
      </c>
      <c r="D4" s="486" t="s">
        <v>20</v>
      </c>
      <c r="E4" s="486" t="s">
        <v>47</v>
      </c>
      <c r="F4" s="486" t="s">
        <v>234</v>
      </c>
      <c r="G4" s="486" t="s">
        <v>250</v>
      </c>
      <c r="H4" s="486" t="s">
        <v>157</v>
      </c>
      <c r="I4" s="486" t="s">
        <v>52</v>
      </c>
      <c r="J4" s="486" t="s">
        <v>53</v>
      </c>
      <c r="K4" s="486" t="s">
        <v>242</v>
      </c>
      <c r="L4" s="486" t="s">
        <v>243</v>
      </c>
      <c r="M4" s="487" t="s">
        <v>244</v>
      </c>
      <c r="N4" s="490" t="s">
        <v>22</v>
      </c>
    </row>
    <row r="5" spans="1:21" ht="14.4" thickBot="1">
      <c r="A5" s="584">
        <f>G5/$C$2</f>
        <v>2.2361471632246884E-2</v>
      </c>
      <c r="B5" s="408" t="s">
        <v>236</v>
      </c>
      <c r="C5" s="408" t="s">
        <v>237</v>
      </c>
      <c r="D5" s="408">
        <v>1000</v>
      </c>
      <c r="E5" s="462">
        <v>1304.8</v>
      </c>
      <c r="F5" s="463">
        <v>12</v>
      </c>
      <c r="G5" s="464">
        <f>D5*E5*F5</f>
        <v>15657600</v>
      </c>
      <c r="H5" s="462">
        <f>VLOOKUP(TEXT($C5,"@"),XQKGIAP!$A:$L,5,FALSE)</f>
        <v>1304.8</v>
      </c>
      <c r="I5" s="462">
        <f>VLOOKUP(TEXT($C5,"@"),XQKGIAP!$A:$L,6,FALSE)</f>
        <v>1304.8</v>
      </c>
      <c r="J5" s="462">
        <f>VLOOKUP(TEXT($C5,"@"),XQKGIAP!$A:$L,7,FALSE)</f>
        <v>1305.5999999999999</v>
      </c>
      <c r="K5" s="464">
        <f>IF(ISNUMBER(H5)=TRUE,H5*D5*F5,D5*E5*F5)</f>
        <v>15657600</v>
      </c>
      <c r="L5" s="464">
        <f>IF(ISNUMBER(I5)=TRUE,I5*D5*F5,D5*E5*F5)</f>
        <v>15657600</v>
      </c>
      <c r="M5" s="465">
        <f>IF(ISNUMBER(J5)=TRUE,J5*D5*F5,D5*E5*F5)</f>
        <v>15667200</v>
      </c>
      <c r="N5" s="466">
        <f>1.04%/365*(C2+SUM(K5:K171)-SUM(G5:G171))</f>
        <v>19948.520980931506</v>
      </c>
    </row>
    <row r="6" spans="1:21" ht="28.2" thickBot="1">
      <c r="A6" s="585">
        <f t="shared" ref="A6:A23" si="0">G6/$C$2</f>
        <v>0</v>
      </c>
      <c r="B6" s="416" t="s">
        <v>236</v>
      </c>
      <c r="C6" s="416" t="s">
        <v>1751</v>
      </c>
      <c r="D6" s="416">
        <v>1000</v>
      </c>
      <c r="E6" s="467">
        <v>1289</v>
      </c>
      <c r="F6" s="468">
        <v>0</v>
      </c>
      <c r="G6" s="469">
        <f>D6*E6*F6</f>
        <v>0</v>
      </c>
      <c r="H6" s="467">
        <f>VLOOKUP(TEXT($C6,"@"),XQKGIAP!$A:$L,5,FALSE)</f>
        <v>1289</v>
      </c>
      <c r="I6" s="467">
        <f>VLOOKUP(TEXT($C6,"@"),XQKGIAP!$A:$L,6,FALSE)</f>
        <v>1288.5999999999999</v>
      </c>
      <c r="J6" s="467"/>
      <c r="K6" s="469">
        <f>IF(ISNUMBER(H6)=TRUE,H6*D6*F6,D6*E6*F6)</f>
        <v>0</v>
      </c>
      <c r="L6" s="469">
        <f>IF(ISNUMBER(I6)=TRUE,I6*D6*F6,D6*E6*F6)</f>
        <v>0</v>
      </c>
      <c r="M6" s="470">
        <f>IF(ISNUMBER(J6)=TRUE,J6*D6*F6,D6*E6*F6)</f>
        <v>0</v>
      </c>
      <c r="R6" s="471" t="s">
        <v>2771</v>
      </c>
      <c r="S6" s="471" t="s">
        <v>2772</v>
      </c>
      <c r="T6" s="471" t="s">
        <v>2773</v>
      </c>
      <c r="U6" s="471" t="s">
        <v>2774</v>
      </c>
    </row>
    <row r="7" spans="1:21" ht="14.4" thickBot="1">
      <c r="A7" s="586">
        <f t="shared" si="0"/>
        <v>3.3062783843293475E-2</v>
      </c>
      <c r="B7" s="413" t="str">
        <f>S7</f>
        <v>彰銀</v>
      </c>
      <c r="C7" s="413">
        <f>R7</f>
        <v>2801</v>
      </c>
      <c r="D7" s="413">
        <v>1</v>
      </c>
      <c r="E7" s="472">
        <v>21.5</v>
      </c>
      <c r="F7" s="473">
        <f>VLOOKUP(C7,$R$7:$U$30,4,FALSE)</f>
        <v>1076777</v>
      </c>
      <c r="G7" s="473">
        <f>D7*E7*F7</f>
        <v>23150705.5</v>
      </c>
      <c r="H7" s="472">
        <f>VLOOKUP(TEXT($C7,"@"),XQKGIAP!$A:$L,5,FALSE)</f>
        <v>21.5</v>
      </c>
      <c r="I7" s="472">
        <f>VLOOKUP(TEXT($C7,"@"),XQKGIAP!$A:$L,6,FALSE)</f>
        <v>21.5</v>
      </c>
      <c r="J7" s="472">
        <f>VLOOKUP(TEXT($C7,"@"),XQKGIAP!$A:$L,7,FALSE)</f>
        <v>21.6</v>
      </c>
      <c r="K7" s="473">
        <f>IF(ISNUMBER(H7)=TRUE,H7*D7*F7,D7*E7*F7)</f>
        <v>23150705.5</v>
      </c>
      <c r="L7" s="473">
        <f>IF(ISNUMBER(I7)=TRUE,I7*D7*F7,D7*E7*F7)</f>
        <v>23150705.5</v>
      </c>
      <c r="M7" s="474">
        <f>IF(ISNUMBER(J7)=TRUE,J7*D7*F7,D7*E7*F7)</f>
        <v>23258383.200000003</v>
      </c>
      <c r="R7" s="475">
        <v>2801</v>
      </c>
      <c r="S7" s="476" t="s">
        <v>183</v>
      </c>
      <c r="T7" s="477">
        <v>3.31</v>
      </c>
      <c r="U7" s="478">
        <v>1076777</v>
      </c>
    </row>
    <row r="8" spans="1:21" ht="14.4" thickBot="1">
      <c r="A8" s="587">
        <f t="shared" si="0"/>
        <v>1.9327788378833623E-2</v>
      </c>
      <c r="B8" s="408" t="str">
        <f t="shared" ref="B8:B23" si="1">S8</f>
        <v>中壽</v>
      </c>
      <c r="C8" s="408">
        <f t="shared" ref="C8:C23" si="2">R8</f>
        <v>2823</v>
      </c>
      <c r="D8" s="408">
        <v>1</v>
      </c>
      <c r="E8" s="462">
        <v>25.75</v>
      </c>
      <c r="F8" s="464">
        <f t="shared" ref="F8:F23" si="3">VLOOKUP(C8,$R$7:$U$30,4,FALSE)</f>
        <v>525569</v>
      </c>
      <c r="G8" s="464">
        <f t="shared" ref="G8:G21" si="4">D8*E8*F8</f>
        <v>13533401.75</v>
      </c>
      <c r="H8" s="462">
        <f>VLOOKUP(TEXT($C8,"@"),XQKGIAP!$A:$L,5,FALSE)</f>
        <v>25.75</v>
      </c>
      <c r="I8" s="462">
        <f>VLOOKUP(TEXT($C8,"@"),XQKGIAP!$A:$L,6,FALSE)</f>
        <v>25.75</v>
      </c>
      <c r="J8" s="462">
        <f>VLOOKUP(TEXT($C8,"@"),XQKGIAP!$A:$L,7,FALSE)</f>
        <v>25.8</v>
      </c>
      <c r="K8" s="464">
        <f t="shared" ref="K8:K21" si="5">IF(ISNUMBER(H8)=TRUE,H8*D8*F8,D8*E8*F8)</f>
        <v>13533401.75</v>
      </c>
      <c r="L8" s="464">
        <f t="shared" ref="L8:L21" si="6">IF(ISNUMBER(I8)=TRUE,I8*D8*F8,D8*E8*F8)</f>
        <v>13533401.75</v>
      </c>
      <c r="M8" s="464">
        <f t="shared" ref="M8:M21" si="7">IF(ISNUMBER(J8)=TRUE,J8*D8*F8,D8*E8*F8)</f>
        <v>13559680.200000001</v>
      </c>
      <c r="R8" s="479">
        <v>2823</v>
      </c>
      <c r="S8" s="480" t="s">
        <v>184</v>
      </c>
      <c r="T8" s="481">
        <v>1.93</v>
      </c>
      <c r="U8" s="482">
        <v>525569</v>
      </c>
    </row>
    <row r="9" spans="1:21" ht="14.4" thickBot="1">
      <c r="A9" s="587">
        <f t="shared" si="0"/>
        <v>1.4905017665535454E-2</v>
      </c>
      <c r="B9" s="408" t="str">
        <f t="shared" si="1"/>
        <v>臺企銀</v>
      </c>
      <c r="C9" s="408">
        <f t="shared" si="2"/>
        <v>2834</v>
      </c>
      <c r="D9" s="408">
        <v>1</v>
      </c>
      <c r="E9" s="462">
        <v>13.6</v>
      </c>
      <c r="F9" s="464">
        <f t="shared" si="3"/>
        <v>767394</v>
      </c>
      <c r="G9" s="464">
        <f t="shared" si="4"/>
        <v>10436558.4</v>
      </c>
      <c r="H9" s="462">
        <f>VLOOKUP(TEXT($C9,"@"),XQKGIAP!$A:$L,5,FALSE)</f>
        <v>13.6</v>
      </c>
      <c r="I9" s="462">
        <f>VLOOKUP(TEXT($C9,"@"),XQKGIAP!$A:$L,6,FALSE)</f>
        <v>13.55</v>
      </c>
      <c r="J9" s="462">
        <f>VLOOKUP(TEXT($C9,"@"),XQKGIAP!$A:$L,7,FALSE)</f>
        <v>13.6</v>
      </c>
      <c r="K9" s="464">
        <f t="shared" si="5"/>
        <v>10436558.4</v>
      </c>
      <c r="L9" s="464">
        <f t="shared" si="6"/>
        <v>10398188.700000001</v>
      </c>
      <c r="M9" s="464">
        <f t="shared" si="7"/>
        <v>10436558.4</v>
      </c>
      <c r="R9" s="475">
        <v>2834</v>
      </c>
      <c r="S9" s="476" t="s">
        <v>204</v>
      </c>
      <c r="T9" s="477">
        <v>1.49</v>
      </c>
      <c r="U9" s="478">
        <v>767394</v>
      </c>
    </row>
    <row r="10" spans="1:21" ht="14.4" thickBot="1">
      <c r="A10" s="587">
        <f t="shared" si="0"/>
        <v>4.5457003814756293E-2</v>
      </c>
      <c r="B10" s="408" t="str">
        <f t="shared" si="1"/>
        <v>華南金</v>
      </c>
      <c r="C10" s="408">
        <f t="shared" si="2"/>
        <v>2880</v>
      </c>
      <c r="D10" s="408">
        <v>1</v>
      </c>
      <c r="E10" s="462">
        <v>21.2</v>
      </c>
      <c r="F10" s="464">
        <f t="shared" si="3"/>
        <v>1501377</v>
      </c>
      <c r="G10" s="464">
        <f t="shared" si="4"/>
        <v>31829192.399999999</v>
      </c>
      <c r="H10" s="462">
        <f>VLOOKUP(TEXT($C10,"@"),XQKGIAP!$A:$L,5,FALSE)</f>
        <v>21.2</v>
      </c>
      <c r="I10" s="462">
        <f>VLOOKUP(TEXT($C10,"@"),XQKGIAP!$A:$L,6,FALSE)</f>
        <v>21.2</v>
      </c>
      <c r="J10" s="462">
        <f>VLOOKUP(TEXT($C10,"@"),XQKGIAP!$A:$L,7,FALSE)</f>
        <v>21.25</v>
      </c>
      <c r="K10" s="464">
        <f t="shared" si="5"/>
        <v>31829192.399999999</v>
      </c>
      <c r="L10" s="464">
        <f t="shared" si="6"/>
        <v>31829192.399999999</v>
      </c>
      <c r="M10" s="464">
        <f t="shared" si="7"/>
        <v>31904261.25</v>
      </c>
      <c r="R10" s="479">
        <v>2880</v>
      </c>
      <c r="S10" s="480" t="s">
        <v>185</v>
      </c>
      <c r="T10" s="481">
        <v>4.55</v>
      </c>
      <c r="U10" s="482">
        <v>1501377</v>
      </c>
    </row>
    <row r="11" spans="1:21" ht="14.4" thickBot="1">
      <c r="A11" s="587">
        <f t="shared" si="0"/>
        <v>8.3500399796851893E-2</v>
      </c>
      <c r="B11" s="408" t="str">
        <f t="shared" si="1"/>
        <v>富邦金</v>
      </c>
      <c r="C11" s="408">
        <f t="shared" si="2"/>
        <v>2881</v>
      </c>
      <c r="D11" s="408">
        <v>1</v>
      </c>
      <c r="E11" s="462">
        <v>43.95</v>
      </c>
      <c r="F11" s="464">
        <f t="shared" si="3"/>
        <v>1330315</v>
      </c>
      <c r="G11" s="464">
        <f t="shared" si="4"/>
        <v>58467344.250000007</v>
      </c>
      <c r="H11" s="462">
        <f>VLOOKUP(TEXT($C11,"@"),XQKGIAP!$A:$L,5,FALSE)</f>
        <v>43.95</v>
      </c>
      <c r="I11" s="462">
        <f>VLOOKUP(TEXT($C11,"@"),XQKGIAP!$A:$L,6,FALSE)</f>
        <v>43.95</v>
      </c>
      <c r="J11" s="462">
        <f>VLOOKUP(TEXT($C11,"@"),XQKGIAP!$A:$L,7,FALSE)</f>
        <v>44</v>
      </c>
      <c r="K11" s="464">
        <f t="shared" si="5"/>
        <v>58467344.250000007</v>
      </c>
      <c r="L11" s="464">
        <f t="shared" si="6"/>
        <v>58467344.250000007</v>
      </c>
      <c r="M11" s="464">
        <f t="shared" si="7"/>
        <v>58533860</v>
      </c>
      <c r="R11" s="475">
        <v>2881</v>
      </c>
      <c r="S11" s="476" t="s">
        <v>186</v>
      </c>
      <c r="T11" s="477">
        <v>8.35</v>
      </c>
      <c r="U11" s="478">
        <v>1330315</v>
      </c>
    </row>
    <row r="12" spans="1:21" ht="14.4" thickBot="1">
      <c r="A12" s="587">
        <f t="shared" si="0"/>
        <v>8.9596169511443058E-2</v>
      </c>
      <c r="B12" s="408" t="str">
        <f t="shared" si="1"/>
        <v>國泰金</v>
      </c>
      <c r="C12" s="408">
        <f t="shared" si="2"/>
        <v>2882</v>
      </c>
      <c r="D12" s="408">
        <v>1</v>
      </c>
      <c r="E12" s="462">
        <v>41.6</v>
      </c>
      <c r="F12" s="464">
        <f t="shared" si="3"/>
        <v>1508068</v>
      </c>
      <c r="G12" s="464">
        <f t="shared" si="4"/>
        <v>62735628.800000004</v>
      </c>
      <c r="H12" s="462">
        <f>VLOOKUP(TEXT($C12,"@"),XQKGIAP!$A:$L,5,FALSE)</f>
        <v>41.6</v>
      </c>
      <c r="I12" s="462">
        <f>VLOOKUP(TEXT($C12,"@"),XQKGIAP!$A:$L,6,FALSE)</f>
        <v>41.6</v>
      </c>
      <c r="J12" s="462">
        <f>VLOOKUP(TEXT($C12,"@"),XQKGIAP!$A:$L,7,FALSE)</f>
        <v>41.65</v>
      </c>
      <c r="K12" s="464">
        <f t="shared" si="5"/>
        <v>62735628.800000004</v>
      </c>
      <c r="L12" s="464">
        <f t="shared" si="6"/>
        <v>62735628.800000004</v>
      </c>
      <c r="M12" s="464">
        <f t="shared" si="7"/>
        <v>62811032.199999996</v>
      </c>
      <c r="R12" s="479">
        <v>2882</v>
      </c>
      <c r="S12" s="480" t="s">
        <v>187</v>
      </c>
      <c r="T12" s="481">
        <v>8.9600000000000009</v>
      </c>
      <c r="U12" s="482">
        <v>1508068</v>
      </c>
    </row>
    <row r="13" spans="1:21" ht="14.4" thickBot="1">
      <c r="A13" s="587">
        <f t="shared" si="0"/>
        <v>3.4190784083988922E-2</v>
      </c>
      <c r="B13" s="408" t="str">
        <f t="shared" si="1"/>
        <v>開發金</v>
      </c>
      <c r="C13" s="408">
        <f t="shared" si="2"/>
        <v>2883</v>
      </c>
      <c r="D13" s="408">
        <v>1</v>
      </c>
      <c r="E13" s="462">
        <v>9.41</v>
      </c>
      <c r="F13" s="464">
        <f t="shared" si="3"/>
        <v>2544159</v>
      </c>
      <c r="G13" s="464">
        <f t="shared" si="4"/>
        <v>23940536.190000001</v>
      </c>
      <c r="H13" s="462">
        <f>VLOOKUP(TEXT($C13,"@"),XQKGIAP!$A:$L,5,FALSE)</f>
        <v>9.41</v>
      </c>
      <c r="I13" s="462">
        <f>VLOOKUP(TEXT($C13,"@"),XQKGIAP!$A:$L,6,FALSE)</f>
        <v>9.41</v>
      </c>
      <c r="J13" s="462">
        <f>VLOOKUP(TEXT($C13,"@"),XQKGIAP!$A:$L,7,FALSE)</f>
        <v>9.42</v>
      </c>
      <c r="K13" s="464">
        <f t="shared" si="5"/>
        <v>23940536.190000001</v>
      </c>
      <c r="L13" s="464">
        <f t="shared" si="6"/>
        <v>23940536.190000001</v>
      </c>
      <c r="M13" s="464">
        <f t="shared" si="7"/>
        <v>23965977.780000001</v>
      </c>
      <c r="R13" s="475">
        <v>2883</v>
      </c>
      <c r="S13" s="476" t="s">
        <v>188</v>
      </c>
      <c r="T13" s="477">
        <v>3.42</v>
      </c>
      <c r="U13" s="478">
        <v>2544159</v>
      </c>
    </row>
    <row r="14" spans="1:21" ht="14.4" thickBot="1">
      <c r="A14" s="587">
        <f t="shared" si="0"/>
        <v>7.6159744737266083E-2</v>
      </c>
      <c r="B14" s="408" t="str">
        <f t="shared" si="1"/>
        <v>玉山金</v>
      </c>
      <c r="C14" s="408">
        <f t="shared" si="2"/>
        <v>2884</v>
      </c>
      <c r="D14" s="408">
        <v>1</v>
      </c>
      <c r="E14" s="462">
        <v>27.35</v>
      </c>
      <c r="F14" s="464">
        <f t="shared" si="3"/>
        <v>1949813</v>
      </c>
      <c r="G14" s="464">
        <f t="shared" si="4"/>
        <v>53327385.550000004</v>
      </c>
      <c r="H14" s="462">
        <f>VLOOKUP(TEXT($C14,"@"),XQKGIAP!$A:$L,5,FALSE)</f>
        <v>27.35</v>
      </c>
      <c r="I14" s="462">
        <f>VLOOKUP(TEXT($C14,"@"),XQKGIAP!$A:$L,6,FALSE)</f>
        <v>27.3</v>
      </c>
      <c r="J14" s="462">
        <f>VLOOKUP(TEXT($C14,"@"),XQKGIAP!$A:$L,7,FALSE)</f>
        <v>27.35</v>
      </c>
      <c r="K14" s="464">
        <f t="shared" si="5"/>
        <v>53327385.550000004</v>
      </c>
      <c r="L14" s="464">
        <f t="shared" si="6"/>
        <v>53229894.899999999</v>
      </c>
      <c r="M14" s="464">
        <f t="shared" si="7"/>
        <v>53327385.550000004</v>
      </c>
      <c r="R14" s="479">
        <v>2884</v>
      </c>
      <c r="S14" s="480" t="s">
        <v>189</v>
      </c>
      <c r="T14" s="481">
        <v>7.62</v>
      </c>
      <c r="U14" s="482">
        <v>1949813</v>
      </c>
    </row>
    <row r="15" spans="1:21" ht="14.4" thickBot="1">
      <c r="A15" s="587">
        <f t="shared" si="0"/>
        <v>5.121208335001478E-2</v>
      </c>
      <c r="B15" s="408" t="str">
        <f t="shared" si="1"/>
        <v>元大金</v>
      </c>
      <c r="C15" s="408">
        <f t="shared" si="2"/>
        <v>2885</v>
      </c>
      <c r="D15" s="408">
        <v>1</v>
      </c>
      <c r="E15" s="462">
        <v>18.05</v>
      </c>
      <c r="F15" s="464">
        <f t="shared" si="3"/>
        <v>1986644</v>
      </c>
      <c r="G15" s="464">
        <f t="shared" si="4"/>
        <v>35858924.200000003</v>
      </c>
      <c r="H15" s="462">
        <f>VLOOKUP(TEXT($C15,"@"),XQKGIAP!$A:$L,5,FALSE)</f>
        <v>18.05</v>
      </c>
      <c r="I15" s="462">
        <f>VLOOKUP(TEXT($C15,"@"),XQKGIAP!$A:$L,6,FALSE)</f>
        <v>18</v>
      </c>
      <c r="J15" s="462">
        <f>VLOOKUP(TEXT($C15,"@"),XQKGIAP!$A:$L,7,FALSE)</f>
        <v>18.05</v>
      </c>
      <c r="K15" s="464">
        <f t="shared" si="5"/>
        <v>35858924.200000003</v>
      </c>
      <c r="L15" s="464">
        <f t="shared" si="6"/>
        <v>35759592</v>
      </c>
      <c r="M15" s="464">
        <f t="shared" si="7"/>
        <v>35858924.200000003</v>
      </c>
      <c r="R15" s="475">
        <v>2885</v>
      </c>
      <c r="S15" s="476" t="s">
        <v>190</v>
      </c>
      <c r="T15" s="477">
        <v>5.12</v>
      </c>
      <c r="U15" s="478">
        <v>1986644</v>
      </c>
    </row>
    <row r="16" spans="1:21" ht="14.4" thickBot="1">
      <c r="A16" s="587">
        <f t="shared" si="0"/>
        <v>9.9002301560923003E-2</v>
      </c>
      <c r="B16" s="408" t="str">
        <f t="shared" si="1"/>
        <v>兆豐金</v>
      </c>
      <c r="C16" s="408">
        <f t="shared" si="2"/>
        <v>2886</v>
      </c>
      <c r="D16" s="408">
        <v>1</v>
      </c>
      <c r="E16" s="462">
        <v>31.85</v>
      </c>
      <c r="F16" s="464">
        <f t="shared" si="3"/>
        <v>2176510</v>
      </c>
      <c r="G16" s="464">
        <f t="shared" si="4"/>
        <v>69321843.5</v>
      </c>
      <c r="H16" s="462">
        <f>VLOOKUP(TEXT($C16,"@"),XQKGIAP!$A:$L,5,FALSE)</f>
        <v>31.85</v>
      </c>
      <c r="I16" s="462">
        <f>VLOOKUP(TEXT($C16,"@"),XQKGIAP!$A:$L,6,FALSE)</f>
        <v>31.85</v>
      </c>
      <c r="J16" s="462">
        <f>VLOOKUP(TEXT($C16,"@"),XQKGIAP!$A:$L,7,FALSE)</f>
        <v>31.9</v>
      </c>
      <c r="K16" s="464">
        <f t="shared" si="5"/>
        <v>69321843.5</v>
      </c>
      <c r="L16" s="464">
        <f t="shared" si="6"/>
        <v>69321843.5</v>
      </c>
      <c r="M16" s="464">
        <f t="shared" si="7"/>
        <v>69430669</v>
      </c>
      <c r="R16" s="479">
        <v>2886</v>
      </c>
      <c r="S16" s="480" t="s">
        <v>191</v>
      </c>
      <c r="T16" s="481">
        <v>9.9</v>
      </c>
      <c r="U16" s="482">
        <v>2176510</v>
      </c>
    </row>
    <row r="17" spans="1:21" ht="14.4" thickBot="1">
      <c r="A17" s="587">
        <f t="shared" si="0"/>
        <v>3.905277122644836E-2</v>
      </c>
      <c r="B17" s="408" t="str">
        <f t="shared" si="1"/>
        <v>台新金</v>
      </c>
      <c r="C17" s="408">
        <f t="shared" si="2"/>
        <v>2887</v>
      </c>
      <c r="D17" s="408">
        <v>1</v>
      </c>
      <c r="E17" s="462">
        <v>14.55</v>
      </c>
      <c r="F17" s="464">
        <f t="shared" si="3"/>
        <v>1879376</v>
      </c>
      <c r="G17" s="464">
        <f t="shared" si="4"/>
        <v>27344920.800000001</v>
      </c>
      <c r="H17" s="462">
        <f>VLOOKUP(TEXT($C17,"@"),XQKGIAP!$A:$L,5,FALSE)</f>
        <v>14.55</v>
      </c>
      <c r="I17" s="462">
        <f>VLOOKUP(TEXT($C17,"@"),XQKGIAP!$A:$L,6,FALSE)</f>
        <v>14.55</v>
      </c>
      <c r="J17" s="462">
        <f>VLOOKUP(TEXT($C17,"@"),XQKGIAP!$A:$L,7,FALSE)</f>
        <v>14.6</v>
      </c>
      <c r="K17" s="464">
        <f t="shared" si="5"/>
        <v>27344920.800000001</v>
      </c>
      <c r="L17" s="464">
        <f t="shared" si="6"/>
        <v>27344920.800000001</v>
      </c>
      <c r="M17" s="464">
        <f t="shared" si="7"/>
        <v>27438889.599999998</v>
      </c>
      <c r="R17" s="475">
        <v>2887</v>
      </c>
      <c r="S17" s="476" t="s">
        <v>192</v>
      </c>
      <c r="T17" s="477">
        <v>3.91</v>
      </c>
      <c r="U17" s="478">
        <v>1879376</v>
      </c>
    </row>
    <row r="18" spans="1:21" ht="14.4" thickBot="1">
      <c r="A18" s="587">
        <f t="shared" si="0"/>
        <v>2.7841581372722753E-2</v>
      </c>
      <c r="B18" s="408" t="str">
        <f t="shared" si="1"/>
        <v>新光金</v>
      </c>
      <c r="C18" s="408">
        <f t="shared" si="2"/>
        <v>2888</v>
      </c>
      <c r="D18" s="408">
        <v>1</v>
      </c>
      <c r="E18" s="462">
        <v>9.35</v>
      </c>
      <c r="F18" s="464">
        <f t="shared" si="3"/>
        <v>2085005</v>
      </c>
      <c r="G18" s="464">
        <f t="shared" si="4"/>
        <v>19494796.75</v>
      </c>
      <c r="H18" s="462">
        <f>VLOOKUP(TEXT($C18,"@"),XQKGIAP!$A:$L,5,FALSE)</f>
        <v>9.35</v>
      </c>
      <c r="I18" s="462">
        <f>VLOOKUP(TEXT($C18,"@"),XQKGIAP!$A:$L,6,FALSE)</f>
        <v>9.35</v>
      </c>
      <c r="J18" s="462">
        <f>VLOOKUP(TEXT($C18,"@"),XQKGIAP!$A:$L,7,FALSE)</f>
        <v>9.36</v>
      </c>
      <c r="K18" s="464">
        <f t="shared" si="5"/>
        <v>19494796.75</v>
      </c>
      <c r="L18" s="464">
        <f t="shared" si="6"/>
        <v>19494796.75</v>
      </c>
      <c r="M18" s="464">
        <f t="shared" si="7"/>
        <v>19515646.799999997</v>
      </c>
      <c r="R18" s="479">
        <v>2888</v>
      </c>
      <c r="S18" s="480" t="s">
        <v>205</v>
      </c>
      <c r="T18" s="481">
        <v>2.78</v>
      </c>
      <c r="U18" s="482">
        <v>2085005</v>
      </c>
    </row>
    <row r="19" spans="1:21" ht="14.4" thickBot="1">
      <c r="A19" s="587">
        <f t="shared" si="0"/>
        <v>3.8238568502036024E-2</v>
      </c>
      <c r="B19" s="408" t="str">
        <f t="shared" si="1"/>
        <v>永豐金</v>
      </c>
      <c r="C19" s="408">
        <f t="shared" si="2"/>
        <v>2890</v>
      </c>
      <c r="D19" s="408">
        <v>1</v>
      </c>
      <c r="E19" s="462">
        <v>12.5</v>
      </c>
      <c r="F19" s="464">
        <f t="shared" si="3"/>
        <v>2141985</v>
      </c>
      <c r="G19" s="464">
        <f t="shared" si="4"/>
        <v>26774812.5</v>
      </c>
      <c r="H19" s="462">
        <f>VLOOKUP(TEXT($C19,"@"),XQKGIAP!$A:$L,5,FALSE)</f>
        <v>12.5</v>
      </c>
      <c r="I19" s="462">
        <f>VLOOKUP(TEXT($C19,"@"),XQKGIAP!$A:$L,6,FALSE)</f>
        <v>12.5</v>
      </c>
      <c r="J19" s="462">
        <f>VLOOKUP(TEXT($C19,"@"),XQKGIAP!$A:$L,7,FALSE)</f>
        <v>12.55</v>
      </c>
      <c r="K19" s="464">
        <f t="shared" si="5"/>
        <v>26774812.5</v>
      </c>
      <c r="L19" s="464">
        <f t="shared" si="6"/>
        <v>26774812.5</v>
      </c>
      <c r="M19" s="464">
        <f t="shared" si="7"/>
        <v>26881911.75</v>
      </c>
      <c r="R19" s="475">
        <v>2890</v>
      </c>
      <c r="S19" s="476" t="s">
        <v>193</v>
      </c>
      <c r="T19" s="477">
        <v>3.82</v>
      </c>
      <c r="U19" s="478">
        <v>2141985</v>
      </c>
    </row>
    <row r="20" spans="1:21" ht="14.4" thickBot="1">
      <c r="A20" s="587">
        <f t="shared" si="0"/>
        <v>0.11428198198759297</v>
      </c>
      <c r="B20" s="408" t="str">
        <f t="shared" si="1"/>
        <v>中信金</v>
      </c>
      <c r="C20" s="408">
        <f t="shared" si="2"/>
        <v>2891</v>
      </c>
      <c r="D20" s="408">
        <v>1</v>
      </c>
      <c r="E20" s="462">
        <v>21.6</v>
      </c>
      <c r="F20" s="464">
        <f t="shared" si="3"/>
        <v>3704664</v>
      </c>
      <c r="G20" s="464">
        <f t="shared" si="4"/>
        <v>80020742.400000006</v>
      </c>
      <c r="H20" s="462">
        <f>VLOOKUP(TEXT($C20,"@"),XQKGIAP!$A:$L,5,FALSE)</f>
        <v>21.6</v>
      </c>
      <c r="I20" s="462">
        <f>VLOOKUP(TEXT($C20,"@"),XQKGIAP!$A:$L,6,FALSE)</f>
        <v>21.6</v>
      </c>
      <c r="J20" s="462">
        <f>VLOOKUP(TEXT($C20,"@"),XQKGIAP!$A:$L,7,FALSE)</f>
        <v>21.65</v>
      </c>
      <c r="K20" s="464">
        <f t="shared" si="5"/>
        <v>80020742.400000006</v>
      </c>
      <c r="L20" s="464">
        <f t="shared" si="6"/>
        <v>80020742.400000006</v>
      </c>
      <c r="M20" s="464">
        <f t="shared" si="7"/>
        <v>80205975.599999994</v>
      </c>
      <c r="R20" s="479">
        <v>2891</v>
      </c>
      <c r="S20" s="480" t="s">
        <v>194</v>
      </c>
      <c r="T20" s="481">
        <v>11.43</v>
      </c>
      <c r="U20" s="482">
        <v>3704664</v>
      </c>
    </row>
    <row r="21" spans="1:21" ht="14.4" thickBot="1">
      <c r="A21" s="587">
        <f t="shared" si="0"/>
        <v>6.4451348755734619E-2</v>
      </c>
      <c r="B21" s="408" t="str">
        <f t="shared" si="1"/>
        <v>第一金</v>
      </c>
      <c r="C21" s="408">
        <f t="shared" si="2"/>
        <v>2892</v>
      </c>
      <c r="D21" s="408">
        <v>1</v>
      </c>
      <c r="E21" s="462">
        <v>22.85</v>
      </c>
      <c r="F21" s="464">
        <f t="shared" si="3"/>
        <v>1975016</v>
      </c>
      <c r="G21" s="464">
        <f t="shared" si="4"/>
        <v>45129115.600000001</v>
      </c>
      <c r="H21" s="462">
        <f>VLOOKUP(TEXT($C21,"@"),XQKGIAP!$A:$L,5,FALSE)</f>
        <v>22.85</v>
      </c>
      <c r="I21" s="462">
        <f>VLOOKUP(TEXT($C21,"@"),XQKGIAP!$A:$L,6,FALSE)</f>
        <v>22.85</v>
      </c>
      <c r="J21" s="462">
        <f>VLOOKUP(TEXT($C21,"@"),XQKGIAP!$A:$L,7,FALSE)</f>
        <v>22.9</v>
      </c>
      <c r="K21" s="464">
        <f t="shared" si="5"/>
        <v>45129115.600000001</v>
      </c>
      <c r="L21" s="464">
        <f t="shared" si="6"/>
        <v>45129115.600000001</v>
      </c>
      <c r="M21" s="464">
        <f t="shared" si="7"/>
        <v>45227866.399999999</v>
      </c>
      <c r="R21" s="475">
        <v>2892</v>
      </c>
      <c r="S21" s="476" t="s">
        <v>195</v>
      </c>
      <c r="T21" s="477">
        <v>6.45</v>
      </c>
      <c r="U21" s="478">
        <v>1975016</v>
      </c>
    </row>
    <row r="22" spans="1:21" ht="14.4" thickBot="1">
      <c r="A22" s="587">
        <f t="shared" si="0"/>
        <v>4.4848370931958904E-2</v>
      </c>
      <c r="B22" s="408" t="str">
        <f t="shared" si="1"/>
        <v>中租-KY</v>
      </c>
      <c r="C22" s="408">
        <f t="shared" si="2"/>
        <v>5871</v>
      </c>
      <c r="D22" s="408">
        <v>1</v>
      </c>
      <c r="E22" s="462">
        <v>135</v>
      </c>
      <c r="F22" s="464">
        <f t="shared" si="3"/>
        <v>232615</v>
      </c>
      <c r="G22" s="464">
        <f>D22*E22*F22</f>
        <v>31403025</v>
      </c>
      <c r="H22" s="462">
        <f>VLOOKUP(TEXT($C22,"@"),XQKGIAP!$A:$L,5,FALSE)</f>
        <v>135</v>
      </c>
      <c r="I22" s="462">
        <f>VLOOKUP(TEXT($C22,"@"),XQKGIAP!$A:$L,6,FALSE)</f>
        <v>134.5</v>
      </c>
      <c r="J22" s="462">
        <f>VLOOKUP(TEXT($C22,"@"),XQKGIAP!$A:$L,7,FALSE)</f>
        <v>135</v>
      </c>
      <c r="K22" s="464">
        <f>IF(ISNUMBER(H22)=TRUE,H22*D22*F22,D22*E22*F22)</f>
        <v>31403025</v>
      </c>
      <c r="L22" s="464">
        <f>IF(ISNUMBER(I22)=TRUE,I22*D22*F22,D22*E22*F22)</f>
        <v>31286717.5</v>
      </c>
      <c r="M22" s="464">
        <f>IF(ISNUMBER(J22)=TRUE,J22*D22*F22,D22*E22*F22)</f>
        <v>31403025</v>
      </c>
      <c r="R22" s="479">
        <v>5871</v>
      </c>
      <c r="S22" s="480" t="s">
        <v>206</v>
      </c>
      <c r="T22" s="481">
        <v>4.4800000000000004</v>
      </c>
      <c r="U22" s="482">
        <v>232615</v>
      </c>
    </row>
    <row r="23" spans="1:21" ht="14.4" thickBot="1">
      <c r="A23" s="587">
        <f t="shared" si="0"/>
        <v>5.025105506233471E-2</v>
      </c>
      <c r="B23" s="408" t="str">
        <f t="shared" si="1"/>
        <v>上海商銀</v>
      </c>
      <c r="C23" s="408">
        <f t="shared" si="2"/>
        <v>5876</v>
      </c>
      <c r="D23" s="408">
        <v>1</v>
      </c>
      <c r="E23" s="462">
        <v>57.2</v>
      </c>
      <c r="F23" s="464">
        <f t="shared" si="3"/>
        <v>615140</v>
      </c>
      <c r="G23" s="464">
        <f>D23*E23*F23</f>
        <v>35186008</v>
      </c>
      <c r="H23" s="462">
        <f>VLOOKUP(TEXT($C23,"@"),XQKGIAP!$A:$L,5,FALSE)</f>
        <v>57.2</v>
      </c>
      <c r="I23" s="462">
        <f>VLOOKUP(TEXT($C23,"@"),XQKGIAP!$A:$L,6,FALSE)</f>
        <v>57.2</v>
      </c>
      <c r="J23" s="462">
        <f>VLOOKUP(TEXT($C23,"@"),XQKGIAP!$A:$L,7,FALSE)</f>
        <v>57.3</v>
      </c>
      <c r="K23" s="464">
        <f>IF(ISNUMBER(H23)=TRUE,H23*D23*F23,D23*E23*F23)</f>
        <v>35186008</v>
      </c>
      <c r="L23" s="464">
        <f>IF(ISNUMBER(I23)=TRUE,I23*D23*F23,D23*E23*F23)</f>
        <v>35186008</v>
      </c>
      <c r="M23" s="464">
        <f>IF(ISNUMBER(J23)=TRUE,J23*D23*F23,D23*E23*F23)</f>
        <v>35247522</v>
      </c>
      <c r="R23" s="475">
        <v>5876</v>
      </c>
      <c r="S23" s="476" t="s">
        <v>1831</v>
      </c>
      <c r="T23" s="477">
        <v>5.03</v>
      </c>
      <c r="U23" s="478">
        <v>615140</v>
      </c>
    </row>
    <row r="24" spans="1:21" ht="14.4" thickBot="1">
      <c r="A24" s="587">
        <f t="shared" ref="A24" si="8">G24/$C$2</f>
        <v>5.240853954804621E-2</v>
      </c>
      <c r="B24" s="408" t="str">
        <f t="shared" ref="B24" si="9">S24</f>
        <v>合庫金</v>
      </c>
      <c r="C24" s="408">
        <f t="shared" ref="C24" si="10">R24</f>
        <v>5880</v>
      </c>
      <c r="D24" s="408">
        <v>1</v>
      </c>
      <c r="E24" s="462">
        <v>20.85</v>
      </c>
      <c r="F24" s="464">
        <f t="shared" ref="F24" si="11">VLOOKUP(C24,$R$7:$U$30,4,FALSE)</f>
        <v>1760033</v>
      </c>
      <c r="G24" s="464">
        <f>D24*E24*F24</f>
        <v>36696688.050000004</v>
      </c>
      <c r="H24" s="462">
        <f>VLOOKUP(TEXT($C24,"@"),XQKGIAP!$A:$L,5,FALSE)</f>
        <v>20.8</v>
      </c>
      <c r="I24" s="462">
        <f>VLOOKUP(TEXT($C24,"@"),XQKGIAP!$A:$L,6,FALSE)</f>
        <v>20.8</v>
      </c>
      <c r="J24" s="462">
        <f>VLOOKUP(TEXT($C24,"@"),XQKGIAP!$A:$L,7,FALSE)</f>
        <v>20.85</v>
      </c>
      <c r="K24" s="464">
        <f>IF(ISNUMBER(H24)=TRUE,H24*D24*F24,D24*E24*F24)</f>
        <v>36608686.399999999</v>
      </c>
      <c r="L24" s="464">
        <f>IF(ISNUMBER(I24)=TRUE,I24*D24*F24,D24*E24*F24)</f>
        <v>36608686.399999999</v>
      </c>
      <c r="M24" s="464">
        <f>IF(ISNUMBER(J24)=TRUE,J24*D24*F24,D24*E24*F24)</f>
        <v>36696688.050000004</v>
      </c>
      <c r="R24" s="479">
        <v>5880</v>
      </c>
      <c r="S24" s="480" t="s">
        <v>201</v>
      </c>
      <c r="T24" s="481">
        <v>5.23</v>
      </c>
      <c r="U24" s="482">
        <v>1760033</v>
      </c>
    </row>
    <row r="29" spans="1:21" s="404" customFormat="1">
      <c r="H29" s="449"/>
      <c r="I29" s="449"/>
      <c r="J29" s="449"/>
    </row>
  </sheetData>
  <mergeCells count="1">
    <mergeCell ref="F1:F2"/>
  </mergeCells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668545" r:id="rId4" name="CommandButton1">
          <controlPr defaultSize="0" autoLine="0" r:id="rId5">
            <anchor moveWithCells="1">
              <from>
                <xdr:col>14</xdr:col>
                <xdr:colOff>403860</xdr:colOff>
                <xdr:row>5</xdr:row>
                <xdr:rowOff>38100</xdr:rowOff>
              </from>
              <to>
                <xdr:col>15</xdr:col>
                <xdr:colOff>563880</xdr:colOff>
                <xdr:row>5</xdr:row>
                <xdr:rowOff>312420</xdr:rowOff>
              </to>
            </anchor>
          </controlPr>
        </control>
      </mc:Choice>
      <mc:Fallback>
        <control shapeId="34668545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</sheetPr>
  <dimension ref="A1:V36"/>
  <sheetViews>
    <sheetView zoomScale="70" zoomScaleNormal="70" workbookViewId="0">
      <pane xSplit="14088" topLeftCell="U1"/>
      <selection activeCell="H10" sqref="H10"/>
      <selection pane="topRight" activeCell="U7" sqref="U7:U36"/>
    </sheetView>
  </sheetViews>
  <sheetFormatPr defaultRowHeight="13.8"/>
  <cols>
    <col min="1" max="1" width="9" style="389" bestFit="1" customWidth="1"/>
    <col min="2" max="2" width="15.44140625" style="389" customWidth="1"/>
    <col min="3" max="3" width="16.6640625" style="389" customWidth="1"/>
    <col min="4" max="4" width="14.6640625" style="389" customWidth="1"/>
    <col min="5" max="6" width="15.21875" style="389" customWidth="1"/>
    <col min="7" max="7" width="14.77734375" style="389" customWidth="1"/>
    <col min="8" max="8" width="9.88671875" style="389" customWidth="1"/>
    <col min="9" max="9" width="11.6640625" style="389" customWidth="1"/>
    <col min="10" max="11" width="19.109375" style="389" customWidth="1"/>
    <col min="12" max="12" width="21.109375" style="389" customWidth="1"/>
    <col min="13" max="13" width="19.6640625" style="389" customWidth="1"/>
    <col min="14" max="14" width="12.77734375" style="389" customWidth="1"/>
    <col min="15" max="18" width="8.88671875" style="389"/>
    <col min="19" max="19" width="9" style="389" bestFit="1" customWidth="1"/>
    <col min="20" max="20" width="8.88671875" style="389"/>
    <col min="21" max="21" width="9" style="389" bestFit="1" customWidth="1"/>
    <col min="22" max="22" width="11.44140625" style="389" bestFit="1" customWidth="1"/>
    <col min="23" max="16384" width="8.88671875" style="389"/>
  </cols>
  <sheetData>
    <row r="1" spans="1:22">
      <c r="A1" s="483" t="s">
        <v>238</v>
      </c>
      <c r="B1" s="483" t="s">
        <v>322</v>
      </c>
      <c r="C1" s="483" t="s">
        <v>248</v>
      </c>
      <c r="D1" s="483" t="s">
        <v>2834</v>
      </c>
      <c r="E1" s="484" t="s">
        <v>249</v>
      </c>
      <c r="F1" s="575" t="s">
        <v>320</v>
      </c>
      <c r="G1" s="485" t="s">
        <v>157</v>
      </c>
      <c r="H1" s="486" t="s">
        <v>239</v>
      </c>
      <c r="I1" s="487" t="s">
        <v>240</v>
      </c>
      <c r="J1" s="488" t="s">
        <v>251</v>
      </c>
      <c r="K1" s="483" t="s">
        <v>246</v>
      </c>
      <c r="L1" s="483" t="s">
        <v>247</v>
      </c>
    </row>
    <row r="2" spans="1:22" ht="14.4" thickBot="1">
      <c r="A2" s="453" t="s">
        <v>241</v>
      </c>
      <c r="B2" s="454">
        <f>C2/100000000</f>
        <v>227.87629214</v>
      </c>
      <c r="C2" s="455">
        <v>22787629214</v>
      </c>
      <c r="D2" s="455">
        <v>835034</v>
      </c>
      <c r="E2" s="456">
        <f>'ETF Update'!C12</f>
        <v>27.25</v>
      </c>
      <c r="F2" s="576"/>
      <c r="G2" s="457">
        <f>J2/D2/1000</f>
        <v>27.28868515850499</v>
      </c>
      <c r="H2" s="458">
        <f>K2/D2/1000</f>
        <v>27.277090154768619</v>
      </c>
      <c r="I2" s="459">
        <f>L2/D2/1000</f>
        <v>27.334695428026951</v>
      </c>
      <c r="J2" s="583">
        <f>C2+(SUM(K5:K196)-SUM(G5:G195))-N5</f>
        <v>22786979922.647053</v>
      </c>
      <c r="K2" s="464">
        <f>C2+(SUM(L5:L196)-SUM(G5:G196))-N5</f>
        <v>22777297700.297058</v>
      </c>
      <c r="L2" s="464">
        <f>C2+(SUM(M5:M196)-SUM(G5:G196))-N5</f>
        <v>22825400062.047054</v>
      </c>
    </row>
    <row r="3" spans="1:22" ht="14.4" thickBot="1">
      <c r="A3" s="389" t="s">
        <v>2802</v>
      </c>
      <c r="B3" s="511">
        <f>SUM(A7:A36)</f>
        <v>0.97993211817668846</v>
      </c>
    </row>
    <row r="4" spans="1:22" s="452" customFormat="1">
      <c r="A4" s="489" t="s">
        <v>18</v>
      </c>
      <c r="B4" s="486" t="s">
        <v>24</v>
      </c>
      <c r="C4" s="486" t="s">
        <v>19</v>
      </c>
      <c r="D4" s="486" t="s">
        <v>20</v>
      </c>
      <c r="E4" s="486" t="s">
        <v>47</v>
      </c>
      <c r="F4" s="486" t="s">
        <v>234</v>
      </c>
      <c r="G4" s="486" t="s">
        <v>290</v>
      </c>
      <c r="H4" s="486" t="s">
        <v>157</v>
      </c>
      <c r="I4" s="486" t="s">
        <v>52</v>
      </c>
      <c r="J4" s="486" t="s">
        <v>53</v>
      </c>
      <c r="K4" s="486" t="s">
        <v>242</v>
      </c>
      <c r="L4" s="487" t="s">
        <v>243</v>
      </c>
      <c r="M4" s="490" t="s">
        <v>244</v>
      </c>
      <c r="N4" s="490" t="s">
        <v>22</v>
      </c>
    </row>
    <row r="5" spans="1:22" ht="14.4" thickBot="1">
      <c r="A5" s="504">
        <f>G5/$C$2</f>
        <v>3.4534878227547763E-2</v>
      </c>
      <c r="B5" s="408" t="s">
        <v>2787</v>
      </c>
      <c r="C5" s="408" t="s">
        <v>233</v>
      </c>
      <c r="D5" s="408">
        <v>200</v>
      </c>
      <c r="E5" s="463">
        <v>10810</v>
      </c>
      <c r="F5" s="463">
        <v>364</v>
      </c>
      <c r="G5" s="463">
        <f>D5*E5*F5</f>
        <v>786968000</v>
      </c>
      <c r="H5" s="463">
        <f>VLOOKUP(TEXT($C5,"@"),XQKGIAP!$A:$L,5,FALSE)</f>
        <v>10810</v>
      </c>
      <c r="I5" s="463">
        <f>VLOOKUP(TEXT($C5,"@"),XQKGIAP!$A:$L,6,FALSE)</f>
        <v>10810</v>
      </c>
      <c r="J5" s="463">
        <f>VLOOKUP(TEXT($C5,"@"),XQKGIAP!$A:$L,7,FALSE)</f>
        <v>10812</v>
      </c>
      <c r="K5" s="463">
        <f>IF(ISNUMBER(H5)=TRUE,H5*D5*F5,D5*E5*F5)</f>
        <v>786968000</v>
      </c>
      <c r="L5" s="505">
        <f>IF(ISNUMBER(I5)=TRUE,I5*D5*F5,D5*E5*F5)</f>
        <v>786968000</v>
      </c>
      <c r="M5" s="588">
        <f>IF(ISNUMBER(J5)=TRUE,J5*D5*F5,D5*E5*F5)</f>
        <v>787113600</v>
      </c>
      <c r="N5" s="466">
        <f>1.04%/365*(C2+SUM(K7:K171)-SUM(G7:G171))</f>
        <v>649291.35294684931</v>
      </c>
    </row>
    <row r="6" spans="1:22" ht="13.8" customHeight="1" thickBot="1">
      <c r="A6" s="506">
        <f t="shared" ref="A6:A36" si="0">G6/$C$2</f>
        <v>5.2486723773142044E-3</v>
      </c>
      <c r="B6" s="416" t="s">
        <v>2789</v>
      </c>
      <c r="C6" s="416" t="s">
        <v>591</v>
      </c>
      <c r="D6" s="416">
        <v>200</v>
      </c>
      <c r="E6" s="468">
        <v>10679</v>
      </c>
      <c r="F6" s="468">
        <v>56</v>
      </c>
      <c r="G6" s="468">
        <f>D6*E6*F6</f>
        <v>119604800</v>
      </c>
      <c r="H6" s="468">
        <f>VLOOKUP(TEXT($C6,"@"),XQKGIAP!$A:$L,5,FALSE)</f>
        <v>10679</v>
      </c>
      <c r="I6" s="468">
        <f>VLOOKUP(TEXT($C6,"@"),XQKGIAP!$A:$L,6,FALSE)</f>
        <v>10679</v>
      </c>
      <c r="J6" s="468">
        <f>VLOOKUP(TEXT($C6,"@"),XQKGIAP!$A:$L,7,FALSE)</f>
        <v>10683</v>
      </c>
      <c r="K6" s="468">
        <f>IF(ISNUMBER(H6)=TRUE,H6*D6*F6,D6*E6*F6)</f>
        <v>119604800</v>
      </c>
      <c r="L6" s="507">
        <f>IF(ISNUMBER(I6)=TRUE,I6*D6*F6,D6*E6*F6)</f>
        <v>119604800</v>
      </c>
      <c r="M6" s="589">
        <f>IF(ISNUMBER(J6)=TRUE,J6*D6*F6,D6*E6*F6)</f>
        <v>119649600</v>
      </c>
      <c r="S6" s="471" t="s">
        <v>2771</v>
      </c>
      <c r="T6" s="471" t="s">
        <v>2772</v>
      </c>
      <c r="U6" s="471" t="s">
        <v>2773</v>
      </c>
      <c r="V6" s="471" t="s">
        <v>2774</v>
      </c>
    </row>
    <row r="7" spans="1:22" ht="14.4" thickBot="1">
      <c r="A7" s="508">
        <f>G7/$C$2</f>
        <v>3.6216984568669487E-2</v>
      </c>
      <c r="B7" s="413" t="str">
        <f>T7</f>
        <v>台泥</v>
      </c>
      <c r="C7" s="413">
        <f>S7</f>
        <v>1101</v>
      </c>
      <c r="D7" s="413">
        <v>1</v>
      </c>
      <c r="E7" s="509">
        <v>44.35</v>
      </c>
      <c r="F7" s="473">
        <f>VLOOKUP($C7,$S$6:$V$50,4,FALSE)</f>
        <v>18608776</v>
      </c>
      <c r="G7" s="473">
        <f>D7*E7*F7</f>
        <v>825299215.60000002</v>
      </c>
      <c r="H7" s="509">
        <f>VLOOKUP(TEXT($C7,"@"),XQKGIAP!$A:$L,5,FALSE)</f>
        <v>44.35</v>
      </c>
      <c r="I7" s="509">
        <f>VLOOKUP(TEXT($C7,"@"),XQKGIAP!$A:$L,6,FALSE)</f>
        <v>44.35</v>
      </c>
      <c r="J7" s="509">
        <f>VLOOKUP(TEXT($C7,"@"),XQKGIAP!$A:$L,7,FALSE)</f>
        <v>44.4</v>
      </c>
      <c r="K7" s="473">
        <f>IF(ISNUMBER(H7)=TRUE,H7*D7*F7,D7*E7*F7)</f>
        <v>825299215.60000002</v>
      </c>
      <c r="L7" s="473">
        <f>IF(ISNUMBER(I7)=TRUE,I7*D7*F7,D7*E7*F7)</f>
        <v>825299215.60000002</v>
      </c>
      <c r="M7" s="473">
        <f>IF(ISNUMBER(J7)=TRUE,J7*D7*F7,D7*E7*F7)</f>
        <v>826229654.39999998</v>
      </c>
      <c r="S7" s="475">
        <v>1101</v>
      </c>
      <c r="T7" s="476" t="s">
        <v>158</v>
      </c>
      <c r="U7" s="477">
        <v>3.56</v>
      </c>
      <c r="V7" s="478">
        <v>18608776</v>
      </c>
    </row>
    <row r="8" spans="1:22" ht="14.4" thickBot="1">
      <c r="A8" s="510">
        <f t="shared" si="0"/>
        <v>2.1417193979098068E-2</v>
      </c>
      <c r="B8" s="408" t="str">
        <f t="shared" ref="B8:B36" si="1">T8</f>
        <v>台化</v>
      </c>
      <c r="C8" s="408">
        <f t="shared" ref="C8:C36" si="2">S8</f>
        <v>1326</v>
      </c>
      <c r="D8" s="408">
        <v>1</v>
      </c>
      <c r="E8" s="463">
        <v>98.4</v>
      </c>
      <c r="F8" s="464">
        <f t="shared" ref="F8:F36" si="3">VLOOKUP($C8,$S$6:$V$50,4,FALSE)</f>
        <v>4959828</v>
      </c>
      <c r="G8" s="464">
        <f t="shared" ref="G8:G36" si="4">D8*E8*F8</f>
        <v>488047075.20000005</v>
      </c>
      <c r="H8" s="463">
        <f>VLOOKUP(TEXT($C8,"@"),XQKGIAP!$A:$L,5,FALSE)</f>
        <v>98.4</v>
      </c>
      <c r="I8" s="463">
        <f>VLOOKUP(TEXT($C8,"@"),XQKGIAP!$A:$L,6,FALSE)</f>
        <v>98.4</v>
      </c>
      <c r="J8" s="463">
        <f>VLOOKUP(TEXT($C8,"@"),XQKGIAP!$A:$L,7,FALSE)</f>
        <v>98.5</v>
      </c>
      <c r="K8" s="464">
        <f t="shared" ref="K8:K36" si="5">IF(ISNUMBER(H8)=TRUE,H8*D8*F8,D8*E8*F8)</f>
        <v>488047075.20000005</v>
      </c>
      <c r="L8" s="464">
        <f t="shared" ref="L8:L36" si="6">IF(ISNUMBER(I8)=TRUE,I8*D8*F8,D8*E8*F8)</f>
        <v>488047075.20000005</v>
      </c>
      <c r="M8" s="464">
        <f t="shared" ref="M8:M36" si="7">IF(ISNUMBER(J8)=TRUE,J8*D8*F8,D8*E8*F8)</f>
        <v>488543058</v>
      </c>
      <c r="S8" s="479">
        <v>1326</v>
      </c>
      <c r="T8" s="480" t="s">
        <v>163</v>
      </c>
      <c r="U8" s="481">
        <v>2.11</v>
      </c>
      <c r="V8" s="482">
        <v>4959828</v>
      </c>
    </row>
    <row r="9" spans="1:22" ht="14.4" thickBot="1">
      <c r="A9" s="510">
        <f t="shared" si="0"/>
        <v>3.0504805601845264E-2</v>
      </c>
      <c r="B9" s="408" t="str">
        <f t="shared" si="1"/>
        <v>大成鋼</v>
      </c>
      <c r="C9" s="408">
        <f t="shared" si="2"/>
        <v>2027</v>
      </c>
      <c r="D9" s="408">
        <v>1</v>
      </c>
      <c r="E9" s="463">
        <v>45.15</v>
      </c>
      <c r="F9" s="464">
        <f t="shared" si="3"/>
        <v>15396062</v>
      </c>
      <c r="G9" s="464">
        <f t="shared" si="4"/>
        <v>695132199.29999995</v>
      </c>
      <c r="H9" s="463">
        <f>VLOOKUP(TEXT($C9,"@"),XQKGIAP!$A:$L,5,FALSE)</f>
        <v>45.15</v>
      </c>
      <c r="I9" s="463">
        <f>VLOOKUP(TEXT($C9,"@"),XQKGIAP!$A:$L,6,FALSE)</f>
        <v>45.15</v>
      </c>
      <c r="J9" s="463">
        <f>VLOOKUP(TEXT($C9,"@"),XQKGIAP!$A:$L,7,FALSE)</f>
        <v>45.2</v>
      </c>
      <c r="K9" s="464">
        <f t="shared" si="5"/>
        <v>695132199.29999995</v>
      </c>
      <c r="L9" s="464">
        <f t="shared" si="6"/>
        <v>695132199.29999995</v>
      </c>
      <c r="M9" s="464">
        <f t="shared" si="7"/>
        <v>695902002.4000001</v>
      </c>
      <c r="S9" s="475">
        <v>2027</v>
      </c>
      <c r="T9" s="476" t="s">
        <v>2795</v>
      </c>
      <c r="U9" s="477">
        <v>3</v>
      </c>
      <c r="V9" s="478">
        <v>15396062</v>
      </c>
    </row>
    <row r="10" spans="1:22" ht="14.4" thickBot="1">
      <c r="A10" s="510">
        <f t="shared" si="0"/>
        <v>2.8222822565713877E-2</v>
      </c>
      <c r="B10" s="408" t="str">
        <f t="shared" si="1"/>
        <v>光寶科</v>
      </c>
      <c r="C10" s="408">
        <f t="shared" si="2"/>
        <v>2301</v>
      </c>
      <c r="D10" s="408">
        <v>1</v>
      </c>
      <c r="E10" s="463">
        <v>46.8</v>
      </c>
      <c r="F10" s="464">
        <f t="shared" si="3"/>
        <v>13742120</v>
      </c>
      <c r="G10" s="464">
        <f t="shared" si="4"/>
        <v>643131216</v>
      </c>
      <c r="H10" s="463">
        <f>VLOOKUP(TEXT($C10,"@"),XQKGIAP!$A:$L,5,FALSE)</f>
        <v>46.8</v>
      </c>
      <c r="I10" s="463">
        <f>VLOOKUP(TEXT($C10,"@"),XQKGIAP!$A:$L,6,FALSE)</f>
        <v>46.8</v>
      </c>
      <c r="J10" s="463">
        <f>VLOOKUP(TEXT($C10,"@"),XQKGIAP!$A:$L,7,FALSE)</f>
        <v>46.95</v>
      </c>
      <c r="K10" s="464">
        <f t="shared" si="5"/>
        <v>643131216</v>
      </c>
      <c r="L10" s="464">
        <f t="shared" si="6"/>
        <v>643131216</v>
      </c>
      <c r="M10" s="464">
        <f t="shared" si="7"/>
        <v>645192534</v>
      </c>
      <c r="S10" s="479">
        <v>2301</v>
      </c>
      <c r="T10" s="480" t="s">
        <v>168</v>
      </c>
      <c r="U10" s="481">
        <v>2.78</v>
      </c>
      <c r="V10" s="482">
        <v>13742120</v>
      </c>
    </row>
    <row r="11" spans="1:22" ht="14.4" thickBot="1">
      <c r="A11" s="510">
        <f t="shared" si="0"/>
        <v>2.9219948395988498E-2</v>
      </c>
      <c r="B11" s="408" t="str">
        <f t="shared" si="1"/>
        <v>仁寶</v>
      </c>
      <c r="C11" s="408">
        <f t="shared" si="2"/>
        <v>2324</v>
      </c>
      <c r="D11" s="408">
        <v>1</v>
      </c>
      <c r="E11" s="463">
        <v>20.45</v>
      </c>
      <c r="F11" s="464">
        <f t="shared" si="3"/>
        <v>32560066</v>
      </c>
      <c r="G11" s="464">
        <f t="shared" si="4"/>
        <v>665853349.69999993</v>
      </c>
      <c r="H11" s="463">
        <f>VLOOKUP(TEXT($C11,"@"),XQKGIAP!$A:$L,5,FALSE)</f>
        <v>20.45</v>
      </c>
      <c r="I11" s="463">
        <f>VLOOKUP(TEXT($C11,"@"),XQKGIAP!$A:$L,6,FALSE)</f>
        <v>20.45</v>
      </c>
      <c r="J11" s="463">
        <f>VLOOKUP(TEXT($C11,"@"),XQKGIAP!$A:$L,7,FALSE)</f>
        <v>20.5</v>
      </c>
      <c r="K11" s="464">
        <f t="shared" si="5"/>
        <v>665853349.69999993</v>
      </c>
      <c r="L11" s="464">
        <f t="shared" si="6"/>
        <v>665853349.69999993</v>
      </c>
      <c r="M11" s="464">
        <f t="shared" si="7"/>
        <v>667481353</v>
      </c>
      <c r="S11" s="475">
        <v>2324</v>
      </c>
      <c r="T11" s="476" t="s">
        <v>172</v>
      </c>
      <c r="U11" s="477">
        <v>2.88</v>
      </c>
      <c r="V11" s="478">
        <v>32560066</v>
      </c>
    </row>
    <row r="12" spans="1:22" ht="14.4" thickBot="1">
      <c r="A12" s="510">
        <f t="shared" si="0"/>
        <v>6.2904679312551504E-2</v>
      </c>
      <c r="B12" s="408" t="str">
        <f t="shared" si="1"/>
        <v>國巨</v>
      </c>
      <c r="C12" s="408">
        <f t="shared" si="2"/>
        <v>2327</v>
      </c>
      <c r="D12" s="408">
        <v>1</v>
      </c>
      <c r="E12" s="463">
        <v>273.5</v>
      </c>
      <c r="F12" s="464">
        <f t="shared" si="3"/>
        <v>5241128</v>
      </c>
      <c r="G12" s="464">
        <f t="shared" si="4"/>
        <v>1433448508</v>
      </c>
      <c r="H12" s="463">
        <f>VLOOKUP(TEXT($C12,"@"),XQKGIAP!$A:$L,5,FALSE)</f>
        <v>273.5</v>
      </c>
      <c r="I12" s="463">
        <f>VLOOKUP(TEXT($C12,"@"),XQKGIAP!$A:$L,6,FALSE)</f>
        <v>273.5</v>
      </c>
      <c r="J12" s="463">
        <f>VLOOKUP(TEXT($C12,"@"),XQKGIAP!$A:$L,7,FALSE)</f>
        <v>274</v>
      </c>
      <c r="K12" s="464">
        <f t="shared" si="5"/>
        <v>1433448508</v>
      </c>
      <c r="L12" s="464">
        <f t="shared" si="6"/>
        <v>1433448508</v>
      </c>
      <c r="M12" s="464">
        <f t="shared" si="7"/>
        <v>1436069072</v>
      </c>
      <c r="S12" s="479">
        <v>2327</v>
      </c>
      <c r="T12" s="480" t="s">
        <v>1829</v>
      </c>
      <c r="U12" s="481">
        <v>6.19</v>
      </c>
      <c r="V12" s="482">
        <v>5241128</v>
      </c>
    </row>
    <row r="13" spans="1:22" ht="14.4" thickBot="1">
      <c r="A13" s="510">
        <f t="shared" si="0"/>
        <v>2.7970703062800854E-2</v>
      </c>
      <c r="B13" s="408" t="str">
        <f t="shared" si="1"/>
        <v>聯強</v>
      </c>
      <c r="C13" s="408">
        <f t="shared" si="2"/>
        <v>2347</v>
      </c>
      <c r="D13" s="408">
        <v>1</v>
      </c>
      <c r="E13" s="463">
        <v>39.049999999999997</v>
      </c>
      <c r="F13" s="464">
        <f t="shared" si="3"/>
        <v>16322305</v>
      </c>
      <c r="G13" s="464">
        <f t="shared" si="4"/>
        <v>637386010.25</v>
      </c>
      <c r="H13" s="463">
        <f>VLOOKUP(TEXT($C13,"@"),XQKGIAP!$A:$L,5,FALSE)</f>
        <v>39.049999999999997</v>
      </c>
      <c r="I13" s="463">
        <f>VLOOKUP(TEXT($C13,"@"),XQKGIAP!$A:$L,6,FALSE)</f>
        <v>39.049999999999997</v>
      </c>
      <c r="J13" s="463">
        <f>VLOOKUP(TEXT($C13,"@"),XQKGIAP!$A:$L,7,FALSE)</f>
        <v>39.1</v>
      </c>
      <c r="K13" s="464">
        <f t="shared" si="5"/>
        <v>637386010.25</v>
      </c>
      <c r="L13" s="464">
        <f t="shared" si="6"/>
        <v>637386010.25</v>
      </c>
      <c r="M13" s="464">
        <f t="shared" si="7"/>
        <v>638202125.5</v>
      </c>
      <c r="S13" s="475">
        <v>2347</v>
      </c>
      <c r="T13" s="476" t="s">
        <v>207</v>
      </c>
      <c r="U13" s="477">
        <v>2.75</v>
      </c>
      <c r="V13" s="478">
        <v>16322305</v>
      </c>
    </row>
    <row r="14" spans="1:22" ht="14.4" thickBot="1">
      <c r="A14" s="510">
        <f t="shared" si="0"/>
        <v>3.3975707443244692E-2</v>
      </c>
      <c r="B14" s="408" t="str">
        <f t="shared" si="1"/>
        <v>佳世達</v>
      </c>
      <c r="C14" s="408">
        <f t="shared" si="2"/>
        <v>2352</v>
      </c>
      <c r="D14" s="408">
        <v>1</v>
      </c>
      <c r="E14" s="463">
        <v>20.25</v>
      </c>
      <c r="F14" s="464">
        <f t="shared" si="3"/>
        <v>38233374</v>
      </c>
      <c r="G14" s="464">
        <f t="shared" si="4"/>
        <v>774225823.5</v>
      </c>
      <c r="H14" s="463">
        <f>VLOOKUP(TEXT($C14,"@"),XQKGIAP!$A:$L,5,FALSE)</f>
        <v>20.25</v>
      </c>
      <c r="I14" s="463">
        <f>VLOOKUP(TEXT($C14,"@"),XQKGIAP!$A:$L,6,FALSE)</f>
        <v>20.25</v>
      </c>
      <c r="J14" s="463">
        <f>VLOOKUP(TEXT($C14,"@"),XQKGIAP!$A:$L,7,FALSE)</f>
        <v>20.3</v>
      </c>
      <c r="K14" s="464">
        <f t="shared" si="5"/>
        <v>774225823.5</v>
      </c>
      <c r="L14" s="464">
        <f t="shared" si="6"/>
        <v>774225823.5</v>
      </c>
      <c r="M14" s="464">
        <f t="shared" si="7"/>
        <v>776137492.20000005</v>
      </c>
      <c r="S14" s="479">
        <v>2352</v>
      </c>
      <c r="T14" s="480" t="s">
        <v>2796</v>
      </c>
      <c r="U14" s="481">
        <v>3.34</v>
      </c>
      <c r="V14" s="482">
        <v>38233374</v>
      </c>
    </row>
    <row r="15" spans="1:22" ht="14.4" thickBot="1">
      <c r="A15" s="510">
        <f t="shared" si="0"/>
        <v>3.1378271992889208E-2</v>
      </c>
      <c r="B15" s="408" t="str">
        <f t="shared" si="1"/>
        <v>英業達</v>
      </c>
      <c r="C15" s="408">
        <f t="shared" si="2"/>
        <v>2356</v>
      </c>
      <c r="D15" s="408">
        <v>1</v>
      </c>
      <c r="E15" s="463">
        <v>23.85</v>
      </c>
      <c r="F15" s="464">
        <f t="shared" si="3"/>
        <v>29980563</v>
      </c>
      <c r="G15" s="464">
        <f t="shared" si="4"/>
        <v>715036427.55000007</v>
      </c>
      <c r="H15" s="463">
        <f>VLOOKUP(TEXT($C15,"@"),XQKGIAP!$A:$L,5,FALSE)</f>
        <v>23.85</v>
      </c>
      <c r="I15" s="463">
        <f>VLOOKUP(TEXT($C15,"@"),XQKGIAP!$A:$L,6,FALSE)</f>
        <v>23.85</v>
      </c>
      <c r="J15" s="463">
        <f>VLOOKUP(TEXT($C15,"@"),XQKGIAP!$A:$L,7,FALSE)</f>
        <v>23.9</v>
      </c>
      <c r="K15" s="464">
        <f t="shared" si="5"/>
        <v>715036427.55000007</v>
      </c>
      <c r="L15" s="464">
        <f t="shared" si="6"/>
        <v>715036427.55000007</v>
      </c>
      <c r="M15" s="464">
        <f t="shared" si="7"/>
        <v>716535455.69999993</v>
      </c>
      <c r="S15" s="475">
        <v>2356</v>
      </c>
      <c r="T15" s="476" t="s">
        <v>208</v>
      </c>
      <c r="U15" s="477">
        <v>3.09</v>
      </c>
      <c r="V15" s="478">
        <v>29980563</v>
      </c>
    </row>
    <row r="16" spans="1:22" ht="14.4" thickBot="1">
      <c r="A16" s="510">
        <f t="shared" si="0"/>
        <v>2.8967404849402075E-2</v>
      </c>
      <c r="B16" s="408" t="str">
        <f t="shared" si="1"/>
        <v>華碩</v>
      </c>
      <c r="C16" s="408">
        <f t="shared" si="2"/>
        <v>2357</v>
      </c>
      <c r="D16" s="408">
        <v>1</v>
      </c>
      <c r="E16" s="463">
        <v>215.5</v>
      </c>
      <c r="F16" s="464">
        <f t="shared" si="3"/>
        <v>3063102</v>
      </c>
      <c r="G16" s="464">
        <f t="shared" si="4"/>
        <v>660098481</v>
      </c>
      <c r="H16" s="463">
        <f>VLOOKUP(TEXT($C16,"@"),XQKGIAP!$A:$L,5,FALSE)</f>
        <v>215.5</v>
      </c>
      <c r="I16" s="463">
        <f>VLOOKUP(TEXT($C16,"@"),XQKGIAP!$A:$L,6,FALSE)</f>
        <v>215.5</v>
      </c>
      <c r="J16" s="463">
        <f>VLOOKUP(TEXT($C16,"@"),XQKGIAP!$A:$L,7,FALSE)</f>
        <v>216.5</v>
      </c>
      <c r="K16" s="464">
        <f t="shared" si="5"/>
        <v>660098481</v>
      </c>
      <c r="L16" s="464">
        <f t="shared" si="6"/>
        <v>660098481</v>
      </c>
      <c r="M16" s="464">
        <f t="shared" si="7"/>
        <v>663161583</v>
      </c>
      <c r="S16" s="479">
        <v>2357</v>
      </c>
      <c r="T16" s="480" t="s">
        <v>174</v>
      </c>
      <c r="U16" s="481">
        <v>2.85</v>
      </c>
      <c r="V16" s="482">
        <v>3063102</v>
      </c>
    </row>
    <row r="17" spans="1:22" ht="14.4" thickBot="1">
      <c r="A17" s="510">
        <f t="shared" si="0"/>
        <v>3.3302648462164852E-2</v>
      </c>
      <c r="B17" s="408" t="str">
        <f t="shared" si="1"/>
        <v>技嘉</v>
      </c>
      <c r="C17" s="408">
        <f t="shared" si="2"/>
        <v>2376</v>
      </c>
      <c r="D17" s="408">
        <v>1</v>
      </c>
      <c r="E17" s="463">
        <v>53.5</v>
      </c>
      <c r="F17" s="464">
        <f t="shared" si="3"/>
        <v>14184830</v>
      </c>
      <c r="G17" s="464">
        <f t="shared" si="4"/>
        <v>758888405</v>
      </c>
      <c r="H17" s="463">
        <f>VLOOKUP(TEXT($C17,"@"),XQKGIAP!$A:$L,5,FALSE)</f>
        <v>53.5</v>
      </c>
      <c r="I17" s="463">
        <f>VLOOKUP(TEXT($C17,"@"),XQKGIAP!$A:$L,6,FALSE)</f>
        <v>53.4</v>
      </c>
      <c r="J17" s="463">
        <f>VLOOKUP(TEXT($C17,"@"),XQKGIAP!$A:$L,7,FALSE)</f>
        <v>53.5</v>
      </c>
      <c r="K17" s="464">
        <f t="shared" si="5"/>
        <v>758888405</v>
      </c>
      <c r="L17" s="464">
        <f t="shared" si="6"/>
        <v>757469922</v>
      </c>
      <c r="M17" s="464">
        <f t="shared" si="7"/>
        <v>758888405</v>
      </c>
      <c r="S17" s="475">
        <v>2376</v>
      </c>
      <c r="T17" s="476" t="s">
        <v>209</v>
      </c>
      <c r="U17" s="477">
        <v>3.28</v>
      </c>
      <c r="V17" s="478">
        <v>14184830</v>
      </c>
    </row>
    <row r="18" spans="1:22" ht="14.4" thickBot="1">
      <c r="A18" s="510">
        <f t="shared" si="0"/>
        <v>3.9551100754539423E-2</v>
      </c>
      <c r="B18" s="408" t="str">
        <f t="shared" si="1"/>
        <v>微星</v>
      </c>
      <c r="C18" s="408">
        <f t="shared" si="2"/>
        <v>2377</v>
      </c>
      <c r="D18" s="408">
        <v>1</v>
      </c>
      <c r="E18" s="463">
        <v>89.4</v>
      </c>
      <c r="F18" s="464">
        <f t="shared" si="3"/>
        <v>10081385</v>
      </c>
      <c r="G18" s="464">
        <f t="shared" si="4"/>
        <v>901275819</v>
      </c>
      <c r="H18" s="463">
        <f>VLOOKUP(TEXT($C18,"@"),XQKGIAP!$A:$L,5,FALSE)</f>
        <v>89.4</v>
      </c>
      <c r="I18" s="463">
        <f>VLOOKUP(TEXT($C18,"@"),XQKGIAP!$A:$L,6,FALSE)</f>
        <v>89.4</v>
      </c>
      <c r="J18" s="463">
        <f>VLOOKUP(TEXT($C18,"@"),XQKGIAP!$A:$L,7,FALSE)</f>
        <v>89.5</v>
      </c>
      <c r="K18" s="464">
        <f t="shared" si="5"/>
        <v>901275819</v>
      </c>
      <c r="L18" s="464">
        <f t="shared" si="6"/>
        <v>901275819</v>
      </c>
      <c r="M18" s="464">
        <f t="shared" si="7"/>
        <v>902283957.5</v>
      </c>
      <c r="S18" s="479">
        <v>2377</v>
      </c>
      <c r="T18" s="480" t="s">
        <v>210</v>
      </c>
      <c r="U18" s="481">
        <v>3.89</v>
      </c>
      <c r="V18" s="482">
        <v>10081385</v>
      </c>
    </row>
    <row r="19" spans="1:22" ht="14.4" thickBot="1">
      <c r="A19" s="510">
        <f t="shared" si="0"/>
        <v>3.0541261899786499E-2</v>
      </c>
      <c r="B19" s="408" t="str">
        <f t="shared" si="1"/>
        <v>廣達</v>
      </c>
      <c r="C19" s="408">
        <f t="shared" si="2"/>
        <v>2382</v>
      </c>
      <c r="D19" s="408">
        <v>1</v>
      </c>
      <c r="E19" s="463">
        <v>60.7</v>
      </c>
      <c r="F19" s="464">
        <f t="shared" si="3"/>
        <v>11465617</v>
      </c>
      <c r="G19" s="464">
        <f t="shared" si="4"/>
        <v>695962951.89999998</v>
      </c>
      <c r="H19" s="463">
        <f>VLOOKUP(TEXT($C19,"@"),XQKGIAP!$A:$L,5,FALSE)</f>
        <v>60.7</v>
      </c>
      <c r="I19" s="463">
        <f>VLOOKUP(TEXT($C19,"@"),XQKGIAP!$A:$L,6,FALSE)</f>
        <v>60.7</v>
      </c>
      <c r="J19" s="463">
        <f>VLOOKUP(TEXT($C19,"@"),XQKGIAP!$A:$L,7,FALSE)</f>
        <v>60.8</v>
      </c>
      <c r="K19" s="464">
        <f t="shared" si="5"/>
        <v>695962951.89999998</v>
      </c>
      <c r="L19" s="464">
        <f t="shared" si="6"/>
        <v>695962951.89999998</v>
      </c>
      <c r="M19" s="464">
        <f t="shared" si="7"/>
        <v>697109513.60000002</v>
      </c>
      <c r="S19" s="475">
        <v>2382</v>
      </c>
      <c r="T19" s="476" t="s">
        <v>175</v>
      </c>
      <c r="U19" s="477">
        <v>3.01</v>
      </c>
      <c r="V19" s="478">
        <v>11465617</v>
      </c>
    </row>
    <row r="20" spans="1:22" ht="14.4" thickBot="1">
      <c r="A20" s="510">
        <f t="shared" si="0"/>
        <v>2.9469621156878633E-2</v>
      </c>
      <c r="B20" s="408" t="str">
        <f t="shared" si="1"/>
        <v>群光</v>
      </c>
      <c r="C20" s="408">
        <f t="shared" si="2"/>
        <v>2385</v>
      </c>
      <c r="D20" s="408">
        <v>1</v>
      </c>
      <c r="E20" s="463">
        <v>80</v>
      </c>
      <c r="F20" s="464">
        <f t="shared" si="3"/>
        <v>8394285</v>
      </c>
      <c r="G20" s="464">
        <f t="shared" si="4"/>
        <v>671542800</v>
      </c>
      <c r="H20" s="463">
        <f>VLOOKUP(TEXT($C20,"@"),XQKGIAP!$A:$L,5,FALSE)</f>
        <v>80</v>
      </c>
      <c r="I20" s="463">
        <f>VLOOKUP(TEXT($C20,"@"),XQKGIAP!$A:$L,6,FALSE)</f>
        <v>79.599999999999994</v>
      </c>
      <c r="J20" s="463">
        <f>VLOOKUP(TEXT($C20,"@"),XQKGIAP!$A:$L,7,FALSE)</f>
        <v>80</v>
      </c>
      <c r="K20" s="464">
        <f t="shared" si="5"/>
        <v>671542800</v>
      </c>
      <c r="L20" s="464">
        <f t="shared" si="6"/>
        <v>668185086</v>
      </c>
      <c r="M20" s="464">
        <f t="shared" si="7"/>
        <v>671542800</v>
      </c>
      <c r="S20" s="479">
        <v>2385</v>
      </c>
      <c r="T20" s="480" t="s">
        <v>211</v>
      </c>
      <c r="U20" s="481">
        <v>2.9</v>
      </c>
      <c r="V20" s="482">
        <v>8394285</v>
      </c>
    </row>
    <row r="21" spans="1:22" ht="14.4" thickBot="1">
      <c r="A21" s="510">
        <f t="shared" si="0"/>
        <v>3.2932495910498009E-2</v>
      </c>
      <c r="B21" s="408" t="str">
        <f t="shared" si="1"/>
        <v>南亞科</v>
      </c>
      <c r="C21" s="408">
        <f t="shared" si="2"/>
        <v>2408</v>
      </c>
      <c r="D21" s="408">
        <v>1</v>
      </c>
      <c r="E21" s="463">
        <v>66.7</v>
      </c>
      <c r="F21" s="464">
        <f t="shared" si="3"/>
        <v>11251177</v>
      </c>
      <c r="G21" s="464">
        <f t="shared" si="4"/>
        <v>750453505.89999998</v>
      </c>
      <c r="H21" s="463">
        <f>VLOOKUP(TEXT($C21,"@"),XQKGIAP!$A:$L,5,FALSE)</f>
        <v>66.7</v>
      </c>
      <c r="I21" s="463">
        <f>VLOOKUP(TEXT($C21,"@"),XQKGIAP!$A:$L,6,FALSE)</f>
        <v>66.599999999999994</v>
      </c>
      <c r="J21" s="463">
        <f>VLOOKUP(TEXT($C21,"@"),XQKGIAP!$A:$L,7,FALSE)</f>
        <v>66.7</v>
      </c>
      <c r="K21" s="464">
        <f t="shared" si="5"/>
        <v>750453505.89999998</v>
      </c>
      <c r="L21" s="464">
        <f t="shared" si="6"/>
        <v>749328388.19999993</v>
      </c>
      <c r="M21" s="464">
        <f t="shared" si="7"/>
        <v>750453505.89999998</v>
      </c>
      <c r="S21" s="475">
        <v>2408</v>
      </c>
      <c r="T21" s="476" t="s">
        <v>177</v>
      </c>
      <c r="U21" s="477">
        <v>3.24</v>
      </c>
      <c r="V21" s="478">
        <v>11251177</v>
      </c>
    </row>
    <row r="22" spans="1:22" ht="14.4" thickBot="1">
      <c r="A22" s="510">
        <f t="shared" si="0"/>
        <v>2.906554382116602E-2</v>
      </c>
      <c r="B22" s="408" t="str">
        <f t="shared" si="1"/>
        <v>美律</v>
      </c>
      <c r="C22" s="408">
        <f t="shared" si="2"/>
        <v>2439</v>
      </c>
      <c r="D22" s="408">
        <v>1</v>
      </c>
      <c r="E22" s="463">
        <v>166.5</v>
      </c>
      <c r="F22" s="464">
        <f t="shared" si="3"/>
        <v>3977987</v>
      </c>
      <c r="G22" s="464">
        <f t="shared" si="4"/>
        <v>662334835.5</v>
      </c>
      <c r="H22" s="463">
        <f>VLOOKUP(TEXT($C22,"@"),XQKGIAP!$A:$L,5,FALSE)</f>
        <v>166.5</v>
      </c>
      <c r="I22" s="463">
        <f>VLOOKUP(TEXT($C22,"@"),XQKGIAP!$A:$L,6,FALSE)</f>
        <v>166.5</v>
      </c>
      <c r="J22" s="463">
        <f>VLOOKUP(TEXT($C22,"@"),XQKGIAP!$A:$L,7,FALSE)</f>
        <v>167</v>
      </c>
      <c r="K22" s="464">
        <f t="shared" si="5"/>
        <v>662334835.5</v>
      </c>
      <c r="L22" s="464">
        <f t="shared" si="6"/>
        <v>662334835.5</v>
      </c>
      <c r="M22" s="464">
        <f t="shared" si="7"/>
        <v>664323829</v>
      </c>
      <c r="S22" s="479">
        <v>2439</v>
      </c>
      <c r="T22" s="480" t="s">
        <v>2797</v>
      </c>
      <c r="U22" s="481">
        <v>2.86</v>
      </c>
      <c r="V22" s="482">
        <v>3977987</v>
      </c>
    </row>
    <row r="23" spans="1:22" ht="14.4" thickBot="1">
      <c r="A23" s="510">
        <f t="shared" si="0"/>
        <v>3.4939995074645153E-2</v>
      </c>
      <c r="B23" s="408" t="str">
        <f t="shared" si="1"/>
        <v>京元電子</v>
      </c>
      <c r="C23" s="408">
        <f t="shared" si="2"/>
        <v>2449</v>
      </c>
      <c r="D23" s="408">
        <v>1</v>
      </c>
      <c r="E23" s="463">
        <v>31.1</v>
      </c>
      <c r="F23" s="464">
        <f t="shared" si="3"/>
        <v>25601275</v>
      </c>
      <c r="G23" s="464">
        <f t="shared" si="4"/>
        <v>796199652.5</v>
      </c>
      <c r="H23" s="463">
        <f>VLOOKUP(TEXT($C23,"@"),XQKGIAP!$A:$L,5,FALSE)</f>
        <v>31.1</v>
      </c>
      <c r="I23" s="463">
        <f>VLOOKUP(TEXT($C23,"@"),XQKGIAP!$A:$L,6,FALSE)</f>
        <v>31.05</v>
      </c>
      <c r="J23" s="463">
        <f>VLOOKUP(TEXT($C23,"@"),XQKGIAP!$A:$L,7,FALSE)</f>
        <v>31.1</v>
      </c>
      <c r="K23" s="464">
        <f t="shared" si="5"/>
        <v>796199652.5</v>
      </c>
      <c r="L23" s="464">
        <f t="shared" si="6"/>
        <v>794919588.75</v>
      </c>
      <c r="M23" s="464">
        <f t="shared" si="7"/>
        <v>796199652.5</v>
      </c>
      <c r="S23" s="475">
        <v>2449</v>
      </c>
      <c r="T23" s="476" t="s">
        <v>212</v>
      </c>
      <c r="U23" s="477">
        <v>3.44</v>
      </c>
      <c r="V23" s="478">
        <v>25601275</v>
      </c>
    </row>
    <row r="24" spans="1:22" ht="14.4" thickBot="1">
      <c r="A24" s="510">
        <f t="shared" si="0"/>
        <v>2.3303614593384266E-2</v>
      </c>
      <c r="B24" s="408" t="str">
        <f t="shared" si="1"/>
        <v>創見</v>
      </c>
      <c r="C24" s="408">
        <f t="shared" si="2"/>
        <v>2451</v>
      </c>
      <c r="D24" s="408">
        <v>1</v>
      </c>
      <c r="E24" s="463">
        <v>67.7</v>
      </c>
      <c r="F24" s="464">
        <f t="shared" si="3"/>
        <v>7843931</v>
      </c>
      <c r="G24" s="464">
        <f t="shared" si="4"/>
        <v>531034128.70000005</v>
      </c>
      <c r="H24" s="463">
        <f>VLOOKUP(TEXT($C24,"@"),XQKGIAP!$A:$L,5,FALSE)</f>
        <v>67.7</v>
      </c>
      <c r="I24" s="463">
        <f>VLOOKUP(TEXT($C24,"@"),XQKGIAP!$A:$L,6,FALSE)</f>
        <v>67.7</v>
      </c>
      <c r="J24" s="463">
        <f>VLOOKUP(TEXT($C24,"@"),XQKGIAP!$A:$L,7,FALSE)</f>
        <v>67.8</v>
      </c>
      <c r="K24" s="464">
        <f t="shared" si="5"/>
        <v>531034128.70000005</v>
      </c>
      <c r="L24" s="464">
        <f t="shared" si="6"/>
        <v>531034128.70000005</v>
      </c>
      <c r="M24" s="464">
        <f t="shared" si="7"/>
        <v>531818521.79999995</v>
      </c>
      <c r="S24" s="479">
        <v>2451</v>
      </c>
      <c r="T24" s="480" t="s">
        <v>213</v>
      </c>
      <c r="U24" s="481">
        <v>2.29</v>
      </c>
      <c r="V24" s="482">
        <v>7843931</v>
      </c>
    </row>
    <row r="25" spans="1:22" ht="14.4" thickBot="1">
      <c r="A25" s="510">
        <f t="shared" si="0"/>
        <v>3.1034843351124573E-2</v>
      </c>
      <c r="B25" s="408" t="str">
        <f t="shared" si="1"/>
        <v>興富發</v>
      </c>
      <c r="C25" s="408">
        <f t="shared" si="2"/>
        <v>2542</v>
      </c>
      <c r="D25" s="408">
        <v>1</v>
      </c>
      <c r="E25" s="463">
        <v>49.15</v>
      </c>
      <c r="F25" s="464">
        <f t="shared" si="3"/>
        <v>14388820</v>
      </c>
      <c r="G25" s="464">
        <f t="shared" si="4"/>
        <v>707210503</v>
      </c>
      <c r="H25" s="463">
        <f>VLOOKUP(TEXT($C25,"@"),XQKGIAP!$A:$L,5,FALSE)</f>
        <v>49.15</v>
      </c>
      <c r="I25" s="463">
        <f>VLOOKUP(TEXT($C25,"@"),XQKGIAP!$A:$L,6,FALSE)</f>
        <v>49.1</v>
      </c>
      <c r="J25" s="463">
        <f>VLOOKUP(TEXT($C25,"@"),XQKGIAP!$A:$L,7,FALSE)</f>
        <v>49.15</v>
      </c>
      <c r="K25" s="464">
        <f t="shared" si="5"/>
        <v>707210503</v>
      </c>
      <c r="L25" s="464">
        <f t="shared" si="6"/>
        <v>706491062</v>
      </c>
      <c r="M25" s="464">
        <f t="shared" si="7"/>
        <v>707210503</v>
      </c>
      <c r="S25" s="475">
        <v>2542</v>
      </c>
      <c r="T25" s="476" t="s">
        <v>214</v>
      </c>
      <c r="U25" s="477">
        <v>3.05</v>
      </c>
      <c r="V25" s="478">
        <v>14388820</v>
      </c>
    </row>
    <row r="26" spans="1:22" ht="14.4" thickBot="1">
      <c r="A26" s="510">
        <f t="shared" si="0"/>
        <v>2.4533402582157707E-2</v>
      </c>
      <c r="B26" s="408" t="str">
        <f t="shared" si="1"/>
        <v>兆豐金</v>
      </c>
      <c r="C26" s="408">
        <f t="shared" si="2"/>
        <v>2886</v>
      </c>
      <c r="D26" s="408">
        <v>1</v>
      </c>
      <c r="E26" s="463">
        <v>31.85</v>
      </c>
      <c r="F26" s="464">
        <f t="shared" si="3"/>
        <v>17552844</v>
      </c>
      <c r="G26" s="464">
        <f t="shared" si="4"/>
        <v>559058081.39999998</v>
      </c>
      <c r="H26" s="463">
        <f>VLOOKUP(TEXT($C26,"@"),XQKGIAP!$A:$L,5,FALSE)</f>
        <v>31.85</v>
      </c>
      <c r="I26" s="463">
        <f>VLOOKUP(TEXT($C26,"@"),XQKGIAP!$A:$L,6,FALSE)</f>
        <v>31.85</v>
      </c>
      <c r="J26" s="463">
        <f>VLOOKUP(TEXT($C26,"@"),XQKGIAP!$A:$L,7,FALSE)</f>
        <v>31.9</v>
      </c>
      <c r="K26" s="464">
        <f t="shared" si="5"/>
        <v>559058081.39999998</v>
      </c>
      <c r="L26" s="464">
        <f t="shared" si="6"/>
        <v>559058081.39999998</v>
      </c>
      <c r="M26" s="464">
        <f t="shared" si="7"/>
        <v>559935723.60000002</v>
      </c>
      <c r="S26" s="479">
        <v>2886</v>
      </c>
      <c r="T26" s="480" t="s">
        <v>191</v>
      </c>
      <c r="U26" s="481">
        <v>2.41</v>
      </c>
      <c r="V26" s="482">
        <v>17552844</v>
      </c>
    </row>
    <row r="27" spans="1:22" ht="14.4" thickBot="1">
      <c r="A27" s="510">
        <f t="shared" si="0"/>
        <v>4.0823149058809328E-2</v>
      </c>
      <c r="B27" s="408" t="str">
        <f t="shared" si="1"/>
        <v>潤泰全</v>
      </c>
      <c r="C27" s="408">
        <f t="shared" si="2"/>
        <v>2915</v>
      </c>
      <c r="D27" s="408">
        <v>1</v>
      </c>
      <c r="E27" s="463">
        <v>68.7</v>
      </c>
      <c r="F27" s="464">
        <f t="shared" si="3"/>
        <v>13540943</v>
      </c>
      <c r="G27" s="464">
        <f t="shared" si="4"/>
        <v>930262784.10000002</v>
      </c>
      <c r="H27" s="463">
        <f>VLOOKUP(TEXT($C27,"@"),XQKGIAP!$A:$L,5,FALSE)</f>
        <v>68.7</v>
      </c>
      <c r="I27" s="463">
        <f>VLOOKUP(TEXT($C27,"@"),XQKGIAP!$A:$L,6,FALSE)</f>
        <v>68.7</v>
      </c>
      <c r="J27" s="463">
        <f>VLOOKUP(TEXT($C27,"@"),XQKGIAP!$A:$L,7,FALSE)</f>
        <v>68.8</v>
      </c>
      <c r="K27" s="464">
        <f t="shared" si="5"/>
        <v>930262784.10000002</v>
      </c>
      <c r="L27" s="464">
        <f t="shared" si="6"/>
        <v>930262784.10000002</v>
      </c>
      <c r="M27" s="464">
        <f t="shared" si="7"/>
        <v>931616878.39999998</v>
      </c>
      <c r="S27" s="475">
        <v>2915</v>
      </c>
      <c r="T27" s="476" t="s">
        <v>2798</v>
      </c>
      <c r="U27" s="477">
        <v>4.0199999999999996</v>
      </c>
      <c r="V27" s="478">
        <v>13540943</v>
      </c>
    </row>
    <row r="28" spans="1:22" ht="14.4" thickBot="1">
      <c r="A28" s="510">
        <f t="shared" si="0"/>
        <v>3.5601898121177665E-2</v>
      </c>
      <c r="B28" s="408" t="str">
        <f t="shared" si="1"/>
        <v>神基</v>
      </c>
      <c r="C28" s="408">
        <f t="shared" si="2"/>
        <v>3005</v>
      </c>
      <c r="D28" s="408">
        <v>1</v>
      </c>
      <c r="E28" s="463">
        <v>44.55</v>
      </c>
      <c r="F28" s="464">
        <f t="shared" si="3"/>
        <v>18210614</v>
      </c>
      <c r="G28" s="464">
        <f t="shared" si="4"/>
        <v>811282853.69999993</v>
      </c>
      <c r="H28" s="463">
        <f>VLOOKUP(TEXT($C28,"@"),XQKGIAP!$A:$L,5,FALSE)</f>
        <v>44.55</v>
      </c>
      <c r="I28" s="463">
        <f>VLOOKUP(TEXT($C28,"@"),XQKGIAP!$A:$L,6,FALSE)</f>
        <v>44.55</v>
      </c>
      <c r="J28" s="463">
        <f>VLOOKUP(TEXT($C28,"@"),XQKGIAP!$A:$L,7,FALSE)</f>
        <v>44.6</v>
      </c>
      <c r="K28" s="464">
        <f t="shared" si="5"/>
        <v>811282853.69999993</v>
      </c>
      <c r="L28" s="464">
        <f t="shared" si="6"/>
        <v>811282853.69999993</v>
      </c>
      <c r="M28" s="464">
        <f t="shared" si="7"/>
        <v>812193384.39999998</v>
      </c>
      <c r="S28" s="479">
        <v>3005</v>
      </c>
      <c r="T28" s="480" t="s">
        <v>2799</v>
      </c>
      <c r="U28" s="481">
        <v>3.5</v>
      </c>
      <c r="V28" s="482">
        <v>18210614</v>
      </c>
    </row>
    <row r="29" spans="1:22" ht="14.4" thickBot="1">
      <c r="A29" s="510">
        <f t="shared" si="0"/>
        <v>3.0630656482297458E-2</v>
      </c>
      <c r="B29" s="408" t="str">
        <f t="shared" si="1"/>
        <v>聯詠</v>
      </c>
      <c r="C29" s="408">
        <f t="shared" si="2"/>
        <v>3034</v>
      </c>
      <c r="D29" s="408">
        <v>1</v>
      </c>
      <c r="E29" s="463">
        <v>173.5</v>
      </c>
      <c r="F29" s="464">
        <f t="shared" si="3"/>
        <v>4023055</v>
      </c>
      <c r="G29" s="464">
        <f t="shared" si="4"/>
        <v>698000042.5</v>
      </c>
      <c r="H29" s="463">
        <f>VLOOKUP(TEXT($C29,"@"),XQKGIAP!$A:$L,5,FALSE)</f>
        <v>173.5</v>
      </c>
      <c r="I29" s="463">
        <f>VLOOKUP(TEXT($C29,"@"),XQKGIAP!$A:$L,6,FALSE)</f>
        <v>173.5</v>
      </c>
      <c r="J29" s="463">
        <f>VLOOKUP(TEXT($C29,"@"),XQKGIAP!$A:$L,7,FALSE)</f>
        <v>174</v>
      </c>
      <c r="K29" s="464">
        <f t="shared" si="5"/>
        <v>698000042.5</v>
      </c>
      <c r="L29" s="464">
        <f t="shared" si="6"/>
        <v>698000042.5</v>
      </c>
      <c r="M29" s="464">
        <f t="shared" si="7"/>
        <v>700011570</v>
      </c>
      <c r="S29" s="475">
        <v>3034</v>
      </c>
      <c r="T29" s="476" t="s">
        <v>215</v>
      </c>
      <c r="U29" s="477">
        <v>3.01</v>
      </c>
      <c r="V29" s="478">
        <v>4023055</v>
      </c>
    </row>
    <row r="30" spans="1:22" ht="14.4" thickBot="1">
      <c r="A30" s="510">
        <f t="shared" si="0"/>
        <v>3.0836998987515647E-2</v>
      </c>
      <c r="B30" s="408" t="str">
        <f t="shared" si="1"/>
        <v>緯創</v>
      </c>
      <c r="C30" s="408">
        <f t="shared" si="2"/>
        <v>3231</v>
      </c>
      <c r="D30" s="408">
        <v>1</v>
      </c>
      <c r="E30" s="463">
        <v>25.05</v>
      </c>
      <c r="F30" s="464">
        <f t="shared" si="3"/>
        <v>28051980</v>
      </c>
      <c r="G30" s="464">
        <f t="shared" si="4"/>
        <v>702702099</v>
      </c>
      <c r="H30" s="463">
        <f>VLOOKUP(TEXT($C30,"@"),XQKGIAP!$A:$L,5,FALSE)</f>
        <v>25.05</v>
      </c>
      <c r="I30" s="463">
        <f>VLOOKUP(TEXT($C30,"@"),XQKGIAP!$A:$L,6,FALSE)</f>
        <v>25.05</v>
      </c>
      <c r="J30" s="463">
        <f>VLOOKUP(TEXT($C30,"@"),XQKGIAP!$A:$L,7,FALSE)</f>
        <v>25.1</v>
      </c>
      <c r="K30" s="464">
        <f t="shared" si="5"/>
        <v>702702099</v>
      </c>
      <c r="L30" s="464">
        <f t="shared" si="6"/>
        <v>702702099</v>
      </c>
      <c r="M30" s="464">
        <f t="shared" si="7"/>
        <v>704104698</v>
      </c>
      <c r="S30" s="479">
        <v>3231</v>
      </c>
      <c r="T30" s="480" t="s">
        <v>216</v>
      </c>
      <c r="U30" s="481">
        <v>3.03</v>
      </c>
      <c r="V30" s="482">
        <v>28051980</v>
      </c>
    </row>
    <row r="31" spans="1:22" ht="14.4" thickBot="1">
      <c r="A31" s="510">
        <f t="shared" si="0"/>
        <v>3.8669617041979312E-2</v>
      </c>
      <c r="B31" s="408" t="str">
        <f t="shared" si="1"/>
        <v>台勝科</v>
      </c>
      <c r="C31" s="408">
        <f t="shared" si="2"/>
        <v>3532</v>
      </c>
      <c r="D31" s="408">
        <v>1</v>
      </c>
      <c r="E31" s="463">
        <v>107.5</v>
      </c>
      <c r="F31" s="464">
        <f t="shared" si="3"/>
        <v>8197106</v>
      </c>
      <c r="G31" s="464">
        <f t="shared" si="4"/>
        <v>881188895</v>
      </c>
      <c r="H31" s="463">
        <f>VLOOKUP(TEXT($C31,"@"),XQKGIAP!$A:$L,5,FALSE)</f>
        <v>107.5</v>
      </c>
      <c r="I31" s="463">
        <f>VLOOKUP(TEXT($C31,"@"),XQKGIAP!$A:$L,6,FALSE)</f>
        <v>107.5</v>
      </c>
      <c r="J31" s="463">
        <f>VLOOKUP(TEXT($C31,"@"),XQKGIAP!$A:$L,7,FALSE)</f>
        <v>108</v>
      </c>
      <c r="K31" s="464">
        <f t="shared" si="5"/>
        <v>881188895</v>
      </c>
      <c r="L31" s="464">
        <f t="shared" si="6"/>
        <v>881188895</v>
      </c>
      <c r="M31" s="464">
        <f t="shared" si="7"/>
        <v>885287448</v>
      </c>
      <c r="S31" s="475">
        <v>3532</v>
      </c>
      <c r="T31" s="476" t="s">
        <v>2800</v>
      </c>
      <c r="U31" s="477">
        <v>3.81</v>
      </c>
      <c r="V31" s="478">
        <v>8197106</v>
      </c>
    </row>
    <row r="32" spans="1:22" ht="14.4" thickBot="1">
      <c r="A32" s="510">
        <f t="shared" si="0"/>
        <v>3.3647894249961265E-2</v>
      </c>
      <c r="B32" s="408" t="str">
        <f t="shared" si="1"/>
        <v>大聯大</v>
      </c>
      <c r="C32" s="408">
        <f t="shared" si="2"/>
        <v>3702</v>
      </c>
      <c r="D32" s="408">
        <v>1</v>
      </c>
      <c r="E32" s="463">
        <v>41.4</v>
      </c>
      <c r="F32" s="464">
        <f t="shared" si="3"/>
        <v>18520670</v>
      </c>
      <c r="G32" s="464">
        <f t="shared" si="4"/>
        <v>766755738</v>
      </c>
      <c r="H32" s="463">
        <f>VLOOKUP(TEXT($C32,"@"),XQKGIAP!$A:$L,5,FALSE)</f>
        <v>41.4</v>
      </c>
      <c r="I32" s="463">
        <f>VLOOKUP(TEXT($C32,"@"),XQKGIAP!$A:$L,6,FALSE)</f>
        <v>41.4</v>
      </c>
      <c r="J32" s="463">
        <f>VLOOKUP(TEXT($C32,"@"),XQKGIAP!$A:$L,7,FALSE)</f>
        <v>41.45</v>
      </c>
      <c r="K32" s="464">
        <f t="shared" si="5"/>
        <v>766755738</v>
      </c>
      <c r="L32" s="464">
        <f t="shared" si="6"/>
        <v>766755738</v>
      </c>
      <c r="M32" s="464">
        <f t="shared" si="7"/>
        <v>767681771.5</v>
      </c>
      <c r="S32" s="479">
        <v>3702</v>
      </c>
      <c r="T32" s="480" t="s">
        <v>217</v>
      </c>
      <c r="U32" s="481">
        <v>3.31</v>
      </c>
      <c r="V32" s="482">
        <v>18520670</v>
      </c>
    </row>
    <row r="33" spans="1:22" ht="14.4" thickBot="1">
      <c r="A33" s="510">
        <f t="shared" si="0"/>
        <v>3.123169871321042E-2</v>
      </c>
      <c r="B33" s="408" t="str">
        <f t="shared" si="1"/>
        <v>和碩</v>
      </c>
      <c r="C33" s="408">
        <f t="shared" si="2"/>
        <v>4938</v>
      </c>
      <c r="D33" s="408">
        <v>1</v>
      </c>
      <c r="E33" s="463">
        <v>55</v>
      </c>
      <c r="F33" s="464">
        <f t="shared" si="3"/>
        <v>12939934</v>
      </c>
      <c r="G33" s="464">
        <f t="shared" si="4"/>
        <v>711696370</v>
      </c>
      <c r="H33" s="463">
        <f>VLOOKUP(TEXT($C33,"@"),XQKGIAP!$A:$L,5,FALSE)</f>
        <v>55</v>
      </c>
      <c r="I33" s="463">
        <f>VLOOKUP(TEXT($C33,"@"),XQKGIAP!$A:$L,6,FALSE)</f>
        <v>55</v>
      </c>
      <c r="J33" s="463">
        <f>VLOOKUP(TEXT($C33,"@"),XQKGIAP!$A:$L,7,FALSE)</f>
        <v>55.2</v>
      </c>
      <c r="K33" s="464">
        <f t="shared" si="5"/>
        <v>711696370</v>
      </c>
      <c r="L33" s="464">
        <f t="shared" si="6"/>
        <v>711696370</v>
      </c>
      <c r="M33" s="464">
        <f t="shared" si="7"/>
        <v>714284356.80000007</v>
      </c>
      <c r="S33" s="475">
        <v>4938</v>
      </c>
      <c r="T33" s="476" t="s">
        <v>200</v>
      </c>
      <c r="U33" s="477">
        <v>3.07</v>
      </c>
      <c r="V33" s="478">
        <v>12939934</v>
      </c>
    </row>
    <row r="34" spans="1:22" ht="14.4" thickBot="1">
      <c r="A34" s="510">
        <f>G34/$C$2</f>
        <v>3.4995395572351352E-2</v>
      </c>
      <c r="B34" s="408" t="str">
        <f t="shared" si="1"/>
        <v>瑞儀</v>
      </c>
      <c r="C34" s="408">
        <f t="shared" si="2"/>
        <v>6176</v>
      </c>
      <c r="D34" s="408">
        <v>1</v>
      </c>
      <c r="E34" s="463">
        <v>119.5</v>
      </c>
      <c r="F34" s="464">
        <f t="shared" si="3"/>
        <v>6673323</v>
      </c>
      <c r="G34" s="464">
        <f t="shared" si="4"/>
        <v>797462098.5</v>
      </c>
      <c r="H34" s="463">
        <f>VLOOKUP(TEXT($C34,"@"),XQKGIAP!$A:$L,5,FALSE)</f>
        <v>119.5</v>
      </c>
      <c r="I34" s="463">
        <f>VLOOKUP(TEXT($C34,"@"),XQKGIAP!$A:$L,6,FALSE)</f>
        <v>119.5</v>
      </c>
      <c r="J34" s="463">
        <f>VLOOKUP(TEXT($C34,"@"),XQKGIAP!$A:$L,7,FALSE)</f>
        <v>120</v>
      </c>
      <c r="K34" s="464">
        <f t="shared" si="5"/>
        <v>797462098.5</v>
      </c>
      <c r="L34" s="464">
        <f t="shared" si="6"/>
        <v>797462098.5</v>
      </c>
      <c r="M34" s="464">
        <f t="shared" si="7"/>
        <v>800798760</v>
      </c>
      <c r="S34" s="479">
        <v>6176</v>
      </c>
      <c r="T34" s="480" t="s">
        <v>218</v>
      </c>
      <c r="U34" s="481">
        <v>3.44</v>
      </c>
      <c r="V34" s="482">
        <v>6673323</v>
      </c>
    </row>
    <row r="35" spans="1:22" ht="14.4" thickBot="1">
      <c r="A35" s="510">
        <f t="shared" si="0"/>
        <v>2.6941539847542301E-2</v>
      </c>
      <c r="B35" s="408" t="str">
        <f t="shared" si="1"/>
        <v>力成</v>
      </c>
      <c r="C35" s="408">
        <f t="shared" si="2"/>
        <v>6239</v>
      </c>
      <c r="D35" s="408">
        <v>1</v>
      </c>
      <c r="E35" s="463">
        <v>78.5</v>
      </c>
      <c r="F35" s="464">
        <f t="shared" si="3"/>
        <v>7820813</v>
      </c>
      <c r="G35" s="464">
        <f t="shared" si="4"/>
        <v>613933820.5</v>
      </c>
      <c r="H35" s="463">
        <f>VLOOKUP(TEXT($C35,"@"),XQKGIAP!$A:$L,5,FALSE)</f>
        <v>78.5</v>
      </c>
      <c r="I35" s="463">
        <f>VLOOKUP(TEXT($C35,"@"),XQKGIAP!$A:$L,6,FALSE)</f>
        <v>78.400000000000006</v>
      </c>
      <c r="J35" s="463">
        <f>VLOOKUP(TEXT($C35,"@"),XQKGIAP!$A:$L,7,FALSE)</f>
        <v>78.5</v>
      </c>
      <c r="K35" s="464">
        <f t="shared" si="5"/>
        <v>613933820.5</v>
      </c>
      <c r="L35" s="464">
        <f t="shared" si="6"/>
        <v>613151739.20000005</v>
      </c>
      <c r="M35" s="464">
        <f t="shared" si="7"/>
        <v>613933820.5</v>
      </c>
      <c r="S35" s="475">
        <v>6239</v>
      </c>
      <c r="T35" s="476" t="s">
        <v>219</v>
      </c>
      <c r="U35" s="477">
        <v>2.65</v>
      </c>
      <c r="V35" s="478">
        <v>7820813</v>
      </c>
    </row>
    <row r="36" spans="1:22" ht="14.4" thickBot="1">
      <c r="A36" s="510">
        <f t="shared" si="0"/>
        <v>3.7100220723294761E-2</v>
      </c>
      <c r="B36" s="408" t="str">
        <f t="shared" si="1"/>
        <v>潤泰新</v>
      </c>
      <c r="C36" s="408">
        <f t="shared" si="2"/>
        <v>9945</v>
      </c>
      <c r="D36" s="408">
        <v>1</v>
      </c>
      <c r="E36" s="463">
        <v>42.3</v>
      </c>
      <c r="F36" s="464">
        <f t="shared" si="3"/>
        <v>19986432</v>
      </c>
      <c r="G36" s="464">
        <f t="shared" si="4"/>
        <v>845426073.5999999</v>
      </c>
      <c r="H36" s="463">
        <f>VLOOKUP(TEXT($C36,"@"),XQKGIAP!$A:$L,5,FALSE)</f>
        <v>42.3</v>
      </c>
      <c r="I36" s="463">
        <f>VLOOKUP(TEXT($C36,"@"),XQKGIAP!$A:$L,6,FALSE)</f>
        <v>42.25</v>
      </c>
      <c r="J36" s="463">
        <f>VLOOKUP(TEXT($C36,"@"),XQKGIAP!$A:$L,7,FALSE)</f>
        <v>42.3</v>
      </c>
      <c r="K36" s="464">
        <f t="shared" si="5"/>
        <v>845426073.5999999</v>
      </c>
      <c r="L36" s="464">
        <f t="shared" si="6"/>
        <v>844426752</v>
      </c>
      <c r="M36" s="464">
        <f t="shared" si="7"/>
        <v>845426073.5999999</v>
      </c>
      <c r="S36" s="479">
        <v>9945</v>
      </c>
      <c r="T36" s="480" t="s">
        <v>2801</v>
      </c>
      <c r="U36" s="481">
        <v>3.65</v>
      </c>
      <c r="V36" s="482">
        <v>19986432</v>
      </c>
    </row>
  </sheetData>
  <mergeCells count="1">
    <mergeCell ref="F1:F2"/>
  </mergeCells>
  <phoneticPr fontId="8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674689" r:id="rId3" name="CommandButton1">
          <controlPr autoLine="0" r:id="rId4">
            <anchor moveWithCells="1">
              <from>
                <xdr:col>13</xdr:col>
                <xdr:colOff>182880</xdr:colOff>
                <xdr:row>7</xdr:row>
                <xdr:rowOff>7620</xdr:rowOff>
              </from>
              <to>
                <xdr:col>14</xdr:col>
                <xdr:colOff>220980</xdr:colOff>
                <xdr:row>8</xdr:row>
                <xdr:rowOff>129540</xdr:rowOff>
              </to>
            </anchor>
          </controlPr>
        </control>
      </mc:Choice>
      <mc:Fallback>
        <control shapeId="34674689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FFFF00"/>
  </sheetPr>
  <dimension ref="A1:AA74"/>
  <sheetViews>
    <sheetView view="pageBreakPreview" workbookViewId="0">
      <selection activeCell="G8" sqref="G8"/>
    </sheetView>
  </sheetViews>
  <sheetFormatPr defaultRowHeight="16.2"/>
  <cols>
    <col min="1" max="1" width="12.6640625" style="22" bestFit="1" customWidth="1"/>
    <col min="2" max="2" width="20.21875" style="22" customWidth="1"/>
    <col min="3" max="4" width="16.21875" customWidth="1"/>
    <col min="5" max="5" width="14" customWidth="1"/>
    <col min="6" max="6" width="16.33203125" customWidth="1"/>
    <col min="7" max="7" width="15.44140625" customWidth="1"/>
    <col min="8" max="8" width="13.33203125" customWidth="1"/>
    <col min="9" max="9" width="12" customWidth="1"/>
    <col min="10" max="10" width="21.109375" customWidth="1"/>
    <col min="11" max="11" width="19.109375" customWidth="1"/>
    <col min="12" max="12" width="21.109375" customWidth="1"/>
    <col min="13" max="13" width="19.6640625" customWidth="1"/>
    <col min="14" max="14" width="14.6640625" customWidth="1"/>
    <col min="15" max="15" width="15.44140625" customWidth="1"/>
    <col min="16" max="16" width="17.21875" customWidth="1"/>
    <col min="17" max="17" width="19.33203125" customWidth="1"/>
    <col min="18" max="18" width="12.77734375" customWidth="1"/>
    <col min="19" max="19" width="11.6640625" customWidth="1"/>
    <col min="20" max="20" width="13.77734375" customWidth="1"/>
    <col min="21" max="21" width="14.33203125" style="22" customWidth="1"/>
    <col min="22" max="22" width="9.21875" customWidth="1"/>
    <col min="23" max="24" width="9.44140625" customWidth="1"/>
    <col min="25" max="25" width="7.44140625" customWidth="1"/>
    <col min="26" max="26" width="10.109375" customWidth="1"/>
    <col min="27" max="27" width="9.44140625" customWidth="1"/>
    <col min="28" max="28" width="14.33203125" customWidth="1"/>
    <col min="29" max="29" width="5.44140625" customWidth="1"/>
    <col min="30" max="30" width="81" customWidth="1"/>
    <col min="31" max="31" width="5.44140625" customWidth="1"/>
    <col min="32" max="32" width="14.88671875" customWidth="1"/>
    <col min="33" max="33" width="5.44140625" customWidth="1"/>
    <col min="34" max="34" width="15" customWidth="1"/>
    <col min="35" max="35" width="5.44140625" customWidth="1"/>
    <col min="36" max="36" width="14.77734375" customWidth="1"/>
    <col min="37" max="37" width="5.44140625" customWidth="1"/>
    <col min="38" max="38" width="12.6640625" customWidth="1"/>
    <col min="39" max="39" width="5.44140625" customWidth="1"/>
    <col min="40" max="40" width="14.88671875" customWidth="1"/>
    <col min="41" max="43" width="5.44140625" customWidth="1"/>
    <col min="44" max="44" width="18.33203125" customWidth="1"/>
    <col min="45" max="45" width="5.44140625" customWidth="1"/>
    <col min="46" max="46" width="22" customWidth="1"/>
    <col min="47" max="47" width="9.21875" customWidth="1"/>
    <col min="48" max="49" width="9.44140625" customWidth="1"/>
    <col min="50" max="50" width="7.44140625" customWidth="1"/>
    <col min="51" max="51" width="81" customWidth="1"/>
    <col min="52" max="52" width="9.44140625" customWidth="1"/>
    <col min="53" max="53" width="14.33203125" customWidth="1"/>
    <col min="54" max="54" width="5.44140625" customWidth="1"/>
    <col min="55" max="55" width="81" customWidth="1"/>
    <col min="56" max="56" width="5.44140625" customWidth="1"/>
    <col min="57" max="57" width="12.6640625" customWidth="1"/>
    <col min="58" max="58" width="5.44140625" customWidth="1"/>
    <col min="59" max="59" width="12.6640625" customWidth="1"/>
    <col min="60" max="60" width="5.44140625" customWidth="1"/>
    <col min="61" max="61" width="12.6640625" customWidth="1"/>
    <col min="62" max="62" width="5.44140625" customWidth="1"/>
    <col min="63" max="63" width="12.6640625" customWidth="1"/>
    <col min="64" max="64" width="5.44140625" customWidth="1"/>
    <col min="65" max="65" width="14.88671875" customWidth="1"/>
    <col min="66" max="66" width="5.44140625" customWidth="1"/>
  </cols>
  <sheetData>
    <row r="1" spans="1:27" s="22" customFormat="1">
      <c r="A1" s="36" t="s">
        <v>137</v>
      </c>
      <c r="B1" s="57" t="s">
        <v>322</v>
      </c>
      <c r="C1" s="36" t="s">
        <v>248</v>
      </c>
      <c r="D1" s="57" t="s">
        <v>139</v>
      </c>
      <c r="E1" s="36" t="s">
        <v>249</v>
      </c>
      <c r="F1" s="577" t="s">
        <v>320</v>
      </c>
      <c r="G1" s="38" t="s">
        <v>157</v>
      </c>
      <c r="H1" s="9" t="s">
        <v>52</v>
      </c>
      <c r="I1" s="10" t="s">
        <v>53</v>
      </c>
      <c r="J1" s="28" t="s">
        <v>251</v>
      </c>
      <c r="K1" s="36" t="s">
        <v>246</v>
      </c>
      <c r="L1" s="27" t="s">
        <v>247</v>
      </c>
      <c r="M1" s="73" t="s">
        <v>49</v>
      </c>
      <c r="N1" s="73" t="s">
        <v>510</v>
      </c>
      <c r="O1" s="73" t="s">
        <v>512</v>
      </c>
    </row>
    <row r="2" spans="1:27" s="22" customFormat="1" ht="16.8" thickBot="1">
      <c r="A2" s="42" t="s">
        <v>599</v>
      </c>
      <c r="B2" s="26">
        <f>C2/100000000</f>
        <v>42.137682720000001</v>
      </c>
      <c r="C2" s="29">
        <v>4213768272</v>
      </c>
      <c r="D2" s="43">
        <f>'ETF Update'!E24</f>
        <v>125278</v>
      </c>
      <c r="E2" s="25">
        <f>'ETF Update'!C24</f>
        <v>33.36</v>
      </c>
      <c r="F2" s="578"/>
      <c r="G2" s="39" t="e">
        <f>J2/D2/1000</f>
        <v>#REF!</v>
      </c>
      <c r="H2" s="40" t="e">
        <f>K2/D2/1000</f>
        <v>#REF!</v>
      </c>
      <c r="I2" s="41" t="e">
        <f>L2/D2/1000</f>
        <v>#REF!</v>
      </c>
      <c r="J2" s="46" t="e">
        <f>C2+(SUM(K8:K301)-SUM(G8:G301))-N8+C2*O8*(N2/O2-1)+C2*P8*(N4/O4-1)</f>
        <v>#REF!</v>
      </c>
      <c r="K2" s="46" t="e">
        <f>C2+(SUM(L8:L301)-SUM(G8:G301))-N8+C2*O8*(N2/O2-1)+C2*P8*(N4/O4-1)</f>
        <v>#REF!</v>
      </c>
      <c r="L2" s="196" t="e">
        <f>C2+(SUM(M8:M301)-SUM(G8:G301))-N8+C2*O8*(N2/O2-1)+C2*P8*(N4/O4-1)</f>
        <v>#REF!</v>
      </c>
      <c r="M2" s="73" t="s">
        <v>330</v>
      </c>
      <c r="N2" s="82" t="e">
        <f>匯率報價!D16</f>
        <v>#REF!</v>
      </c>
      <c r="O2" s="366" t="e">
        <f>匯率報價!M16</f>
        <v>#REF!</v>
      </c>
    </row>
    <row r="3" spans="1:27" s="22" customFormat="1">
      <c r="M3" s="73" t="s">
        <v>581</v>
      </c>
      <c r="N3" s="82" t="e">
        <f>匯率報價!D17</f>
        <v>#REF!</v>
      </c>
      <c r="O3" s="366" t="e">
        <f>匯率報價!M17</f>
        <v>#REF!</v>
      </c>
    </row>
    <row r="4" spans="1:27" s="22" customFormat="1">
      <c r="B4" s="334"/>
      <c r="E4" s="333"/>
      <c r="F4" s="333"/>
      <c r="G4" s="333"/>
      <c r="H4" s="333"/>
      <c r="M4" s="73" t="s">
        <v>331</v>
      </c>
      <c r="N4" s="82" t="e">
        <f>匯率報價!D17</f>
        <v>#REF!</v>
      </c>
      <c r="O4" s="366" t="e">
        <f>O3</f>
        <v>#REF!</v>
      </c>
    </row>
    <row r="5" spans="1:27" s="22" customFormat="1">
      <c r="B5" s="25" t="s">
        <v>1755</v>
      </c>
      <c r="C5" s="360" t="s">
        <v>1753</v>
      </c>
    </row>
    <row r="6" spans="1:27" ht="16.8" thickBot="1">
      <c r="A6" s="45"/>
      <c r="B6" s="363" t="s">
        <v>1756</v>
      </c>
      <c r="C6" s="364" t="s">
        <v>1754</v>
      </c>
    </row>
    <row r="7" spans="1:27" s="22" customFormat="1">
      <c r="A7" s="16" t="s">
        <v>18</v>
      </c>
      <c r="B7" s="17" t="s">
        <v>24</v>
      </c>
      <c r="C7" s="17" t="s">
        <v>19</v>
      </c>
      <c r="D7" s="356" t="s">
        <v>291</v>
      </c>
      <c r="E7" s="17" t="s">
        <v>47</v>
      </c>
      <c r="F7" s="17" t="s">
        <v>235</v>
      </c>
      <c r="G7" s="17" t="s">
        <v>250</v>
      </c>
      <c r="H7" s="17" t="s">
        <v>157</v>
      </c>
      <c r="I7" s="17" t="s">
        <v>52</v>
      </c>
      <c r="J7" s="17" t="s">
        <v>53</v>
      </c>
      <c r="K7" s="17" t="s">
        <v>287</v>
      </c>
      <c r="L7" s="17" t="s">
        <v>288</v>
      </c>
      <c r="M7" s="18" t="s">
        <v>289</v>
      </c>
      <c r="N7" s="352" t="s">
        <v>586</v>
      </c>
      <c r="O7" s="212" t="s">
        <v>587</v>
      </c>
      <c r="P7" s="212" t="s">
        <v>588</v>
      </c>
    </row>
    <row r="8" spans="1:27" ht="16.8" thickBot="1">
      <c r="A8" s="357" t="e">
        <f>G8/$C$2</f>
        <v>#REF!</v>
      </c>
      <c r="B8" s="353" t="s">
        <v>1774</v>
      </c>
      <c r="C8" s="361" t="s">
        <v>1752</v>
      </c>
      <c r="D8" s="353">
        <v>1</v>
      </c>
      <c r="E8" s="219"/>
      <c r="F8" s="354">
        <v>1080</v>
      </c>
      <c r="G8" s="354" t="e">
        <f>D8*E8*F8*O2</f>
        <v>#REF!</v>
      </c>
      <c r="H8" s="355"/>
      <c r="I8" s="355"/>
      <c r="J8" s="355"/>
      <c r="K8" s="354" t="e">
        <f>IF(ISNUMBER(H8)=TRUE,H8*D8*F8,E8*D8*F8)*N2</f>
        <v>#REF!</v>
      </c>
      <c r="L8" s="354" t="e">
        <f>IF(ISNUMBER(I8)=TRUE,I8*D8*F8,E8*D8*F8)*N2</f>
        <v>#REF!</v>
      </c>
      <c r="M8" s="358" t="e">
        <f>IF(ISNUMBER(J8)=TRUE,J8*D8*F8,E8*D8*F8)*N2</f>
        <v>#REF!</v>
      </c>
      <c r="N8" s="63" t="e">
        <f>1.04%/365*(C2+SUM(K10:K80)-SUM(G10:G80))</f>
        <v>#REF!</v>
      </c>
      <c r="O8" s="69" t="e">
        <f>U18</f>
        <v>#REF!</v>
      </c>
      <c r="P8" s="69" t="e">
        <f>U20</f>
        <v>#REF!</v>
      </c>
    </row>
    <row r="9" spans="1:27" ht="16.8" thickBot="1">
      <c r="A9" s="348" t="e">
        <f t="shared" ref="A9:A59" si="0">G9/$C$2</f>
        <v>#REF!</v>
      </c>
      <c r="B9" s="349" t="s">
        <v>1775</v>
      </c>
      <c r="C9" s="362" t="s">
        <v>1773</v>
      </c>
      <c r="D9" s="349">
        <v>1</v>
      </c>
      <c r="E9" s="273"/>
      <c r="F9" s="350">
        <v>0</v>
      </c>
      <c r="G9" s="350" t="e">
        <f>D9*E9*F9*O2</f>
        <v>#REF!</v>
      </c>
      <c r="H9" s="359"/>
      <c r="I9" s="359"/>
      <c r="J9" s="359"/>
      <c r="K9" s="350" t="e">
        <f>IF(ISNUMBER(H9)=TRUE,H9*D9*F9,E9*D9*F9)*N2</f>
        <v>#REF!</v>
      </c>
      <c r="L9" s="350" t="e">
        <f>IF(ISNUMBER(I9)=TRUE,I9*D9*F9,E9*D9*F9)*N2</f>
        <v>#REF!</v>
      </c>
      <c r="M9" s="351" t="e">
        <f>IF(ISNUMBER(J9)=TRUE,J9*D9*F9,E9*D9*F9)*N2</f>
        <v>#REF!</v>
      </c>
      <c r="X9" s="439" t="s">
        <v>2771</v>
      </c>
      <c r="Y9" s="439" t="s">
        <v>2772</v>
      </c>
      <c r="Z9" s="439" t="s">
        <v>2773</v>
      </c>
      <c r="AA9" s="439" t="s">
        <v>2774</v>
      </c>
    </row>
    <row r="10" spans="1:27" ht="16.8" thickBot="1">
      <c r="A10" s="365" t="e">
        <f t="shared" si="0"/>
        <v>#REF!</v>
      </c>
      <c r="B10" s="209" t="str">
        <f>Y10</f>
        <v>浦發銀行</v>
      </c>
      <c r="C10" s="209" t="str">
        <f>X10</f>
        <v>600000 CH</v>
      </c>
      <c r="D10" s="209">
        <v>1</v>
      </c>
      <c r="E10" s="6"/>
      <c r="F10" s="367">
        <v>3015508</v>
      </c>
      <c r="G10" s="211" t="e">
        <f>D10*E10*F10*$O$4</f>
        <v>#REF!</v>
      </c>
      <c r="H10" s="210"/>
      <c r="I10" s="210"/>
      <c r="J10" s="210"/>
      <c r="K10" s="211" t="e">
        <f>IF(ISNUMBER(H10)=TRUE,H10*D10*F10,E10*D10*F10)*$N$4</f>
        <v>#REF!</v>
      </c>
      <c r="L10" s="211" t="e">
        <f>IF(ISNUMBER(I10)=TRUE,I10*D10*F10,E10*D10*F10)*$N$4</f>
        <v>#REF!</v>
      </c>
      <c r="M10" s="211" t="e">
        <f>IF(ISNUMBER(J10)=TRUE,J10*D10*F10,E10*D10*F10)*$N$4</f>
        <v>#REF!</v>
      </c>
      <c r="X10" s="440" t="s">
        <v>1784</v>
      </c>
      <c r="Y10" s="441" t="s">
        <v>252</v>
      </c>
      <c r="Z10" s="442">
        <v>2.2599999999999998</v>
      </c>
      <c r="AA10" s="443">
        <v>1827708</v>
      </c>
    </row>
    <row r="11" spans="1:27" ht="16.8" thickBot="1">
      <c r="A11" s="357" t="e">
        <f t="shared" si="0"/>
        <v>#REF!</v>
      </c>
      <c r="B11" s="25" t="str">
        <f t="shared" ref="B11:B59" si="1">Y11</f>
        <v>民生銀行</v>
      </c>
      <c r="C11" s="512" t="str">
        <f t="shared" ref="C11:C59" si="2">X11</f>
        <v>600016 CH</v>
      </c>
      <c r="D11" s="25">
        <v>1</v>
      </c>
      <c r="E11" s="6"/>
      <c r="F11" s="367">
        <v>6072029</v>
      </c>
      <c r="G11" s="49" t="e">
        <f>D11*E11*F11*$O$4</f>
        <v>#REF!</v>
      </c>
      <c r="H11" s="6"/>
      <c r="I11" s="6"/>
      <c r="J11" s="6"/>
      <c r="K11" s="211" t="e">
        <f t="shared" ref="K11:K59" si="3">IF(ISNUMBER(H11)=TRUE,H11*D11*F11,E11*D11*F11)*$N$4</f>
        <v>#REF!</v>
      </c>
      <c r="L11" s="211" t="e">
        <f t="shared" ref="L11:L59" si="4">IF(ISNUMBER(I11)=TRUE,I11*D11*F11,E11*D11*F11)*$N$4</f>
        <v>#REF!</v>
      </c>
      <c r="M11" s="211" t="e">
        <f t="shared" ref="M11:M59" si="5">IF(ISNUMBER(J11)=TRUE,J11*D11*F11,E11*D11*F11)*$N$4</f>
        <v>#REF!</v>
      </c>
      <c r="X11" s="444" t="s">
        <v>1785</v>
      </c>
      <c r="Y11" s="445" t="s">
        <v>253</v>
      </c>
      <c r="Z11" s="446">
        <v>2.5</v>
      </c>
      <c r="AA11" s="447">
        <v>3864314</v>
      </c>
    </row>
    <row r="12" spans="1:27" ht="16.8" thickBot="1">
      <c r="A12" s="357" t="e">
        <f t="shared" si="0"/>
        <v>#REF!</v>
      </c>
      <c r="B12" s="25" t="str">
        <f t="shared" si="1"/>
        <v>寶鋼股份</v>
      </c>
      <c r="C12" s="512" t="str">
        <f t="shared" si="2"/>
        <v>600019 CH</v>
      </c>
      <c r="D12" s="25">
        <v>1</v>
      </c>
      <c r="E12" s="6"/>
      <c r="F12" s="367">
        <v>2699764</v>
      </c>
      <c r="G12" s="49" t="e">
        <f t="shared" ref="G12:G59" si="6">D12*E12*F12*$O$4</f>
        <v>#REF!</v>
      </c>
      <c r="H12" s="6"/>
      <c r="I12" s="6"/>
      <c r="J12" s="6"/>
      <c r="K12" s="211" t="e">
        <f t="shared" si="3"/>
        <v>#REF!</v>
      </c>
      <c r="L12" s="211" t="e">
        <f t="shared" si="4"/>
        <v>#REF!</v>
      </c>
      <c r="M12" s="211" t="e">
        <f t="shared" si="5"/>
        <v>#REF!</v>
      </c>
      <c r="X12" s="440" t="s">
        <v>1792</v>
      </c>
      <c r="Y12" s="441" t="s">
        <v>2803</v>
      </c>
      <c r="Z12" s="442">
        <v>0.94</v>
      </c>
      <c r="AA12" s="443">
        <v>1387089</v>
      </c>
    </row>
    <row r="13" spans="1:27" ht="16.8" thickBot="1">
      <c r="A13" s="357" t="e">
        <f t="shared" si="0"/>
        <v>#REF!</v>
      </c>
      <c r="B13" s="25" t="str">
        <f t="shared" si="1"/>
        <v>中國石化</v>
      </c>
      <c r="C13" s="512" t="str">
        <f t="shared" si="2"/>
        <v>600028 CH</v>
      </c>
      <c r="D13" s="25">
        <v>1</v>
      </c>
      <c r="E13" s="6"/>
      <c r="F13" s="367">
        <v>901861</v>
      </c>
      <c r="G13" s="49" t="e">
        <f t="shared" si="6"/>
        <v>#REF!</v>
      </c>
      <c r="H13" s="6"/>
      <c r="I13" s="6"/>
      <c r="J13" s="6"/>
      <c r="K13" s="211" t="e">
        <f t="shared" si="3"/>
        <v>#REF!</v>
      </c>
      <c r="L13" s="211" t="e">
        <f t="shared" si="4"/>
        <v>#REF!</v>
      </c>
      <c r="M13" s="211" t="e">
        <f t="shared" si="5"/>
        <v>#REF!</v>
      </c>
      <c r="X13" s="444" t="s">
        <v>1786</v>
      </c>
      <c r="Y13" s="445" t="s">
        <v>254</v>
      </c>
      <c r="Z13" s="446">
        <v>1.17</v>
      </c>
      <c r="AA13" s="447">
        <v>2082564</v>
      </c>
    </row>
    <row r="14" spans="1:27" ht="16.8" thickBot="1">
      <c r="A14" s="357" t="e">
        <f t="shared" si="0"/>
        <v>#REF!</v>
      </c>
      <c r="B14" s="25" t="str">
        <f t="shared" si="1"/>
        <v>南方航空</v>
      </c>
      <c r="C14" s="512" t="str">
        <f t="shared" si="2"/>
        <v>600029 CH</v>
      </c>
      <c r="D14" s="25">
        <v>1</v>
      </c>
      <c r="E14" s="6"/>
      <c r="F14" s="367">
        <v>2021550</v>
      </c>
      <c r="G14" s="49" t="e">
        <f t="shared" si="6"/>
        <v>#REF!</v>
      </c>
      <c r="H14" s="6"/>
      <c r="I14" s="6"/>
      <c r="J14" s="6"/>
      <c r="K14" s="211" t="e">
        <f t="shared" si="3"/>
        <v>#REF!</v>
      </c>
      <c r="L14" s="211" t="e">
        <f t="shared" si="4"/>
        <v>#REF!</v>
      </c>
      <c r="M14" s="211" t="e">
        <f t="shared" si="5"/>
        <v>#REF!</v>
      </c>
      <c r="O14" s="204" t="s">
        <v>563</v>
      </c>
      <c r="P14" s="49">
        <v>10844743645</v>
      </c>
      <c r="Q14" s="203"/>
      <c r="R14" s="203"/>
      <c r="S14" s="203"/>
      <c r="T14" s="22"/>
      <c r="X14" s="440" t="s">
        <v>1787</v>
      </c>
      <c r="Y14" s="441" t="s">
        <v>255</v>
      </c>
      <c r="Z14" s="442">
        <v>0.43</v>
      </c>
      <c r="AA14" s="443">
        <v>535561</v>
      </c>
    </row>
    <row r="15" spans="1:27" ht="16.8" thickBot="1">
      <c r="A15" s="357" t="e">
        <f t="shared" si="0"/>
        <v>#REF!</v>
      </c>
      <c r="B15" s="25" t="str">
        <f t="shared" si="1"/>
        <v>中信證券</v>
      </c>
      <c r="C15" s="512" t="str">
        <f t="shared" si="2"/>
        <v>600030 CH</v>
      </c>
      <c r="D15" s="25">
        <v>1</v>
      </c>
      <c r="E15" s="6"/>
      <c r="F15" s="367">
        <v>2649213</v>
      </c>
      <c r="G15" s="49" t="e">
        <f t="shared" si="6"/>
        <v>#REF!</v>
      </c>
      <c r="H15" s="6"/>
      <c r="I15" s="6"/>
      <c r="J15" s="6"/>
      <c r="K15" s="211" t="e">
        <f t="shared" si="3"/>
        <v>#REF!</v>
      </c>
      <c r="L15" s="211" t="e">
        <f t="shared" si="4"/>
        <v>#REF!</v>
      </c>
      <c r="M15" s="211" t="e">
        <f t="shared" si="5"/>
        <v>#REF!</v>
      </c>
      <c r="O15" s="25" t="s">
        <v>559</v>
      </c>
      <c r="P15" s="25" t="s">
        <v>616</v>
      </c>
      <c r="Q15" s="25" t="s">
        <v>564</v>
      </c>
      <c r="R15" s="25" t="s">
        <v>553</v>
      </c>
      <c r="S15" s="25" t="s">
        <v>554</v>
      </c>
      <c r="T15" s="25" t="s">
        <v>555</v>
      </c>
      <c r="X15" s="444" t="s">
        <v>1788</v>
      </c>
      <c r="Y15" s="445" t="s">
        <v>256</v>
      </c>
      <c r="Z15" s="446">
        <v>3.07</v>
      </c>
      <c r="AA15" s="447">
        <v>1225250</v>
      </c>
    </row>
    <row r="16" spans="1:27" ht="16.8" thickBot="1">
      <c r="A16" s="357" t="e">
        <f t="shared" si="0"/>
        <v>#REF!</v>
      </c>
      <c r="B16" s="25" t="str">
        <f t="shared" si="1"/>
        <v>三一重工</v>
      </c>
      <c r="C16" s="512" t="str">
        <f t="shared" si="2"/>
        <v>600031 CH</v>
      </c>
      <c r="D16" s="25">
        <v>1</v>
      </c>
      <c r="E16" s="6"/>
      <c r="F16" s="367">
        <v>1827440</v>
      </c>
      <c r="G16" s="49" t="e">
        <f t="shared" si="6"/>
        <v>#REF!</v>
      </c>
      <c r="H16" s="6"/>
      <c r="I16" s="6"/>
      <c r="J16" s="6"/>
      <c r="K16" s="211" t="e">
        <f t="shared" si="3"/>
        <v>#REF!</v>
      </c>
      <c r="L16" s="211" t="e">
        <f t="shared" si="4"/>
        <v>#REF!</v>
      </c>
      <c r="M16" s="211" t="e">
        <f t="shared" si="5"/>
        <v>#REF!</v>
      </c>
      <c r="O16" s="216" t="s">
        <v>556</v>
      </c>
      <c r="P16" s="217">
        <v>0</v>
      </c>
      <c r="Q16" s="217">
        <v>0</v>
      </c>
      <c r="R16" s="218"/>
      <c r="S16" s="218"/>
      <c r="T16" s="218"/>
      <c r="X16" s="440" t="s">
        <v>2804</v>
      </c>
      <c r="Y16" s="441" t="s">
        <v>2805</v>
      </c>
      <c r="Z16" s="442">
        <v>1.28</v>
      </c>
      <c r="AA16" s="443">
        <v>912641</v>
      </c>
    </row>
    <row r="17" spans="1:27" ht="16.8" thickBot="1">
      <c r="A17" s="357" t="e">
        <f t="shared" si="0"/>
        <v>#REF!</v>
      </c>
      <c r="B17" s="25" t="str">
        <f t="shared" si="1"/>
        <v>招商銀行</v>
      </c>
      <c r="C17" s="512" t="str">
        <f t="shared" si="2"/>
        <v>600036 CH</v>
      </c>
      <c r="D17" s="25">
        <v>1</v>
      </c>
      <c r="E17" s="6"/>
      <c r="F17" s="367">
        <v>2329600</v>
      </c>
      <c r="G17" s="49" t="e">
        <f t="shared" si="6"/>
        <v>#REF!</v>
      </c>
      <c r="H17" s="6"/>
      <c r="I17" s="6"/>
      <c r="J17" s="6"/>
      <c r="K17" s="211" t="e">
        <f t="shared" si="3"/>
        <v>#REF!</v>
      </c>
      <c r="L17" s="211" t="e">
        <f t="shared" si="4"/>
        <v>#REF!</v>
      </c>
      <c r="M17" s="211" t="e">
        <f t="shared" si="5"/>
        <v>#REF!</v>
      </c>
      <c r="O17" s="6" t="s">
        <v>557</v>
      </c>
      <c r="P17" s="46">
        <v>0</v>
      </c>
      <c r="Q17" s="221">
        <f>P17</f>
        <v>0</v>
      </c>
      <c r="R17" s="207" t="e">
        <f>Q17/$Q$26</f>
        <v>#REF!</v>
      </c>
      <c r="S17" s="207"/>
      <c r="T17" s="207" t="e">
        <f>R17</f>
        <v>#REF!</v>
      </c>
      <c r="U17" s="22" t="s">
        <v>624</v>
      </c>
      <c r="X17" s="444" t="s">
        <v>1789</v>
      </c>
      <c r="Y17" s="445" t="s">
        <v>257</v>
      </c>
      <c r="Z17" s="446">
        <v>6.09</v>
      </c>
      <c r="AA17" s="447">
        <v>1605713</v>
      </c>
    </row>
    <row r="18" spans="1:27" ht="16.8" thickBot="1">
      <c r="A18" s="357" t="e">
        <f t="shared" si="0"/>
        <v>#REF!</v>
      </c>
      <c r="B18" s="25" t="str">
        <f t="shared" si="1"/>
        <v>保利地產</v>
      </c>
      <c r="C18" s="513" t="str">
        <f t="shared" si="2"/>
        <v>600048 CH</v>
      </c>
      <c r="D18" s="25">
        <v>1</v>
      </c>
      <c r="E18" s="6"/>
      <c r="F18" s="368">
        <v>2270789</v>
      </c>
      <c r="G18" s="49" t="e">
        <f t="shared" si="6"/>
        <v>#REF!</v>
      </c>
      <c r="H18" s="6"/>
      <c r="I18" s="6"/>
      <c r="J18" s="6"/>
      <c r="K18" s="211" t="e">
        <f t="shared" si="3"/>
        <v>#REF!</v>
      </c>
      <c r="L18" s="211" t="e">
        <f t="shared" si="4"/>
        <v>#REF!</v>
      </c>
      <c r="M18" s="211" t="e">
        <f t="shared" si="5"/>
        <v>#REF!</v>
      </c>
      <c r="O18" s="6" t="s">
        <v>560</v>
      </c>
      <c r="P18" s="46">
        <v>4308729</v>
      </c>
      <c r="Q18" s="233" t="e">
        <f>P18*O2</f>
        <v>#REF!</v>
      </c>
      <c r="R18" s="207" t="e">
        <f>Q18/$Q$26</f>
        <v>#REF!</v>
      </c>
      <c r="S18" s="207" t="e">
        <f>R18</f>
        <v>#REF!</v>
      </c>
      <c r="T18" s="207"/>
      <c r="U18" s="23" t="e">
        <f>S18</f>
        <v>#REF!</v>
      </c>
      <c r="X18" s="440" t="s">
        <v>1790</v>
      </c>
      <c r="Y18" s="441" t="s">
        <v>258</v>
      </c>
      <c r="Z18" s="442">
        <v>1.61</v>
      </c>
      <c r="AA18" s="443">
        <v>1111040</v>
      </c>
    </row>
    <row r="19" spans="1:27" ht="16.8" thickBot="1">
      <c r="A19" s="357" t="e">
        <f t="shared" si="0"/>
        <v>#REF!</v>
      </c>
      <c r="B19" s="25" t="str">
        <f t="shared" si="1"/>
        <v>中國聯通</v>
      </c>
      <c r="C19" s="512" t="str">
        <f t="shared" si="2"/>
        <v>600050 CH</v>
      </c>
      <c r="D19" s="25">
        <v>1</v>
      </c>
      <c r="E19" s="6"/>
      <c r="F19" s="367">
        <v>900290</v>
      </c>
      <c r="G19" s="49" t="e">
        <f t="shared" si="6"/>
        <v>#REF!</v>
      </c>
      <c r="H19" s="6"/>
      <c r="I19" s="6"/>
      <c r="J19" s="6"/>
      <c r="K19" s="211" t="e">
        <f t="shared" si="3"/>
        <v>#REF!</v>
      </c>
      <c r="L19" s="211" t="e">
        <f t="shared" si="4"/>
        <v>#REF!</v>
      </c>
      <c r="M19" s="211" t="e">
        <f t="shared" si="5"/>
        <v>#REF!</v>
      </c>
      <c r="O19" s="6" t="s">
        <v>582</v>
      </c>
      <c r="P19" s="46">
        <v>8507470</v>
      </c>
      <c r="Q19" s="233" t="e">
        <f>P19*O3</f>
        <v>#REF!</v>
      </c>
      <c r="R19" s="207" t="e">
        <f t="shared" ref="R19:R23" si="7">Q19/$Q$26</f>
        <v>#REF!</v>
      </c>
      <c r="S19" s="207" t="e">
        <f t="shared" ref="S19:S23" si="8">R19</f>
        <v>#REF!</v>
      </c>
      <c r="T19" s="207"/>
      <c r="U19" s="22" t="s">
        <v>625</v>
      </c>
      <c r="X19" s="444" t="s">
        <v>1791</v>
      </c>
      <c r="Y19" s="445" t="s">
        <v>259</v>
      </c>
      <c r="Z19" s="446">
        <v>0.93</v>
      </c>
      <c r="AA19" s="447">
        <v>1449700</v>
      </c>
    </row>
    <row r="20" spans="1:27" ht="16.8" thickBot="1">
      <c r="A20" s="357" t="e">
        <f t="shared" si="0"/>
        <v>#REF!</v>
      </c>
      <c r="B20" s="25" t="str">
        <f t="shared" si="1"/>
        <v>上汽集團</v>
      </c>
      <c r="C20" s="512" t="str">
        <f t="shared" si="2"/>
        <v>600104 CH</v>
      </c>
      <c r="D20" s="25">
        <v>1</v>
      </c>
      <c r="E20" s="6"/>
      <c r="F20" s="367">
        <v>559868</v>
      </c>
      <c r="G20" s="49" t="e">
        <f t="shared" si="6"/>
        <v>#REF!</v>
      </c>
      <c r="H20" s="6"/>
      <c r="I20" s="6"/>
      <c r="J20" s="6"/>
      <c r="K20" s="211" t="e">
        <f t="shared" si="3"/>
        <v>#REF!</v>
      </c>
      <c r="L20" s="211" t="e">
        <f t="shared" si="4"/>
        <v>#REF!</v>
      </c>
      <c r="M20" s="211" t="e">
        <f t="shared" si="5"/>
        <v>#REF!</v>
      </c>
      <c r="O20" s="6" t="s">
        <v>583</v>
      </c>
      <c r="P20" s="46">
        <v>4982965</v>
      </c>
      <c r="Q20" s="233" t="e">
        <f>P20*O4</f>
        <v>#REF!</v>
      </c>
      <c r="R20" s="207" t="e">
        <f t="shared" si="7"/>
        <v>#REF!</v>
      </c>
      <c r="S20" s="207" t="e">
        <f t="shared" si="8"/>
        <v>#REF!</v>
      </c>
      <c r="T20" s="207"/>
      <c r="U20" s="23" t="e">
        <f>S19+S20+S23</f>
        <v>#REF!</v>
      </c>
      <c r="X20" s="440" t="s">
        <v>1793</v>
      </c>
      <c r="Y20" s="441" t="s">
        <v>260</v>
      </c>
      <c r="Z20" s="442">
        <v>1.4</v>
      </c>
      <c r="AA20" s="443">
        <v>545674</v>
      </c>
    </row>
    <row r="21" spans="1:27" ht="16.8" thickBot="1">
      <c r="A21" s="357" t="e">
        <f t="shared" si="0"/>
        <v>#REF!</v>
      </c>
      <c r="B21" s="25" t="str">
        <f t="shared" si="1"/>
        <v>復星醫藥</v>
      </c>
      <c r="C21" s="512" t="str">
        <f t="shared" si="2"/>
        <v>600196 CH</v>
      </c>
      <c r="D21" s="25">
        <v>1</v>
      </c>
      <c r="E21" s="6"/>
      <c r="F21" s="367">
        <v>303602</v>
      </c>
      <c r="G21" s="49" t="e">
        <f t="shared" si="6"/>
        <v>#REF!</v>
      </c>
      <c r="H21" s="6"/>
      <c r="I21" s="6"/>
      <c r="J21" s="6"/>
      <c r="K21" s="211" t="e">
        <f t="shared" si="3"/>
        <v>#REF!</v>
      </c>
      <c r="L21" s="211" t="e">
        <f t="shared" si="4"/>
        <v>#REF!</v>
      </c>
      <c r="M21" s="211" t="e">
        <f t="shared" si="5"/>
        <v>#REF!</v>
      </c>
      <c r="O21" s="6" t="s">
        <v>584</v>
      </c>
      <c r="P21" s="46">
        <v>47232643</v>
      </c>
      <c r="Q21" s="221">
        <f>P21</f>
        <v>47232643</v>
      </c>
      <c r="R21" s="207" t="e">
        <f t="shared" si="7"/>
        <v>#REF!</v>
      </c>
      <c r="S21" s="207"/>
      <c r="T21" s="207" t="e">
        <f>R21</f>
        <v>#REF!</v>
      </c>
      <c r="X21" s="444" t="s">
        <v>2806</v>
      </c>
      <c r="Y21" s="445" t="s">
        <v>2807</v>
      </c>
      <c r="Z21" s="446">
        <v>0.46</v>
      </c>
      <c r="AA21" s="447">
        <v>156600</v>
      </c>
    </row>
    <row r="22" spans="1:27" ht="16.8" thickBot="1">
      <c r="A22" s="357" t="e">
        <f t="shared" si="0"/>
        <v>#REF!</v>
      </c>
      <c r="B22" s="25" t="str">
        <f t="shared" si="1"/>
        <v>恒瑞醫藥</v>
      </c>
      <c r="C22" s="512" t="str">
        <f t="shared" si="2"/>
        <v>600276 CH</v>
      </c>
      <c r="D22" s="25">
        <v>1</v>
      </c>
      <c r="E22" s="6"/>
      <c r="F22" s="367">
        <v>361400</v>
      </c>
      <c r="G22" s="49" t="e">
        <f t="shared" si="6"/>
        <v>#REF!</v>
      </c>
      <c r="H22" s="6"/>
      <c r="I22" s="6"/>
      <c r="J22" s="6"/>
      <c r="K22" s="211" t="e">
        <f t="shared" si="3"/>
        <v>#REF!</v>
      </c>
      <c r="L22" s="211" t="e">
        <f t="shared" si="4"/>
        <v>#REF!</v>
      </c>
      <c r="M22" s="211" t="e">
        <f t="shared" si="5"/>
        <v>#REF!</v>
      </c>
      <c r="O22" s="6" t="s">
        <v>1783</v>
      </c>
      <c r="P22" s="46">
        <v>4001960</v>
      </c>
      <c r="Q22" s="221" t="e">
        <f>P22*O2</f>
        <v>#REF!</v>
      </c>
      <c r="R22" s="207" t="e">
        <f t="shared" si="7"/>
        <v>#REF!</v>
      </c>
      <c r="S22" s="207" t="e">
        <f t="shared" si="8"/>
        <v>#REF!</v>
      </c>
      <c r="T22" s="207"/>
      <c r="X22" s="440" t="s">
        <v>2808</v>
      </c>
      <c r="Y22" s="441" t="s">
        <v>2809</v>
      </c>
      <c r="Z22" s="442">
        <v>3.43</v>
      </c>
      <c r="AA22" s="443">
        <v>481973</v>
      </c>
    </row>
    <row r="23" spans="1:27" ht="16.8" thickBot="1">
      <c r="A23" s="357" t="e">
        <f t="shared" si="0"/>
        <v>#REF!</v>
      </c>
      <c r="B23" s="25" t="str">
        <f t="shared" si="1"/>
        <v>萬華化學</v>
      </c>
      <c r="C23" s="512" t="str">
        <f t="shared" si="2"/>
        <v>600309 CH</v>
      </c>
      <c r="D23" s="25">
        <v>1</v>
      </c>
      <c r="E23" s="6"/>
      <c r="F23" s="367">
        <v>762323</v>
      </c>
      <c r="G23" s="49" t="e">
        <f t="shared" si="6"/>
        <v>#REF!</v>
      </c>
      <c r="H23" s="6"/>
      <c r="I23" s="6"/>
      <c r="J23" s="6"/>
      <c r="K23" s="211" t="e">
        <f t="shared" si="3"/>
        <v>#REF!</v>
      </c>
      <c r="L23" s="211" t="e">
        <f t="shared" si="4"/>
        <v>#REF!</v>
      </c>
      <c r="M23" s="211" t="e">
        <f t="shared" si="5"/>
        <v>#REF!</v>
      </c>
      <c r="O23" s="219" t="s">
        <v>585</v>
      </c>
      <c r="P23" s="208" t="e">
        <f>G60</f>
        <v>#REF!</v>
      </c>
      <c r="Q23" s="233" t="e">
        <f>P23*O3</f>
        <v>#REF!</v>
      </c>
      <c r="R23" s="207" t="e">
        <f t="shared" si="7"/>
        <v>#REF!</v>
      </c>
      <c r="S23" s="207" t="e">
        <f t="shared" si="8"/>
        <v>#REF!</v>
      </c>
      <c r="T23" s="207"/>
      <c r="X23" s="444" t="s">
        <v>2810</v>
      </c>
      <c r="Y23" s="445" t="s">
        <v>2811</v>
      </c>
      <c r="Z23" s="446">
        <v>1.1000000000000001</v>
      </c>
      <c r="AA23" s="447">
        <v>244410</v>
      </c>
    </row>
    <row r="24" spans="1:27" ht="16.8" thickBot="1">
      <c r="A24" s="357" t="e">
        <f t="shared" si="0"/>
        <v>#REF!</v>
      </c>
      <c r="B24" s="25" t="str">
        <f t="shared" si="1"/>
        <v>華夏幸福</v>
      </c>
      <c r="C24" s="512" t="str">
        <f t="shared" si="2"/>
        <v>600340 CH</v>
      </c>
      <c r="D24" s="25">
        <v>1</v>
      </c>
      <c r="E24" s="6"/>
      <c r="F24" s="367">
        <v>129125</v>
      </c>
      <c r="G24" s="49" t="e">
        <f t="shared" si="6"/>
        <v>#REF!</v>
      </c>
      <c r="H24" s="6"/>
      <c r="I24" s="6"/>
      <c r="J24" s="6"/>
      <c r="K24" s="211" t="e">
        <f t="shared" si="3"/>
        <v>#REF!</v>
      </c>
      <c r="L24" s="211" t="e">
        <f t="shared" si="4"/>
        <v>#REF!</v>
      </c>
      <c r="M24" s="211" t="e">
        <f t="shared" si="5"/>
        <v>#REF!</v>
      </c>
      <c r="O24" s="220" t="s">
        <v>561</v>
      </c>
      <c r="P24" s="208">
        <v>0</v>
      </c>
      <c r="Q24" s="6"/>
      <c r="R24" s="207" t="e">
        <f>Q24/$Q$26</f>
        <v>#REF!</v>
      </c>
      <c r="S24" s="207"/>
      <c r="T24" s="207"/>
      <c r="X24" s="440" t="s">
        <v>1794</v>
      </c>
      <c r="Y24" s="441" t="s">
        <v>261</v>
      </c>
      <c r="Z24" s="442">
        <v>0.91</v>
      </c>
      <c r="AA24" s="443">
        <v>280484</v>
      </c>
    </row>
    <row r="25" spans="1:27" ht="16.8" thickBot="1">
      <c r="A25" s="357" t="e">
        <f t="shared" si="0"/>
        <v>#REF!</v>
      </c>
      <c r="B25" s="25" t="str">
        <f t="shared" si="1"/>
        <v>*ST信威</v>
      </c>
      <c r="C25" s="512" t="str">
        <f t="shared" si="2"/>
        <v>600485 CH</v>
      </c>
      <c r="D25" s="25">
        <v>1</v>
      </c>
      <c r="E25" s="6"/>
      <c r="F25" s="367">
        <v>190800</v>
      </c>
      <c r="G25" s="49" t="e">
        <f t="shared" si="6"/>
        <v>#REF!</v>
      </c>
      <c r="H25" s="6"/>
      <c r="I25" s="6"/>
      <c r="J25" s="6"/>
      <c r="K25" s="211" t="e">
        <f t="shared" si="3"/>
        <v>#REF!</v>
      </c>
      <c r="L25" s="211" t="e">
        <f t="shared" si="4"/>
        <v>#REF!</v>
      </c>
      <c r="M25" s="211" t="e">
        <f t="shared" si="5"/>
        <v>#REF!</v>
      </c>
      <c r="O25" s="220" t="s">
        <v>623</v>
      </c>
      <c r="P25" s="236">
        <v>-49701552</v>
      </c>
      <c r="Q25" s="237">
        <v>-49701552</v>
      </c>
      <c r="R25" s="238" t="e">
        <f>Q25/$Q$26</f>
        <v>#REF!</v>
      </c>
      <c r="S25" s="237"/>
      <c r="T25" s="238" t="e">
        <f>R25</f>
        <v>#REF!</v>
      </c>
      <c r="U25" s="23" t="e">
        <f>S26+T26</f>
        <v>#REF!</v>
      </c>
      <c r="X25" s="444" t="s">
        <v>1795</v>
      </c>
      <c r="Y25" s="445" t="s">
        <v>2812</v>
      </c>
      <c r="Z25" s="446">
        <v>0.62</v>
      </c>
      <c r="AA25" s="447">
        <v>419738</v>
      </c>
    </row>
    <row r="26" spans="1:27" ht="16.8" thickBot="1">
      <c r="A26" s="357" t="e">
        <f t="shared" si="0"/>
        <v>#REF!</v>
      </c>
      <c r="B26" s="25" t="str">
        <f t="shared" si="1"/>
        <v>貴州茅臺</v>
      </c>
      <c r="C26" s="512" t="str">
        <f t="shared" si="2"/>
        <v>600519 CH</v>
      </c>
      <c r="D26" s="25">
        <v>1</v>
      </c>
      <c r="E26" s="6"/>
      <c r="F26" s="367">
        <v>937581</v>
      </c>
      <c r="G26" s="49" t="e">
        <f t="shared" si="6"/>
        <v>#REF!</v>
      </c>
      <c r="H26" s="6"/>
      <c r="I26" s="6"/>
      <c r="J26" s="6"/>
      <c r="K26" s="211" t="e">
        <f t="shared" si="3"/>
        <v>#REF!</v>
      </c>
      <c r="L26" s="211" t="e">
        <f t="shared" si="4"/>
        <v>#REF!</v>
      </c>
      <c r="M26" s="211" t="e">
        <f t="shared" si="5"/>
        <v>#REF!</v>
      </c>
      <c r="O26" s="6" t="s">
        <v>562</v>
      </c>
      <c r="P26" s="221"/>
      <c r="Q26" s="221" t="e">
        <f>SUM(Q17:Q25)</f>
        <v>#REF!</v>
      </c>
      <c r="R26" s="206" t="e">
        <f>SUM(R17:R23)</f>
        <v>#REF!</v>
      </c>
      <c r="S26" s="207" t="e">
        <f>SUM(S17:S25)</f>
        <v>#REF!</v>
      </c>
      <c r="T26" s="207" t="e">
        <f>SUM(T17:T25)</f>
        <v>#REF!</v>
      </c>
      <c r="X26" s="440" t="s">
        <v>1796</v>
      </c>
      <c r="Y26" s="441" t="s">
        <v>262</v>
      </c>
      <c r="Z26" s="442">
        <v>8.27</v>
      </c>
      <c r="AA26" s="443">
        <v>78225</v>
      </c>
    </row>
    <row r="27" spans="1:27" ht="16.8" thickBot="1">
      <c r="A27" s="357" t="e">
        <f t="shared" si="0"/>
        <v>#REF!</v>
      </c>
      <c r="B27" s="25" t="str">
        <f t="shared" si="1"/>
        <v>海螺水泥</v>
      </c>
      <c r="C27" s="512" t="str">
        <f t="shared" si="2"/>
        <v>600585 CH</v>
      </c>
      <c r="D27" s="25">
        <v>1</v>
      </c>
      <c r="E27" s="6"/>
      <c r="F27" s="367">
        <v>2078364</v>
      </c>
      <c r="G27" s="49" t="e">
        <f t="shared" si="6"/>
        <v>#REF!</v>
      </c>
      <c r="H27" s="6"/>
      <c r="I27" s="6"/>
      <c r="J27" s="6"/>
      <c r="K27" s="211" t="e">
        <f t="shared" si="3"/>
        <v>#REF!</v>
      </c>
      <c r="L27" s="211" t="e">
        <f t="shared" si="4"/>
        <v>#REF!</v>
      </c>
      <c r="M27" s="211" t="e">
        <f t="shared" si="5"/>
        <v>#REF!</v>
      </c>
      <c r="T27" s="23"/>
      <c r="X27" s="444" t="s">
        <v>2813</v>
      </c>
      <c r="Y27" s="445" t="s">
        <v>2814</v>
      </c>
      <c r="Z27" s="446">
        <v>1.38</v>
      </c>
      <c r="AA27" s="447">
        <v>311352</v>
      </c>
    </row>
    <row r="28" spans="1:27" ht="16.8" thickBot="1">
      <c r="A28" s="357" t="e">
        <f t="shared" si="0"/>
        <v>#REF!</v>
      </c>
      <c r="B28" s="25" t="str">
        <f t="shared" si="1"/>
        <v>海爾智家</v>
      </c>
      <c r="C28" s="512" t="str">
        <f t="shared" si="2"/>
        <v>600690 CH</v>
      </c>
      <c r="D28" s="25">
        <v>1</v>
      </c>
      <c r="E28" s="6"/>
      <c r="F28" s="367">
        <v>1561278</v>
      </c>
      <c r="G28" s="49" t="e">
        <f t="shared" si="6"/>
        <v>#REF!</v>
      </c>
      <c r="H28" s="6"/>
      <c r="I28" s="6"/>
      <c r="J28" s="6"/>
      <c r="K28" s="211" t="e">
        <f t="shared" si="3"/>
        <v>#REF!</v>
      </c>
      <c r="L28" s="211" t="e">
        <f t="shared" si="4"/>
        <v>#REF!</v>
      </c>
      <c r="M28" s="211" t="e">
        <f t="shared" si="5"/>
        <v>#REF!</v>
      </c>
      <c r="U28" s="339" t="s">
        <v>1712</v>
      </c>
      <c r="X28" s="440" t="s">
        <v>2815</v>
      </c>
      <c r="Y28" s="441" t="s">
        <v>2816</v>
      </c>
      <c r="Z28" s="442">
        <v>1.06</v>
      </c>
      <c r="AA28" s="443">
        <v>569528</v>
      </c>
    </row>
    <row r="29" spans="1:27" ht="16.8" thickBot="1">
      <c r="A29" s="357" t="e">
        <f t="shared" si="0"/>
        <v>#REF!</v>
      </c>
      <c r="B29" s="25" t="str">
        <f t="shared" si="1"/>
        <v>三安光電</v>
      </c>
      <c r="C29" s="512" t="str">
        <f t="shared" si="2"/>
        <v>600703 CH</v>
      </c>
      <c r="D29" s="25">
        <v>1</v>
      </c>
      <c r="E29" s="6"/>
      <c r="F29" s="367">
        <v>1779084</v>
      </c>
      <c r="G29" s="49" t="e">
        <f t="shared" si="6"/>
        <v>#REF!</v>
      </c>
      <c r="H29" s="6"/>
      <c r="I29" s="6"/>
      <c r="J29" s="6"/>
      <c r="K29" s="211" t="e">
        <f t="shared" si="3"/>
        <v>#REF!</v>
      </c>
      <c r="L29" s="211" t="e">
        <f t="shared" si="4"/>
        <v>#REF!</v>
      </c>
      <c r="M29" s="211" t="e">
        <f t="shared" si="5"/>
        <v>#REF!</v>
      </c>
      <c r="O29" s="339" t="s">
        <v>1757</v>
      </c>
      <c r="P29" s="339" t="s">
        <v>1758</v>
      </c>
      <c r="Q29" s="339" t="s">
        <v>1759</v>
      </c>
      <c r="R29" s="339" t="s">
        <v>1709</v>
      </c>
      <c r="S29" s="339" t="s">
        <v>1710</v>
      </c>
      <c r="T29" s="339" t="s">
        <v>1711</v>
      </c>
      <c r="U29" s="339" t="s">
        <v>1766</v>
      </c>
      <c r="X29" s="444" t="s">
        <v>2817</v>
      </c>
      <c r="Y29" s="445" t="s">
        <v>2818</v>
      </c>
      <c r="Z29" s="446">
        <v>0.45</v>
      </c>
      <c r="AA29" s="447">
        <v>380961</v>
      </c>
    </row>
    <row r="30" spans="1:27" ht="16.8" thickBot="1">
      <c r="A30" s="357" t="e">
        <f t="shared" si="0"/>
        <v>#REF!</v>
      </c>
      <c r="B30" s="25" t="str">
        <f t="shared" si="1"/>
        <v>海通證券</v>
      </c>
      <c r="C30" s="512" t="str">
        <f t="shared" si="2"/>
        <v>600837 CH</v>
      </c>
      <c r="D30" s="25">
        <v>1</v>
      </c>
      <c r="E30" s="6"/>
      <c r="F30" s="367">
        <v>766296</v>
      </c>
      <c r="G30" s="49" t="e">
        <f t="shared" si="6"/>
        <v>#REF!</v>
      </c>
      <c r="H30" s="6"/>
      <c r="I30" s="6"/>
      <c r="J30" s="6"/>
      <c r="K30" s="211" t="e">
        <f t="shared" si="3"/>
        <v>#REF!</v>
      </c>
      <c r="L30" s="211" t="e">
        <f t="shared" si="4"/>
        <v>#REF!</v>
      </c>
      <c r="M30" s="211" t="e">
        <f t="shared" si="5"/>
        <v>#REF!</v>
      </c>
      <c r="O30" s="339" t="s">
        <v>1760</v>
      </c>
      <c r="P30" s="339" t="s">
        <v>1761</v>
      </c>
      <c r="Q30" s="339" t="s">
        <v>1762</v>
      </c>
      <c r="R30" s="339" t="s">
        <v>1763</v>
      </c>
      <c r="S30" s="339" t="s">
        <v>1764</v>
      </c>
      <c r="T30" s="339" t="s">
        <v>1765</v>
      </c>
      <c r="U30" s="339" t="s">
        <v>1718</v>
      </c>
      <c r="X30" s="440" t="s">
        <v>1797</v>
      </c>
      <c r="Y30" s="441" t="s">
        <v>263</v>
      </c>
      <c r="Z30" s="442">
        <v>1.87</v>
      </c>
      <c r="AA30" s="443">
        <v>1259700</v>
      </c>
    </row>
    <row r="31" spans="1:27" ht="16.8" thickBot="1">
      <c r="A31" s="357" t="e">
        <f t="shared" si="0"/>
        <v>#REF!</v>
      </c>
      <c r="B31" s="25" t="str">
        <f t="shared" si="1"/>
        <v>伊利股份</v>
      </c>
      <c r="C31" s="512" t="str">
        <f t="shared" si="2"/>
        <v>600887 CH</v>
      </c>
      <c r="D31" s="25">
        <v>1</v>
      </c>
      <c r="E31" s="6"/>
      <c r="F31" s="367">
        <v>587568</v>
      </c>
      <c r="G31" s="49" t="e">
        <f t="shared" si="6"/>
        <v>#REF!</v>
      </c>
      <c r="H31" s="6"/>
      <c r="I31" s="6"/>
      <c r="J31" s="6"/>
      <c r="K31" s="211" t="e">
        <f t="shared" si="3"/>
        <v>#REF!</v>
      </c>
      <c r="L31" s="211" t="e">
        <f t="shared" si="4"/>
        <v>#REF!</v>
      </c>
      <c r="M31" s="211" t="e">
        <f t="shared" si="5"/>
        <v>#REF!</v>
      </c>
      <c r="O31" s="339" t="s">
        <v>1705</v>
      </c>
      <c r="P31" s="339" t="s">
        <v>1713</v>
      </c>
      <c r="Q31" s="339" t="s">
        <v>1714</v>
      </c>
      <c r="R31" s="339" t="s">
        <v>1715</v>
      </c>
      <c r="S31" s="339" t="s">
        <v>1716</v>
      </c>
      <c r="T31" s="339" t="s">
        <v>1717</v>
      </c>
      <c r="U31" s="339" t="s">
        <v>1772</v>
      </c>
      <c r="X31" s="444" t="s">
        <v>1798</v>
      </c>
      <c r="Y31" s="445" t="s">
        <v>264</v>
      </c>
      <c r="Z31" s="446">
        <v>3.44</v>
      </c>
      <c r="AA31" s="447">
        <v>949182</v>
      </c>
    </row>
    <row r="32" spans="1:27" ht="16.8" thickBot="1">
      <c r="A32" s="357" t="e">
        <f t="shared" si="0"/>
        <v>#REF!</v>
      </c>
      <c r="B32" s="25" t="str">
        <f t="shared" si="1"/>
        <v>中信建投</v>
      </c>
      <c r="C32" s="512" t="str">
        <f t="shared" si="2"/>
        <v>601066 CH</v>
      </c>
      <c r="D32" s="25">
        <v>1</v>
      </c>
      <c r="E32" s="6"/>
      <c r="F32" s="367">
        <v>1527416</v>
      </c>
      <c r="G32" s="49" t="e">
        <f t="shared" si="6"/>
        <v>#REF!</v>
      </c>
      <c r="H32" s="6"/>
      <c r="I32" s="6"/>
      <c r="J32" s="6"/>
      <c r="K32" s="211" t="e">
        <f t="shared" si="3"/>
        <v>#REF!</v>
      </c>
      <c r="L32" s="211" t="e">
        <f t="shared" si="4"/>
        <v>#REF!</v>
      </c>
      <c r="M32" s="211" t="e">
        <f t="shared" si="5"/>
        <v>#REF!</v>
      </c>
      <c r="O32" s="339" t="s">
        <v>1706</v>
      </c>
      <c r="P32" s="339" t="s">
        <v>1767</v>
      </c>
      <c r="Q32" s="339" t="s">
        <v>1768</v>
      </c>
      <c r="R32" s="339" t="s">
        <v>1769</v>
      </c>
      <c r="S32" s="339" t="s">
        <v>1770</v>
      </c>
      <c r="T32" s="339" t="s">
        <v>1771</v>
      </c>
      <c r="X32" s="440" t="s">
        <v>2819</v>
      </c>
      <c r="Y32" s="441" t="s">
        <v>2820</v>
      </c>
      <c r="Z32" s="442">
        <v>0.15</v>
      </c>
      <c r="AA32" s="443">
        <v>69600</v>
      </c>
    </row>
    <row r="33" spans="1:27" ht="16.8" thickBot="1">
      <c r="A33" s="357" t="e">
        <f t="shared" si="0"/>
        <v>#REF!</v>
      </c>
      <c r="B33" s="25" t="str">
        <f t="shared" si="1"/>
        <v>中國神華</v>
      </c>
      <c r="C33" s="512" t="str">
        <f t="shared" si="2"/>
        <v>601088 CH</v>
      </c>
      <c r="D33" s="25">
        <v>1</v>
      </c>
      <c r="E33" s="6"/>
      <c r="F33" s="367">
        <v>508360</v>
      </c>
      <c r="G33" s="49" t="e">
        <f t="shared" si="6"/>
        <v>#REF!</v>
      </c>
      <c r="H33" s="6"/>
      <c r="I33" s="6"/>
      <c r="J33" s="6"/>
      <c r="K33" s="211" t="e">
        <f t="shared" si="3"/>
        <v>#REF!</v>
      </c>
      <c r="L33" s="211" t="e">
        <f t="shared" si="4"/>
        <v>#REF!</v>
      </c>
      <c r="M33" s="211" t="e">
        <f t="shared" si="5"/>
        <v>#REF!</v>
      </c>
      <c r="X33" s="444" t="s">
        <v>1799</v>
      </c>
      <c r="Y33" s="445" t="s">
        <v>265</v>
      </c>
      <c r="Z33" s="446">
        <v>1.05</v>
      </c>
      <c r="AA33" s="447">
        <v>513460</v>
      </c>
    </row>
    <row r="34" spans="1:27" ht="16.8" thickBot="1">
      <c r="A34" s="357" t="e">
        <f t="shared" si="0"/>
        <v>#REF!</v>
      </c>
      <c r="B34" s="25" t="str">
        <f t="shared" si="1"/>
        <v>中國國航</v>
      </c>
      <c r="C34" s="512" t="str">
        <f t="shared" si="2"/>
        <v>601111 CH</v>
      </c>
      <c r="D34" s="25">
        <v>1</v>
      </c>
      <c r="E34" s="6"/>
      <c r="F34" s="367">
        <v>3201376</v>
      </c>
      <c r="G34" s="49" t="e">
        <f t="shared" si="6"/>
        <v>#REF!</v>
      </c>
      <c r="H34" s="6"/>
      <c r="I34" s="6"/>
      <c r="J34" s="6"/>
      <c r="K34" s="211" t="e">
        <f t="shared" si="3"/>
        <v>#REF!</v>
      </c>
      <c r="L34" s="211" t="e">
        <f t="shared" si="4"/>
        <v>#REF!</v>
      </c>
      <c r="M34" s="211" t="e">
        <f t="shared" si="5"/>
        <v>#REF!</v>
      </c>
      <c r="X34" s="440" t="s">
        <v>2821</v>
      </c>
      <c r="Y34" s="441" t="s">
        <v>2822</v>
      </c>
      <c r="Z34" s="442">
        <v>0.46</v>
      </c>
      <c r="AA34" s="443">
        <v>465273</v>
      </c>
    </row>
    <row r="35" spans="1:27" ht="16.8" thickBot="1">
      <c r="A35" s="357" t="e">
        <f t="shared" si="0"/>
        <v>#REF!</v>
      </c>
      <c r="B35" s="25" t="str">
        <f t="shared" si="1"/>
        <v>工業富聯</v>
      </c>
      <c r="C35" s="512" t="str">
        <f t="shared" si="2"/>
        <v>601138 CH</v>
      </c>
      <c r="D35" s="25">
        <v>1</v>
      </c>
      <c r="E35" s="6"/>
      <c r="F35" s="367">
        <v>3801249</v>
      </c>
      <c r="G35" s="49" t="e">
        <f t="shared" si="6"/>
        <v>#REF!</v>
      </c>
      <c r="H35" s="6"/>
      <c r="I35" s="6"/>
      <c r="J35" s="6"/>
      <c r="K35" s="211" t="e">
        <f t="shared" si="3"/>
        <v>#REF!</v>
      </c>
      <c r="L35" s="211" t="e">
        <f t="shared" si="4"/>
        <v>#REF!</v>
      </c>
      <c r="M35" s="211" t="e">
        <f t="shared" si="5"/>
        <v>#REF!</v>
      </c>
      <c r="X35" s="444" t="s">
        <v>2823</v>
      </c>
      <c r="Y35" s="445" t="s">
        <v>2824</v>
      </c>
      <c r="Z35" s="446">
        <v>0.25</v>
      </c>
      <c r="AA35" s="447">
        <v>185400</v>
      </c>
    </row>
    <row r="36" spans="1:27" ht="16.8" thickBot="1">
      <c r="A36" s="357" t="e">
        <f t="shared" si="0"/>
        <v>#REF!</v>
      </c>
      <c r="B36" s="25" t="str">
        <f t="shared" si="1"/>
        <v>興業銀行</v>
      </c>
      <c r="C36" s="512" t="str">
        <f t="shared" si="2"/>
        <v>601166 CH</v>
      </c>
      <c r="D36" s="25">
        <v>1</v>
      </c>
      <c r="E36" s="6"/>
      <c r="F36" s="367">
        <v>1181799</v>
      </c>
      <c r="G36" s="49" t="e">
        <f t="shared" si="6"/>
        <v>#REF!</v>
      </c>
      <c r="H36" s="6"/>
      <c r="I36" s="6"/>
      <c r="J36" s="6"/>
      <c r="K36" s="211" t="e">
        <f t="shared" si="3"/>
        <v>#REF!</v>
      </c>
      <c r="L36" s="211" t="e">
        <f t="shared" si="4"/>
        <v>#REF!</v>
      </c>
      <c r="M36" s="211" t="e">
        <f t="shared" si="5"/>
        <v>#REF!</v>
      </c>
      <c r="X36" s="440" t="s">
        <v>1800</v>
      </c>
      <c r="Y36" s="441" t="s">
        <v>266</v>
      </c>
      <c r="Z36" s="442">
        <v>4.41</v>
      </c>
      <c r="AA36" s="443">
        <v>2263776</v>
      </c>
    </row>
    <row r="37" spans="1:27" ht="16.8" thickBot="1">
      <c r="A37" s="357" t="e">
        <f t="shared" si="0"/>
        <v>#REF!</v>
      </c>
      <c r="B37" s="25" t="str">
        <f t="shared" si="1"/>
        <v>中國鐵建</v>
      </c>
      <c r="C37" s="513" t="str">
        <f t="shared" si="2"/>
        <v>601186 CH</v>
      </c>
      <c r="D37" s="25">
        <v>1</v>
      </c>
      <c r="E37" s="6"/>
      <c r="F37" s="368">
        <v>1178900</v>
      </c>
      <c r="G37" s="49" t="e">
        <f t="shared" si="6"/>
        <v>#REF!</v>
      </c>
      <c r="H37" s="6"/>
      <c r="I37" s="6"/>
      <c r="J37" s="6"/>
      <c r="K37" s="211" t="e">
        <f t="shared" si="3"/>
        <v>#REF!</v>
      </c>
      <c r="L37" s="211" t="e">
        <f t="shared" si="4"/>
        <v>#REF!</v>
      </c>
      <c r="M37" s="211" t="e">
        <f t="shared" si="5"/>
        <v>#REF!</v>
      </c>
      <c r="X37" s="444" t="s">
        <v>1801</v>
      </c>
      <c r="Y37" s="445" t="s">
        <v>267</v>
      </c>
      <c r="Z37" s="446">
        <v>0.74</v>
      </c>
      <c r="AA37" s="447">
        <v>716299</v>
      </c>
    </row>
    <row r="38" spans="1:27" ht="16.8" thickBot="1">
      <c r="A38" s="357" t="e">
        <f t="shared" si="0"/>
        <v>#REF!</v>
      </c>
      <c r="B38" s="25" t="str">
        <f t="shared" si="1"/>
        <v>國泰君安</v>
      </c>
      <c r="C38" s="512" t="str">
        <f t="shared" si="2"/>
        <v>601211 CH</v>
      </c>
      <c r="D38" s="25">
        <v>1</v>
      </c>
      <c r="E38" s="6"/>
      <c r="F38" s="367">
        <v>965269</v>
      </c>
      <c r="G38" s="49" t="e">
        <f t="shared" si="6"/>
        <v>#REF!</v>
      </c>
      <c r="H38" s="6"/>
      <c r="I38" s="6"/>
      <c r="J38" s="6"/>
      <c r="K38" s="211" t="e">
        <f t="shared" si="3"/>
        <v>#REF!</v>
      </c>
      <c r="L38" s="211" t="e">
        <f t="shared" si="4"/>
        <v>#REF!</v>
      </c>
      <c r="M38" s="211" t="e">
        <f t="shared" si="5"/>
        <v>#REF!</v>
      </c>
      <c r="X38" s="440" t="s">
        <v>1802</v>
      </c>
      <c r="Y38" s="441" t="s">
        <v>268</v>
      </c>
      <c r="Z38" s="442">
        <v>1.36</v>
      </c>
      <c r="AA38" s="443">
        <v>702069</v>
      </c>
    </row>
    <row r="39" spans="1:27" ht="16.8" thickBot="1">
      <c r="A39" s="357" t="e">
        <f t="shared" si="0"/>
        <v>#REF!</v>
      </c>
      <c r="B39" s="25" t="str">
        <f t="shared" si="1"/>
        <v>上海銀行</v>
      </c>
      <c r="C39" s="512" t="str">
        <f t="shared" si="2"/>
        <v>601229 CH</v>
      </c>
      <c r="D39" s="25">
        <v>1</v>
      </c>
      <c r="E39" s="6"/>
      <c r="F39" s="367">
        <v>220575</v>
      </c>
      <c r="G39" s="49" t="e">
        <f t="shared" si="6"/>
        <v>#REF!</v>
      </c>
      <c r="H39" s="6"/>
      <c r="I39" s="6"/>
      <c r="J39" s="6"/>
      <c r="K39" s="211" t="e">
        <f t="shared" si="3"/>
        <v>#REF!</v>
      </c>
      <c r="L39" s="211" t="e">
        <f t="shared" si="4"/>
        <v>#REF!</v>
      </c>
      <c r="M39" s="211" t="e">
        <f t="shared" si="5"/>
        <v>#REF!</v>
      </c>
      <c r="X39" s="444" t="s">
        <v>1803</v>
      </c>
      <c r="Y39" s="445" t="s">
        <v>269</v>
      </c>
      <c r="Z39" s="446">
        <v>1.05</v>
      </c>
      <c r="AA39" s="447">
        <v>1105782</v>
      </c>
    </row>
    <row r="40" spans="1:27" ht="16.8" thickBot="1">
      <c r="A40" s="357" t="e">
        <f t="shared" si="0"/>
        <v>#REF!</v>
      </c>
      <c r="B40" s="25" t="str">
        <f t="shared" si="1"/>
        <v>農業銀行</v>
      </c>
      <c r="C40" s="512" t="str">
        <f t="shared" si="2"/>
        <v>601288 CH</v>
      </c>
      <c r="D40" s="25">
        <v>1</v>
      </c>
      <c r="E40" s="6"/>
      <c r="F40" s="367">
        <v>9818212</v>
      </c>
      <c r="G40" s="49" t="e">
        <f t="shared" si="6"/>
        <v>#REF!</v>
      </c>
      <c r="H40" s="6"/>
      <c r="I40" s="6"/>
      <c r="J40" s="6"/>
      <c r="K40" s="211" t="e">
        <f t="shared" si="3"/>
        <v>#REF!</v>
      </c>
      <c r="L40" s="211" t="e">
        <f t="shared" si="4"/>
        <v>#REF!</v>
      </c>
      <c r="M40" s="211" t="e">
        <f t="shared" si="5"/>
        <v>#REF!</v>
      </c>
      <c r="X40" s="440" t="s">
        <v>1804</v>
      </c>
      <c r="Y40" s="441" t="s">
        <v>270</v>
      </c>
      <c r="Z40" s="442">
        <v>2.2999999999999998</v>
      </c>
      <c r="AA40" s="443">
        <v>5963612</v>
      </c>
    </row>
    <row r="41" spans="1:27" ht="16.8" thickBot="1">
      <c r="A41" s="357" t="e">
        <f t="shared" si="0"/>
        <v>#REF!</v>
      </c>
      <c r="B41" s="25" t="str">
        <f t="shared" si="1"/>
        <v>中國平安</v>
      </c>
      <c r="C41" s="512" t="str">
        <f t="shared" si="2"/>
        <v>601318 CH</v>
      </c>
      <c r="D41" s="25">
        <v>1</v>
      </c>
      <c r="E41" s="6"/>
      <c r="F41" s="367">
        <v>2782297</v>
      </c>
      <c r="G41" s="49" t="e">
        <f t="shared" si="6"/>
        <v>#REF!</v>
      </c>
      <c r="H41" s="6"/>
      <c r="I41" s="6"/>
      <c r="J41" s="6"/>
      <c r="K41" s="211" t="e">
        <f t="shared" si="3"/>
        <v>#REF!</v>
      </c>
      <c r="L41" s="211" t="e">
        <f t="shared" si="4"/>
        <v>#REF!</v>
      </c>
      <c r="M41" s="211" t="e">
        <f t="shared" si="5"/>
        <v>#REF!</v>
      </c>
      <c r="X41" s="444" t="s">
        <v>1805</v>
      </c>
      <c r="Y41" s="445" t="s">
        <v>271</v>
      </c>
      <c r="Z41" s="446">
        <v>16.05</v>
      </c>
      <c r="AA41" s="447">
        <v>1686382</v>
      </c>
    </row>
    <row r="42" spans="1:27" ht="16.8" thickBot="1">
      <c r="A42" s="357" t="e">
        <f t="shared" si="0"/>
        <v>#REF!</v>
      </c>
      <c r="B42" s="25" t="str">
        <f t="shared" si="1"/>
        <v>中國人保</v>
      </c>
      <c r="C42" s="512" t="str">
        <f t="shared" si="2"/>
        <v>601319 CH</v>
      </c>
      <c r="D42" s="25">
        <v>1</v>
      </c>
      <c r="E42" s="6"/>
      <c r="F42" s="367">
        <v>7056744</v>
      </c>
      <c r="G42" s="49" t="e">
        <f t="shared" si="6"/>
        <v>#REF!</v>
      </c>
      <c r="H42" s="6"/>
      <c r="I42" s="6"/>
      <c r="J42" s="6"/>
      <c r="K42" s="211" t="e">
        <f t="shared" si="3"/>
        <v>#REF!</v>
      </c>
      <c r="L42" s="211" t="e">
        <f t="shared" si="4"/>
        <v>#REF!</v>
      </c>
      <c r="M42" s="211" t="e">
        <f t="shared" si="5"/>
        <v>#REF!</v>
      </c>
      <c r="V42" s="22"/>
      <c r="X42" s="440" t="s">
        <v>2825</v>
      </c>
      <c r="Y42" s="441" t="s">
        <v>2826</v>
      </c>
      <c r="Z42" s="442">
        <v>0.16</v>
      </c>
      <c r="AA42" s="443">
        <v>165800</v>
      </c>
    </row>
    <row r="43" spans="1:27" ht="16.8" thickBot="1">
      <c r="A43" s="357" t="e">
        <f t="shared" si="0"/>
        <v>#REF!</v>
      </c>
      <c r="B43" s="25" t="str">
        <f t="shared" si="1"/>
        <v>交通銀行</v>
      </c>
      <c r="C43" s="512" t="str">
        <f t="shared" si="2"/>
        <v>601328 CH</v>
      </c>
      <c r="D43" s="25">
        <v>1</v>
      </c>
      <c r="E43" s="6"/>
      <c r="F43" s="367">
        <v>214328</v>
      </c>
      <c r="G43" s="49" t="e">
        <f t="shared" si="6"/>
        <v>#REF!</v>
      </c>
      <c r="H43" s="6"/>
      <c r="I43" s="6"/>
      <c r="J43" s="6"/>
      <c r="K43" s="211" t="e">
        <f t="shared" si="3"/>
        <v>#REF!</v>
      </c>
      <c r="L43" s="211" t="e">
        <f t="shared" si="4"/>
        <v>#REF!</v>
      </c>
      <c r="M43" s="211" t="e">
        <f t="shared" si="5"/>
        <v>#REF!</v>
      </c>
      <c r="Q43" s="203"/>
      <c r="R43" s="203"/>
      <c r="S43" s="203"/>
      <c r="T43" s="203"/>
      <c r="X43" s="444" t="s">
        <v>1806</v>
      </c>
      <c r="Y43" s="445" t="s">
        <v>272</v>
      </c>
      <c r="Z43" s="446">
        <v>2.66</v>
      </c>
      <c r="AA43" s="447">
        <v>4277130</v>
      </c>
    </row>
    <row r="44" spans="1:27" ht="16.8" thickBot="1">
      <c r="A44" s="357" t="e">
        <f t="shared" si="0"/>
        <v>#REF!</v>
      </c>
      <c r="B44" s="25" t="str">
        <f t="shared" si="1"/>
        <v>新華保險</v>
      </c>
      <c r="C44" s="512" t="str">
        <f t="shared" si="2"/>
        <v>601336 CH</v>
      </c>
      <c r="D44" s="25">
        <v>1</v>
      </c>
      <c r="E44" s="6"/>
      <c r="F44" s="367">
        <v>1436060</v>
      </c>
      <c r="G44" s="49" t="e">
        <f t="shared" si="6"/>
        <v>#REF!</v>
      </c>
      <c r="H44" s="6"/>
      <c r="I44" s="6"/>
      <c r="J44" s="6"/>
      <c r="K44" s="211" t="e">
        <f t="shared" si="3"/>
        <v>#REF!</v>
      </c>
      <c r="L44" s="211" t="e">
        <f t="shared" si="4"/>
        <v>#REF!</v>
      </c>
      <c r="M44" s="211" t="e">
        <f t="shared" si="5"/>
        <v>#REF!</v>
      </c>
      <c r="X44" s="440" t="s">
        <v>1807</v>
      </c>
      <c r="Y44" s="441" t="s">
        <v>273</v>
      </c>
      <c r="Z44" s="442">
        <v>0.76</v>
      </c>
      <c r="AA44" s="443">
        <v>129928</v>
      </c>
    </row>
    <row r="45" spans="1:27" ht="16.8" thickBot="1">
      <c r="A45" s="357" t="e">
        <f t="shared" si="0"/>
        <v>#REF!</v>
      </c>
      <c r="B45" s="25" t="str">
        <f t="shared" si="1"/>
        <v>中國中鐵</v>
      </c>
      <c r="C45" s="512" t="str">
        <f t="shared" si="2"/>
        <v>601390 CH</v>
      </c>
      <c r="D45" s="25">
        <v>1</v>
      </c>
      <c r="E45" s="6"/>
      <c r="F45" s="367">
        <v>5539763</v>
      </c>
      <c r="G45" s="49" t="e">
        <f t="shared" si="6"/>
        <v>#REF!</v>
      </c>
      <c r="H45" s="6"/>
      <c r="I45" s="6"/>
      <c r="J45" s="6"/>
      <c r="K45" s="211" t="e">
        <f t="shared" si="3"/>
        <v>#REF!</v>
      </c>
      <c r="L45" s="211" t="e">
        <f t="shared" si="4"/>
        <v>#REF!</v>
      </c>
      <c r="M45" s="211" t="e">
        <f t="shared" si="5"/>
        <v>#REF!</v>
      </c>
      <c r="X45" s="444" t="s">
        <v>1808</v>
      </c>
      <c r="Y45" s="445" t="s">
        <v>274</v>
      </c>
      <c r="Z45" s="446">
        <v>0.8</v>
      </c>
      <c r="AA45" s="447">
        <v>1160560</v>
      </c>
    </row>
    <row r="46" spans="1:27" ht="16.8" thickBot="1">
      <c r="A46" s="357" t="e">
        <f t="shared" si="0"/>
        <v>#REF!</v>
      </c>
      <c r="B46" s="25" t="str">
        <f t="shared" si="1"/>
        <v>工商銀行</v>
      </c>
      <c r="C46" s="512" t="str">
        <f t="shared" si="2"/>
        <v>601398 CH</v>
      </c>
      <c r="D46" s="25">
        <v>1</v>
      </c>
      <c r="E46" s="6"/>
      <c r="F46" s="367">
        <v>807426</v>
      </c>
      <c r="G46" s="49" t="e">
        <f t="shared" si="6"/>
        <v>#REF!</v>
      </c>
      <c r="H46" s="6"/>
      <c r="I46" s="6"/>
      <c r="J46" s="6"/>
      <c r="K46" s="211" t="e">
        <f t="shared" si="3"/>
        <v>#REF!</v>
      </c>
      <c r="L46" s="211" t="e">
        <f t="shared" si="4"/>
        <v>#REF!</v>
      </c>
      <c r="M46" s="211" t="e">
        <f t="shared" si="5"/>
        <v>#REF!</v>
      </c>
      <c r="X46" s="440" t="s">
        <v>1809</v>
      </c>
      <c r="Y46" s="441" t="s">
        <v>275</v>
      </c>
      <c r="Z46" s="442">
        <v>2.02</v>
      </c>
      <c r="AA46" s="443">
        <v>3357663</v>
      </c>
    </row>
    <row r="47" spans="1:27" ht="16.8" thickBot="1">
      <c r="A47" s="357" t="e">
        <f t="shared" si="0"/>
        <v>#REF!</v>
      </c>
      <c r="B47" s="25" t="str">
        <f t="shared" si="1"/>
        <v>中國太保</v>
      </c>
      <c r="C47" s="512" t="str">
        <f t="shared" si="2"/>
        <v>601601 CH</v>
      </c>
      <c r="D47" s="25">
        <v>1</v>
      </c>
      <c r="E47" s="6"/>
      <c r="F47" s="367">
        <v>427862</v>
      </c>
      <c r="G47" s="49" t="e">
        <f t="shared" si="6"/>
        <v>#REF!</v>
      </c>
      <c r="H47" s="6"/>
      <c r="I47" s="6"/>
      <c r="J47" s="6"/>
      <c r="K47" s="211" t="e">
        <f t="shared" si="3"/>
        <v>#REF!</v>
      </c>
      <c r="L47" s="211" t="e">
        <f t="shared" si="4"/>
        <v>#REF!</v>
      </c>
      <c r="M47" s="211" t="e">
        <f t="shared" si="5"/>
        <v>#REF!</v>
      </c>
      <c r="X47" s="444" t="s">
        <v>1810</v>
      </c>
      <c r="Y47" s="445" t="s">
        <v>276</v>
      </c>
      <c r="Z47" s="446">
        <v>1.98</v>
      </c>
      <c r="AA47" s="447">
        <v>489377</v>
      </c>
    </row>
    <row r="48" spans="1:27" ht="16.8" thickBot="1">
      <c r="A48" s="357" t="e">
        <f t="shared" si="0"/>
        <v>#REF!</v>
      </c>
      <c r="B48" s="25" t="str">
        <f t="shared" si="1"/>
        <v>中國人壽</v>
      </c>
      <c r="C48" s="512" t="str">
        <f t="shared" si="2"/>
        <v>601628 CH</v>
      </c>
      <c r="D48" s="25">
        <v>1</v>
      </c>
      <c r="E48" s="6"/>
      <c r="F48" s="367">
        <v>3852575</v>
      </c>
      <c r="G48" s="49" t="e">
        <f t="shared" si="6"/>
        <v>#REF!</v>
      </c>
      <c r="H48" s="6"/>
      <c r="I48" s="6"/>
      <c r="J48" s="6"/>
      <c r="K48" s="211" t="e">
        <f t="shared" si="3"/>
        <v>#REF!</v>
      </c>
      <c r="L48" s="211" t="e">
        <f t="shared" si="4"/>
        <v>#REF!</v>
      </c>
      <c r="M48" s="211" t="e">
        <f t="shared" si="5"/>
        <v>#REF!</v>
      </c>
      <c r="X48" s="440" t="s">
        <v>1811</v>
      </c>
      <c r="Y48" s="441" t="s">
        <v>277</v>
      </c>
      <c r="Z48" s="442">
        <v>0.85</v>
      </c>
      <c r="AA48" s="443">
        <v>259362</v>
      </c>
    </row>
    <row r="49" spans="1:27" ht="16.8" thickBot="1">
      <c r="A49" s="357" t="e">
        <f t="shared" si="0"/>
        <v>#REF!</v>
      </c>
      <c r="B49" s="25" t="str">
        <f t="shared" si="1"/>
        <v>中國建筑</v>
      </c>
      <c r="C49" s="512" t="str">
        <f t="shared" si="2"/>
        <v>601668 CH</v>
      </c>
      <c r="D49" s="25">
        <v>1</v>
      </c>
      <c r="E49" s="6"/>
      <c r="F49" s="367">
        <v>838905</v>
      </c>
      <c r="G49" s="49" t="e">
        <f t="shared" si="6"/>
        <v>#REF!</v>
      </c>
      <c r="H49" s="6"/>
      <c r="I49" s="6"/>
      <c r="J49" s="6"/>
      <c r="K49" s="211" t="e">
        <f t="shared" si="3"/>
        <v>#REF!</v>
      </c>
      <c r="L49" s="211" t="e">
        <f t="shared" si="4"/>
        <v>#REF!</v>
      </c>
      <c r="M49" s="211" t="e">
        <f t="shared" si="5"/>
        <v>#REF!</v>
      </c>
      <c r="X49" s="444" t="s">
        <v>1812</v>
      </c>
      <c r="Y49" s="445" t="s">
        <v>278</v>
      </c>
      <c r="Z49" s="446">
        <v>2.0499999999999998</v>
      </c>
      <c r="AA49" s="447">
        <v>3267601</v>
      </c>
    </row>
    <row r="50" spans="1:27" ht="16.8" thickBot="1">
      <c r="A50" s="357" t="e">
        <f t="shared" si="0"/>
        <v>#REF!</v>
      </c>
      <c r="B50" s="25" t="str">
        <f t="shared" si="1"/>
        <v>華泰證券</v>
      </c>
      <c r="C50" s="512" t="str">
        <f t="shared" si="2"/>
        <v>601688 CH</v>
      </c>
      <c r="D50" s="25">
        <v>1</v>
      </c>
      <c r="E50" s="6"/>
      <c r="F50" s="367">
        <v>1874502</v>
      </c>
      <c r="G50" s="49" t="e">
        <f t="shared" si="6"/>
        <v>#REF!</v>
      </c>
      <c r="H50" s="6"/>
      <c r="I50" s="6"/>
      <c r="J50" s="6"/>
      <c r="K50" s="211" t="e">
        <f t="shared" si="3"/>
        <v>#REF!</v>
      </c>
      <c r="L50" s="211" t="e">
        <f t="shared" si="4"/>
        <v>#REF!</v>
      </c>
      <c r="M50" s="211" t="e">
        <f t="shared" si="5"/>
        <v>#REF!</v>
      </c>
      <c r="X50" s="440" t="s">
        <v>1813</v>
      </c>
      <c r="Y50" s="441" t="s">
        <v>279</v>
      </c>
      <c r="Z50" s="442">
        <v>1.25</v>
      </c>
      <c r="AA50" s="443">
        <v>560534</v>
      </c>
    </row>
    <row r="51" spans="1:27" ht="16.8" thickBot="1">
      <c r="A51" s="357" t="e">
        <f t="shared" si="0"/>
        <v>#REF!</v>
      </c>
      <c r="B51" s="25" t="str">
        <f t="shared" si="1"/>
        <v>中國中車</v>
      </c>
      <c r="C51" s="513" t="str">
        <f t="shared" si="2"/>
        <v>601766 CH</v>
      </c>
      <c r="D51" s="25">
        <v>1</v>
      </c>
      <c r="E51" s="6"/>
      <c r="F51" s="368">
        <v>94247</v>
      </c>
      <c r="G51" s="49" t="e">
        <f t="shared" si="6"/>
        <v>#REF!</v>
      </c>
      <c r="H51" s="6"/>
      <c r="I51" s="6"/>
      <c r="J51" s="6"/>
      <c r="K51" s="211" t="e">
        <f t="shared" si="3"/>
        <v>#REF!</v>
      </c>
      <c r="L51" s="211" t="e">
        <f t="shared" si="4"/>
        <v>#REF!</v>
      </c>
      <c r="M51" s="211" t="e">
        <f t="shared" si="5"/>
        <v>#REF!</v>
      </c>
      <c r="X51" s="444" t="s">
        <v>1814</v>
      </c>
      <c r="Y51" s="445" t="s">
        <v>280</v>
      </c>
      <c r="Z51" s="446">
        <v>1.28</v>
      </c>
      <c r="AA51" s="447">
        <v>1514902</v>
      </c>
    </row>
    <row r="52" spans="1:27" ht="16.8" thickBot="1">
      <c r="A52" s="357" t="e">
        <f t="shared" si="0"/>
        <v>#REF!</v>
      </c>
      <c r="B52" s="25" t="str">
        <f t="shared" si="1"/>
        <v>中國交建</v>
      </c>
      <c r="C52" s="512" t="str">
        <f t="shared" si="2"/>
        <v>601800 CH</v>
      </c>
      <c r="D52" s="25">
        <v>1</v>
      </c>
      <c r="E52" s="6"/>
      <c r="F52" s="367">
        <v>392315</v>
      </c>
      <c r="G52" s="49" t="e">
        <f t="shared" si="6"/>
        <v>#REF!</v>
      </c>
      <c r="H52" s="6"/>
      <c r="I52" s="6"/>
      <c r="J52" s="6"/>
      <c r="K52" s="211" t="e">
        <f t="shared" si="3"/>
        <v>#REF!</v>
      </c>
      <c r="L52" s="211" t="e">
        <f t="shared" si="4"/>
        <v>#REF!</v>
      </c>
      <c r="M52" s="211" t="e">
        <f t="shared" si="5"/>
        <v>#REF!</v>
      </c>
      <c r="X52" s="440" t="s">
        <v>1815</v>
      </c>
      <c r="Y52" s="441" t="s">
        <v>281</v>
      </c>
      <c r="Z52" s="442">
        <v>0.43</v>
      </c>
      <c r="AA52" s="443">
        <v>365815</v>
      </c>
    </row>
    <row r="53" spans="1:27" ht="16.8" thickBot="1">
      <c r="A53" s="357" t="e">
        <f t="shared" si="0"/>
        <v>#REF!</v>
      </c>
      <c r="B53" s="25" t="str">
        <f t="shared" si="1"/>
        <v>光大銀行</v>
      </c>
      <c r="C53" s="512" t="str">
        <f t="shared" si="2"/>
        <v>601818 CH</v>
      </c>
      <c r="D53" s="25">
        <v>1</v>
      </c>
      <c r="E53" s="6"/>
      <c r="F53" s="367">
        <v>4089940</v>
      </c>
      <c r="G53" s="49" t="e">
        <f t="shared" si="6"/>
        <v>#REF!</v>
      </c>
      <c r="H53" s="6"/>
      <c r="I53" s="6"/>
      <c r="J53" s="6"/>
      <c r="K53" s="211" t="e">
        <f t="shared" si="3"/>
        <v>#REF!</v>
      </c>
      <c r="L53" s="211" t="e">
        <f t="shared" si="4"/>
        <v>#REF!</v>
      </c>
      <c r="M53" s="211" t="e">
        <f t="shared" si="5"/>
        <v>#REF!</v>
      </c>
      <c r="X53" s="444" t="s">
        <v>1816</v>
      </c>
      <c r="Y53" s="445" t="s">
        <v>282</v>
      </c>
      <c r="Z53" s="446">
        <v>1.01</v>
      </c>
      <c r="AA53" s="447">
        <v>2478940</v>
      </c>
    </row>
    <row r="54" spans="1:27" ht="16.8" thickBot="1">
      <c r="A54" s="357" t="e">
        <f t="shared" si="0"/>
        <v>#REF!</v>
      </c>
      <c r="B54" s="25" t="str">
        <f t="shared" si="1"/>
        <v>中國石油</v>
      </c>
      <c r="C54" s="512" t="str">
        <f t="shared" si="2"/>
        <v>601857 CH</v>
      </c>
      <c r="D54" s="25">
        <v>1</v>
      </c>
      <c r="E54" s="6"/>
      <c r="F54" s="367">
        <v>1663520</v>
      </c>
      <c r="G54" s="49" t="e">
        <f t="shared" si="6"/>
        <v>#REF!</v>
      </c>
      <c r="H54" s="6"/>
      <c r="I54" s="6"/>
      <c r="J54" s="6"/>
      <c r="K54" s="211" t="e">
        <f t="shared" si="3"/>
        <v>#REF!</v>
      </c>
      <c r="L54" s="211" t="e">
        <f t="shared" si="4"/>
        <v>#REF!</v>
      </c>
      <c r="M54" s="211" t="e">
        <f t="shared" si="5"/>
        <v>#REF!</v>
      </c>
      <c r="X54" s="440" t="s">
        <v>1817</v>
      </c>
      <c r="Y54" s="441" t="s">
        <v>283</v>
      </c>
      <c r="Z54" s="442">
        <v>0.9</v>
      </c>
      <c r="AA54" s="443">
        <v>1260320</v>
      </c>
    </row>
    <row r="55" spans="1:27" ht="16.8" thickBot="1">
      <c r="A55" s="357" t="e">
        <f t="shared" si="0"/>
        <v>#REF!</v>
      </c>
      <c r="B55" s="25" t="str">
        <f t="shared" si="1"/>
        <v>中國國旅</v>
      </c>
      <c r="C55" s="512" t="str">
        <f t="shared" si="2"/>
        <v>601888 CH</v>
      </c>
      <c r="D55" s="25">
        <v>1</v>
      </c>
      <c r="E55" s="6"/>
      <c r="F55" s="367">
        <v>165636</v>
      </c>
      <c r="G55" s="49" t="e">
        <f t="shared" si="6"/>
        <v>#REF!</v>
      </c>
      <c r="H55" s="6"/>
      <c r="I55" s="6"/>
      <c r="J55" s="6"/>
      <c r="K55" s="211" t="e">
        <f t="shared" si="3"/>
        <v>#REF!</v>
      </c>
      <c r="L55" s="211" t="e">
        <f t="shared" si="4"/>
        <v>#REF!</v>
      </c>
      <c r="M55" s="211" t="e">
        <f t="shared" si="5"/>
        <v>#REF!</v>
      </c>
      <c r="X55" s="444" t="s">
        <v>2827</v>
      </c>
      <c r="Y55" s="445" t="s">
        <v>2828</v>
      </c>
      <c r="Z55" s="446">
        <v>1.43</v>
      </c>
      <c r="AA55" s="447">
        <v>152000</v>
      </c>
    </row>
    <row r="56" spans="1:27" ht="16.8" thickBot="1">
      <c r="A56" s="357" t="e">
        <f t="shared" si="0"/>
        <v>#REF!</v>
      </c>
      <c r="B56" s="25" t="str">
        <f t="shared" si="1"/>
        <v>建設銀行</v>
      </c>
      <c r="C56" s="513" t="str">
        <f t="shared" si="2"/>
        <v>601939 CH</v>
      </c>
      <c r="D56" s="25">
        <v>1</v>
      </c>
      <c r="E56" s="6"/>
      <c r="F56" s="368">
        <v>680600</v>
      </c>
      <c r="G56" s="49" t="e">
        <f t="shared" si="6"/>
        <v>#REF!</v>
      </c>
      <c r="H56" s="6"/>
      <c r="I56" s="6"/>
      <c r="J56" s="6"/>
      <c r="K56" s="211" t="e">
        <f t="shared" si="3"/>
        <v>#REF!</v>
      </c>
      <c r="L56" s="211" t="e">
        <f t="shared" si="4"/>
        <v>#REF!</v>
      </c>
      <c r="M56" s="211" t="e">
        <f t="shared" si="5"/>
        <v>#REF!</v>
      </c>
      <c r="X56" s="440" t="s">
        <v>2829</v>
      </c>
      <c r="Y56" s="441" t="s">
        <v>2830</v>
      </c>
      <c r="Z56" s="442">
        <v>0.8</v>
      </c>
      <c r="AA56" s="443">
        <v>1045400</v>
      </c>
    </row>
    <row r="57" spans="1:27" ht="16.8" thickBot="1">
      <c r="A57" s="357" t="e">
        <f t="shared" si="0"/>
        <v>#REF!</v>
      </c>
      <c r="B57" s="25" t="str">
        <f t="shared" si="1"/>
        <v>中國銀行</v>
      </c>
      <c r="C57" s="512" t="str">
        <f t="shared" si="2"/>
        <v>601988 CH</v>
      </c>
      <c r="D57" s="25">
        <v>1</v>
      </c>
      <c r="E57" s="6"/>
      <c r="F57" s="367">
        <v>1199400</v>
      </c>
      <c r="G57" s="49" t="e">
        <f t="shared" si="6"/>
        <v>#REF!</v>
      </c>
      <c r="H57" s="6"/>
      <c r="I57" s="6"/>
      <c r="J57" s="6"/>
      <c r="K57" s="211" t="e">
        <f t="shared" si="3"/>
        <v>#REF!</v>
      </c>
      <c r="L57" s="211" t="e">
        <f t="shared" si="4"/>
        <v>#REF!</v>
      </c>
      <c r="M57" s="211" t="e">
        <f t="shared" si="5"/>
        <v>#REF!</v>
      </c>
      <c r="X57" s="444" t="s">
        <v>1819</v>
      </c>
      <c r="Y57" s="445" t="s">
        <v>284</v>
      </c>
      <c r="Z57" s="446">
        <v>1.31</v>
      </c>
      <c r="AA57" s="447">
        <v>3281013</v>
      </c>
    </row>
    <row r="58" spans="1:27" ht="16.8" thickBot="1">
      <c r="A58" s="357" t="e">
        <f t="shared" si="0"/>
        <v>#REF!</v>
      </c>
      <c r="B58" s="25" t="str">
        <f t="shared" si="1"/>
        <v>中國重工</v>
      </c>
      <c r="C58" s="512" t="str">
        <f t="shared" si="2"/>
        <v>601989 CH</v>
      </c>
      <c r="D58" s="25">
        <v>1</v>
      </c>
      <c r="E58" s="6"/>
      <c r="F58" s="367">
        <v>5413313</v>
      </c>
      <c r="G58" s="49" t="e">
        <f t="shared" si="6"/>
        <v>#REF!</v>
      </c>
      <c r="H58" s="6"/>
      <c r="I58" s="6"/>
      <c r="J58" s="6"/>
      <c r="K58" s="211" t="e">
        <f t="shared" si="3"/>
        <v>#REF!</v>
      </c>
      <c r="L58" s="211" t="e">
        <f t="shared" si="4"/>
        <v>#REF!</v>
      </c>
      <c r="M58" s="211" t="e">
        <f t="shared" si="5"/>
        <v>#REF!</v>
      </c>
      <c r="X58" s="440" t="s">
        <v>1820</v>
      </c>
      <c r="Y58" s="441" t="s">
        <v>285</v>
      </c>
      <c r="Z58" s="442">
        <v>0.9</v>
      </c>
      <c r="AA58" s="443">
        <v>1424690</v>
      </c>
    </row>
    <row r="59" spans="1:27" ht="16.8" thickBot="1">
      <c r="A59" s="357" t="e">
        <f t="shared" si="0"/>
        <v>#REF!</v>
      </c>
      <c r="B59" s="25" t="str">
        <f t="shared" si="1"/>
        <v>藥明康德</v>
      </c>
      <c r="C59" s="512" t="str">
        <f t="shared" si="2"/>
        <v>603259 CH</v>
      </c>
      <c r="D59" s="25">
        <v>1</v>
      </c>
      <c r="E59" s="6"/>
      <c r="F59" s="367">
        <v>2350618</v>
      </c>
      <c r="G59" s="49" t="e">
        <f t="shared" si="6"/>
        <v>#REF!</v>
      </c>
      <c r="H59" s="6"/>
      <c r="I59" s="6"/>
      <c r="J59" s="6"/>
      <c r="K59" s="211" t="e">
        <f t="shared" si="3"/>
        <v>#REF!</v>
      </c>
      <c r="L59" s="211" t="e">
        <f t="shared" si="4"/>
        <v>#REF!</v>
      </c>
      <c r="M59" s="211" t="e">
        <f t="shared" si="5"/>
        <v>#REF!</v>
      </c>
      <c r="X59" s="444" t="s">
        <v>2831</v>
      </c>
      <c r="Y59" s="445" t="s">
        <v>2832</v>
      </c>
      <c r="Z59" s="446">
        <v>0.16</v>
      </c>
      <c r="AA59" s="447">
        <v>22900</v>
      </c>
    </row>
    <row r="60" spans="1:27" ht="16.8" thickBot="1">
      <c r="A60" s="357" t="e">
        <f t="shared" ref="A60" si="9">G60/$C$2</f>
        <v>#REF!</v>
      </c>
      <c r="B60" s="25" t="str">
        <f t="shared" ref="B60" si="10">Y60</f>
        <v>洛陽鉬業</v>
      </c>
      <c r="C60" s="512" t="str">
        <f t="shared" ref="C60" si="11">X60</f>
        <v>603993 CH</v>
      </c>
      <c r="D60" s="25">
        <v>1</v>
      </c>
      <c r="G60" s="48" t="e">
        <f>SUM(G10:G59)</f>
        <v>#REF!</v>
      </c>
      <c r="J60" s="1"/>
      <c r="L60" s="1"/>
      <c r="X60" s="440" t="s">
        <v>1818</v>
      </c>
      <c r="Y60" s="441" t="s">
        <v>2833</v>
      </c>
      <c r="Z60" s="442">
        <v>0.45</v>
      </c>
      <c r="AA60" s="443">
        <v>1100034</v>
      </c>
    </row>
    <row r="61" spans="1:27">
      <c r="B61" s="23"/>
      <c r="C61" s="37"/>
      <c r="D61" s="22"/>
      <c r="F61" s="47"/>
      <c r="G61" s="48"/>
      <c r="K61" s="1"/>
      <c r="L61" s="1"/>
    </row>
    <row r="62" spans="1:27">
      <c r="B62" s="50"/>
      <c r="C62" s="37"/>
      <c r="D62" s="54"/>
      <c r="E62" s="22"/>
      <c r="F62" s="53"/>
      <c r="K62" s="1"/>
      <c r="L62" s="1"/>
    </row>
    <row r="63" spans="1:27">
      <c r="B63" s="50"/>
      <c r="C63" s="37"/>
      <c r="D63" s="54"/>
      <c r="E63" s="22"/>
      <c r="F63" s="53"/>
      <c r="K63" s="1"/>
      <c r="L63" s="1"/>
    </row>
    <row r="64" spans="1:27" s="37" customFormat="1">
      <c r="A64" s="22"/>
      <c r="B64" s="50"/>
      <c r="D64" s="54"/>
      <c r="E64" s="22"/>
      <c r="F64" s="53"/>
      <c r="K64" s="1"/>
      <c r="L64" s="1"/>
      <c r="O64"/>
      <c r="P64"/>
      <c r="Q64"/>
      <c r="R64"/>
      <c r="S64"/>
      <c r="T64"/>
      <c r="U64" s="22"/>
    </row>
    <row r="65" spans="1:21" s="37" customFormat="1">
      <c r="A65" s="22"/>
      <c r="B65" s="50"/>
      <c r="D65" s="54"/>
      <c r="E65" s="22"/>
      <c r="F65" s="53"/>
      <c r="K65" s="1"/>
      <c r="L65" s="1"/>
      <c r="U65" s="22"/>
    </row>
    <row r="66" spans="1:21" s="37" customFormat="1">
      <c r="U66" s="22"/>
    </row>
    <row r="67" spans="1:21" s="37" customFormat="1">
      <c r="A67" s="22"/>
      <c r="B67" s="50"/>
      <c r="D67" s="54"/>
      <c r="E67" s="22"/>
      <c r="F67" s="53"/>
      <c r="K67" s="1"/>
      <c r="L67" s="1"/>
      <c r="U67" s="22"/>
    </row>
    <row r="68" spans="1:21" s="37" customFormat="1">
      <c r="A68" s="22"/>
      <c r="B68" s="50"/>
      <c r="D68" s="54"/>
      <c r="E68" s="22"/>
      <c r="F68" s="53"/>
      <c r="K68" s="1"/>
      <c r="L68" s="1"/>
      <c r="U68" s="22"/>
    </row>
    <row r="69" spans="1:21" s="37" customFormat="1">
      <c r="A69" s="22"/>
      <c r="B69" s="50"/>
      <c r="D69" s="54"/>
      <c r="E69" s="22"/>
      <c r="F69" s="53"/>
      <c r="K69" s="1"/>
      <c r="L69" s="1"/>
      <c r="U69" s="22"/>
    </row>
    <row r="70" spans="1:21" s="37" customFormat="1">
      <c r="A70" s="22"/>
      <c r="B70" s="50"/>
      <c r="D70" s="54"/>
      <c r="E70" s="22"/>
      <c r="F70" s="53"/>
      <c r="K70" s="1"/>
      <c r="L70" s="1"/>
      <c r="U70" s="22"/>
    </row>
    <row r="71" spans="1:21" s="37" customFormat="1">
      <c r="A71" s="22"/>
      <c r="B71" s="50"/>
      <c r="D71" s="52"/>
      <c r="E71" s="22"/>
      <c r="F71" s="53"/>
      <c r="K71" s="1"/>
      <c r="L71" s="1"/>
      <c r="U71" s="22"/>
    </row>
    <row r="72" spans="1:21" s="37" customFormat="1">
      <c r="A72" s="23"/>
      <c r="B72" s="22"/>
      <c r="D72" s="51"/>
      <c r="F72" s="55"/>
      <c r="K72" s="1"/>
      <c r="L72" s="1"/>
      <c r="U72" s="22"/>
    </row>
    <row r="73" spans="1:21">
      <c r="C73" s="37"/>
      <c r="K73" s="1"/>
      <c r="L73" s="1"/>
      <c r="O73" s="37"/>
      <c r="P73" s="37"/>
      <c r="Q73" s="37"/>
      <c r="R73" s="37"/>
      <c r="S73" s="37"/>
      <c r="T73" s="37"/>
    </row>
    <row r="74" spans="1:21">
      <c r="C74" s="37"/>
    </row>
  </sheetData>
  <mergeCells count="1">
    <mergeCell ref="F1:F2"/>
  </mergeCells>
  <phoneticPr fontId="0" type="noConversion"/>
  <conditionalFormatting sqref="P25:Q25 T25">
    <cfRule type="cellIs" dxfId="2" priority="2" operator="lessThan">
      <formula>0</formula>
    </cfRule>
  </conditionalFormatting>
  <conditionalFormatting sqref="R25:S25">
    <cfRule type="cellIs" dxfId="1" priority="1" operator="lessThan">
      <formula>0</formula>
    </cfRule>
  </conditionalFormatting>
  <pageMargins left="0.75" right="0.75" top="1" bottom="1" header="0.5" footer="0.5"/>
  <pageSetup paperSize="9" scale="22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26" r:id="rId4" name="CommandButton1">
          <controlPr defaultSize="0" autoLine="0" r:id="rId5">
            <anchor moveWithCells="1">
              <from>
                <xdr:col>13</xdr:col>
                <xdr:colOff>213360</xdr:colOff>
                <xdr:row>9</xdr:row>
                <xdr:rowOff>175260</xdr:rowOff>
              </from>
              <to>
                <xdr:col>14</xdr:col>
                <xdr:colOff>114300</xdr:colOff>
                <xdr:row>11</xdr:row>
                <xdr:rowOff>129540</xdr:rowOff>
              </to>
            </anchor>
          </controlPr>
        </control>
      </mc:Choice>
      <mc:Fallback>
        <control shapeId="102426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A1:AA49"/>
  <sheetViews>
    <sheetView topLeftCell="A13" zoomScale="70" zoomScaleNormal="70" workbookViewId="0">
      <selection activeCell="Y15" sqref="Y15"/>
    </sheetView>
  </sheetViews>
  <sheetFormatPr defaultRowHeight="16.2"/>
  <cols>
    <col min="1" max="1" width="11" customWidth="1"/>
    <col min="2" max="2" width="15.88671875" customWidth="1"/>
    <col min="3" max="3" width="16.44140625" customWidth="1"/>
    <col min="4" max="4" width="19.21875" customWidth="1"/>
    <col min="5" max="5" width="12.109375" customWidth="1"/>
    <col min="6" max="6" width="14" customWidth="1"/>
    <col min="7" max="7" width="18.109375" customWidth="1"/>
    <col min="8" max="8" width="13.109375" customWidth="1"/>
    <col min="9" max="9" width="11.88671875" customWidth="1"/>
    <col min="10" max="10" width="23.44140625" customWidth="1"/>
    <col min="11" max="11" width="21.77734375" customWidth="1"/>
    <col min="12" max="12" width="22.33203125" customWidth="1"/>
    <col min="13" max="13" width="19" customWidth="1"/>
    <col min="14" max="14" width="12" customWidth="1"/>
    <col min="15" max="15" width="14.33203125" customWidth="1"/>
    <col min="16" max="16" width="14.33203125" style="215" customWidth="1"/>
    <col min="17" max="17" width="13.6640625" customWidth="1"/>
    <col min="18" max="18" width="19" customWidth="1"/>
    <col min="19" max="19" width="16.88671875" customWidth="1"/>
    <col min="20" max="20" width="15.6640625" customWidth="1"/>
    <col min="21" max="22" width="14" customWidth="1"/>
    <col min="23" max="23" width="11.77734375" customWidth="1"/>
    <col min="26" max="26" width="11.109375" customWidth="1"/>
    <col min="27" max="27" width="21.21875" customWidth="1"/>
  </cols>
  <sheetData>
    <row r="1" spans="1:27" s="22" customFormat="1">
      <c r="A1" s="16" t="s">
        <v>137</v>
      </c>
      <c r="B1" s="57" t="s">
        <v>322</v>
      </c>
      <c r="C1" s="17" t="s">
        <v>138</v>
      </c>
      <c r="D1" s="17" t="s">
        <v>139</v>
      </c>
      <c r="E1" s="61" t="s">
        <v>140</v>
      </c>
      <c r="F1" s="577" t="s">
        <v>321</v>
      </c>
      <c r="G1" s="38" t="s">
        <v>157</v>
      </c>
      <c r="H1" s="9" t="s">
        <v>52</v>
      </c>
      <c r="I1" s="214" t="s">
        <v>53</v>
      </c>
      <c r="J1" s="57" t="s">
        <v>325</v>
      </c>
      <c r="K1" s="57" t="s">
        <v>327</v>
      </c>
      <c r="L1" s="57" t="s">
        <v>329</v>
      </c>
      <c r="M1" s="225" t="s">
        <v>49</v>
      </c>
      <c r="N1" s="197" t="s">
        <v>313</v>
      </c>
      <c r="O1" s="198" t="s">
        <v>512</v>
      </c>
      <c r="P1" s="50" t="s">
        <v>308</v>
      </c>
    </row>
    <row r="2" spans="1:27" ht="16.8" thickBot="1">
      <c r="A2" s="12" t="s">
        <v>74</v>
      </c>
      <c r="B2" s="13">
        <f>C2/100000000</f>
        <v>332.49681958999997</v>
      </c>
      <c r="C2" s="60">
        <v>33249681959</v>
      </c>
      <c r="D2" s="14">
        <f>'ETF Update'!E32</f>
        <v>1852106</v>
      </c>
      <c r="E2" s="15">
        <f>'ETF Update'!C32</f>
        <v>17.68</v>
      </c>
      <c r="F2" s="578"/>
      <c r="G2" s="39">
        <f>J2/(D2*1000)</f>
        <v>17.951852955933255</v>
      </c>
      <c r="H2" s="40">
        <f>K2/(D2*1000)</f>
        <v>17.951852955933255</v>
      </c>
      <c r="I2" s="224">
        <f>L2/(D2*1000)</f>
        <v>17.951852955933255</v>
      </c>
      <c r="J2" s="78">
        <f>C2+(SUM(K11:K16)-SUM(G11:G16))-N11+C2*O11*(N2/O2-1)+C2*P11*(N3/O3-1)</f>
        <v>33248734570.801716</v>
      </c>
      <c r="K2" s="78">
        <f>C2+(SUM(L11:L16)-SUM(G11:G16))-N11+C2*O11*(N2/O2-1)+C2*P11*(N3/O3-1)</f>
        <v>33248734570.801716</v>
      </c>
      <c r="L2" s="78">
        <f>C2+(SUM(M11:M16)-SUM(G11:G16))-N11+C2*O11*(N2/O2-1)+C2*P11*(N3/O3-1)</f>
        <v>33248734570.801716</v>
      </c>
      <c r="M2" s="80" t="s">
        <v>310</v>
      </c>
      <c r="N2" s="82">
        <v>29.184000000000001</v>
      </c>
      <c r="O2" s="199">
        <v>29.184000000000001</v>
      </c>
      <c r="P2" s="222"/>
    </row>
    <row r="3" spans="1:27" s="22" customFormat="1">
      <c r="A3" s="16" t="s">
        <v>137</v>
      </c>
      <c r="B3" s="57" t="s">
        <v>322</v>
      </c>
      <c r="C3" s="17" t="s">
        <v>138</v>
      </c>
      <c r="D3" s="17" t="s">
        <v>23</v>
      </c>
      <c r="E3" s="61" t="s">
        <v>140</v>
      </c>
      <c r="F3" s="577" t="s">
        <v>321</v>
      </c>
      <c r="G3" s="38" t="s">
        <v>157</v>
      </c>
      <c r="H3" s="9" t="s">
        <v>52</v>
      </c>
      <c r="I3" s="214" t="s">
        <v>53</v>
      </c>
      <c r="J3" s="57" t="s">
        <v>324</v>
      </c>
      <c r="K3" s="57" t="s">
        <v>326</v>
      </c>
      <c r="L3" s="57" t="s">
        <v>328</v>
      </c>
      <c r="M3" s="80" t="s">
        <v>312</v>
      </c>
      <c r="N3" s="82">
        <v>4.6063000000000001</v>
      </c>
      <c r="O3" s="199">
        <v>4.6063000000000001</v>
      </c>
      <c r="P3" s="222"/>
    </row>
    <row r="4" spans="1:27" ht="16.8" thickBot="1">
      <c r="A4" s="12" t="s">
        <v>75</v>
      </c>
      <c r="B4" s="13">
        <f>C4/100000000</f>
        <v>7.3331903699999996</v>
      </c>
      <c r="C4" s="60">
        <v>733319037</v>
      </c>
      <c r="D4" s="60">
        <f>'ETF Update'!E33</f>
        <v>59448</v>
      </c>
      <c r="E4" s="15">
        <f>'ETF Update'!C33</f>
        <v>12.42</v>
      </c>
      <c r="F4" s="578"/>
      <c r="G4" s="39">
        <f>J4/D4/1000</f>
        <v>12.335118800130846</v>
      </c>
      <c r="H4" s="40">
        <f>K4/D4/1000</f>
        <v>12.335118800130846</v>
      </c>
      <c r="I4" s="224">
        <f>L4/D4/1000</f>
        <v>12.335118800130846</v>
      </c>
      <c r="J4" s="78">
        <f>C4+(SUM(K21:K22)-SUM(G21:G22))-N20+C4*O20*(N2/O2-1)+C4*O20*(N3/O3-1)</f>
        <v>733298142.43017864</v>
      </c>
      <c r="K4" s="78">
        <f>C4+(SUM(L21:L22)-SUM(G21:G22))-N20+C4*O20*(N2/O2-1)+C4*O20*(N3/O3-1)</f>
        <v>733298142.43017864</v>
      </c>
      <c r="L4" s="78">
        <f>C4+(SUM(M21:M22)-SUM(G21:G22))-N20+C4*O20*(N2/O2-1)+C4*O20*(N3/O3-1)</f>
        <v>733298142.43017864</v>
      </c>
      <c r="M4" s="226" t="s">
        <v>318</v>
      </c>
      <c r="N4" s="200">
        <v>3.7168000000000001</v>
      </c>
      <c r="O4" s="201">
        <v>3.7168000000000001</v>
      </c>
      <c r="P4" s="222"/>
      <c r="R4" s="204" t="s">
        <v>590</v>
      </c>
      <c r="S4" s="49">
        <v>29793096272</v>
      </c>
      <c r="T4" s="203"/>
      <c r="U4" s="203"/>
      <c r="V4" s="203"/>
      <c r="W4" s="22"/>
    </row>
    <row r="5" spans="1:27" s="22" customFormat="1" ht="16.8" thickBot="1">
      <c r="A5" s="16" t="s">
        <v>137</v>
      </c>
      <c r="B5" s="17" t="s">
        <v>322</v>
      </c>
      <c r="C5" s="17" t="s">
        <v>138</v>
      </c>
      <c r="D5" s="17" t="s">
        <v>23</v>
      </c>
      <c r="E5" s="61" t="s">
        <v>140</v>
      </c>
      <c r="F5" s="577" t="s">
        <v>321</v>
      </c>
      <c r="G5" s="38" t="s">
        <v>157</v>
      </c>
      <c r="H5" s="9" t="s">
        <v>52</v>
      </c>
      <c r="I5" s="10" t="s">
        <v>53</v>
      </c>
      <c r="J5" s="28" t="s">
        <v>324</v>
      </c>
      <c r="K5" s="57" t="s">
        <v>326</v>
      </c>
      <c r="L5" s="57" t="s">
        <v>328</v>
      </c>
      <c r="R5" s="25" t="s">
        <v>552</v>
      </c>
      <c r="S5" s="25" t="s">
        <v>617</v>
      </c>
      <c r="T5" s="25" t="s">
        <v>615</v>
      </c>
      <c r="U5" s="25" t="s">
        <v>565</v>
      </c>
      <c r="V5" s="25" t="s">
        <v>566</v>
      </c>
      <c r="W5" s="25" t="s">
        <v>567</v>
      </c>
    </row>
    <row r="6" spans="1:27" ht="16.8" thickBot="1">
      <c r="A6" s="87" t="s">
        <v>155</v>
      </c>
      <c r="B6" s="13">
        <f>C6/100000000</f>
        <v>60.370218680000001</v>
      </c>
      <c r="C6" s="60">
        <v>6037021868</v>
      </c>
      <c r="D6" s="60">
        <v>329616</v>
      </c>
      <c r="E6" s="15">
        <f>'ETF Update'!C16</f>
        <v>18.190000000000001</v>
      </c>
      <c r="F6" s="578"/>
      <c r="G6" s="598">
        <f>J6/D6/1000</f>
        <v>18.315318030678121</v>
      </c>
      <c r="H6" s="40">
        <f>L6/D6/1000</f>
        <v>18.315318030678121</v>
      </c>
      <c r="I6" s="41">
        <f>K6/D6/1000</f>
        <v>18.315318030678121</v>
      </c>
      <c r="J6" s="596">
        <f>C6+(SUM(K28:K30)-SUM(G28:G30))-N27+C6*O27*(N2/O2-1)+C6*P27*(N4/O4-1)</f>
        <v>6037021868</v>
      </c>
      <c r="K6" s="78">
        <f>C6+(SUM(L28:L30)-SUM(G28:G30))-N27+C6*O27*(N2/O2-1)+C6*P27*(N4/O4-1)</f>
        <v>6037021868</v>
      </c>
      <c r="L6" s="78">
        <f>C6+(SUM(M28:M30)-SUM(G28:G30))-N27+C6*O27*(N2/O2-1)+C6*P27*(N4/O4-1)</f>
        <v>6037021868</v>
      </c>
      <c r="R6" s="216" t="s">
        <v>548</v>
      </c>
      <c r="S6" s="217">
        <v>0</v>
      </c>
      <c r="T6" s="232"/>
      <c r="U6" s="218">
        <f>T6/$T$18</f>
        <v>0</v>
      </c>
      <c r="V6" s="218"/>
      <c r="W6" s="218"/>
      <c r="X6" s="22" t="s">
        <v>568</v>
      </c>
      <c r="Z6" s="471" t="s">
        <v>626</v>
      </c>
      <c r="AA6" s="471" t="s">
        <v>2884</v>
      </c>
    </row>
    <row r="7" spans="1:27" ht="16.8" thickBot="1">
      <c r="R7" s="219" t="s">
        <v>549</v>
      </c>
      <c r="S7" s="205">
        <v>0</v>
      </c>
      <c r="T7" s="230">
        <f>S7</f>
        <v>0</v>
      </c>
      <c r="U7" s="206">
        <f t="shared" ref="U7:U15" si="0">T7/$T$18</f>
        <v>0</v>
      </c>
      <c r="V7" s="206"/>
      <c r="W7" s="206">
        <f>U7</f>
        <v>0</v>
      </c>
      <c r="X7" s="23">
        <f>U8+U11+U13+U15</f>
        <v>0.35984420361173136</v>
      </c>
      <c r="Z7" s="479" t="s">
        <v>2880</v>
      </c>
      <c r="AA7" s="597">
        <v>1248764.3600000001</v>
      </c>
    </row>
    <row r="8" spans="1:27" ht="16.8" thickBot="1">
      <c r="R8" s="219" t="s">
        <v>569</v>
      </c>
      <c r="S8" s="205">
        <v>0</v>
      </c>
      <c r="T8" s="230">
        <f>S8*O2</f>
        <v>0</v>
      </c>
      <c r="U8" s="206">
        <f t="shared" si="0"/>
        <v>0</v>
      </c>
      <c r="V8" s="206">
        <f>U8</f>
        <v>0</v>
      </c>
      <c r="W8" s="206"/>
      <c r="X8" s="22" t="s">
        <v>2889</v>
      </c>
      <c r="Z8" s="479" t="s">
        <v>2880</v>
      </c>
      <c r="AA8" s="597">
        <v>3821113601</v>
      </c>
    </row>
    <row r="9" spans="1:27" ht="16.8" thickBot="1">
      <c r="A9" s="66" t="s">
        <v>74</v>
      </c>
      <c r="B9" s="4">
        <f>SUM(A11:A16)</f>
        <v>1.8295974979554239</v>
      </c>
      <c r="G9" s="48"/>
      <c r="K9" s="215"/>
      <c r="L9" s="215"/>
      <c r="M9" s="215"/>
      <c r="R9" s="6" t="s">
        <v>2888</v>
      </c>
      <c r="S9" s="205">
        <f>AA7</f>
        <v>1248764.3600000001</v>
      </c>
      <c r="T9" s="230">
        <f>S9*O4</f>
        <v>4641407.3732480006</v>
      </c>
      <c r="U9" s="206">
        <f>T9/$T$18</f>
        <v>3.8837476932938284E-4</v>
      </c>
      <c r="V9" s="206">
        <f>U9</f>
        <v>3.8837476932938284E-4</v>
      </c>
      <c r="W9" s="207"/>
      <c r="X9" s="23">
        <f>V9</f>
        <v>3.8837476932938284E-4</v>
      </c>
      <c r="Z9" s="479" t="s">
        <v>2880</v>
      </c>
      <c r="AA9" s="597">
        <v>87130629.879999995</v>
      </c>
    </row>
    <row r="10" spans="1:27" s="22" customFormat="1" ht="28.2" thickBot="1">
      <c r="A10" s="57" t="s">
        <v>292</v>
      </c>
      <c r="B10" s="57" t="s">
        <v>293</v>
      </c>
      <c r="C10" s="57" t="s">
        <v>221</v>
      </c>
      <c r="D10" s="57" t="s">
        <v>294</v>
      </c>
      <c r="E10" s="57" t="s">
        <v>295</v>
      </c>
      <c r="F10" s="57" t="s">
        <v>296</v>
      </c>
      <c r="G10" s="57" t="s">
        <v>297</v>
      </c>
      <c r="H10" s="57" t="s">
        <v>222</v>
      </c>
      <c r="I10" s="57" t="s">
        <v>298</v>
      </c>
      <c r="J10" s="57" t="s">
        <v>299</v>
      </c>
      <c r="K10" s="57" t="s">
        <v>300</v>
      </c>
      <c r="L10" s="57" t="s">
        <v>301</v>
      </c>
      <c r="M10" s="57" t="s">
        <v>302</v>
      </c>
      <c r="N10" s="212" t="s">
        <v>586</v>
      </c>
      <c r="O10" s="212" t="s">
        <v>587</v>
      </c>
      <c r="P10" s="212" t="s">
        <v>588</v>
      </c>
      <c r="R10" s="6" t="s">
        <v>570</v>
      </c>
      <c r="S10" s="205">
        <f>AA8</f>
        <v>3821113601</v>
      </c>
      <c r="T10" s="230">
        <f>S10</f>
        <v>3821113601</v>
      </c>
      <c r="U10" s="206">
        <f>T10/$T$18</f>
        <v>0.31973580296427212</v>
      </c>
      <c r="V10" s="207"/>
      <c r="W10" s="207">
        <f>U10</f>
        <v>0.31973580296427212</v>
      </c>
      <c r="X10" s="22" t="s">
        <v>609</v>
      </c>
      <c r="Z10" s="479" t="s">
        <v>2881</v>
      </c>
      <c r="AA10" s="597">
        <v>3630000000</v>
      </c>
    </row>
    <row r="11" spans="1:27" s="22" customFormat="1" ht="28.2" thickBot="1">
      <c r="A11" s="24">
        <f>G11/$C$2</f>
        <v>1.8110567744453414</v>
      </c>
      <c r="B11" s="25" t="s">
        <v>2890</v>
      </c>
      <c r="C11" s="58" t="s">
        <v>286</v>
      </c>
      <c r="D11" s="25">
        <v>1</v>
      </c>
      <c r="E11" s="111">
        <v>13512.5</v>
      </c>
      <c r="F11" s="78">
        <v>152700</v>
      </c>
      <c r="G11" s="65">
        <f>D11*E11*F11*O2</f>
        <v>60217061760</v>
      </c>
      <c r="H11" s="111">
        <v>13512.5</v>
      </c>
      <c r="I11" s="111"/>
      <c r="J11" s="111"/>
      <c r="K11" s="229">
        <f>IF(ISNUMBER(H11)=TRUE,H11*F11*D11,E11*F11*D11)*N2</f>
        <v>60217061760</v>
      </c>
      <c r="L11" s="229">
        <f>IF(ISNUMBER(I11)=TRUE,I11*F11*D11,E11*F11*D11)*N2</f>
        <v>60217061760</v>
      </c>
      <c r="M11" s="229">
        <f>IF(ISNUMBER(J11)=TRUE,J11*F11*D11,E11*F11*D11)*N2</f>
        <v>60217061760</v>
      </c>
      <c r="N11" s="44">
        <f>1.04%/365*(C2+SUM(K11:K16)-SUM(G11:G16))</f>
        <v>947388.19828383555</v>
      </c>
      <c r="O11" s="69">
        <f>X7</f>
        <v>0.35984420361173136</v>
      </c>
      <c r="P11" s="69">
        <f>X9</f>
        <v>3.8837476932938284E-4</v>
      </c>
      <c r="R11" s="6" t="s">
        <v>558</v>
      </c>
      <c r="S11" s="205">
        <f>AA9</f>
        <v>87130629.879999995</v>
      </c>
      <c r="T11" s="231">
        <f>S11*O2</f>
        <v>2542820302.4179201</v>
      </c>
      <c r="U11" s="206">
        <f>T11/$T$18</f>
        <v>0.21277323212130456</v>
      </c>
      <c r="V11" s="207">
        <f>U11</f>
        <v>0.21277323212130456</v>
      </c>
      <c r="W11" s="207"/>
      <c r="X11" s="22">
        <v>0</v>
      </c>
      <c r="Z11" s="479" t="s">
        <v>2881</v>
      </c>
      <c r="AA11" s="597">
        <v>60000000</v>
      </c>
    </row>
    <row r="12" spans="1:27" s="22" customFormat="1" ht="16.8" thickBot="1">
      <c r="A12" s="24">
        <f>G12/$C$2</f>
        <v>0</v>
      </c>
      <c r="B12" s="25" t="s">
        <v>2891</v>
      </c>
      <c r="C12" s="58" t="s">
        <v>305</v>
      </c>
      <c r="D12" s="25">
        <v>1</v>
      </c>
      <c r="E12" s="111"/>
      <c r="F12" s="78">
        <v>0</v>
      </c>
      <c r="G12" s="65">
        <f>D12*E12*F12*O2</f>
        <v>0</v>
      </c>
      <c r="H12" s="111"/>
      <c r="I12" s="111"/>
      <c r="J12" s="111"/>
      <c r="K12" s="229">
        <f>IF(ISNUMBER(H12)=TRUE,H12*F12*D12,E12*F12*D12)*N2</f>
        <v>0</v>
      </c>
      <c r="L12" s="229">
        <f>IF(ISNUMBER(I12)=TRUE,I12*F12*D12,E12*F12*D12)*N2</f>
        <v>0</v>
      </c>
      <c r="M12" s="229">
        <f>IF(ISNUMBER(J12)=TRUE,J12*F12*D12,E12*F12*D12)*N2</f>
        <v>0</v>
      </c>
      <c r="N12" s="32"/>
      <c r="O12" s="32"/>
      <c r="P12" s="32"/>
      <c r="R12" s="6" t="s">
        <v>613</v>
      </c>
      <c r="S12" s="205">
        <f>AA10</f>
        <v>3630000000</v>
      </c>
      <c r="T12" s="231">
        <f>S12</f>
        <v>3630000000</v>
      </c>
      <c r="U12" s="206">
        <f>T12/$T$18</f>
        <v>0.30374416621807937</v>
      </c>
      <c r="V12" s="207"/>
      <c r="W12" s="207">
        <f>U12</f>
        <v>0.30374416621807937</v>
      </c>
      <c r="X12" s="23"/>
      <c r="Z12" s="479" t="s">
        <v>2882</v>
      </c>
      <c r="AA12" s="597">
        <v>137089</v>
      </c>
    </row>
    <row r="13" spans="1:27" s="22" customFormat="1" ht="16.8" thickBot="1">
      <c r="A13" s="24">
        <f>G13/$C$2</f>
        <v>6.725297411137261E-4</v>
      </c>
      <c r="B13" s="25" t="s">
        <v>618</v>
      </c>
      <c r="C13" s="58" t="s">
        <v>306</v>
      </c>
      <c r="D13" s="25">
        <v>10000</v>
      </c>
      <c r="E13" s="111">
        <v>18.18</v>
      </c>
      <c r="F13" s="78">
        <v>123</v>
      </c>
      <c r="G13" s="65">
        <f>D13*E13*F13</f>
        <v>22361400</v>
      </c>
      <c r="H13" s="111"/>
      <c r="I13" s="111"/>
      <c r="J13" s="111"/>
      <c r="K13" s="229">
        <f>IF(ISNUMBER(H13)=TRUE,H13*F13*D13,E13*F13*D13)</f>
        <v>22361400</v>
      </c>
      <c r="L13" s="229">
        <f>IF(ISNUMBER(I13)=TRUE,I13*F13*D13,E13*F13*D13)</f>
        <v>22361400</v>
      </c>
      <c r="M13" s="229">
        <f>IF(ISNUMBER(J13)=TRUE,J13*F13*D13,E13*F13*D13)</f>
        <v>22361400</v>
      </c>
      <c r="N13" s="32"/>
      <c r="O13" s="32"/>
      <c r="P13" s="32"/>
      <c r="R13" s="6" t="s">
        <v>614</v>
      </c>
      <c r="S13" s="205">
        <f>AA11</f>
        <v>60000000</v>
      </c>
      <c r="T13" s="231">
        <f>S13*O2</f>
        <v>1751040000</v>
      </c>
      <c r="U13" s="206">
        <f>T13/$T$18</f>
        <v>0.14652016110592442</v>
      </c>
      <c r="V13" s="207">
        <f>U13</f>
        <v>0.14652016110592442</v>
      </c>
      <c r="W13" s="207"/>
      <c r="Z13" s="479" t="s">
        <v>2882</v>
      </c>
      <c r="AA13" s="597">
        <v>225556.83</v>
      </c>
    </row>
    <row r="14" spans="1:27" s="22" customFormat="1">
      <c r="A14" s="24">
        <f>G14/$C$2</f>
        <v>0</v>
      </c>
      <c r="B14" s="25" t="s">
        <v>619</v>
      </c>
      <c r="C14" s="58" t="s">
        <v>307</v>
      </c>
      <c r="D14" s="25">
        <v>10000</v>
      </c>
      <c r="E14" s="111"/>
      <c r="F14" s="78">
        <v>0</v>
      </c>
      <c r="G14" s="65">
        <f>D14*E14*F14</f>
        <v>0</v>
      </c>
      <c r="H14" s="111"/>
      <c r="I14" s="111"/>
      <c r="J14" s="111"/>
      <c r="K14" s="229">
        <f>IF(ISNUMBER(H14)=TRUE,H14*F14*D14,E14*F14*D14)</f>
        <v>0</v>
      </c>
      <c r="L14" s="229">
        <f>IF(ISNUMBER(I14)=TRUE,I14*F14*D14,E14*F14*D14)</f>
        <v>0</v>
      </c>
      <c r="M14" s="229">
        <f>IF(ISNUMBER(J14)=TRUE,J14*F14*D14,E14*F14*D14)</f>
        <v>0</v>
      </c>
      <c r="N14" s="32"/>
      <c r="O14" s="32"/>
      <c r="P14" s="32"/>
      <c r="R14" s="6" t="s">
        <v>611</v>
      </c>
      <c r="S14" s="205">
        <f>AA12</f>
        <v>137089</v>
      </c>
      <c r="T14" s="231">
        <f>S14</f>
        <v>137089</v>
      </c>
      <c r="U14" s="206">
        <f>T14/$T$18</f>
        <v>1.1471069973187405E-5</v>
      </c>
      <c r="V14" s="207"/>
      <c r="W14" s="207">
        <f>U14</f>
        <v>1.1471069973187405E-5</v>
      </c>
    </row>
    <row r="15" spans="1:27" s="22" customFormat="1">
      <c r="A15" s="24">
        <f>G15/$C$2</f>
        <v>1.2018160068199887E-2</v>
      </c>
      <c r="B15" s="25" t="s">
        <v>2887</v>
      </c>
      <c r="C15" s="58" t="s">
        <v>2886</v>
      </c>
      <c r="D15" s="25">
        <v>1</v>
      </c>
      <c r="E15" s="111">
        <v>44.4</v>
      </c>
      <c r="F15" s="78">
        <v>9000000</v>
      </c>
      <c r="G15" s="65">
        <f>D15*E15*F15</f>
        <v>399600000</v>
      </c>
      <c r="H15" s="111">
        <v>44.4</v>
      </c>
      <c r="I15" s="111"/>
      <c r="J15" s="111"/>
      <c r="K15" s="229">
        <f>IF(ISNUMBER(H15)=TRUE,H15*F15*D15,E15*F15*D15)</f>
        <v>399600000</v>
      </c>
      <c r="L15" s="229">
        <f>IF(ISNUMBER(I15)=TRUE,I15*F15*D15,E15*F15*D15)</f>
        <v>399600000</v>
      </c>
      <c r="M15" s="229">
        <f>IF(ISNUMBER(J15)=TRUE,J15*F15*D15,E15*F15*D15)</f>
        <v>399600000</v>
      </c>
      <c r="N15" s="32"/>
      <c r="O15" s="32"/>
      <c r="P15" s="32"/>
      <c r="R15" s="6" t="s">
        <v>612</v>
      </c>
      <c r="S15" s="205">
        <f>AA13</f>
        <v>225556.83</v>
      </c>
      <c r="T15" s="231">
        <f>S15*O2</f>
        <v>6582650.5267199995</v>
      </c>
      <c r="U15" s="206">
        <f>T15/$T$18</f>
        <v>5.5081038450236007E-4</v>
      </c>
      <c r="V15" s="207">
        <f>U15</f>
        <v>5.5081038450236007E-4</v>
      </c>
      <c r="W15" s="207"/>
    </row>
    <row r="16" spans="1:27">
      <c r="A16" s="24">
        <f>G16/$C$2</f>
        <v>5.850033700768969E-3</v>
      </c>
      <c r="B16" s="25" t="s">
        <v>304</v>
      </c>
      <c r="C16" s="58" t="s">
        <v>303</v>
      </c>
      <c r="D16" s="25">
        <v>1</v>
      </c>
      <c r="E16" s="111">
        <v>18.16</v>
      </c>
      <c r="F16" s="78">
        <v>10711000</v>
      </c>
      <c r="G16" s="65">
        <f>D16*E16*F16</f>
        <v>194511760</v>
      </c>
      <c r="H16" s="111">
        <v>18.16</v>
      </c>
      <c r="I16" s="111"/>
      <c r="J16" s="111"/>
      <c r="K16" s="229">
        <f>IF(ISNUMBER(H16)=TRUE,H16*F16*D16,E16*F16*D16)</f>
        <v>194511760</v>
      </c>
      <c r="L16" s="229">
        <f>IF(ISNUMBER(I16)=TRUE,I16*F16*D16,E16*F16*D16)</f>
        <v>194511760</v>
      </c>
      <c r="M16" s="229">
        <f>IF(ISNUMBER(J16)=TRUE,J16*F16*D16,E16*F16*D16)</f>
        <v>194511760</v>
      </c>
      <c r="R16" s="219" t="s">
        <v>610</v>
      </c>
      <c r="S16" s="205">
        <f>G16</f>
        <v>194511760</v>
      </c>
      <c r="T16" s="231">
        <f>S16</f>
        <v>194511760</v>
      </c>
      <c r="U16" s="206">
        <f>T16/$T$18</f>
        <v>1.6275981366614643E-2</v>
      </c>
      <c r="V16" s="207">
        <f>U16</f>
        <v>1.6275981366614643E-2</v>
      </c>
      <c r="W16" s="207"/>
    </row>
    <row r="17" spans="1:27" s="388" customFormat="1">
      <c r="A17" s="591"/>
      <c r="B17" s="32"/>
      <c r="C17" s="592"/>
      <c r="D17" s="32"/>
      <c r="E17" s="599"/>
      <c r="F17" s="593"/>
      <c r="G17" s="600"/>
      <c r="H17" s="599"/>
      <c r="I17" s="599"/>
      <c r="J17" s="599"/>
      <c r="K17" s="601"/>
      <c r="L17" s="601"/>
      <c r="M17" s="601"/>
      <c r="R17" s="220" t="s">
        <v>571</v>
      </c>
      <c r="S17" s="205">
        <v>0</v>
      </c>
      <c r="T17" s="230">
        <f>S17</f>
        <v>0</v>
      </c>
      <c r="U17" s="206">
        <f>T17/$T$18</f>
        <v>0</v>
      </c>
      <c r="V17" s="207"/>
      <c r="W17" s="207">
        <f>U17</f>
        <v>0</v>
      </c>
    </row>
    <row r="18" spans="1:27" ht="16.8" thickBot="1">
      <c r="A18" s="56"/>
      <c r="B18" s="56"/>
      <c r="C18" s="56"/>
      <c r="D18" s="56"/>
      <c r="R18" s="6" t="s">
        <v>562</v>
      </c>
      <c r="S18" s="228"/>
      <c r="T18" s="228">
        <f>SUM(T7:T17)</f>
        <v>11950846810.317888</v>
      </c>
      <c r="U18" s="227">
        <f>SUM(U7:U17)</f>
        <v>1</v>
      </c>
      <c r="V18" s="207">
        <f>SUM(V7:V17)</f>
        <v>0.37650855974767539</v>
      </c>
      <c r="W18" s="207">
        <f>SUM(W7:W17)</f>
        <v>0.62349144025232472</v>
      </c>
      <c r="X18" s="4">
        <f>V18+W18</f>
        <v>1</v>
      </c>
    </row>
    <row r="19" spans="1:27">
      <c r="A19" s="66" t="s">
        <v>75</v>
      </c>
      <c r="B19" s="4">
        <f>SUM(A21:A24)</f>
        <v>-0.94435902118820891</v>
      </c>
      <c r="C19" s="56"/>
      <c r="D19" s="56"/>
      <c r="E19" s="56"/>
      <c r="G19" s="1"/>
      <c r="K19" s="1"/>
      <c r="L19" s="1"/>
      <c r="M19" s="1"/>
      <c r="N19" s="212" t="s">
        <v>586</v>
      </c>
      <c r="O19" s="212" t="s">
        <v>587</v>
      </c>
      <c r="P19" s="212" t="s">
        <v>588</v>
      </c>
    </row>
    <row r="20" spans="1:27">
      <c r="A20" s="57" t="s">
        <v>292</v>
      </c>
      <c r="B20" s="57" t="s">
        <v>293</v>
      </c>
      <c r="C20" s="57" t="s">
        <v>221</v>
      </c>
      <c r="D20" s="57" t="s">
        <v>294</v>
      </c>
      <c r="E20" s="57" t="s">
        <v>295</v>
      </c>
      <c r="F20" s="57" t="s">
        <v>296</v>
      </c>
      <c r="G20" s="57" t="s">
        <v>297</v>
      </c>
      <c r="H20" s="57" t="s">
        <v>222</v>
      </c>
      <c r="I20" s="57" t="s">
        <v>298</v>
      </c>
      <c r="J20" s="57" t="s">
        <v>299</v>
      </c>
      <c r="K20" s="57" t="s">
        <v>300</v>
      </c>
      <c r="L20" s="57" t="s">
        <v>301</v>
      </c>
      <c r="M20" s="57" t="s">
        <v>302</v>
      </c>
      <c r="N20" s="44">
        <f>1.04%/365*(C4+SUM(K21:K24)-SUM(G21:G24))</f>
        <v>20894.569821369863</v>
      </c>
      <c r="O20" s="69">
        <f>X24</f>
        <v>0.26395767782983004</v>
      </c>
      <c r="P20" s="69">
        <f>X26</f>
        <v>0</v>
      </c>
    </row>
    <row r="21" spans="1:27">
      <c r="A21" s="24">
        <f>G21/C4</f>
        <v>-0.91956762878910503</v>
      </c>
      <c r="B21" s="25" t="s">
        <v>2890</v>
      </c>
      <c r="C21" s="58" t="s">
        <v>286</v>
      </c>
      <c r="D21" s="25">
        <v>1</v>
      </c>
      <c r="E21" s="111">
        <v>13512.5</v>
      </c>
      <c r="F21" s="78">
        <v>-1710</v>
      </c>
      <c r="G21" s="78">
        <f>D21*E21*F21*O2</f>
        <v>-674336448</v>
      </c>
      <c r="H21" s="111">
        <v>13512.5</v>
      </c>
      <c r="I21" s="111"/>
      <c r="J21" s="111"/>
      <c r="K21" s="78">
        <f>IF(ISNUMBER(H21)=TRUE,H21*F21*D21,E21*F21*D21)*N2</f>
        <v>-674336448</v>
      </c>
      <c r="L21" s="78">
        <f>IF(ISNUMBER(I21)=TRUE,I21*F21*D21,E21*F21*D21)*N2</f>
        <v>-674336448</v>
      </c>
      <c r="M21" s="78">
        <f>IF(ISNUMBER(J21)=TRUE,J21*F21*D21,E21*F21*D21)*N2</f>
        <v>-674336448</v>
      </c>
      <c r="N21" s="30"/>
      <c r="O21" s="30"/>
      <c r="P21" s="30"/>
      <c r="R21" s="204" t="s">
        <v>589</v>
      </c>
      <c r="S21" s="49">
        <v>100527988</v>
      </c>
      <c r="T21" s="203"/>
      <c r="U21" s="203"/>
      <c r="V21" s="203"/>
      <c r="W21" s="22"/>
    </row>
    <row r="22" spans="1:27" s="56" customFormat="1" ht="16.8" thickBot="1">
      <c r="A22" s="24">
        <f>G22/$C$2</f>
        <v>0</v>
      </c>
      <c r="B22" s="25" t="s">
        <v>2891</v>
      </c>
      <c r="C22" s="58" t="s">
        <v>305</v>
      </c>
      <c r="D22" s="25">
        <v>1</v>
      </c>
      <c r="E22" s="111"/>
      <c r="F22" s="78">
        <v>0</v>
      </c>
      <c r="G22" s="78">
        <f>D22*E22*F22*O2</f>
        <v>0</v>
      </c>
      <c r="H22" s="111"/>
      <c r="I22" s="111"/>
      <c r="J22" s="111"/>
      <c r="K22" s="78">
        <f>IF(ISNUMBER(H22)=TRUE,H22*F22*D22,E22*F22*D22)*N2</f>
        <v>0</v>
      </c>
      <c r="L22" s="78">
        <f>IF(ISNUMBER(I22)=TRUE,I22*F22*D22,E22*F22*D22)*N2</f>
        <v>0</v>
      </c>
      <c r="M22" s="78">
        <f>IF(ISNUMBER(J22)=TRUE,J22*F22*D22,E22*F22*D22)*N2</f>
        <v>0</v>
      </c>
      <c r="N22" s="30"/>
      <c r="O22" s="30"/>
      <c r="P22" s="30"/>
      <c r="R22" s="25" t="s">
        <v>626</v>
      </c>
      <c r="S22" s="25" t="s">
        <v>621</v>
      </c>
      <c r="T22" s="25" t="s">
        <v>622</v>
      </c>
      <c r="U22" s="25" t="s">
        <v>638</v>
      </c>
      <c r="V22" s="25" t="s">
        <v>639</v>
      </c>
      <c r="W22" s="25" t="s">
        <v>640</v>
      </c>
      <c r="X22" s="22"/>
    </row>
    <row r="23" spans="1:27" s="56" customFormat="1" ht="16.8" thickBot="1">
      <c r="A23" s="24">
        <f>G23/C4</f>
        <v>-2.4791392399103912E-2</v>
      </c>
      <c r="B23" s="25" t="s">
        <v>618</v>
      </c>
      <c r="C23" s="58" t="s">
        <v>306</v>
      </c>
      <c r="D23" s="25">
        <v>10000</v>
      </c>
      <c r="E23" s="111">
        <v>18.18</v>
      </c>
      <c r="F23" s="78">
        <v>-100</v>
      </c>
      <c r="G23" s="78">
        <f>D23*E23*F23</f>
        <v>-18180000</v>
      </c>
      <c r="H23" s="111">
        <v>18.18</v>
      </c>
      <c r="I23" s="111"/>
      <c r="J23" s="111"/>
      <c r="K23" s="78">
        <f>IF(ISNUMBER(H23)=TRUE,H23*F23*D23,E23*F23*D23)</f>
        <v>-18180000</v>
      </c>
      <c r="L23" s="78">
        <f>IF(ISNUMBER(I23)=TRUE,I23*F23*D23,E23*F23*D23)</f>
        <v>-18180000</v>
      </c>
      <c r="M23" s="78">
        <f>IF(ISNUMBER(J23)=TRUE,J23*F23*D23,E23*F23*D23)</f>
        <v>-18180000</v>
      </c>
      <c r="N23" s="30"/>
      <c r="O23" s="30"/>
      <c r="P23" s="30"/>
      <c r="R23" s="216" t="s">
        <v>627</v>
      </c>
      <c r="S23" s="217">
        <v>0</v>
      </c>
      <c r="T23" s="232">
        <v>0</v>
      </c>
      <c r="U23" s="239">
        <f>T23/$T$33</f>
        <v>0</v>
      </c>
      <c r="V23" s="218"/>
      <c r="W23" s="218"/>
      <c r="X23" s="22" t="s">
        <v>641</v>
      </c>
      <c r="Z23" s="471" t="s">
        <v>626</v>
      </c>
      <c r="AA23" s="471" t="s">
        <v>2884</v>
      </c>
    </row>
    <row r="24" spans="1:27" ht="16.8" thickBot="1">
      <c r="A24" s="24">
        <f>G24/$C$2</f>
        <v>0</v>
      </c>
      <c r="B24" s="25" t="s">
        <v>620</v>
      </c>
      <c r="C24" s="58" t="s">
        <v>307</v>
      </c>
      <c r="D24" s="25">
        <v>10000</v>
      </c>
      <c r="E24" s="111"/>
      <c r="F24" s="78">
        <v>0</v>
      </c>
      <c r="G24" s="78">
        <f>D24*E24*F24</f>
        <v>0</v>
      </c>
      <c r="H24" s="111"/>
      <c r="I24" s="111"/>
      <c r="J24" s="111"/>
      <c r="K24" s="78">
        <f>IF(ISNUMBER(H24)=TRUE,H24*F24*D24,E24*F24*D24)</f>
        <v>0</v>
      </c>
      <c r="L24" s="78">
        <f>IF(ISNUMBER(I24)=TRUE,I24*F24*D24,E24*F24*D24)</f>
        <v>0</v>
      </c>
      <c r="M24" s="78">
        <f>IF(ISNUMBER(J24)=TRUE,J24*F24*D24,E24*F24*D24)</f>
        <v>0</v>
      </c>
      <c r="R24" s="219" t="s">
        <v>628</v>
      </c>
      <c r="S24" s="205">
        <f>AA24</f>
        <v>5171453</v>
      </c>
      <c r="T24" s="230">
        <f>S24</f>
        <v>5171453</v>
      </c>
      <c r="U24" s="206">
        <f t="shared" ref="U24:U32" si="1">T24/$T$33</f>
        <v>7.1695586038819023E-3</v>
      </c>
      <c r="V24" s="206"/>
      <c r="W24" s="206">
        <f>U24</f>
        <v>7.1695586038819023E-3</v>
      </c>
      <c r="X24" s="23">
        <f>V25+V27+V29+V31</f>
        <v>0.26395767782983004</v>
      </c>
      <c r="Z24" s="479" t="s">
        <v>2879</v>
      </c>
      <c r="AA24" s="597">
        <v>5171453</v>
      </c>
    </row>
    <row r="25" spans="1:27" ht="16.8" thickBot="1">
      <c r="R25" s="219" t="s">
        <v>629</v>
      </c>
      <c r="S25" s="205">
        <f>AA25</f>
        <v>5498112.6399999997</v>
      </c>
      <c r="T25" s="230">
        <f>S25*O2</f>
        <v>160456919.28575999</v>
      </c>
      <c r="U25" s="206">
        <f t="shared" si="1"/>
        <v>0.22245301005686496</v>
      </c>
      <c r="V25" s="206">
        <f>U25</f>
        <v>0.22245301005686496</v>
      </c>
      <c r="W25" s="206"/>
      <c r="X25" s="22" t="s">
        <v>642</v>
      </c>
      <c r="Z25" s="479" t="s">
        <v>2879</v>
      </c>
      <c r="AA25" s="597">
        <v>5498112.6399999997</v>
      </c>
    </row>
    <row r="26" spans="1:27" ht="16.8" thickBot="1">
      <c r="A26" s="67" t="s">
        <v>155</v>
      </c>
      <c r="B26" s="4">
        <f>SUM(A28:A30)</f>
        <v>0.93504536710218855</v>
      </c>
      <c r="G26" s="48"/>
      <c r="H26" s="48"/>
      <c r="I26" s="48"/>
      <c r="J26" s="48"/>
      <c r="K26" s="48"/>
      <c r="L26" s="48"/>
      <c r="M26" s="48"/>
      <c r="N26" s="212" t="s">
        <v>586</v>
      </c>
      <c r="O26" s="212" t="s">
        <v>587</v>
      </c>
      <c r="P26" s="212" t="s">
        <v>608</v>
      </c>
      <c r="R26" s="6" t="s">
        <v>630</v>
      </c>
      <c r="S26" s="205">
        <f>AA26</f>
        <v>25741046</v>
      </c>
      <c r="T26" s="230">
        <f>S26</f>
        <v>25741046</v>
      </c>
      <c r="U26" s="206">
        <f t="shared" si="1"/>
        <v>3.5686670230246673E-2</v>
      </c>
      <c r="V26" s="207"/>
      <c r="W26" s="207">
        <f>U26</f>
        <v>3.5686670230246673E-2</v>
      </c>
      <c r="X26" s="22">
        <v>0</v>
      </c>
      <c r="Z26" s="479" t="s">
        <v>2880</v>
      </c>
      <c r="AA26" s="597">
        <v>25741046</v>
      </c>
    </row>
    <row r="27" spans="1:27" ht="16.8" thickBot="1">
      <c r="A27" s="16" t="s">
        <v>292</v>
      </c>
      <c r="B27" s="57" t="s">
        <v>293</v>
      </c>
      <c r="C27" s="57" t="s">
        <v>221</v>
      </c>
      <c r="D27" s="57" t="s">
        <v>294</v>
      </c>
      <c r="E27" s="57" t="s">
        <v>295</v>
      </c>
      <c r="F27" s="57" t="s">
        <v>296</v>
      </c>
      <c r="G27" s="57" t="s">
        <v>297</v>
      </c>
      <c r="H27" s="57" t="s">
        <v>222</v>
      </c>
      <c r="I27" s="57" t="s">
        <v>298</v>
      </c>
      <c r="J27" s="57" t="s">
        <v>299</v>
      </c>
      <c r="K27" s="57" t="s">
        <v>300</v>
      </c>
      <c r="L27" s="57" t="s">
        <v>301</v>
      </c>
      <c r="M27" s="57" t="s">
        <v>302</v>
      </c>
      <c r="N27" s="44">
        <f>1.04%/365*(C19+SUM(K28:K30)-SUM(G28:G30))</f>
        <v>0</v>
      </c>
      <c r="O27" s="69">
        <f>X40</f>
        <v>3.4040151694957728E-2</v>
      </c>
      <c r="P27" s="69">
        <f>X42</f>
        <v>0.93959799830613677</v>
      </c>
      <c r="R27" s="6" t="s">
        <v>631</v>
      </c>
      <c r="S27" s="205">
        <f>AA27</f>
        <v>1025822.66</v>
      </c>
      <c r="T27" s="231">
        <f>S27*O2</f>
        <v>29937608.509440001</v>
      </c>
      <c r="U27" s="206">
        <f t="shared" si="1"/>
        <v>4.150466777296509E-2</v>
      </c>
      <c r="V27" s="207">
        <f>U27</f>
        <v>4.150466777296509E-2</v>
      </c>
      <c r="W27" s="207"/>
      <c r="X27" s="22"/>
      <c r="Z27" s="479" t="s">
        <v>2880</v>
      </c>
      <c r="AA27" s="597">
        <v>1025822.66</v>
      </c>
    </row>
    <row r="28" spans="1:27" ht="19.5" customHeight="1" thickBot="1">
      <c r="A28" s="31">
        <f>G28/C6</f>
        <v>6.2055657274620958E-2</v>
      </c>
      <c r="B28" s="25" t="s">
        <v>2890</v>
      </c>
      <c r="C28" s="58" t="s">
        <v>286</v>
      </c>
      <c r="D28" s="59">
        <v>1</v>
      </c>
      <c r="E28" s="111">
        <v>13512.5</v>
      </c>
      <c r="F28" s="78">
        <v>950</v>
      </c>
      <c r="G28" s="65">
        <f>D28*E28*F28*O2</f>
        <v>374631360</v>
      </c>
      <c r="H28" s="111">
        <v>13512.5</v>
      </c>
      <c r="I28" s="111"/>
      <c r="J28" s="111"/>
      <c r="K28" s="65">
        <f>IF(ISNUMBER(H28)=TRUE,H28*F28*D28,E28*F28*D28)*N2</f>
        <v>374631360</v>
      </c>
      <c r="L28" s="65">
        <f>IF(ISNUMBER(I28)=TRUE,I28*F28*D28,E28*F28*D28)*N2</f>
        <v>374631360</v>
      </c>
      <c r="M28" s="223">
        <f>IF(ISNUMBER(J28)=TRUE,J28*F28*D28,E28*F28*D28)*N2</f>
        <v>374631360</v>
      </c>
      <c r="N28" s="32"/>
      <c r="O28" s="32"/>
      <c r="P28" s="32"/>
      <c r="R28" s="6" t="s">
        <v>632</v>
      </c>
      <c r="S28" s="205">
        <f>AA28</f>
        <v>500000000</v>
      </c>
      <c r="T28" s="231">
        <f>S28</f>
        <v>500000000</v>
      </c>
      <c r="U28" s="206">
        <f t="shared" si="1"/>
        <v>0.69318609333604142</v>
      </c>
      <c r="V28" s="207"/>
      <c r="W28" s="207">
        <f>U28</f>
        <v>0.69318609333604142</v>
      </c>
      <c r="X28" s="22"/>
      <c r="Z28" s="479" t="s">
        <v>2881</v>
      </c>
      <c r="AA28" s="597">
        <v>500000000</v>
      </c>
    </row>
    <row r="29" spans="1:27" ht="53.4" customHeight="1" thickBot="1">
      <c r="A29" s="31">
        <f>G29/C6</f>
        <v>0</v>
      </c>
      <c r="B29" s="25" t="s">
        <v>2891</v>
      </c>
      <c r="C29" s="58" t="s">
        <v>305</v>
      </c>
      <c r="D29" s="59">
        <v>1</v>
      </c>
      <c r="E29" s="111"/>
      <c r="F29" s="78">
        <v>0</v>
      </c>
      <c r="G29" s="65">
        <f>D29*E29*F29*O2</f>
        <v>0</v>
      </c>
      <c r="H29" s="111"/>
      <c r="I29" s="111"/>
      <c r="J29" s="111"/>
      <c r="K29" s="65">
        <f>IF(ISNUMBER(H29)=TRUE,H29*F29*D29,E29*F29*D29)*N2</f>
        <v>0</v>
      </c>
      <c r="L29" s="65">
        <f>IF(ISNUMBER(I29)=TRUE,I29*F29*D29,E29*F29*D29)*N2</f>
        <v>0</v>
      </c>
      <c r="M29" s="68">
        <f>IF(ISNUMBER(J29)=TRUE,J29*F29*D29,E29*F29*D29)*N2</f>
        <v>0</v>
      </c>
      <c r="N29" s="32"/>
      <c r="O29" s="32"/>
      <c r="P29" s="32"/>
      <c r="R29" s="6" t="s">
        <v>633</v>
      </c>
      <c r="S29" s="205">
        <v>0</v>
      </c>
      <c r="T29" s="231"/>
      <c r="U29" s="206">
        <f t="shared" si="1"/>
        <v>0</v>
      </c>
      <c r="V29" s="207">
        <f>U29</f>
        <v>0</v>
      </c>
      <c r="W29" s="207"/>
      <c r="X29" s="23"/>
      <c r="Z29" s="479" t="s">
        <v>2882</v>
      </c>
      <c r="AA29" s="597">
        <v>65670</v>
      </c>
    </row>
    <row r="30" spans="1:27" ht="41.4">
      <c r="A30" s="31">
        <f>G30/C6</f>
        <v>0.87298970982756763</v>
      </c>
      <c r="B30" s="213" t="s">
        <v>600</v>
      </c>
      <c r="C30" s="25" t="s">
        <v>316</v>
      </c>
      <c r="D30" s="59">
        <v>1</v>
      </c>
      <c r="E30" s="6">
        <v>35.1</v>
      </c>
      <c r="F30" s="78">
        <v>40397600</v>
      </c>
      <c r="G30" s="49">
        <f>D30*E30*F30*O4</f>
        <v>5270257968.7680006</v>
      </c>
      <c r="H30" s="70">
        <v>35.1</v>
      </c>
      <c r="I30" s="70"/>
      <c r="J30" s="70"/>
      <c r="K30" s="49">
        <f>IF(ISNUMBER(H30)=TRUE,H30*F30*D30,E30*F30*D30)*N4</f>
        <v>5270257968.7680006</v>
      </c>
      <c r="L30" s="49">
        <f>IF(ISNUMBER(I30)=TRUE,I30*F30*D30,E30*F30*D30)*N4</f>
        <v>5270257968.7680006</v>
      </c>
      <c r="M30" s="49">
        <f>IF(ISNUMBER(J30)=TRUE,J30*F30*D30,E30*F30*D30)*N4</f>
        <v>5270257968.7680006</v>
      </c>
      <c r="R30" s="6" t="s">
        <v>634</v>
      </c>
      <c r="S30" s="205">
        <f>AA29</f>
        <v>65670</v>
      </c>
      <c r="T30" s="231"/>
      <c r="U30" s="206">
        <f t="shared" si="1"/>
        <v>0</v>
      </c>
      <c r="V30" s="207"/>
      <c r="W30" s="207">
        <f>U30</f>
        <v>0</v>
      </c>
      <c r="X30" s="22"/>
    </row>
    <row r="31" spans="1:27">
      <c r="R31" s="6" t="s">
        <v>635</v>
      </c>
      <c r="S31" s="205">
        <v>0</v>
      </c>
      <c r="T31" s="231"/>
      <c r="U31" s="206">
        <f t="shared" si="1"/>
        <v>0</v>
      </c>
      <c r="V31" s="207">
        <f>U31</f>
        <v>0</v>
      </c>
      <c r="W31" s="207"/>
      <c r="X31" s="22"/>
    </row>
    <row r="32" spans="1:27">
      <c r="R32" s="220" t="s">
        <v>636</v>
      </c>
      <c r="S32" s="205"/>
      <c r="T32" s="230"/>
      <c r="U32" s="206">
        <f t="shared" si="1"/>
        <v>0</v>
      </c>
      <c r="V32" s="207"/>
      <c r="W32" s="207">
        <f>U32</f>
        <v>0</v>
      </c>
      <c r="X32" s="22"/>
    </row>
    <row r="33" spans="18:27">
      <c r="R33" s="6" t="s">
        <v>637</v>
      </c>
      <c r="S33" s="228"/>
      <c r="T33" s="228">
        <f>SUM(T24:T32)</f>
        <v>721307026.79519999</v>
      </c>
      <c r="U33" s="20">
        <f>SUM(U24:U32)</f>
        <v>1</v>
      </c>
      <c r="V33" s="20">
        <f>SUM(V24:V32)</f>
        <v>0.26395767782983004</v>
      </c>
      <c r="W33" s="20">
        <f>SUM(W24:W32)</f>
        <v>0.73604232217016996</v>
      </c>
      <c r="X33" s="4">
        <f>V33+W33</f>
        <v>1</v>
      </c>
    </row>
    <row r="34" spans="18:27">
      <c r="X34" s="4"/>
    </row>
    <row r="36" spans="18:27">
      <c r="R36" s="204" t="s">
        <v>303</v>
      </c>
      <c r="S36" s="49">
        <v>10486591337</v>
      </c>
      <c r="T36" s="203"/>
      <c r="U36" s="203"/>
      <c r="V36" s="203"/>
      <c r="W36" s="22"/>
    </row>
    <row r="37" spans="18:27" ht="16.8" thickBot="1">
      <c r="R37" s="25" t="s">
        <v>572</v>
      </c>
      <c r="S37" s="25" t="s">
        <v>621</v>
      </c>
      <c r="T37" s="25" t="s">
        <v>622</v>
      </c>
      <c r="U37" s="25" t="s">
        <v>573</v>
      </c>
      <c r="V37" s="25" t="s">
        <v>566</v>
      </c>
      <c r="W37" s="25" t="s">
        <v>574</v>
      </c>
      <c r="X37" s="22"/>
    </row>
    <row r="38" spans="18:27" ht="16.8" thickBot="1">
      <c r="R38" s="216" t="s">
        <v>601</v>
      </c>
      <c r="S38" s="217">
        <v>0</v>
      </c>
      <c r="T38" s="235"/>
      <c r="U38" s="218">
        <f t="shared" ref="U38" si="2">S38/$S$45</f>
        <v>0</v>
      </c>
      <c r="V38" s="218"/>
      <c r="W38" s="218"/>
      <c r="X38" s="22"/>
      <c r="Z38" s="471" t="s">
        <v>626</v>
      </c>
      <c r="AA38" s="471" t="s">
        <v>2884</v>
      </c>
    </row>
    <row r="39" spans="18:27" ht="16.8" thickBot="1">
      <c r="R39" s="6" t="s">
        <v>602</v>
      </c>
      <c r="S39" s="49">
        <f>AA39</f>
        <v>8508</v>
      </c>
      <c r="T39" s="221">
        <f>S39</f>
        <v>8508</v>
      </c>
      <c r="U39" s="207">
        <f>T39/$T$45</f>
        <v>1.507243893422729E-6</v>
      </c>
      <c r="V39" s="207"/>
      <c r="W39" s="207">
        <f>U39</f>
        <v>1.507243893422729E-6</v>
      </c>
      <c r="X39" s="22" t="s">
        <v>575</v>
      </c>
      <c r="Z39" s="479" t="s">
        <v>2879</v>
      </c>
      <c r="AA39" s="597">
        <v>8508</v>
      </c>
    </row>
    <row r="40" spans="18:27" ht="16.8" thickBot="1">
      <c r="R40" s="6" t="s">
        <v>603</v>
      </c>
      <c r="S40" s="46">
        <f>AA40</f>
        <v>6584012.0700000003</v>
      </c>
      <c r="T40" s="221">
        <f>S40*O2</f>
        <v>192147808.25088</v>
      </c>
      <c r="U40" s="207">
        <f t="shared" ref="U40:U44" si="3">T40/$T$45</f>
        <v>3.4040151694957728E-2</v>
      </c>
      <c r="V40" s="207">
        <f>U40</f>
        <v>3.4040151694957728E-2</v>
      </c>
      <c r="W40" s="207"/>
      <c r="X40" s="23">
        <f>U40</f>
        <v>3.4040151694957728E-2</v>
      </c>
      <c r="Z40" s="479" t="s">
        <v>2879</v>
      </c>
      <c r="AA40" s="597">
        <v>6584012.0700000003</v>
      </c>
    </row>
    <row r="41" spans="18:27" ht="16.8" thickBot="1">
      <c r="R41" s="6" t="s">
        <v>604</v>
      </c>
      <c r="S41" s="46">
        <f>AA41</f>
        <v>9020797.9100000001</v>
      </c>
      <c r="T41" s="221">
        <f>S41*O4</f>
        <v>33528501.671888001</v>
      </c>
      <c r="U41" s="207">
        <f t="shared" si="3"/>
        <v>5.9397777856801774E-3</v>
      </c>
      <c r="V41" s="207">
        <f>U41</f>
        <v>5.9397777856801774E-3</v>
      </c>
      <c r="W41" s="207"/>
      <c r="X41" s="22" t="s">
        <v>607</v>
      </c>
      <c r="Z41" s="479" t="s">
        <v>2880</v>
      </c>
      <c r="AA41" s="597">
        <v>9020797.9100000001</v>
      </c>
    </row>
    <row r="42" spans="18:27" ht="16.8" thickBot="1">
      <c r="R42" s="6" t="s">
        <v>605</v>
      </c>
      <c r="S42" s="46">
        <f>AA42</f>
        <v>157874165</v>
      </c>
      <c r="T42" s="221">
        <f>S42</f>
        <v>157874165</v>
      </c>
      <c r="U42" s="207">
        <f t="shared" si="3"/>
        <v>2.7968367551182691E-2</v>
      </c>
      <c r="V42" s="207"/>
      <c r="W42" s="207">
        <f>U42</f>
        <v>2.7968367551182691E-2</v>
      </c>
      <c r="X42" s="23">
        <f>V41+V43</f>
        <v>0.93959799830613677</v>
      </c>
      <c r="Z42" s="479" t="s">
        <v>2880</v>
      </c>
      <c r="AA42" s="597">
        <v>157874165</v>
      </c>
    </row>
    <row r="43" spans="18:27" ht="42" thickBot="1">
      <c r="R43" s="219" t="s">
        <v>606</v>
      </c>
      <c r="S43" s="208">
        <f>E30*F30</f>
        <v>1417955760</v>
      </c>
      <c r="T43" s="221">
        <f>S43*O4</f>
        <v>5270257968.7680006</v>
      </c>
      <c r="U43" s="207">
        <f t="shared" si="3"/>
        <v>0.93365822052045655</v>
      </c>
      <c r="V43" s="207">
        <f>U43</f>
        <v>0.93365822052045655</v>
      </c>
      <c r="W43" s="207"/>
      <c r="X43" s="22"/>
      <c r="Z43" s="479" t="s">
        <v>2885</v>
      </c>
      <c r="AA43" s="597">
        <v>-9076882</v>
      </c>
    </row>
    <row r="44" spans="18:27">
      <c r="R44" s="220" t="s">
        <v>577</v>
      </c>
      <c r="S44" s="208">
        <f>AA43</f>
        <v>-9076882</v>
      </c>
      <c r="T44" s="221">
        <f>S44</f>
        <v>-9076882</v>
      </c>
      <c r="U44" s="207">
        <f t="shared" si="3"/>
        <v>-1.6080247961705086E-3</v>
      </c>
      <c r="V44" s="207"/>
      <c r="W44" s="207">
        <f>U44</f>
        <v>-1.6080247961705086E-3</v>
      </c>
      <c r="X44" s="22"/>
    </row>
    <row r="45" spans="18:27">
      <c r="R45" s="6" t="s">
        <v>576</v>
      </c>
      <c r="S45" s="221">
        <f>SUM(S39:S44)</f>
        <v>1582366360.98</v>
      </c>
      <c r="T45" s="221">
        <f>SUM(T39:T44)</f>
        <v>5644740069.6907682</v>
      </c>
      <c r="U45" s="206">
        <f>SUM(U39:U44)</f>
        <v>1</v>
      </c>
      <c r="V45" s="207">
        <f>SUM(V39:V43)</f>
        <v>0.97363815000109444</v>
      </c>
      <c r="W45" s="207">
        <f>SUM(W39:W44)</f>
        <v>2.6361849998905607E-2</v>
      </c>
      <c r="X45" s="23">
        <f>V45+W45</f>
        <v>1</v>
      </c>
    </row>
    <row r="49" spans="20:20">
      <c r="T49" s="48"/>
    </row>
  </sheetData>
  <mergeCells count="3">
    <mergeCell ref="F1:F2"/>
    <mergeCell ref="F3:F4"/>
    <mergeCell ref="F5:F6"/>
  </mergeCells>
  <phoneticPr fontId="8" type="noConversion"/>
  <conditionalFormatting sqref="S39:W44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643969" r:id="rId3" name="CommandButton1">
          <controlPr defaultSize="0" autoLine="0" r:id="rId4">
            <anchor moveWithCells="1">
              <from>
                <xdr:col>13</xdr:col>
                <xdr:colOff>251460</xdr:colOff>
                <xdr:row>27</xdr:row>
                <xdr:rowOff>213360</xdr:rowOff>
              </from>
              <to>
                <xdr:col>14</xdr:col>
                <xdr:colOff>617220</xdr:colOff>
                <xdr:row>28</xdr:row>
                <xdr:rowOff>586740</xdr:rowOff>
              </to>
            </anchor>
          </controlPr>
        </control>
      </mc:Choice>
      <mc:Fallback>
        <control shapeId="34643969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FFFF00"/>
  </sheetPr>
  <dimension ref="A1:AF528"/>
  <sheetViews>
    <sheetView workbookViewId="0">
      <selection activeCell="E11" sqref="E11"/>
    </sheetView>
  </sheetViews>
  <sheetFormatPr defaultColWidth="9" defaultRowHeight="16.2"/>
  <cols>
    <col min="1" max="1" width="11" style="105" customWidth="1"/>
    <col min="2" max="2" width="15.88671875" style="105" customWidth="1"/>
    <col min="3" max="3" width="16.44140625" style="22" customWidth="1"/>
    <col min="4" max="4" width="19.21875" style="105" customWidth="1"/>
    <col min="5" max="5" width="12.109375" style="105" customWidth="1"/>
    <col min="6" max="6" width="14" style="105" customWidth="1"/>
    <col min="7" max="7" width="18.109375" style="105" customWidth="1"/>
    <col min="8" max="8" width="13.109375" style="105" customWidth="1"/>
    <col min="9" max="9" width="11.88671875" style="105" customWidth="1"/>
    <col min="10" max="10" width="23.44140625" style="105" customWidth="1"/>
    <col min="11" max="11" width="21.77734375" style="105" customWidth="1"/>
    <col min="12" max="12" width="22.33203125" style="105" customWidth="1"/>
    <col min="13" max="13" width="19" style="105" customWidth="1"/>
    <col min="14" max="14" width="12" style="105" customWidth="1"/>
    <col min="15" max="15" width="14.21875" style="105" customWidth="1"/>
    <col min="16" max="16" width="9" style="105"/>
    <col min="17" max="17" width="20.33203125" style="240" customWidth="1"/>
    <col min="18" max="18" width="20.77734375" style="240" customWidth="1"/>
    <col min="19" max="19" width="16.88671875" style="240" customWidth="1"/>
    <col min="20" max="20" width="13.21875" style="240" customWidth="1"/>
    <col min="21" max="21" width="11.33203125" style="240" customWidth="1"/>
    <col min="22" max="22" width="10.88671875" style="240" customWidth="1"/>
    <col min="23" max="23" width="10.21875" style="22" customWidth="1"/>
    <col min="24" max="24" width="4.5546875" style="105" customWidth="1"/>
    <col min="25" max="25" width="9" style="105"/>
    <col min="26" max="26" width="12.5546875" style="105" bestFit="1" customWidth="1"/>
    <col min="27" max="29" width="9" style="105"/>
    <col min="30" max="30" width="23.5546875" style="105" bestFit="1" customWidth="1"/>
    <col min="31" max="16384" width="9" style="105"/>
  </cols>
  <sheetData>
    <row r="1" spans="1:26" s="22" customFormat="1">
      <c r="A1" s="57" t="s">
        <v>137</v>
      </c>
      <c r="B1" s="57" t="s">
        <v>322</v>
      </c>
      <c r="C1" s="57" t="s">
        <v>138</v>
      </c>
      <c r="D1" s="57" t="s">
        <v>139</v>
      </c>
      <c r="E1" s="27" t="s">
        <v>140</v>
      </c>
      <c r="F1" s="579" t="s">
        <v>320</v>
      </c>
      <c r="G1" s="28" t="s">
        <v>157</v>
      </c>
      <c r="H1" s="33" t="s">
        <v>52</v>
      </c>
      <c r="I1" s="33" t="s">
        <v>53</v>
      </c>
      <c r="J1" s="57" t="s">
        <v>251</v>
      </c>
      <c r="K1" s="57" t="s">
        <v>246</v>
      </c>
      <c r="L1" s="57" t="s">
        <v>247</v>
      </c>
      <c r="M1" s="80" t="s">
        <v>49</v>
      </c>
      <c r="N1" s="73" t="s">
        <v>151</v>
      </c>
      <c r="O1" s="81" t="s">
        <v>511</v>
      </c>
      <c r="P1" s="50" t="s">
        <v>308</v>
      </c>
      <c r="Q1" s="240"/>
      <c r="R1" s="240"/>
      <c r="S1" s="240"/>
      <c r="T1" s="240"/>
      <c r="U1" s="240"/>
      <c r="V1" s="240"/>
    </row>
    <row r="2" spans="1:26" ht="16.8" thickBot="1">
      <c r="A2" s="21" t="s">
        <v>418</v>
      </c>
      <c r="B2" s="3">
        <f>C2/100000000</f>
        <v>1.6629011499999999</v>
      </c>
      <c r="C2" s="29">
        <v>166290115</v>
      </c>
      <c r="D2" s="108">
        <v>4416</v>
      </c>
      <c r="E2" s="8">
        <f>'ETF Update'!C39</f>
        <v>37.659999999999997</v>
      </c>
      <c r="F2" s="580"/>
      <c r="G2" s="110" t="e">
        <f>J2/(D2*1000)</f>
        <v>#REF!</v>
      </c>
      <c r="H2" s="109" t="e">
        <f>K2/(D2*1000)</f>
        <v>#REF!</v>
      </c>
      <c r="I2" s="109" t="e">
        <f>L2/(D2*1000)</f>
        <v>#REF!</v>
      </c>
      <c r="J2" s="78" t="e">
        <f>C2+(SUM(K11:K12)-SUM(G11:G12))-N11+C2*O11*(N2/O2-1)</f>
        <v>#REF!</v>
      </c>
      <c r="K2" s="78" t="e">
        <f>C2+(SUM(L11:L12)-SUM(G11:G12))-N11+C2*O11*(N2/O2-1)</f>
        <v>#REF!</v>
      </c>
      <c r="L2" s="78" t="e">
        <f>C2+(SUM(M11:M12)-SUM(G11:G12))-N11+C2*O11*(N2/O2-1)</f>
        <v>#REF!</v>
      </c>
      <c r="M2" s="80" t="s">
        <v>309</v>
      </c>
      <c r="N2" s="82" t="e">
        <f>匯率報價!D16</f>
        <v>#REF!</v>
      </c>
      <c r="O2" s="82">
        <v>30.15</v>
      </c>
    </row>
    <row r="3" spans="1:26" s="22" customFormat="1">
      <c r="A3" s="57" t="s">
        <v>137</v>
      </c>
      <c r="B3" s="57" t="s">
        <v>322</v>
      </c>
      <c r="C3" s="57" t="s">
        <v>138</v>
      </c>
      <c r="D3" s="57" t="s">
        <v>23</v>
      </c>
      <c r="E3" s="27" t="s">
        <v>140</v>
      </c>
      <c r="F3" s="579" t="s">
        <v>320</v>
      </c>
      <c r="G3" s="28" t="s">
        <v>157</v>
      </c>
      <c r="H3" s="33" t="s">
        <v>52</v>
      </c>
      <c r="I3" s="33" t="s">
        <v>53</v>
      </c>
      <c r="J3" s="57" t="s">
        <v>324</v>
      </c>
      <c r="K3" s="57" t="s">
        <v>326</v>
      </c>
      <c r="L3" s="57" t="s">
        <v>328</v>
      </c>
      <c r="M3" s="80" t="s">
        <v>646</v>
      </c>
      <c r="N3" s="82" t="e">
        <f>匯率報價!D2</f>
        <v>#REF!</v>
      </c>
      <c r="O3" s="82">
        <v>111.39</v>
      </c>
    </row>
    <row r="4" spans="1:26" ht="16.8" thickBot="1">
      <c r="A4" s="21" t="s">
        <v>419</v>
      </c>
      <c r="B4" s="3">
        <f>C4/100000000</f>
        <v>20.422546440000001</v>
      </c>
      <c r="C4" s="29">
        <v>2042254644</v>
      </c>
      <c r="D4" s="107">
        <v>169688</v>
      </c>
      <c r="E4" s="8">
        <f>'ETF Update'!C40</f>
        <v>12.04</v>
      </c>
      <c r="F4" s="580"/>
      <c r="G4" s="110" t="e">
        <f>J4/D4/1000</f>
        <v>#REF!</v>
      </c>
      <c r="H4" s="109" t="e">
        <f>K4/D4/1000</f>
        <v>#REF!</v>
      </c>
      <c r="I4" s="109" t="e">
        <f>L4/D4/1000</f>
        <v>#REF!</v>
      </c>
      <c r="J4" s="78" t="e">
        <f>C4+(SUM(K16:K17)-SUM(G16:G17))-N16+C4*O16*(N2/O2-1)</f>
        <v>#REF!</v>
      </c>
      <c r="K4" s="78" t="e">
        <f>C4+(SUM(L16:L17)-SUM(G16:G17))-N16+C4*O16*(N2/O2-1)</f>
        <v>#REF!</v>
      </c>
      <c r="L4" s="78" t="e">
        <f>C4+(SUM(M16:M17)-SUM(G16:G17))-N16+C4*O16*(N2/O2-1)</f>
        <v>#REF!</v>
      </c>
      <c r="M4" s="80" t="s">
        <v>647</v>
      </c>
      <c r="N4" s="82" t="e">
        <f>匯率報價!D7</f>
        <v>#REF!</v>
      </c>
      <c r="O4" s="82">
        <v>1.2</v>
      </c>
    </row>
    <row r="5" spans="1:26" s="22" customFormat="1">
      <c r="A5" s="57" t="s">
        <v>137</v>
      </c>
      <c r="B5" s="57" t="s">
        <v>322</v>
      </c>
      <c r="C5" s="57" t="s">
        <v>138</v>
      </c>
      <c r="D5" s="57" t="s">
        <v>23</v>
      </c>
      <c r="E5" s="27" t="s">
        <v>140</v>
      </c>
      <c r="F5" s="581" t="s">
        <v>320</v>
      </c>
      <c r="G5" s="28" t="s">
        <v>157</v>
      </c>
      <c r="H5" s="33" t="s">
        <v>52</v>
      </c>
      <c r="I5" s="33" t="s">
        <v>53</v>
      </c>
      <c r="J5" s="57" t="s">
        <v>324</v>
      </c>
      <c r="K5" s="57" t="s">
        <v>326</v>
      </c>
      <c r="L5" s="57" t="s">
        <v>328</v>
      </c>
      <c r="M5" s="80" t="s">
        <v>311</v>
      </c>
      <c r="N5" s="82" t="e">
        <f>匯率報價!D17</f>
        <v>#REF!</v>
      </c>
      <c r="O5" s="82">
        <v>4.5869999999999997</v>
      </c>
    </row>
    <row r="6" spans="1:26" ht="16.8" thickBot="1">
      <c r="A6" s="21" t="s">
        <v>417</v>
      </c>
      <c r="B6" s="3">
        <f>C6/100000000</f>
        <v>46.454033010000003</v>
      </c>
      <c r="C6" s="29">
        <v>4645403301</v>
      </c>
      <c r="D6" s="107">
        <v>164485</v>
      </c>
      <c r="E6" s="8">
        <f>'ETF Update'!C38</f>
        <v>28.24</v>
      </c>
      <c r="F6" s="580"/>
      <c r="G6" s="110" t="e">
        <f>J6/D6/1000</f>
        <v>#REF!</v>
      </c>
      <c r="H6" s="109" t="e">
        <f>L6/D6/1000</f>
        <v>#REF!</v>
      </c>
      <c r="I6" s="109" t="e">
        <f>K6/D6/1000</f>
        <v>#REF!</v>
      </c>
      <c r="J6" s="78" t="e">
        <f>C6+(SUM(K22:K600)-SUM(G22:G600))-N22+C6*O22*(N2/O2-1)</f>
        <v>#REF!</v>
      </c>
      <c r="K6" s="78" t="e">
        <f>C6+(SUM(L22:L600)-SUM(G22:G600))-N22+C6*O22*(N2/O2-1)</f>
        <v>#REF!</v>
      </c>
      <c r="L6" s="78" t="e">
        <f>C6+(SUM(M22:M600)-SUM(G22:G600))-N22+C6*O22*(N2/O2-1)</f>
        <v>#REF!</v>
      </c>
      <c r="M6" s="80" t="s">
        <v>317</v>
      </c>
      <c r="N6" s="82" t="e">
        <f>匯率報價!D18</f>
        <v>#REF!</v>
      </c>
      <c r="O6" s="82">
        <v>3.8610000000000002</v>
      </c>
    </row>
    <row r="7" spans="1:26">
      <c r="C7" s="29">
        <f>'ETF Update'!D43*1000</f>
        <v>0</v>
      </c>
    </row>
    <row r="8" spans="1:26" ht="16.8" thickBot="1">
      <c r="Q8" s="204" t="s">
        <v>666</v>
      </c>
      <c r="R8" s="49">
        <v>95108336</v>
      </c>
      <c r="V8" s="22"/>
    </row>
    <row r="9" spans="1:26" ht="16.8" thickBot="1">
      <c r="A9" s="67" t="s">
        <v>418</v>
      </c>
      <c r="B9" s="4">
        <f>A11+A12</f>
        <v>1.933522206055363</v>
      </c>
      <c r="G9" s="48"/>
      <c r="K9" s="48"/>
      <c r="L9" s="48"/>
      <c r="M9" s="48"/>
      <c r="Q9" s="25" t="s">
        <v>552</v>
      </c>
      <c r="R9" s="25" t="s">
        <v>617</v>
      </c>
      <c r="S9" s="25" t="s">
        <v>578</v>
      </c>
      <c r="T9" s="25" t="s">
        <v>565</v>
      </c>
      <c r="U9" s="25" t="s">
        <v>566</v>
      </c>
      <c r="V9" s="25" t="s">
        <v>546</v>
      </c>
    </row>
    <row r="10" spans="1:26" s="22" customFormat="1" ht="16.8" thickBot="1">
      <c r="A10" s="57" t="s">
        <v>292</v>
      </c>
      <c r="B10" s="57" t="s">
        <v>293</v>
      </c>
      <c r="C10" s="57" t="s">
        <v>221</v>
      </c>
      <c r="D10" s="57" t="s">
        <v>294</v>
      </c>
      <c r="E10" s="57" t="s">
        <v>295</v>
      </c>
      <c r="F10" s="57" t="s">
        <v>296</v>
      </c>
      <c r="G10" s="57" t="s">
        <v>297</v>
      </c>
      <c r="H10" s="57" t="s">
        <v>222</v>
      </c>
      <c r="I10" s="57" t="s">
        <v>298</v>
      </c>
      <c r="J10" s="57" t="s">
        <v>299</v>
      </c>
      <c r="K10" s="57" t="s">
        <v>300</v>
      </c>
      <c r="L10" s="57" t="s">
        <v>301</v>
      </c>
      <c r="M10" s="57" t="s">
        <v>302</v>
      </c>
      <c r="N10" s="212" t="s">
        <v>586</v>
      </c>
      <c r="O10" s="212" t="s">
        <v>587</v>
      </c>
      <c r="Q10" s="216" t="s">
        <v>548</v>
      </c>
      <c r="R10" s="217">
        <v>0</v>
      </c>
      <c r="S10" s="232"/>
      <c r="T10" s="241">
        <f t="shared" ref="T10:T18" si="0">S10/$S$19</f>
        <v>0</v>
      </c>
      <c r="U10" s="218"/>
      <c r="V10" s="218"/>
      <c r="W10" s="22" t="s">
        <v>650</v>
      </c>
      <c r="Y10" s="439" t="s">
        <v>626</v>
      </c>
      <c r="Z10" s="439" t="s">
        <v>2884</v>
      </c>
    </row>
    <row r="11" spans="1:26" s="22" customFormat="1" ht="16.8" thickBot="1">
      <c r="A11" s="24">
        <f>G11/$C$2</f>
        <v>1.933522206055363</v>
      </c>
      <c r="B11" s="25" t="s">
        <v>438</v>
      </c>
      <c r="C11" s="25" t="s">
        <v>2892</v>
      </c>
      <c r="D11" s="25">
        <v>50</v>
      </c>
      <c r="E11" s="173">
        <f>VLOOKUP($C11,元大DDE!$A:$AU,19,FALSE)</f>
        <v>3004</v>
      </c>
      <c r="F11" s="78">
        <v>71</v>
      </c>
      <c r="G11" s="65">
        <f>D11*E11*F11*O2</f>
        <v>321525630</v>
      </c>
      <c r="H11" s="173">
        <f>VLOOKUP($C11,元大DDE!$A:$AU,5,FALSE)</f>
        <v>3014.25</v>
      </c>
      <c r="I11" s="173">
        <f>VLOOKUP($C11,元大DDE!$A:$AU,13,FALSE)</f>
        <v>3014</v>
      </c>
      <c r="J11" s="173">
        <f>VLOOKUP($C11,元大DDE!$A:$AU,14,FALSE)</f>
        <v>3014.25</v>
      </c>
      <c r="K11" s="65" t="e">
        <f>IF(ISNUMBER(H11)=TRUE,H11*F11*D11,E11*F11*D11)*N2</f>
        <v>#REF!</v>
      </c>
      <c r="L11" s="65" t="e">
        <f>IF(ISNUMBER(I11)=TRUE,I11*F11*D11,E11*F11*D11)*N2</f>
        <v>#REF!</v>
      </c>
      <c r="M11" s="65" t="e">
        <f>IF(ISNUMBER(J11)=TRUE,J11*F11*D11,E11*F11*D11)*N2</f>
        <v>#REF!</v>
      </c>
      <c r="N11" s="63" t="e">
        <f>1.04%/365*(C2+SUM(K11:K12)-SUM(G11:G12))</f>
        <v>#REF!</v>
      </c>
      <c r="O11" s="69">
        <f>W11</f>
        <v>0.33786101744854646</v>
      </c>
      <c r="Q11" s="219" t="s">
        <v>549</v>
      </c>
      <c r="R11" s="205">
        <f>Z11</f>
        <v>50091209</v>
      </c>
      <c r="S11" s="230">
        <f>R11</f>
        <v>50091209</v>
      </c>
      <c r="T11" s="207">
        <f t="shared" si="0"/>
        <v>0.30361488538509579</v>
      </c>
      <c r="U11" s="206"/>
      <c r="V11" s="206">
        <f>T11</f>
        <v>0.30361488538509579</v>
      </c>
      <c r="W11" s="23">
        <f>U12+U14+U16</f>
        <v>0.33786101744854646</v>
      </c>
      <c r="Y11" s="444" t="s">
        <v>2879</v>
      </c>
      <c r="Z11" s="594">
        <v>50091209</v>
      </c>
    </row>
    <row r="12" spans="1:26" s="22" customFormat="1" ht="16.8" thickBot="1">
      <c r="A12" s="24">
        <f>G12/$C$2</f>
        <v>0</v>
      </c>
      <c r="B12" s="25" t="s">
        <v>439</v>
      </c>
      <c r="C12" s="25" t="s">
        <v>2893</v>
      </c>
      <c r="D12" s="25">
        <v>50</v>
      </c>
      <c r="E12" s="173">
        <f>VLOOKUP($C12,元大DDE!$A:$AU,19,FALSE)</f>
        <v>3006.25</v>
      </c>
      <c r="F12" s="78">
        <v>0</v>
      </c>
      <c r="G12" s="65">
        <f>D12*E12*F12*O2</f>
        <v>0</v>
      </c>
      <c r="H12" s="173">
        <f>VLOOKUP($C12,元大DDE!$A:$AU,5,FALSE)</f>
        <v>3016.75</v>
      </c>
      <c r="I12" s="173">
        <f>VLOOKUP($C12,元大DDE!$A:$AU,13,FALSE)</f>
        <v>3014.5</v>
      </c>
      <c r="J12" s="173">
        <f>VLOOKUP($C12,元大DDE!$A:$AU,14,FALSE)</f>
        <v>3020.25</v>
      </c>
      <c r="K12" s="65" t="e">
        <f>IF(ISNUMBER(H12)=TRUE,H12*F12*D12,E12*F12*D12)*N2</f>
        <v>#REF!</v>
      </c>
      <c r="L12" s="65" t="e">
        <f>IF(ISNUMBER(I12)=TRUE,I12*F12*D12,E12*F12*D12)*N2</f>
        <v>#REF!</v>
      </c>
      <c r="M12" s="65" t="e">
        <f>IF(ISNUMBER(J12)=TRUE,J12*F12*D12,E12*F12*D12)*N2</f>
        <v>#REF!</v>
      </c>
      <c r="N12" s="32"/>
      <c r="O12" s="32"/>
      <c r="Q12" s="219" t="s">
        <v>569</v>
      </c>
      <c r="R12" s="205">
        <f>Z12</f>
        <v>1797692.24</v>
      </c>
      <c r="S12" s="230">
        <f>R12*O2</f>
        <v>54200421.035999998</v>
      </c>
      <c r="T12" s="207">
        <f t="shared" si="0"/>
        <v>0.32852180949892973</v>
      </c>
      <c r="U12" s="206">
        <f>T12</f>
        <v>0.32852180949892973</v>
      </c>
      <c r="V12" s="206"/>
      <c r="Y12" s="444" t="s">
        <v>2879</v>
      </c>
      <c r="Z12" s="594">
        <v>1797692.24</v>
      </c>
    </row>
    <row r="13" spans="1:26" ht="16.8" thickBot="1">
      <c r="Q13" s="6" t="s">
        <v>570</v>
      </c>
      <c r="R13" s="205">
        <f>Z13</f>
        <v>59150280</v>
      </c>
      <c r="S13" s="230">
        <f>R13</f>
        <v>59150280</v>
      </c>
      <c r="T13" s="207">
        <f t="shared" si="0"/>
        <v>0.35852409716635758</v>
      </c>
      <c r="U13" s="207"/>
      <c r="V13" s="207">
        <f>T13</f>
        <v>0.35852409716635758</v>
      </c>
      <c r="Y13" s="444" t="s">
        <v>2880</v>
      </c>
      <c r="Z13" s="594">
        <v>59150280</v>
      </c>
    </row>
    <row r="14" spans="1:26" ht="16.8" thickBot="1">
      <c r="A14" s="67" t="s">
        <v>419</v>
      </c>
      <c r="B14" s="4">
        <f>A16+A17</f>
        <v>-0.97344602733095809</v>
      </c>
      <c r="G14" s="1"/>
      <c r="K14" s="1"/>
      <c r="L14" s="1"/>
      <c r="M14" s="1"/>
      <c r="Q14" s="6" t="s">
        <v>558</v>
      </c>
      <c r="R14" s="205">
        <f>Z14</f>
        <v>51104.74</v>
      </c>
      <c r="S14" s="231">
        <f>R14*O2</f>
        <v>1540807.9109999998</v>
      </c>
      <c r="T14" s="207">
        <f t="shared" si="0"/>
        <v>9.339207949616745E-3</v>
      </c>
      <c r="U14" s="207">
        <f>T14</f>
        <v>9.339207949616745E-3</v>
      </c>
      <c r="V14" s="207"/>
      <c r="Y14" s="444" t="s">
        <v>2880</v>
      </c>
      <c r="Z14" s="594">
        <v>51104.74</v>
      </c>
    </row>
    <row r="15" spans="1:26">
      <c r="A15" s="57" t="s">
        <v>292</v>
      </c>
      <c r="B15" s="57" t="s">
        <v>293</v>
      </c>
      <c r="C15" s="57" t="s">
        <v>221</v>
      </c>
      <c r="D15" s="57" t="s">
        <v>294</v>
      </c>
      <c r="E15" s="57" t="s">
        <v>295</v>
      </c>
      <c r="F15" s="57" t="s">
        <v>296</v>
      </c>
      <c r="G15" s="57" t="s">
        <v>297</v>
      </c>
      <c r="H15" s="57" t="s">
        <v>222</v>
      </c>
      <c r="I15" s="57" t="s">
        <v>298</v>
      </c>
      <c r="J15" s="57" t="s">
        <v>299</v>
      </c>
      <c r="K15" s="57" t="s">
        <v>300</v>
      </c>
      <c r="L15" s="57" t="s">
        <v>301</v>
      </c>
      <c r="M15" s="57" t="s">
        <v>302</v>
      </c>
      <c r="N15" s="212" t="s">
        <v>586</v>
      </c>
      <c r="O15" s="212" t="s">
        <v>587</v>
      </c>
      <c r="Q15" s="6" t="s">
        <v>648</v>
      </c>
      <c r="R15" s="205">
        <v>0</v>
      </c>
      <c r="S15" s="231">
        <f>R15</f>
        <v>0</v>
      </c>
      <c r="T15" s="207">
        <f t="shared" si="0"/>
        <v>0</v>
      </c>
      <c r="U15" s="207"/>
      <c r="V15" s="207">
        <f>T15</f>
        <v>0</v>
      </c>
    </row>
    <row r="16" spans="1:26">
      <c r="A16" s="24">
        <f>G16/$C$4</f>
        <v>-0.97344602733095809</v>
      </c>
      <c r="B16" s="25" t="s">
        <v>438</v>
      </c>
      <c r="C16" s="25" t="s">
        <v>2892</v>
      </c>
      <c r="D16" s="25">
        <v>50</v>
      </c>
      <c r="E16" s="173">
        <f>VLOOKUP($C16,元大DDE!$A:$AU,19,FALSE)</f>
        <v>3004</v>
      </c>
      <c r="F16" s="78">
        <v>-439</v>
      </c>
      <c r="G16" s="78">
        <f>D16*E16*F16*O2</f>
        <v>-1988024670</v>
      </c>
      <c r="H16" s="173">
        <f>VLOOKUP($C16,元大DDE!$A:$AU,5,FALSE)</f>
        <v>3014.25</v>
      </c>
      <c r="I16" s="173">
        <f>VLOOKUP($C16,元大DDE!$A:$AU,13,FALSE)</f>
        <v>3014</v>
      </c>
      <c r="J16" s="173">
        <f>VLOOKUP($C16,元大DDE!$A:$AU,14,FALSE)</f>
        <v>3014.25</v>
      </c>
      <c r="K16" s="78" t="e">
        <f>IF(ISNUMBER(H16)=TRUE,H16*F16*D16,E16*F16*D16)*N2</f>
        <v>#REF!</v>
      </c>
      <c r="L16" s="78" t="e">
        <f>IF(ISNUMBER(I16)=TRUE,I16*F16*D16,E16*F16*D16)*N2</f>
        <v>#REF!</v>
      </c>
      <c r="M16" s="78" t="e">
        <f>IF(ISNUMBER(J16)=TRUE,J16*F16*D16,E16*F16*D16)*N2</f>
        <v>#REF!</v>
      </c>
      <c r="N16" s="63" t="e">
        <f>1.04%/365*(C4+SUM(K16:K18)-SUM(G16:G18))</f>
        <v>#REF!</v>
      </c>
      <c r="O16" s="69">
        <f>W25</f>
        <v>0.12657437145447797</v>
      </c>
      <c r="Q16" s="6" t="s">
        <v>649</v>
      </c>
      <c r="R16" s="205">
        <v>0</v>
      </c>
      <c r="S16" s="231">
        <f>R16</f>
        <v>0</v>
      </c>
      <c r="T16" s="207">
        <f t="shared" si="0"/>
        <v>0</v>
      </c>
      <c r="U16" s="207">
        <f>T16</f>
        <v>0</v>
      </c>
      <c r="V16" s="207"/>
    </row>
    <row r="17" spans="1:32">
      <c r="A17" s="24">
        <f>G17/$C$4</f>
        <v>0</v>
      </c>
      <c r="B17" s="25" t="s">
        <v>439</v>
      </c>
      <c r="C17" s="25" t="s">
        <v>2893</v>
      </c>
      <c r="D17" s="25">
        <v>50</v>
      </c>
      <c r="E17" s="173">
        <f>VLOOKUP($C17,元大DDE!$A:$AU,19,FALSE)</f>
        <v>3006.25</v>
      </c>
      <c r="F17" s="78">
        <v>0</v>
      </c>
      <c r="G17" s="78">
        <f>D17*E17*F17*O2</f>
        <v>0</v>
      </c>
      <c r="H17" s="173">
        <f>VLOOKUP($C17,元大DDE!$A:$AU,5,FALSE)</f>
        <v>3016.75</v>
      </c>
      <c r="I17" s="173">
        <f>VLOOKUP($C17,元大DDE!$A:$AU,13,FALSE)</f>
        <v>3014.5</v>
      </c>
      <c r="J17" s="173">
        <f>VLOOKUP($C17,元大DDE!$A:$AU,14,FALSE)</f>
        <v>3020.25</v>
      </c>
      <c r="K17" s="78" t="e">
        <f>IF(ISNUMBER(H17)=TRUE,H17*F17*D17,E17*F17*D17)*N2</f>
        <v>#REF!</v>
      </c>
      <c r="L17" s="78" t="e">
        <f>IF(ISNUMBER(I17)=TRUE,I17*F17*D17,E17*F17*D17)*N2</f>
        <v>#REF!</v>
      </c>
      <c r="M17" s="78" t="e">
        <f>IF(ISNUMBER(J17)=TRUE,J17*F17*D17,E17*F17*D17)*N2</f>
        <v>#REF!</v>
      </c>
      <c r="N17" s="30"/>
      <c r="O17" s="30"/>
      <c r="Q17" s="6" t="s">
        <v>611</v>
      </c>
      <c r="R17" s="205">
        <v>0</v>
      </c>
      <c r="S17" s="231">
        <f>R17</f>
        <v>0</v>
      </c>
      <c r="T17" s="207">
        <f t="shared" si="0"/>
        <v>0</v>
      </c>
      <c r="U17" s="207"/>
      <c r="V17" s="207">
        <f>T17</f>
        <v>0</v>
      </c>
    </row>
    <row r="18" spans="1:32">
      <c r="A18" s="244"/>
      <c r="B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30"/>
      <c r="O18" s="30"/>
      <c r="Q18" s="220" t="s">
        <v>571</v>
      </c>
      <c r="R18" s="242">
        <v>0</v>
      </c>
      <c r="S18" s="242">
        <f>R18</f>
        <v>0</v>
      </c>
      <c r="T18" s="20">
        <f t="shared" si="0"/>
        <v>0</v>
      </c>
      <c r="U18" s="20"/>
      <c r="V18" s="20">
        <f>T18</f>
        <v>0</v>
      </c>
    </row>
    <row r="19" spans="1:32" ht="16.8" thickBot="1">
      <c r="Q19" s="6" t="s">
        <v>562</v>
      </c>
      <c r="R19" s="228"/>
      <c r="S19" s="228">
        <f>SUM(S11:S18)</f>
        <v>164982717.94700003</v>
      </c>
      <c r="T19" s="207">
        <f>SUM(T11:T18)</f>
        <v>0.99999999999999978</v>
      </c>
      <c r="U19" s="207">
        <f>SUM(U11:U18)</f>
        <v>0.33786101744854646</v>
      </c>
      <c r="V19" s="207">
        <f>SUM(V11:V18)</f>
        <v>0.66213898255145343</v>
      </c>
      <c r="W19" s="23">
        <f>U19+V19</f>
        <v>0.99999999999999989</v>
      </c>
    </row>
    <row r="20" spans="1:32" ht="16.8" thickBot="1">
      <c r="A20" s="67" t="s">
        <v>417</v>
      </c>
      <c r="B20" s="602" t="e">
        <f>SUM(A22:A526)</f>
        <v>#REF!</v>
      </c>
      <c r="G20" s="48"/>
      <c r="H20" s="48"/>
      <c r="I20" s="48"/>
      <c r="J20" s="48"/>
      <c r="K20" s="48"/>
      <c r="L20" s="48"/>
      <c r="M20" s="48"/>
      <c r="Q20" s="22"/>
      <c r="R20" s="22"/>
      <c r="S20" s="22"/>
      <c r="T20" s="22"/>
      <c r="U20" s="22"/>
      <c r="V20" s="22"/>
    </row>
    <row r="21" spans="1:32">
      <c r="A21" s="16" t="s">
        <v>292</v>
      </c>
      <c r="B21" s="17" t="s">
        <v>293</v>
      </c>
      <c r="C21" s="17" t="s">
        <v>221</v>
      </c>
      <c r="D21" s="17" t="s">
        <v>294</v>
      </c>
      <c r="E21" s="17" t="s">
        <v>295</v>
      </c>
      <c r="F21" s="17" t="s">
        <v>296</v>
      </c>
      <c r="G21" s="17" t="s">
        <v>297</v>
      </c>
      <c r="H21" s="17" t="s">
        <v>222</v>
      </c>
      <c r="I21" s="17" t="s">
        <v>298</v>
      </c>
      <c r="J21" s="17" t="s">
        <v>299</v>
      </c>
      <c r="K21" s="17" t="s">
        <v>300</v>
      </c>
      <c r="L21" s="17" t="s">
        <v>301</v>
      </c>
      <c r="M21" s="17" t="s">
        <v>302</v>
      </c>
      <c r="N21" s="212" t="s">
        <v>586</v>
      </c>
      <c r="O21" s="212" t="s">
        <v>587</v>
      </c>
    </row>
    <row r="22" spans="1:32" ht="16.8" thickBot="1">
      <c r="A22" s="24">
        <f>G22/$C$6</f>
        <v>2.9245232587395538E-2</v>
      </c>
      <c r="B22" s="25" t="s">
        <v>438</v>
      </c>
      <c r="C22" s="25" t="s">
        <v>2892</v>
      </c>
      <c r="D22" s="25">
        <v>50</v>
      </c>
      <c r="E22" s="173">
        <f>VLOOKUP($C22,元大DDE!$A:$AU,19,FALSE)</f>
        <v>3004</v>
      </c>
      <c r="F22" s="78">
        <v>30</v>
      </c>
      <c r="G22" s="65">
        <f>D22*E22*F22*$O$2</f>
        <v>135855900</v>
      </c>
      <c r="H22" s="173">
        <f>VLOOKUP($C22,元大DDE!$A:$AU,5,FALSE)</f>
        <v>3014.25</v>
      </c>
      <c r="I22" s="173">
        <f>VLOOKUP($C22,元大DDE!$A:$AU,13,FALSE)</f>
        <v>3014</v>
      </c>
      <c r="J22" s="173">
        <f>VLOOKUP($C22,元大DDE!$A:$AU,14,FALSE)</f>
        <v>3014.25</v>
      </c>
      <c r="K22" s="65" t="e">
        <f>IF(ISNUMBER(H22)=TRUE,H22*F22*D22,E22*F22*D22)*$N$2</f>
        <v>#REF!</v>
      </c>
      <c r="L22" s="65" t="e">
        <f>IF(ISNUMBER(I22)=TRUE,I22*F22*D22,E22*F22*D22)*$N$2</f>
        <v>#REF!</v>
      </c>
      <c r="M22" s="68" t="e">
        <f>IF(ISNUMBER(J22)=TRUE,J22*F22*D22,E22*F22*D22)*$N$2</f>
        <v>#REF!</v>
      </c>
      <c r="N22" s="63" t="e">
        <f>1.04%/365*(C14+SUM(K22:K24)-SUM(G22:G24))</f>
        <v>#REF!</v>
      </c>
      <c r="O22" s="64">
        <f>W40</f>
        <v>0.99153767403751214</v>
      </c>
      <c r="Q22" s="204" t="s">
        <v>667</v>
      </c>
      <c r="R22" s="49">
        <v>2560631796</v>
      </c>
      <c r="V22" s="22"/>
    </row>
    <row r="23" spans="1:32" s="106" customFormat="1" ht="16.8" thickBot="1">
      <c r="A23" s="24">
        <f t="shared" ref="A23:A86" si="1">G23/$C$6</f>
        <v>0</v>
      </c>
      <c r="B23" s="25" t="s">
        <v>439</v>
      </c>
      <c r="C23" s="25" t="s">
        <v>2893</v>
      </c>
      <c r="D23" s="59">
        <v>50</v>
      </c>
      <c r="E23" s="173">
        <f>VLOOKUP($C23,元大DDE!$A:$AU,19,FALSE)</f>
        <v>3006.25</v>
      </c>
      <c r="F23" s="78">
        <v>0</v>
      </c>
      <c r="G23" s="65">
        <f>D23*E23*F23*$O$2</f>
        <v>0</v>
      </c>
      <c r="H23" s="173">
        <f>VLOOKUP($C23,元大DDE!$A:$AU,5,FALSE)</f>
        <v>3016.75</v>
      </c>
      <c r="I23" s="173">
        <f>VLOOKUP($C23,元大DDE!$A:$AU,13,FALSE)</f>
        <v>3014.5</v>
      </c>
      <c r="J23" s="173">
        <f>VLOOKUP($C23,元大DDE!$A:$AU,14,FALSE)</f>
        <v>3020.25</v>
      </c>
      <c r="K23" s="65" t="e">
        <f t="shared" ref="K23:K86" si="2">IF(ISNUMBER(H23)=TRUE,H23*F23*D23,E23*F23*D23)*$N$2</f>
        <v>#REF!</v>
      </c>
      <c r="L23" s="65" t="e">
        <f t="shared" ref="L23:L86" si="3">IF(ISNUMBER(I23)=TRUE,I23*F23*D23,E23*F23*D23)*$N$2</f>
        <v>#REF!</v>
      </c>
      <c r="M23" s="68" t="e">
        <f t="shared" ref="M23:M86" si="4">IF(ISNUMBER(J23)=TRUE,J23*F23*D23,E23*F23*D23)*$N$2</f>
        <v>#REF!</v>
      </c>
      <c r="N23" s="240"/>
      <c r="O23" s="240"/>
      <c r="Q23" s="25" t="s">
        <v>552</v>
      </c>
      <c r="R23" s="25" t="s">
        <v>617</v>
      </c>
      <c r="S23" s="25" t="s">
        <v>578</v>
      </c>
      <c r="T23" s="25" t="s">
        <v>565</v>
      </c>
      <c r="U23" s="25" t="s">
        <v>566</v>
      </c>
      <c r="V23" s="25" t="s">
        <v>546</v>
      </c>
      <c r="W23" s="22"/>
      <c r="AC23" s="439" t="s">
        <v>2771</v>
      </c>
      <c r="AD23" s="439" t="s">
        <v>2772</v>
      </c>
      <c r="AE23" s="439" t="s">
        <v>2773</v>
      </c>
      <c r="AF23" s="439" t="s">
        <v>2774</v>
      </c>
    </row>
    <row r="24" spans="1:32" ht="18" customHeight="1" thickBot="1">
      <c r="A24" s="24" t="e">
        <f t="shared" si="1"/>
        <v>#REF!</v>
      </c>
      <c r="B24" s="243" t="str">
        <f>AD24</f>
        <v>AGILENT TECHNOLOGIES INC</v>
      </c>
      <c r="C24" s="25" t="str">
        <f>AC24</f>
        <v>A UN</v>
      </c>
      <c r="D24" s="25">
        <v>1</v>
      </c>
      <c r="E24" s="6" t="e">
        <f xml:space="preserve"> [2]!'A.US-PreClose'</f>
        <v>#REF!</v>
      </c>
      <c r="F24" s="78">
        <f>VLOOKUP($C24,$AC$24:$AF$550,4,FALSE)</f>
        <v>1837</v>
      </c>
      <c r="G24" s="49" t="e">
        <f>D24*E24*F24*$O$2</f>
        <v>#REF!</v>
      </c>
      <c r="H24" s="70" t="e">
        <f xml:space="preserve"> [2]!'A.US-Price'</f>
        <v>#REF!</v>
      </c>
      <c r="I24" s="70" t="e">
        <f xml:space="preserve"> [2]!'A.US-BestBid1'</f>
        <v>#REF!</v>
      </c>
      <c r="J24" s="70" t="e">
        <f xml:space="preserve"> [2]!'A.US-BestAsk1'</f>
        <v>#REF!</v>
      </c>
      <c r="K24" s="65" t="e">
        <f t="shared" si="2"/>
        <v>#REF!</v>
      </c>
      <c r="L24" s="65" t="e">
        <f t="shared" si="3"/>
        <v>#REF!</v>
      </c>
      <c r="M24" s="68" t="e">
        <f t="shared" si="4"/>
        <v>#REF!</v>
      </c>
      <c r="N24" s="240"/>
      <c r="O24" s="240"/>
      <c r="Q24" s="216" t="s">
        <v>548</v>
      </c>
      <c r="R24" s="217">
        <v>0</v>
      </c>
      <c r="S24" s="232"/>
      <c r="T24" s="218"/>
      <c r="U24" s="218"/>
      <c r="V24" s="218"/>
      <c r="W24" s="22" t="s">
        <v>650</v>
      </c>
      <c r="Y24" s="439" t="s">
        <v>626</v>
      </c>
      <c r="Z24" s="439" t="s">
        <v>2884</v>
      </c>
      <c r="AC24" s="440" t="s">
        <v>2894</v>
      </c>
      <c r="AD24" s="441" t="s">
        <v>669</v>
      </c>
      <c r="AE24" s="442">
        <v>0.09</v>
      </c>
      <c r="AF24" s="443">
        <v>1837</v>
      </c>
    </row>
    <row r="25" spans="1:32" ht="33" customHeight="1" thickBot="1">
      <c r="A25" s="24" t="e">
        <f t="shared" si="1"/>
        <v>#REF!</v>
      </c>
      <c r="B25" s="243" t="str">
        <f t="shared" ref="B25:B88" si="5">AD25</f>
        <v>AMERICAN AIRLINES GROUP INC</v>
      </c>
      <c r="C25" s="25" t="str">
        <f t="shared" ref="C25:C88" si="6">AC25</f>
        <v>AAL UQ</v>
      </c>
      <c r="D25" s="25">
        <v>1</v>
      </c>
      <c r="E25" s="6" t="e">
        <f xml:space="preserve"> [2]!'AAL.US-PreClose'</f>
        <v>#REF!</v>
      </c>
      <c r="F25" s="78">
        <f t="shared" ref="F25:F88" si="7">VLOOKUP($C25,$AC$24:$AF$550,4,FALSE)</f>
        <v>2301</v>
      </c>
      <c r="G25" s="49" t="e">
        <f t="shared" ref="G25:G88" si="8">D25*E25*F25*$O$2</f>
        <v>#REF!</v>
      </c>
      <c r="H25" s="6" t="e">
        <f xml:space="preserve"> [2]!'AAL.US-Price'</f>
        <v>#REF!</v>
      </c>
      <c r="I25" s="6" t="e">
        <f xml:space="preserve"> [2]!'AAL.US-BestBid1'</f>
        <v>#REF!</v>
      </c>
      <c r="J25" s="6" t="e">
        <f xml:space="preserve"> [2]!'AAL.US-BestAsk1'</f>
        <v>#REF!</v>
      </c>
      <c r="K25" s="65" t="e">
        <f t="shared" si="2"/>
        <v>#REF!</v>
      </c>
      <c r="L25" s="65" t="e">
        <f t="shared" si="3"/>
        <v>#REF!</v>
      </c>
      <c r="M25" s="68" t="e">
        <f t="shared" si="4"/>
        <v>#REF!</v>
      </c>
      <c r="Q25" s="219" t="s">
        <v>549</v>
      </c>
      <c r="R25" s="205">
        <f>Z25</f>
        <v>470197355</v>
      </c>
      <c r="S25" s="230">
        <f>R25</f>
        <v>470197355</v>
      </c>
      <c r="T25" s="206">
        <f t="shared" ref="T25:T33" si="9">S25/$S$34</f>
        <v>0.23441666968560748</v>
      </c>
      <c r="U25" s="206"/>
      <c r="V25" s="206">
        <f>T25</f>
        <v>0.23441666968560748</v>
      </c>
      <c r="W25" s="23">
        <f>U26+U28+U30+U32</f>
        <v>0.12657437145447797</v>
      </c>
      <c r="Y25" s="444" t="s">
        <v>2879</v>
      </c>
      <c r="Z25" s="594">
        <v>470197355</v>
      </c>
      <c r="AC25" s="444" t="s">
        <v>2895</v>
      </c>
      <c r="AD25" s="445" t="s">
        <v>670</v>
      </c>
      <c r="AE25" s="446">
        <v>0.05</v>
      </c>
      <c r="AF25" s="447">
        <v>2301</v>
      </c>
    </row>
    <row r="26" spans="1:32" ht="33" customHeight="1" thickBot="1">
      <c r="A26" s="24" t="e">
        <f t="shared" si="1"/>
        <v>#REF!</v>
      </c>
      <c r="B26" s="243" t="str">
        <f t="shared" si="5"/>
        <v>ADVANCE AUTO PARTS INC</v>
      </c>
      <c r="C26" s="25" t="str">
        <f t="shared" si="6"/>
        <v>AAP UN</v>
      </c>
      <c r="D26" s="25">
        <v>1</v>
      </c>
      <c r="E26" s="6" t="e">
        <f xml:space="preserve"> [2]!'AAP.US-PreClose'</f>
        <v>#REF!</v>
      </c>
      <c r="F26" s="78">
        <f t="shared" si="7"/>
        <v>417</v>
      </c>
      <c r="G26" s="49" t="e">
        <f t="shared" si="8"/>
        <v>#REF!</v>
      </c>
      <c r="H26" s="6" t="e">
        <f xml:space="preserve"> [2]!'AAP.US-Price'</f>
        <v>#REF!</v>
      </c>
      <c r="I26" s="6" t="e">
        <f xml:space="preserve"> [2]!'AAP.US-BestBid1'</f>
        <v>#REF!</v>
      </c>
      <c r="J26" s="6" t="e">
        <f xml:space="preserve"> [2]!'AAP.US-BestAsk1'</f>
        <v>#REF!</v>
      </c>
      <c r="K26" s="65" t="e">
        <f t="shared" si="2"/>
        <v>#REF!</v>
      </c>
      <c r="L26" s="65" t="e">
        <f t="shared" si="3"/>
        <v>#REF!</v>
      </c>
      <c r="M26" s="68" t="e">
        <f t="shared" si="4"/>
        <v>#REF!</v>
      </c>
      <c r="Q26" s="219" t="s">
        <v>569</v>
      </c>
      <c r="R26" s="205">
        <f>Z26</f>
        <v>8047898.6200000001</v>
      </c>
      <c r="S26" s="230">
        <f>R26*O2</f>
        <v>242644143.39300001</v>
      </c>
      <c r="T26" s="206">
        <f t="shared" si="9"/>
        <v>0.12097012330684859</v>
      </c>
      <c r="U26" s="206">
        <f>T26</f>
        <v>0.12097012330684859</v>
      </c>
      <c r="V26" s="206"/>
      <c r="Y26" s="444" t="s">
        <v>2879</v>
      </c>
      <c r="Z26" s="594">
        <v>8047898.6200000001</v>
      </c>
      <c r="AC26" s="440" t="s">
        <v>2896</v>
      </c>
      <c r="AD26" s="441" t="s">
        <v>671</v>
      </c>
      <c r="AE26" s="442">
        <v>0.04</v>
      </c>
      <c r="AF26" s="442">
        <v>417</v>
      </c>
    </row>
    <row r="27" spans="1:32" ht="16.8" thickBot="1">
      <c r="A27" s="24" t="e">
        <f t="shared" si="1"/>
        <v>#REF!</v>
      </c>
      <c r="B27" s="243" t="str">
        <f t="shared" si="5"/>
        <v>APPLE INC</v>
      </c>
      <c r="C27" s="25" t="str">
        <f t="shared" si="6"/>
        <v>AAPL UQ</v>
      </c>
      <c r="D27" s="25">
        <v>1</v>
      </c>
      <c r="E27" s="6" t="e">
        <f xml:space="preserve"> [2]!'AAPL.US-PreClose'</f>
        <v>#REF!</v>
      </c>
      <c r="F27" s="78">
        <f t="shared" si="7"/>
        <v>25406</v>
      </c>
      <c r="G27" s="49" t="e">
        <f t="shared" si="8"/>
        <v>#REF!</v>
      </c>
      <c r="H27" s="6" t="e">
        <f xml:space="preserve"> [2]!'AAPL.US-Price'</f>
        <v>#REF!</v>
      </c>
      <c r="I27" s="6" t="e">
        <f xml:space="preserve"> [2]!'AAPL.US-BestBid1'</f>
        <v>#REF!</v>
      </c>
      <c r="J27" s="6" t="e">
        <f xml:space="preserve"> [2]!'AAPL.US-BestAsk1'</f>
        <v>#REF!</v>
      </c>
      <c r="K27" s="65" t="e">
        <f t="shared" si="2"/>
        <v>#REF!</v>
      </c>
      <c r="L27" s="65" t="e">
        <f t="shared" si="3"/>
        <v>#REF!</v>
      </c>
      <c r="M27" s="68" t="e">
        <f t="shared" si="4"/>
        <v>#REF!</v>
      </c>
      <c r="Q27" s="6" t="s">
        <v>570</v>
      </c>
      <c r="R27" s="205">
        <f>Z27</f>
        <v>811910685</v>
      </c>
      <c r="S27" s="230">
        <f>R27</f>
        <v>811910685</v>
      </c>
      <c r="T27" s="206">
        <f t="shared" si="9"/>
        <v>0.40477768927445434</v>
      </c>
      <c r="U27" s="207"/>
      <c r="V27" s="207">
        <f>T27</f>
        <v>0.40477768927445434</v>
      </c>
      <c r="Y27" s="444" t="s">
        <v>2880</v>
      </c>
      <c r="Z27" s="594">
        <v>811910685</v>
      </c>
      <c r="AC27" s="444" t="s">
        <v>2897</v>
      </c>
      <c r="AD27" s="445" t="s">
        <v>672</v>
      </c>
      <c r="AE27" s="446">
        <v>3.42</v>
      </c>
      <c r="AF27" s="447">
        <v>25406</v>
      </c>
    </row>
    <row r="28" spans="1:32" ht="16.8" thickBot="1">
      <c r="A28" s="24" t="e">
        <f t="shared" si="1"/>
        <v>#VALUE!</v>
      </c>
      <c r="B28" s="243" t="str">
        <f t="shared" si="5"/>
        <v>ABBVIE INC</v>
      </c>
      <c r="C28" s="25" t="str">
        <f t="shared" si="6"/>
        <v>ABBV UN</v>
      </c>
      <c r="D28" s="25">
        <v>1</v>
      </c>
      <c r="E28" s="6" t="str">
        <f xml:space="preserve"> [2]!'ABBV.US-PreClose'</f>
        <v>N/A</v>
      </c>
      <c r="F28" s="78">
        <f t="shared" si="7"/>
        <v>8593</v>
      </c>
      <c r="G28" s="49" t="e">
        <f t="shared" si="8"/>
        <v>#VALUE!</v>
      </c>
      <c r="H28" s="6" t="str">
        <f xml:space="preserve"> [2]!'ABBV.US-Price'</f>
        <v>N/A</v>
      </c>
      <c r="I28" s="6" t="str">
        <f xml:space="preserve"> [2]!'ABBV.US-BestBid1'</f>
        <v>N/A</v>
      </c>
      <c r="J28" s="6" t="str">
        <f xml:space="preserve"> [2]!'ABBV.US-BestAsk1'</f>
        <v>N/A</v>
      </c>
      <c r="K28" s="65" t="e">
        <f t="shared" si="2"/>
        <v>#VALUE!</v>
      </c>
      <c r="L28" s="65" t="e">
        <f t="shared" si="3"/>
        <v>#VALUE!</v>
      </c>
      <c r="M28" s="68" t="e">
        <f t="shared" si="4"/>
        <v>#VALUE!</v>
      </c>
      <c r="Q28" s="6" t="s">
        <v>558</v>
      </c>
      <c r="R28" s="205">
        <f>Z28</f>
        <v>372839.34</v>
      </c>
      <c r="S28" s="231">
        <f>R28*O2</f>
        <v>11241106.101</v>
      </c>
      <c r="T28" s="206">
        <f t="shared" si="9"/>
        <v>5.6042481476293801E-3</v>
      </c>
      <c r="U28" s="207">
        <f>T28</f>
        <v>5.6042481476293801E-3</v>
      </c>
      <c r="V28" s="207"/>
      <c r="Y28" s="444" t="s">
        <v>2880</v>
      </c>
      <c r="Z28" s="594">
        <v>372839.34</v>
      </c>
      <c r="AC28" s="440" t="s">
        <v>2898</v>
      </c>
      <c r="AD28" s="441" t="s">
        <v>673</v>
      </c>
      <c r="AE28" s="442">
        <v>0.41</v>
      </c>
      <c r="AF28" s="443">
        <v>8593</v>
      </c>
    </row>
    <row r="29" spans="1:32" ht="33" customHeight="1" thickBot="1">
      <c r="A29" s="24" t="e">
        <f t="shared" si="1"/>
        <v>#REF!</v>
      </c>
      <c r="B29" s="243" t="str">
        <f t="shared" si="5"/>
        <v>AMERISOURCEBERGEN CORP</v>
      </c>
      <c r="C29" s="25" t="str">
        <f t="shared" si="6"/>
        <v>ABC UN</v>
      </c>
      <c r="D29" s="25">
        <v>1</v>
      </c>
      <c r="E29" s="6" t="e">
        <f xml:space="preserve"> [2]!'ABC.US-PreClose'</f>
        <v>#REF!</v>
      </c>
      <c r="F29" s="78">
        <f t="shared" si="7"/>
        <v>904</v>
      </c>
      <c r="G29" s="49" t="e">
        <f t="shared" si="8"/>
        <v>#REF!</v>
      </c>
      <c r="H29" s="6" t="e">
        <f xml:space="preserve"> [2]!'ABC.US-Price'</f>
        <v>#REF!</v>
      </c>
      <c r="I29" s="6" t="e">
        <f xml:space="preserve"> [2]!'ABC.US-BestBid1'</f>
        <v>#REF!</v>
      </c>
      <c r="J29" s="6" t="e">
        <f xml:space="preserve"> [2]!'ABC.US-BestAsk1'</f>
        <v>#REF!</v>
      </c>
      <c r="K29" s="65" t="e">
        <f t="shared" si="2"/>
        <v>#REF!</v>
      </c>
      <c r="L29" s="65" t="e">
        <f t="shared" si="3"/>
        <v>#REF!</v>
      </c>
      <c r="M29" s="68" t="e">
        <f t="shared" si="4"/>
        <v>#REF!</v>
      </c>
      <c r="Q29" s="6" t="s">
        <v>613</v>
      </c>
      <c r="R29" s="205">
        <f>Z29</f>
        <v>500000000</v>
      </c>
      <c r="S29" s="231">
        <f>R29</f>
        <v>500000000</v>
      </c>
      <c r="T29" s="206">
        <f t="shared" si="9"/>
        <v>0.24927476430147877</v>
      </c>
      <c r="U29" s="207"/>
      <c r="V29" s="207">
        <f>T29</f>
        <v>0.24927476430147877</v>
      </c>
      <c r="Y29" s="444" t="s">
        <v>2881</v>
      </c>
      <c r="Z29" s="594">
        <v>500000000</v>
      </c>
      <c r="AC29" s="444" t="s">
        <v>2899</v>
      </c>
      <c r="AD29" s="445" t="s">
        <v>674</v>
      </c>
      <c r="AE29" s="446">
        <v>0.05</v>
      </c>
      <c r="AF29" s="446">
        <v>904</v>
      </c>
    </row>
    <row r="30" spans="1:32" ht="16.8" thickBot="1">
      <c r="A30" s="24" t="e">
        <f t="shared" si="1"/>
        <v>#REF!</v>
      </c>
      <c r="B30" s="243" t="str">
        <f t="shared" si="5"/>
        <v>ABIOMED INC</v>
      </c>
      <c r="C30" s="25" t="str">
        <f t="shared" si="6"/>
        <v>ABMD UQ</v>
      </c>
      <c r="D30" s="25">
        <v>1</v>
      </c>
      <c r="E30" s="6" t="e">
        <f xml:space="preserve"> [2]!'ABT.US-PreClose'</f>
        <v>#REF!</v>
      </c>
      <c r="F30" s="78">
        <f t="shared" si="7"/>
        <v>262</v>
      </c>
      <c r="G30" s="49" t="e">
        <f t="shared" si="8"/>
        <v>#REF!</v>
      </c>
      <c r="H30" s="6" t="e">
        <f xml:space="preserve"> [2]!'ABT.US-Price'</f>
        <v>#REF!</v>
      </c>
      <c r="I30" s="6" t="e">
        <f xml:space="preserve"> [2]!'ABT.US-BestBid1'</f>
        <v>#REF!</v>
      </c>
      <c r="J30" s="6" t="e">
        <f xml:space="preserve"> [2]!'ABT.US-BestAsk1'</f>
        <v>#REF!</v>
      </c>
      <c r="K30" s="65" t="e">
        <f t="shared" si="2"/>
        <v>#REF!</v>
      </c>
      <c r="L30" s="65" t="e">
        <f t="shared" si="3"/>
        <v>#REF!</v>
      </c>
      <c r="M30" s="68" t="e">
        <f t="shared" si="4"/>
        <v>#REF!</v>
      </c>
      <c r="Q30" s="6" t="s">
        <v>614</v>
      </c>
      <c r="R30" s="205">
        <v>0</v>
      </c>
      <c r="S30" s="231">
        <f>R30*O2</f>
        <v>0</v>
      </c>
      <c r="T30" s="206">
        <f t="shared" si="9"/>
        <v>0</v>
      </c>
      <c r="U30" s="207">
        <f>T30</f>
        <v>0</v>
      </c>
      <c r="V30" s="207"/>
      <c r="AC30" s="440" t="s">
        <v>2900</v>
      </c>
      <c r="AD30" s="441" t="s">
        <v>2901</v>
      </c>
      <c r="AE30" s="442">
        <v>0.05</v>
      </c>
      <c r="AF30" s="442">
        <v>262</v>
      </c>
    </row>
    <row r="31" spans="1:32" ht="33" thickBot="1">
      <c r="A31" s="24" t="e">
        <f t="shared" si="1"/>
        <v>#REF!</v>
      </c>
      <c r="B31" s="243" t="str">
        <f t="shared" si="5"/>
        <v>ABBOTT LABORATORIES</v>
      </c>
      <c r="C31" s="25" t="str">
        <f t="shared" si="6"/>
        <v>ABT UN</v>
      </c>
      <c r="D31" s="25">
        <v>1</v>
      </c>
      <c r="E31" s="6" t="e">
        <f xml:space="preserve"> [2]!'ACN.US-PreClose'</f>
        <v>#REF!</v>
      </c>
      <c r="F31" s="78">
        <f t="shared" si="7"/>
        <v>10254</v>
      </c>
      <c r="G31" s="49" t="e">
        <f t="shared" si="8"/>
        <v>#REF!</v>
      </c>
      <c r="H31" s="6" t="e">
        <f xml:space="preserve"> [2]!'ACN.US-Price'</f>
        <v>#REF!</v>
      </c>
      <c r="I31" s="6" t="e">
        <f xml:space="preserve"> [2]!'ACN.US-BestBid1'</f>
        <v>#REF!</v>
      </c>
      <c r="J31" s="6" t="e">
        <f xml:space="preserve"> [2]!'ACN.US-BestAsk1'</f>
        <v>#REF!</v>
      </c>
      <c r="K31" s="65" t="e">
        <f t="shared" si="2"/>
        <v>#REF!</v>
      </c>
      <c r="L31" s="65" t="e">
        <f t="shared" si="3"/>
        <v>#REF!</v>
      </c>
      <c r="M31" s="68" t="e">
        <f t="shared" si="4"/>
        <v>#REF!</v>
      </c>
      <c r="Q31" s="6" t="s">
        <v>611</v>
      </c>
      <c r="R31" s="205">
        <v>0</v>
      </c>
      <c r="S31" s="231">
        <f>R31</f>
        <v>0</v>
      </c>
      <c r="T31" s="206">
        <f t="shared" si="9"/>
        <v>0</v>
      </c>
      <c r="U31" s="207"/>
      <c r="V31" s="207">
        <f>T31</f>
        <v>0</v>
      </c>
      <c r="AC31" s="444" t="s">
        <v>2902</v>
      </c>
      <c r="AD31" s="445" t="s">
        <v>675</v>
      </c>
      <c r="AE31" s="446">
        <v>0.59</v>
      </c>
      <c r="AF31" s="447">
        <v>10254</v>
      </c>
    </row>
    <row r="32" spans="1:32" ht="22.2" thickBot="1">
      <c r="A32" s="24" t="e">
        <f t="shared" si="1"/>
        <v>#REF!</v>
      </c>
      <c r="B32" s="243" t="str">
        <f t="shared" si="5"/>
        <v>ACCENTURE PLC-CL A</v>
      </c>
      <c r="C32" s="25" t="str">
        <f t="shared" si="6"/>
        <v>ACN UN</v>
      </c>
      <c r="D32" s="25">
        <v>1</v>
      </c>
      <c r="E32" s="6" t="e">
        <f xml:space="preserve"> [2]!'ADBE.US-PreClose'</f>
        <v>#REF!</v>
      </c>
      <c r="F32" s="78">
        <f t="shared" si="7"/>
        <v>3707</v>
      </c>
      <c r="G32" s="49" t="e">
        <f t="shared" si="8"/>
        <v>#REF!</v>
      </c>
      <c r="H32" s="6" t="e">
        <f xml:space="preserve"> [2]!'ADBE.US-Price'</f>
        <v>#REF!</v>
      </c>
      <c r="I32" s="6" t="e">
        <f xml:space="preserve"> [2]!'ADBE.US-BestBid1'</f>
        <v>#REF!</v>
      </c>
      <c r="J32" s="6" t="e">
        <f xml:space="preserve"> [2]!'ADBE.US-BestAsk1'</f>
        <v>#REF!</v>
      </c>
      <c r="K32" s="65" t="e">
        <f t="shared" si="2"/>
        <v>#REF!</v>
      </c>
      <c r="L32" s="65" t="e">
        <f t="shared" si="3"/>
        <v>#REF!</v>
      </c>
      <c r="M32" s="68" t="e">
        <f t="shared" si="4"/>
        <v>#REF!</v>
      </c>
      <c r="Q32" s="6" t="s">
        <v>612</v>
      </c>
      <c r="R32" s="205">
        <v>0</v>
      </c>
      <c r="S32" s="205">
        <f>R32*O2</f>
        <v>0</v>
      </c>
      <c r="T32" s="206">
        <f t="shared" si="9"/>
        <v>0</v>
      </c>
      <c r="U32" s="207">
        <f>T32</f>
        <v>0</v>
      </c>
      <c r="V32" s="207"/>
      <c r="AC32" s="440" t="s">
        <v>2903</v>
      </c>
      <c r="AD32" s="441" t="s">
        <v>676</v>
      </c>
      <c r="AE32" s="442">
        <v>0.48</v>
      </c>
      <c r="AF32" s="443">
        <v>3707</v>
      </c>
    </row>
    <row r="33" spans="1:32" ht="16.8" thickBot="1">
      <c r="A33" s="24" t="e">
        <f t="shared" si="1"/>
        <v>#REF!</v>
      </c>
      <c r="B33" s="243" t="str">
        <f t="shared" si="5"/>
        <v>ADOBE INC</v>
      </c>
      <c r="C33" s="25" t="str">
        <f t="shared" si="6"/>
        <v>ADBE UQ</v>
      </c>
      <c r="D33" s="25">
        <v>1</v>
      </c>
      <c r="E33" s="6" t="e">
        <f xml:space="preserve"> [2]!'ADI.US-PreClose'</f>
        <v>#REF!</v>
      </c>
      <c r="F33" s="78">
        <f t="shared" si="7"/>
        <v>2836</v>
      </c>
      <c r="G33" s="49" t="e">
        <f t="shared" si="8"/>
        <v>#REF!</v>
      </c>
      <c r="H33" s="6" t="e">
        <f xml:space="preserve"> [2]!'ADI.US-Price'</f>
        <v>#REF!</v>
      </c>
      <c r="I33" s="6" t="e">
        <f xml:space="preserve"> [2]!'ADI.US-BestBid1'</f>
        <v>#REF!</v>
      </c>
      <c r="J33" s="6" t="e">
        <f xml:space="preserve"> [2]!'ADI.US-BestAsk1'</f>
        <v>#REF!</v>
      </c>
      <c r="K33" s="65" t="e">
        <f t="shared" si="2"/>
        <v>#REF!</v>
      </c>
      <c r="L33" s="65" t="e">
        <f t="shared" si="3"/>
        <v>#REF!</v>
      </c>
      <c r="M33" s="68" t="e">
        <f t="shared" si="4"/>
        <v>#REF!</v>
      </c>
      <c r="Q33" s="220" t="s">
        <v>571</v>
      </c>
      <c r="R33" s="205">
        <v>-30174524</v>
      </c>
      <c r="S33" s="205">
        <f>R33</f>
        <v>-30174524</v>
      </c>
      <c r="T33" s="206">
        <f t="shared" si="9"/>
        <v>-1.5043494716018629E-2</v>
      </c>
      <c r="U33" s="207"/>
      <c r="V33" s="207">
        <f>T33</f>
        <v>-1.5043494716018629E-2</v>
      </c>
      <c r="AC33" s="444" t="s">
        <v>2904</v>
      </c>
      <c r="AD33" s="445" t="s">
        <v>2905</v>
      </c>
      <c r="AE33" s="446">
        <v>0.57999999999999996</v>
      </c>
      <c r="AF33" s="447">
        <v>2836</v>
      </c>
    </row>
    <row r="34" spans="1:32" ht="33" thickBot="1">
      <c r="A34" s="24" t="e">
        <f t="shared" si="1"/>
        <v>#VALUE!</v>
      </c>
      <c r="B34" s="243" t="str">
        <f t="shared" si="5"/>
        <v>ANALOG DEVICES INC</v>
      </c>
      <c r="C34" s="25" t="str">
        <f t="shared" si="6"/>
        <v>ADI UQ</v>
      </c>
      <c r="D34" s="25">
        <v>1</v>
      </c>
      <c r="E34" s="6" t="str">
        <f xml:space="preserve"> [2]!'ADM.US-PreClose'</f>
        <v>N/A</v>
      </c>
      <c r="F34" s="78">
        <f t="shared" si="7"/>
        <v>2149</v>
      </c>
      <c r="G34" s="49" t="e">
        <f t="shared" si="8"/>
        <v>#VALUE!</v>
      </c>
      <c r="H34" s="6" t="str">
        <f xml:space="preserve"> [2]!'ADM.US-Price'</f>
        <v>N/A</v>
      </c>
      <c r="I34" s="6" t="str">
        <f xml:space="preserve"> [2]!'ADM.US-BestBid1'</f>
        <v>N/A</v>
      </c>
      <c r="J34" s="6" t="str">
        <f xml:space="preserve"> [2]!'ADM.US-BestAsk1'</f>
        <v>N/A</v>
      </c>
      <c r="K34" s="65" t="e">
        <f t="shared" si="2"/>
        <v>#VALUE!</v>
      </c>
      <c r="L34" s="65" t="e">
        <f t="shared" si="3"/>
        <v>#VALUE!</v>
      </c>
      <c r="M34" s="68" t="e">
        <f t="shared" si="4"/>
        <v>#VALUE!</v>
      </c>
      <c r="Q34" s="6" t="s">
        <v>562</v>
      </c>
      <c r="R34" s="228"/>
      <c r="S34" s="228">
        <f>SUM(S25:S33)</f>
        <v>2005818765.4940002</v>
      </c>
      <c r="T34" s="227">
        <f>SUM(T25:T33)</f>
        <v>1</v>
      </c>
      <c r="U34" s="207">
        <f>SUM(U25:U33)</f>
        <v>0.12657437145447797</v>
      </c>
      <c r="V34" s="207">
        <f>SUM(V25:V33)</f>
        <v>0.87342562854552197</v>
      </c>
      <c r="W34" s="23">
        <f>U34+V34</f>
        <v>1</v>
      </c>
      <c r="AC34" s="440" t="s">
        <v>2906</v>
      </c>
      <c r="AD34" s="441" t="s">
        <v>677</v>
      </c>
      <c r="AE34" s="442">
        <v>0.16</v>
      </c>
      <c r="AF34" s="443">
        <v>2149</v>
      </c>
    </row>
    <row r="35" spans="1:32" ht="43.8" thickBot="1">
      <c r="A35" s="24" t="e">
        <f t="shared" si="1"/>
        <v>#REF!</v>
      </c>
      <c r="B35" s="243" t="str">
        <f t="shared" si="5"/>
        <v>ARCHER-DANIELS-MIDLAND CO</v>
      </c>
      <c r="C35" s="25" t="str">
        <f t="shared" si="6"/>
        <v>ADM UN</v>
      </c>
      <c r="D35" s="25">
        <v>1</v>
      </c>
      <c r="E35" s="6" t="e">
        <f xml:space="preserve"> [2]!'ADP.US-PreClose'</f>
        <v>#REF!</v>
      </c>
      <c r="F35" s="78">
        <f t="shared" si="7"/>
        <v>3256</v>
      </c>
      <c r="G35" s="49" t="e">
        <f t="shared" si="8"/>
        <v>#REF!</v>
      </c>
      <c r="H35" s="6" t="e">
        <f xml:space="preserve"> [2]!'ADP.US-Price'</f>
        <v>#REF!</v>
      </c>
      <c r="I35" s="6" t="e">
        <f xml:space="preserve"> [2]!'ADP.US-BestBid1'</f>
        <v>#REF!</v>
      </c>
      <c r="J35" s="6" t="e">
        <f xml:space="preserve"> [2]!'ADP.US-BestAsk1'</f>
        <v>#REF!</v>
      </c>
      <c r="K35" s="65" t="e">
        <f t="shared" si="2"/>
        <v>#REF!</v>
      </c>
      <c r="L35" s="65" t="e">
        <f t="shared" si="3"/>
        <v>#REF!</v>
      </c>
      <c r="M35" s="68" t="e">
        <f t="shared" si="4"/>
        <v>#REF!</v>
      </c>
      <c r="AC35" s="444" t="s">
        <v>2907</v>
      </c>
      <c r="AD35" s="445" t="s">
        <v>678</v>
      </c>
      <c r="AE35" s="446">
        <v>0.09</v>
      </c>
      <c r="AF35" s="447">
        <v>3256</v>
      </c>
    </row>
    <row r="36" spans="1:32" ht="43.8" thickBot="1">
      <c r="A36" s="24" t="e">
        <f t="shared" si="1"/>
        <v>#REF!</v>
      </c>
      <c r="B36" s="243" t="str">
        <f t="shared" si="5"/>
        <v>AUTOMATIC DATA PROCESSING</v>
      </c>
      <c r="C36" s="25" t="str">
        <f t="shared" si="6"/>
        <v>ADP UQ</v>
      </c>
      <c r="D36" s="25">
        <v>1</v>
      </c>
      <c r="E36" s="6" t="e">
        <f xml:space="preserve"> [2]!'ADS.US-PreClose'</f>
        <v>#REF!</v>
      </c>
      <c r="F36" s="78">
        <f t="shared" si="7"/>
        <v>2530</v>
      </c>
      <c r="G36" s="49" t="e">
        <f t="shared" si="8"/>
        <v>#REF!</v>
      </c>
      <c r="H36" s="6" t="e">
        <f xml:space="preserve"> [2]!'ADS.US-Price'</f>
        <v>#REF!</v>
      </c>
      <c r="I36" s="6" t="e">
        <f xml:space="preserve"> [2]!'ADS.US-BestBid1'</f>
        <v>#REF!</v>
      </c>
      <c r="J36" s="6" t="e">
        <f xml:space="preserve"> [2]!'ADS.US-BestAsk1'</f>
        <v>#REF!</v>
      </c>
      <c r="K36" s="65" t="e">
        <f t="shared" si="2"/>
        <v>#REF!</v>
      </c>
      <c r="L36" s="65" t="e">
        <f t="shared" si="3"/>
        <v>#REF!</v>
      </c>
      <c r="M36" s="68" t="e">
        <f t="shared" si="4"/>
        <v>#REF!</v>
      </c>
      <c r="AC36" s="440" t="s">
        <v>2908</v>
      </c>
      <c r="AD36" s="441" t="s">
        <v>679</v>
      </c>
      <c r="AE36" s="442">
        <v>0.28000000000000003</v>
      </c>
      <c r="AF36" s="443">
        <v>2530</v>
      </c>
    </row>
    <row r="37" spans="1:32" ht="43.8" thickBot="1">
      <c r="A37" s="24" t="e">
        <f t="shared" si="1"/>
        <v>#REF!</v>
      </c>
      <c r="B37" s="243" t="str">
        <f t="shared" si="5"/>
        <v>ALLIANCE DATA SYSTEMS CORP</v>
      </c>
      <c r="C37" s="25" t="str">
        <f t="shared" si="6"/>
        <v>ADS UN</v>
      </c>
      <c r="D37" s="25">
        <v>1</v>
      </c>
      <c r="E37" s="6" t="e">
        <f xml:space="preserve"> [2]!'ADSK.US-PreClose'</f>
        <v>#REF!</v>
      </c>
      <c r="F37" s="78">
        <f t="shared" si="7"/>
        <v>262</v>
      </c>
      <c r="G37" s="49" t="e">
        <f t="shared" si="8"/>
        <v>#REF!</v>
      </c>
      <c r="H37" s="6" t="e">
        <f xml:space="preserve"> [2]!'ADSK.US-Price'</f>
        <v>#REF!</v>
      </c>
      <c r="I37" s="6" t="e">
        <f xml:space="preserve"> [2]!'ADSK.US-BestBid1'</f>
        <v>#REF!</v>
      </c>
      <c r="J37" s="6" t="e">
        <f xml:space="preserve"> [2]!'ADSK.US-BestAsk1'</f>
        <v>#REF!</v>
      </c>
      <c r="K37" s="65" t="e">
        <f t="shared" si="2"/>
        <v>#REF!</v>
      </c>
      <c r="L37" s="65" t="e">
        <f t="shared" si="3"/>
        <v>#REF!</v>
      </c>
      <c r="M37" s="68" t="e">
        <f t="shared" si="4"/>
        <v>#REF!</v>
      </c>
      <c r="Q37" s="204" t="s">
        <v>665</v>
      </c>
      <c r="R37" s="49">
        <v>2894725430</v>
      </c>
      <c r="V37" s="22"/>
      <c r="AC37" s="444" t="s">
        <v>2909</v>
      </c>
      <c r="AD37" s="445" t="s">
        <v>680</v>
      </c>
      <c r="AE37" s="446">
        <v>0.03</v>
      </c>
      <c r="AF37" s="446">
        <v>262</v>
      </c>
    </row>
    <row r="38" spans="1:32" ht="16.8" thickBot="1">
      <c r="A38" s="24" t="e">
        <f t="shared" si="1"/>
        <v>#REF!</v>
      </c>
      <c r="B38" s="243" t="str">
        <f t="shared" si="5"/>
        <v>AUTODESK INC</v>
      </c>
      <c r="C38" s="25" t="str">
        <f t="shared" si="6"/>
        <v>ADSK UQ</v>
      </c>
      <c r="D38" s="25">
        <v>1</v>
      </c>
      <c r="E38" s="6" t="e">
        <f xml:space="preserve"> [2]!'AEE.US-PreClose'</f>
        <v>#REF!</v>
      </c>
      <c r="F38" s="78">
        <f t="shared" si="7"/>
        <v>1277</v>
      </c>
      <c r="G38" s="49" t="e">
        <f t="shared" si="8"/>
        <v>#REF!</v>
      </c>
      <c r="H38" s="6" t="e">
        <f xml:space="preserve"> [2]!'AEE.US-Price'</f>
        <v>#REF!</v>
      </c>
      <c r="I38" s="6" t="e">
        <f xml:space="preserve"> [2]!'AEE.US-BestBid1'</f>
        <v>#REF!</v>
      </c>
      <c r="J38" s="6" t="e">
        <f xml:space="preserve"> [2]!'AEE.US-BestAsk1'</f>
        <v>#REF!</v>
      </c>
      <c r="K38" s="65" t="e">
        <f t="shared" si="2"/>
        <v>#REF!</v>
      </c>
      <c r="L38" s="65" t="e">
        <f t="shared" si="3"/>
        <v>#REF!</v>
      </c>
      <c r="M38" s="68" t="e">
        <f t="shared" si="4"/>
        <v>#REF!</v>
      </c>
      <c r="Q38" s="25" t="s">
        <v>572</v>
      </c>
      <c r="R38" s="25" t="s">
        <v>616</v>
      </c>
      <c r="S38" s="25" t="s">
        <v>564</v>
      </c>
      <c r="T38" s="25" t="s">
        <v>565</v>
      </c>
      <c r="U38" s="25" t="s">
        <v>651</v>
      </c>
      <c r="V38" s="25" t="s">
        <v>546</v>
      </c>
      <c r="AC38" s="440" t="s">
        <v>2910</v>
      </c>
      <c r="AD38" s="441" t="s">
        <v>681</v>
      </c>
      <c r="AE38" s="442">
        <v>0.15</v>
      </c>
      <c r="AF38" s="443">
        <v>1277</v>
      </c>
    </row>
    <row r="39" spans="1:32" ht="16.8" thickBot="1">
      <c r="A39" s="24" t="e">
        <f t="shared" si="1"/>
        <v>#REF!</v>
      </c>
      <c r="B39" s="243" t="str">
        <f t="shared" si="5"/>
        <v>AMEREN CORPORATION</v>
      </c>
      <c r="C39" s="25" t="str">
        <f t="shared" si="6"/>
        <v>AEE UN</v>
      </c>
      <c r="D39" s="25">
        <v>1</v>
      </c>
      <c r="E39" s="6" t="e">
        <f xml:space="preserve"> [2]!'AEP.US-PreClose'</f>
        <v>#REF!</v>
      </c>
      <c r="F39" s="78">
        <f t="shared" si="7"/>
        <v>1428</v>
      </c>
      <c r="G39" s="49" t="e">
        <f t="shared" si="8"/>
        <v>#REF!</v>
      </c>
      <c r="H39" s="6" t="e">
        <f xml:space="preserve"> [2]!'AEP.US-Price'</f>
        <v>#REF!</v>
      </c>
      <c r="I39" s="6" t="e">
        <f xml:space="preserve"> [2]!'AEP.US-BestBid1'</f>
        <v>#REF!</v>
      </c>
      <c r="J39" s="6" t="e">
        <f xml:space="preserve"> [2]!'AEP.US-BestAsk1'</f>
        <v>#REF!</v>
      </c>
      <c r="K39" s="65" t="e">
        <f t="shared" si="2"/>
        <v>#REF!</v>
      </c>
      <c r="L39" s="65" t="e">
        <f t="shared" si="3"/>
        <v>#REF!</v>
      </c>
      <c r="M39" s="68" t="e">
        <f t="shared" si="4"/>
        <v>#REF!</v>
      </c>
      <c r="Q39" s="216" t="s">
        <v>547</v>
      </c>
      <c r="R39" s="217">
        <v>0</v>
      </c>
      <c r="S39" s="232"/>
      <c r="T39" s="218"/>
      <c r="U39" s="218"/>
      <c r="V39" s="218"/>
      <c r="W39" s="22" t="s">
        <v>650</v>
      </c>
      <c r="Y39" s="439" t="s">
        <v>626</v>
      </c>
      <c r="Z39" s="439" t="s">
        <v>2884</v>
      </c>
      <c r="AC39" s="444" t="s">
        <v>2911</v>
      </c>
      <c r="AD39" s="445" t="s">
        <v>682</v>
      </c>
      <c r="AE39" s="446">
        <v>7.0000000000000007E-2</v>
      </c>
      <c r="AF39" s="447">
        <v>1428</v>
      </c>
    </row>
    <row r="40" spans="1:32" ht="16.8" thickBot="1">
      <c r="A40" s="24" t="e">
        <f t="shared" si="1"/>
        <v>#REF!</v>
      </c>
      <c r="B40" s="243" t="str">
        <f t="shared" si="5"/>
        <v>AMERICAN ELECTRIC POWER</v>
      </c>
      <c r="C40" s="25" t="str">
        <f t="shared" si="6"/>
        <v>AEP UN</v>
      </c>
      <c r="D40" s="25">
        <v>1</v>
      </c>
      <c r="E40" s="6" t="e">
        <f xml:space="preserve"> [2]!'AES.US-PreClose'</f>
        <v>#REF!</v>
      </c>
      <c r="F40" s="78">
        <f t="shared" si="7"/>
        <v>2868</v>
      </c>
      <c r="G40" s="49" t="e">
        <f t="shared" si="8"/>
        <v>#REF!</v>
      </c>
      <c r="H40" s="6" t="e">
        <f xml:space="preserve"> [2]!'AES.US-Price'</f>
        <v>#REF!</v>
      </c>
      <c r="I40" s="6" t="e">
        <f xml:space="preserve"> [2]!'AES.US-BestBid1'</f>
        <v>#REF!</v>
      </c>
      <c r="J40" s="6" t="e">
        <f xml:space="preserve"> [2]!'AES.US-BestAsk1'</f>
        <v>#REF!</v>
      </c>
      <c r="K40" s="65" t="e">
        <f t="shared" si="2"/>
        <v>#REF!</v>
      </c>
      <c r="L40" s="65" t="e">
        <f t="shared" si="3"/>
        <v>#REF!</v>
      </c>
      <c r="M40" s="68" t="e">
        <f t="shared" si="4"/>
        <v>#REF!</v>
      </c>
      <c r="Q40" s="219" t="s">
        <v>557</v>
      </c>
      <c r="R40" s="205">
        <f>Z40</f>
        <v>44229</v>
      </c>
      <c r="S40" s="230">
        <f>R40</f>
        <v>44229</v>
      </c>
      <c r="T40" s="206">
        <f t="shared" ref="T40:T49" si="10">S40/$S$50</f>
        <v>9.0325114961224188E-6</v>
      </c>
      <c r="U40" s="206"/>
      <c r="V40" s="206">
        <f>T40</f>
        <v>9.0325114961224188E-6</v>
      </c>
      <c r="W40" s="23">
        <f>U41+U43+U45+U47+U48</f>
        <v>0.99153767403751214</v>
      </c>
      <c r="Y40" s="444" t="s">
        <v>2879</v>
      </c>
      <c r="Z40" s="594">
        <v>44229</v>
      </c>
      <c r="AC40" s="440" t="s">
        <v>2912</v>
      </c>
      <c r="AD40" s="441" t="s">
        <v>683</v>
      </c>
      <c r="AE40" s="442">
        <v>0.17</v>
      </c>
      <c r="AF40" s="443">
        <v>2868</v>
      </c>
    </row>
    <row r="41" spans="1:32" ht="16.8" thickBot="1">
      <c r="A41" s="24" t="e">
        <f t="shared" si="1"/>
        <v>#REF!</v>
      </c>
      <c r="B41" s="243" t="str">
        <f t="shared" si="5"/>
        <v>AES CORP</v>
      </c>
      <c r="C41" s="25" t="str">
        <f t="shared" si="6"/>
        <v>AES UN</v>
      </c>
      <c r="D41" s="25">
        <v>1</v>
      </c>
      <c r="E41" s="6" t="e">
        <f xml:space="preserve"> [2]!'AET.US-PreClose'</f>
        <v>#REF!</v>
      </c>
      <c r="F41" s="78">
        <f t="shared" si="7"/>
        <v>3858</v>
      </c>
      <c r="G41" s="49" t="e">
        <f t="shared" si="8"/>
        <v>#REF!</v>
      </c>
      <c r="H41" s="6" t="e">
        <f xml:space="preserve"> [2]!'AET.US-Price'</f>
        <v>#REF!</v>
      </c>
      <c r="I41" s="6" t="e">
        <f xml:space="preserve"> [2]!'AET.US-BestBid1'</f>
        <v>#REF!</v>
      </c>
      <c r="J41" s="6" t="e">
        <f xml:space="preserve"> [2]!'AET.US-BestAsk1'</f>
        <v>#REF!</v>
      </c>
      <c r="K41" s="65" t="e">
        <f t="shared" si="2"/>
        <v>#REF!</v>
      </c>
      <c r="L41" s="65" t="e">
        <f t="shared" si="3"/>
        <v>#REF!</v>
      </c>
      <c r="M41" s="68" t="e">
        <f t="shared" si="4"/>
        <v>#REF!</v>
      </c>
      <c r="Q41" s="219" t="s">
        <v>569</v>
      </c>
      <c r="R41" s="205">
        <f>Z41</f>
        <v>1345901.14</v>
      </c>
      <c r="S41" s="230">
        <f>R41*O2</f>
        <v>40578919.370999992</v>
      </c>
      <c r="T41" s="206">
        <f t="shared" si="10"/>
        <v>8.2870866562387152E-3</v>
      </c>
      <c r="U41" s="206">
        <f>T41</f>
        <v>8.2870866562387152E-3</v>
      </c>
      <c r="V41" s="206"/>
      <c r="Y41" s="444" t="s">
        <v>2879</v>
      </c>
      <c r="Z41" s="594">
        <v>1345901.14</v>
      </c>
      <c r="AC41" s="444" t="s">
        <v>2913</v>
      </c>
      <c r="AD41" s="445" t="s">
        <v>684</v>
      </c>
      <c r="AE41" s="446">
        <v>0.04</v>
      </c>
      <c r="AF41" s="447">
        <v>3858</v>
      </c>
    </row>
    <row r="42" spans="1:32" ht="16.8" thickBot="1">
      <c r="A42" s="24" t="e">
        <f t="shared" si="1"/>
        <v>#REF!</v>
      </c>
      <c r="B42" s="243" t="str">
        <f t="shared" si="5"/>
        <v>AFLAC INC</v>
      </c>
      <c r="C42" s="25" t="str">
        <f t="shared" si="6"/>
        <v>AFL UN</v>
      </c>
      <c r="D42" s="25">
        <v>1</v>
      </c>
      <c r="E42" s="6" t="e">
        <f xml:space="preserve"> [2]!'AFL.US-PreClose'</f>
        <v>#REF!</v>
      </c>
      <c r="F42" s="78">
        <f t="shared" si="7"/>
        <v>4333</v>
      </c>
      <c r="G42" s="49" t="e">
        <f t="shared" si="8"/>
        <v>#REF!</v>
      </c>
      <c r="H42" s="6" t="e">
        <f xml:space="preserve"> [2]!'AFL.US-Price'</f>
        <v>#REF!</v>
      </c>
      <c r="I42" s="6" t="e">
        <f xml:space="preserve"> [2]!'AFL.US-BestBid1'</f>
        <v>#REF!</v>
      </c>
      <c r="J42" s="6" t="e">
        <f xml:space="preserve"> [2]!'AFL.US-BestAsk1'</f>
        <v>#REF!</v>
      </c>
      <c r="K42" s="65" t="e">
        <f t="shared" si="2"/>
        <v>#REF!</v>
      </c>
      <c r="L42" s="65" t="e">
        <f t="shared" si="3"/>
        <v>#REF!</v>
      </c>
      <c r="M42" s="68" t="e">
        <f t="shared" si="4"/>
        <v>#REF!</v>
      </c>
      <c r="Q42" s="6" t="s">
        <v>550</v>
      </c>
      <c r="R42" s="205">
        <f>Z42</f>
        <v>41392775</v>
      </c>
      <c r="S42" s="230">
        <f>R42</f>
        <v>41392775</v>
      </c>
      <c r="T42" s="206">
        <f t="shared" si="10"/>
        <v>8.4532934509916266E-3</v>
      </c>
      <c r="U42" s="207"/>
      <c r="V42" s="207">
        <f>T42</f>
        <v>8.4532934509916266E-3</v>
      </c>
      <c r="Y42" s="444" t="s">
        <v>2880</v>
      </c>
      <c r="Z42" s="594">
        <v>41392775</v>
      </c>
      <c r="AC42" s="440" t="s">
        <v>2914</v>
      </c>
      <c r="AD42" s="441" t="s">
        <v>685</v>
      </c>
      <c r="AE42" s="442">
        <v>0.16</v>
      </c>
      <c r="AF42" s="443">
        <v>4333</v>
      </c>
    </row>
    <row r="43" spans="1:32" ht="16.8" thickBot="1">
      <c r="A43" s="24" t="e">
        <f t="shared" si="1"/>
        <v>#REF!</v>
      </c>
      <c r="B43" s="243" t="str">
        <f t="shared" si="5"/>
        <v>ALLERGAN PLC</v>
      </c>
      <c r="C43" s="25" t="str">
        <f t="shared" si="6"/>
        <v>AGN UN</v>
      </c>
      <c r="D43" s="25">
        <v>1</v>
      </c>
      <c r="E43" s="6" t="e">
        <f xml:space="preserve"> [2]!'AGN.US-PreClose'</f>
        <v>#REF!</v>
      </c>
      <c r="F43" s="78">
        <f t="shared" si="7"/>
        <v>1791</v>
      </c>
      <c r="G43" s="49" t="e">
        <f t="shared" si="8"/>
        <v>#REF!</v>
      </c>
      <c r="H43" s="6" t="e">
        <f xml:space="preserve"> [2]!'AGN.US-Price'</f>
        <v>#REF!</v>
      </c>
      <c r="I43" s="6" t="e">
        <f xml:space="preserve"> [2]!'AGN.US-BestBid1'</f>
        <v>#REF!</v>
      </c>
      <c r="J43" s="6" t="e">
        <f xml:space="preserve"> [2]!'AGN.US-BestAsk1'</f>
        <v>#REF!</v>
      </c>
      <c r="K43" s="65" t="e">
        <f t="shared" si="2"/>
        <v>#REF!</v>
      </c>
      <c r="L43" s="65" t="e">
        <f t="shared" si="3"/>
        <v>#REF!</v>
      </c>
      <c r="M43" s="68" t="e">
        <f t="shared" si="4"/>
        <v>#REF!</v>
      </c>
      <c r="Q43" s="6" t="s">
        <v>579</v>
      </c>
      <c r="R43" s="205">
        <f>Z43</f>
        <v>11098609.220000001</v>
      </c>
      <c r="S43" s="231">
        <f>R43*O2</f>
        <v>334623067.98299998</v>
      </c>
      <c r="T43" s="206">
        <f t="shared" si="10"/>
        <v>6.8337215592127368E-2</v>
      </c>
      <c r="U43" s="207">
        <f>T43</f>
        <v>6.8337215592127368E-2</v>
      </c>
      <c r="V43" s="207"/>
      <c r="Y43" s="444" t="s">
        <v>2880</v>
      </c>
      <c r="Z43" s="594">
        <v>11098609.220000001</v>
      </c>
      <c r="AC43" s="444" t="s">
        <v>2915</v>
      </c>
      <c r="AD43" s="445" t="s">
        <v>686</v>
      </c>
      <c r="AE43" s="446">
        <v>0.2</v>
      </c>
      <c r="AF43" s="447">
        <v>1791</v>
      </c>
    </row>
    <row r="44" spans="1:32" ht="22.2" thickBot="1">
      <c r="A44" s="24" t="e">
        <f t="shared" si="1"/>
        <v>#REF!</v>
      </c>
      <c r="B44" s="243" t="str">
        <f t="shared" si="5"/>
        <v>AMERICAN INTERNATIONAL GROUP</v>
      </c>
      <c r="C44" s="25" t="str">
        <f t="shared" si="6"/>
        <v>AIG UN</v>
      </c>
      <c r="D44" s="25">
        <v>1</v>
      </c>
      <c r="E44" s="6" t="e">
        <f xml:space="preserve"> [2]!'AIG.US-PreClose'</f>
        <v>#REF!</v>
      </c>
      <c r="F44" s="78">
        <f t="shared" si="7"/>
        <v>5055</v>
      </c>
      <c r="G44" s="49" t="e">
        <f t="shared" si="8"/>
        <v>#REF!</v>
      </c>
      <c r="H44" s="6" t="e">
        <f xml:space="preserve"> [2]!'AIG.US-Price'</f>
        <v>#REF!</v>
      </c>
      <c r="I44" s="6" t="e">
        <f xml:space="preserve"> [2]!'AIG.US-BestBid1'</f>
        <v>#REF!</v>
      </c>
      <c r="J44" s="6" t="e">
        <f xml:space="preserve"> [2]!'AIG.US-BestAsk1'</f>
        <v>#REF!</v>
      </c>
      <c r="K44" s="65" t="e">
        <f t="shared" si="2"/>
        <v>#REF!</v>
      </c>
      <c r="L44" s="65" t="e">
        <f t="shared" si="3"/>
        <v>#REF!</v>
      </c>
      <c r="M44" s="68" t="e">
        <f t="shared" si="4"/>
        <v>#REF!</v>
      </c>
      <c r="Q44" s="6" t="s">
        <v>613</v>
      </c>
      <c r="R44" s="205">
        <v>0</v>
      </c>
      <c r="S44" s="231">
        <f>R44</f>
        <v>0</v>
      </c>
      <c r="T44" s="206">
        <f t="shared" si="10"/>
        <v>0</v>
      </c>
      <c r="U44" s="207"/>
      <c r="V44" s="207">
        <f>T44</f>
        <v>0</v>
      </c>
      <c r="AC44" s="440" t="s">
        <v>2916</v>
      </c>
      <c r="AD44" s="441" t="s">
        <v>687</v>
      </c>
      <c r="AE44" s="442">
        <v>0.19</v>
      </c>
      <c r="AF44" s="443">
        <v>5055</v>
      </c>
    </row>
    <row r="45" spans="1:32" ht="43.8" thickBot="1">
      <c r="A45" s="24" t="e">
        <f t="shared" si="1"/>
        <v>#REF!</v>
      </c>
      <c r="B45" s="243" t="str">
        <f t="shared" si="5"/>
        <v>APARTMENT INVT &amp; MGMT CO -A</v>
      </c>
      <c r="C45" s="25" t="str">
        <f t="shared" si="6"/>
        <v>AIV UN</v>
      </c>
      <c r="D45" s="25">
        <v>1</v>
      </c>
      <c r="E45" s="6" t="e">
        <f xml:space="preserve"> [2]!'AIV.US-PreClose'</f>
        <v>#REF!</v>
      </c>
      <c r="F45" s="78">
        <f t="shared" si="7"/>
        <v>865</v>
      </c>
      <c r="G45" s="49" t="e">
        <f t="shared" si="8"/>
        <v>#REF!</v>
      </c>
      <c r="H45" s="6" t="e">
        <f xml:space="preserve"> [2]!'AIV.US-Price'</f>
        <v>#REF!</v>
      </c>
      <c r="I45" s="6" t="e">
        <f xml:space="preserve"> [2]!'AIV.US-BestBid1'</f>
        <v>#REF!</v>
      </c>
      <c r="J45" s="6" t="e">
        <f xml:space="preserve"> [2]!'AIV.US-BestAsk1'</f>
        <v>#REF!</v>
      </c>
      <c r="K45" s="65" t="e">
        <f t="shared" si="2"/>
        <v>#REF!</v>
      </c>
      <c r="L45" s="65" t="e">
        <f t="shared" si="3"/>
        <v>#REF!</v>
      </c>
      <c r="M45" s="68" t="e">
        <f t="shared" si="4"/>
        <v>#REF!</v>
      </c>
      <c r="Q45" s="6" t="s">
        <v>614</v>
      </c>
      <c r="R45" s="205">
        <v>0</v>
      </c>
      <c r="S45" s="231">
        <f>R45*O2</f>
        <v>0</v>
      </c>
      <c r="T45" s="206">
        <f t="shared" si="10"/>
        <v>0</v>
      </c>
      <c r="U45" s="207">
        <f>T45</f>
        <v>0</v>
      </c>
      <c r="V45" s="207"/>
      <c r="AC45" s="444" t="s">
        <v>2917</v>
      </c>
      <c r="AD45" s="445" t="s">
        <v>688</v>
      </c>
      <c r="AE45" s="446">
        <v>0.03</v>
      </c>
      <c r="AF45" s="446">
        <v>865</v>
      </c>
    </row>
    <row r="46" spans="1:32" ht="22.2" thickBot="1">
      <c r="A46" s="24" t="e">
        <f t="shared" si="1"/>
        <v>#REF!</v>
      </c>
      <c r="B46" s="243" t="str">
        <f t="shared" si="5"/>
        <v>ASSURANT INC</v>
      </c>
      <c r="C46" s="25" t="str">
        <f t="shared" si="6"/>
        <v>AIZ UN</v>
      </c>
      <c r="D46" s="25">
        <v>1</v>
      </c>
      <c r="E46" s="6" t="e">
        <f xml:space="preserve"> [2]!'AIZ.US-PreClose'</f>
        <v>#REF!</v>
      </c>
      <c r="F46" s="78">
        <f t="shared" si="7"/>
        <v>357</v>
      </c>
      <c r="G46" s="49" t="e">
        <f t="shared" si="8"/>
        <v>#REF!</v>
      </c>
      <c r="H46" s="6" t="e">
        <f xml:space="preserve"> [2]!'AIZ.US-Price'</f>
        <v>#REF!</v>
      </c>
      <c r="I46" s="6" t="e">
        <f xml:space="preserve"> [2]!'AIZ.US-BestBid1'</f>
        <v>#REF!</v>
      </c>
      <c r="J46" s="6" t="e">
        <f xml:space="preserve"> [2]!'AIZ.US-BestAsk1'</f>
        <v>#REF!</v>
      </c>
      <c r="K46" s="65" t="e">
        <f t="shared" si="2"/>
        <v>#REF!</v>
      </c>
      <c r="L46" s="65" t="e">
        <f t="shared" si="3"/>
        <v>#REF!</v>
      </c>
      <c r="M46" s="68" t="e">
        <f t="shared" si="4"/>
        <v>#REF!</v>
      </c>
      <c r="Q46" s="6" t="s">
        <v>611</v>
      </c>
      <c r="R46" s="205">
        <v>0</v>
      </c>
      <c r="S46" s="231">
        <f>R46</f>
        <v>0</v>
      </c>
      <c r="T46" s="206">
        <f t="shared" si="10"/>
        <v>0</v>
      </c>
      <c r="U46" s="207"/>
      <c r="V46" s="207">
        <f>T46</f>
        <v>0</v>
      </c>
      <c r="AC46" s="440" t="s">
        <v>2918</v>
      </c>
      <c r="AD46" s="441" t="s">
        <v>689</v>
      </c>
      <c r="AE46" s="442">
        <v>0.03</v>
      </c>
      <c r="AF46" s="442">
        <v>357</v>
      </c>
    </row>
    <row r="47" spans="1:32" ht="33" thickBot="1">
      <c r="A47" s="24" t="e">
        <f t="shared" si="1"/>
        <v>#REF!</v>
      </c>
      <c r="B47" s="243" t="str">
        <f t="shared" si="5"/>
        <v>ARTHUR J GALLAGHER &amp; CO</v>
      </c>
      <c r="C47" s="25" t="str">
        <f t="shared" si="6"/>
        <v>AJG UN</v>
      </c>
      <c r="D47" s="25">
        <v>1</v>
      </c>
      <c r="E47" s="6" t="e">
        <f xml:space="preserve"> [2]!'AJG.US-PreClose'</f>
        <v>#REF!</v>
      </c>
      <c r="F47" s="78">
        <f t="shared" si="7"/>
        <v>1077</v>
      </c>
      <c r="G47" s="49" t="e">
        <f t="shared" si="8"/>
        <v>#REF!</v>
      </c>
      <c r="H47" s="6" t="e">
        <f xml:space="preserve"> [2]!'AJG.US-Price'</f>
        <v>#REF!</v>
      </c>
      <c r="I47" s="6" t="e">
        <f xml:space="preserve"> [2]!'AJG.US-BestBid1'</f>
        <v>#REF!</v>
      </c>
      <c r="J47" s="6" t="e">
        <f xml:space="preserve"> [2]!'AJG.US-BestAsk1'</f>
        <v>#REF!</v>
      </c>
      <c r="K47" s="65" t="e">
        <f t="shared" si="2"/>
        <v>#REF!</v>
      </c>
      <c r="L47" s="65" t="e">
        <f t="shared" si="3"/>
        <v>#REF!</v>
      </c>
      <c r="M47" s="68" t="e">
        <f t="shared" si="4"/>
        <v>#REF!</v>
      </c>
      <c r="Q47" s="6" t="s">
        <v>612</v>
      </c>
      <c r="R47" s="205">
        <v>0</v>
      </c>
      <c r="S47" s="205">
        <f>R47*O2</f>
        <v>0</v>
      </c>
      <c r="T47" s="206">
        <f t="shared" si="10"/>
        <v>0</v>
      </c>
      <c r="U47" s="207">
        <f>T47</f>
        <v>0</v>
      </c>
      <c r="V47" s="207"/>
      <c r="AC47" s="444" t="s">
        <v>2919</v>
      </c>
      <c r="AD47" s="445" t="s">
        <v>690</v>
      </c>
      <c r="AE47" s="446">
        <v>7.0000000000000007E-2</v>
      </c>
      <c r="AF47" s="447">
        <v>1077</v>
      </c>
    </row>
    <row r="48" spans="1:32" ht="33" thickBot="1">
      <c r="A48" s="24" t="e">
        <f t="shared" si="1"/>
        <v>#REF!</v>
      </c>
      <c r="B48" s="243" t="str">
        <f t="shared" si="5"/>
        <v>AKAMAI TECHNOLOGIES INC</v>
      </c>
      <c r="C48" s="25" t="str">
        <f t="shared" si="6"/>
        <v>AKAM UQ</v>
      </c>
      <c r="D48" s="25">
        <v>1</v>
      </c>
      <c r="E48" s="6" t="e">
        <f xml:space="preserve"> [2]!'AKAM.US-PreClose'</f>
        <v>#REF!</v>
      </c>
      <c r="F48" s="78">
        <f t="shared" si="7"/>
        <v>954</v>
      </c>
      <c r="G48" s="49" t="e">
        <f t="shared" si="8"/>
        <v>#REF!</v>
      </c>
      <c r="H48" s="6" t="e">
        <f xml:space="preserve"> [2]!'AKAM.US-Price'</f>
        <v>#REF!</v>
      </c>
      <c r="I48" s="6" t="e">
        <f xml:space="preserve"> [2]!'AKAM.US-BestBid1'</f>
        <v>#REF!</v>
      </c>
      <c r="J48" s="6" t="e">
        <f xml:space="preserve"> [2]!'AKAM.US-BestAsk1'</f>
        <v>#REF!</v>
      </c>
      <c r="K48" s="65" t="e">
        <f t="shared" si="2"/>
        <v>#REF!</v>
      </c>
      <c r="L48" s="65" t="e">
        <f t="shared" si="3"/>
        <v>#REF!</v>
      </c>
      <c r="M48" s="68" t="e">
        <f t="shared" si="4"/>
        <v>#REF!</v>
      </c>
      <c r="Q48" s="6" t="s">
        <v>668</v>
      </c>
      <c r="R48" s="205">
        <f>S48/O2</f>
        <v>148590572.43781096</v>
      </c>
      <c r="S48" s="205">
        <v>4480005759</v>
      </c>
      <c r="T48" s="206">
        <f t="shared" si="10"/>
        <v>0.91491337178914611</v>
      </c>
      <c r="U48" s="207">
        <f>T48</f>
        <v>0.91491337178914611</v>
      </c>
      <c r="V48" s="207"/>
      <c r="AC48" s="440" t="s">
        <v>2920</v>
      </c>
      <c r="AD48" s="441" t="s">
        <v>691</v>
      </c>
      <c r="AE48" s="442">
        <v>0.05</v>
      </c>
      <c r="AF48" s="442">
        <v>954</v>
      </c>
    </row>
    <row r="49" spans="1:32" ht="22.2" thickBot="1">
      <c r="A49" s="24" t="e">
        <f t="shared" si="1"/>
        <v>#REF!</v>
      </c>
      <c r="B49" s="243" t="str">
        <f t="shared" si="5"/>
        <v>ALBEMARLE CORP</v>
      </c>
      <c r="C49" s="25" t="str">
        <f t="shared" si="6"/>
        <v>ALB UN</v>
      </c>
      <c r="D49" s="25">
        <v>1</v>
      </c>
      <c r="E49" s="6" t="e">
        <f xml:space="preserve"> [2]!'ALB.US-PreClose'</f>
        <v>#REF!</v>
      </c>
      <c r="F49" s="78">
        <f t="shared" si="7"/>
        <v>616</v>
      </c>
      <c r="G49" s="49" t="e">
        <f t="shared" si="8"/>
        <v>#REF!</v>
      </c>
      <c r="H49" s="6" t="e">
        <f xml:space="preserve"> [2]!'ALB.US-Price'</f>
        <v>#REF!</v>
      </c>
      <c r="I49" s="6" t="e">
        <f xml:space="preserve"> [2]!'ALB.US-BestBid1'</f>
        <v>#REF!</v>
      </c>
      <c r="J49" s="6" t="e">
        <f xml:space="preserve"> [2]!'ALB.US-BestAsk1'</f>
        <v>#REF!</v>
      </c>
      <c r="K49" s="65" t="e">
        <f t="shared" si="2"/>
        <v>#REF!</v>
      </c>
      <c r="L49" s="65" t="e">
        <f t="shared" si="3"/>
        <v>#REF!</v>
      </c>
      <c r="M49" s="68" t="e">
        <f t="shared" si="4"/>
        <v>#REF!</v>
      </c>
      <c r="Q49" s="220" t="s">
        <v>561</v>
      </c>
      <c r="R49" s="205">
        <v>0</v>
      </c>
      <c r="S49" s="205">
        <f>R49</f>
        <v>0</v>
      </c>
      <c r="T49" s="206">
        <f t="shared" si="10"/>
        <v>0</v>
      </c>
      <c r="U49" s="207"/>
      <c r="V49" s="207">
        <f>T49</f>
        <v>0</v>
      </c>
      <c r="AC49" s="444" t="s">
        <v>2921</v>
      </c>
      <c r="AD49" s="445" t="s">
        <v>692</v>
      </c>
      <c r="AE49" s="446">
        <v>0.03</v>
      </c>
      <c r="AF49" s="446">
        <v>616</v>
      </c>
    </row>
    <row r="50" spans="1:32" ht="33" thickBot="1">
      <c r="A50" s="24" t="e">
        <f t="shared" si="1"/>
        <v>#REF!</v>
      </c>
      <c r="B50" s="243" t="str">
        <f t="shared" si="5"/>
        <v>ALIGN TECHNOLOGY INC</v>
      </c>
      <c r="C50" s="25" t="str">
        <f t="shared" si="6"/>
        <v>ALGN UQ</v>
      </c>
      <c r="D50" s="25">
        <v>1</v>
      </c>
      <c r="E50" s="6" t="e">
        <f xml:space="preserve"> [2]!'ALGN.US-PreClose'</f>
        <v>#REF!</v>
      </c>
      <c r="F50" s="78">
        <f t="shared" si="7"/>
        <v>423</v>
      </c>
      <c r="G50" s="49" t="e">
        <f t="shared" si="8"/>
        <v>#REF!</v>
      </c>
      <c r="H50" s="6" t="e">
        <f xml:space="preserve"> [2]!'ALGN.US-Price'</f>
        <v>#REF!</v>
      </c>
      <c r="I50" s="6" t="e">
        <f xml:space="preserve"> [2]!'ALGN.US-BestBid1'</f>
        <v>#REF!</v>
      </c>
      <c r="J50" s="6" t="e">
        <f xml:space="preserve"> [2]!'ALGN.US-BestAsk1'</f>
        <v>#REF!</v>
      </c>
      <c r="K50" s="65" t="e">
        <f t="shared" si="2"/>
        <v>#REF!</v>
      </c>
      <c r="L50" s="65" t="e">
        <f t="shared" si="3"/>
        <v>#REF!</v>
      </c>
      <c r="M50" s="68" t="e">
        <f t="shared" si="4"/>
        <v>#REF!</v>
      </c>
      <c r="Q50" s="6" t="s">
        <v>551</v>
      </c>
      <c r="R50" s="228"/>
      <c r="S50" s="228">
        <f>SUM(S40:S49)</f>
        <v>4896644750.3540001</v>
      </c>
      <c r="T50" s="206">
        <f>SUM(T40:T49)</f>
        <v>1</v>
      </c>
      <c r="U50" s="207">
        <f>SUM(U40:U49)</f>
        <v>0.99153767403751214</v>
      </c>
      <c r="V50" s="207">
        <f>SUM(V40:V49)</f>
        <v>8.4623259624877489E-3</v>
      </c>
      <c r="W50" s="23">
        <f>U50+V50</f>
        <v>0.99999999999999989</v>
      </c>
      <c r="AC50" s="440" t="s">
        <v>2922</v>
      </c>
      <c r="AD50" s="441" t="s">
        <v>693</v>
      </c>
      <c r="AE50" s="442">
        <v>0.08</v>
      </c>
      <c r="AF50" s="442">
        <v>423</v>
      </c>
    </row>
    <row r="51" spans="1:32" ht="22.2" thickBot="1">
      <c r="A51" s="24" t="e">
        <f t="shared" si="1"/>
        <v>#REF!</v>
      </c>
      <c r="B51" s="243" t="str">
        <f t="shared" si="5"/>
        <v>ALASKA AIR GROUP INC</v>
      </c>
      <c r="C51" s="25" t="str">
        <f t="shared" si="6"/>
        <v>ALK UN</v>
      </c>
      <c r="D51" s="25">
        <v>1</v>
      </c>
      <c r="E51" s="6" t="e">
        <f xml:space="preserve"> [2]!'ALK.US-PreClose'</f>
        <v>#REF!</v>
      </c>
      <c r="F51" s="78">
        <f t="shared" si="7"/>
        <v>718</v>
      </c>
      <c r="G51" s="49" t="e">
        <f t="shared" si="8"/>
        <v>#REF!</v>
      </c>
      <c r="H51" s="6" t="e">
        <f xml:space="preserve"> [2]!'ALK.US-Price'</f>
        <v>#REF!</v>
      </c>
      <c r="I51" s="6" t="e">
        <f xml:space="preserve"> [2]!'ALK.US-BestBid1'</f>
        <v>#REF!</v>
      </c>
      <c r="J51" s="6" t="e">
        <f xml:space="preserve"> [2]!'ALK.US-BestAsk1'</f>
        <v>#REF!</v>
      </c>
      <c r="K51" s="65" t="e">
        <f t="shared" si="2"/>
        <v>#REF!</v>
      </c>
      <c r="L51" s="65" t="e">
        <f t="shared" si="3"/>
        <v>#REF!</v>
      </c>
      <c r="M51" s="68" t="e">
        <f t="shared" si="4"/>
        <v>#REF!</v>
      </c>
      <c r="AC51" s="444" t="s">
        <v>2923</v>
      </c>
      <c r="AD51" s="445" t="s">
        <v>694</v>
      </c>
      <c r="AE51" s="446">
        <v>0.03</v>
      </c>
      <c r="AF51" s="446">
        <v>718</v>
      </c>
    </row>
    <row r="52" spans="1:32" ht="22.2" thickBot="1">
      <c r="A52" s="24" t="e">
        <f t="shared" si="1"/>
        <v>#REF!</v>
      </c>
      <c r="B52" s="243" t="str">
        <f t="shared" si="5"/>
        <v>ALLSTATE CORP</v>
      </c>
      <c r="C52" s="25" t="str">
        <f t="shared" si="6"/>
        <v>ALL UN</v>
      </c>
      <c r="D52" s="25">
        <v>1</v>
      </c>
      <c r="E52" s="6" t="e">
        <f xml:space="preserve"> [2]!'ALL.US-PreClose'</f>
        <v>#REF!</v>
      </c>
      <c r="F52" s="78">
        <f t="shared" si="7"/>
        <v>1936</v>
      </c>
      <c r="G52" s="49" t="e">
        <f t="shared" si="8"/>
        <v>#REF!</v>
      </c>
      <c r="H52" s="6" t="e">
        <f xml:space="preserve"> [2]!'ALL.US-Price'</f>
        <v>#REF!</v>
      </c>
      <c r="I52" s="6" t="e">
        <f xml:space="preserve"> [2]!'ALL.US-BestBid1'</f>
        <v>#REF!</v>
      </c>
      <c r="J52" s="6" t="e">
        <f xml:space="preserve"> [2]!'ALL.US-BestAsk1'</f>
        <v>#REF!</v>
      </c>
      <c r="K52" s="65" t="e">
        <f t="shared" si="2"/>
        <v>#REF!</v>
      </c>
      <c r="L52" s="65" t="e">
        <f t="shared" si="3"/>
        <v>#REF!</v>
      </c>
      <c r="M52" s="68" t="e">
        <f t="shared" si="4"/>
        <v>#REF!</v>
      </c>
      <c r="AC52" s="440" t="s">
        <v>2924</v>
      </c>
      <c r="AD52" s="441" t="s">
        <v>695</v>
      </c>
      <c r="AE52" s="442">
        <v>0.13</v>
      </c>
      <c r="AF52" s="443">
        <v>1936</v>
      </c>
    </row>
    <row r="53" spans="1:32" ht="22.2" thickBot="1">
      <c r="A53" s="24" t="e">
        <f t="shared" si="1"/>
        <v>#REF!</v>
      </c>
      <c r="B53" s="243" t="str">
        <f t="shared" si="5"/>
        <v>ALLEGION PLC</v>
      </c>
      <c r="C53" s="25" t="str">
        <f t="shared" si="6"/>
        <v>ALLE UN</v>
      </c>
      <c r="D53" s="25">
        <v>1</v>
      </c>
      <c r="E53" s="6" t="e">
        <f xml:space="preserve"> [2]!'ALLE.US-PreClose'</f>
        <v>#REF!</v>
      </c>
      <c r="F53" s="78">
        <f t="shared" si="7"/>
        <v>546</v>
      </c>
      <c r="G53" s="49" t="e">
        <f t="shared" si="8"/>
        <v>#REF!</v>
      </c>
      <c r="H53" s="6" t="e">
        <f xml:space="preserve"> [2]!'ALLE.US-Price'</f>
        <v>#REF!</v>
      </c>
      <c r="I53" s="6" t="e">
        <f xml:space="preserve"> [2]!'ALLE.US-BestBid1'</f>
        <v>#REF!</v>
      </c>
      <c r="J53" s="6" t="e">
        <f xml:space="preserve"> [2]!'ALLE.US-BestAsk1'</f>
        <v>#REF!</v>
      </c>
      <c r="K53" s="65" t="e">
        <f t="shared" si="2"/>
        <v>#REF!</v>
      </c>
      <c r="L53" s="65" t="e">
        <f t="shared" si="3"/>
        <v>#REF!</v>
      </c>
      <c r="M53" s="68" t="e">
        <f t="shared" si="4"/>
        <v>#REF!</v>
      </c>
      <c r="AC53" s="444" t="s">
        <v>2925</v>
      </c>
      <c r="AD53" s="445" t="s">
        <v>696</v>
      </c>
      <c r="AE53" s="446">
        <v>0.04</v>
      </c>
      <c r="AF53" s="446">
        <v>546</v>
      </c>
    </row>
    <row r="54" spans="1:32" ht="43.8" thickBot="1">
      <c r="A54" s="24" t="e">
        <f t="shared" si="1"/>
        <v>#REF!</v>
      </c>
      <c r="B54" s="243" t="str">
        <f t="shared" si="5"/>
        <v>ALEXION PHARMACEUTICALS INC</v>
      </c>
      <c r="C54" s="25" t="str">
        <f t="shared" si="6"/>
        <v>ALXN UQ</v>
      </c>
      <c r="D54" s="25">
        <v>1</v>
      </c>
      <c r="E54" s="6" t="e">
        <f xml:space="preserve"> [2]!'ALXN.US-PreClose'</f>
        <v>#REF!</v>
      </c>
      <c r="F54" s="78">
        <f t="shared" si="7"/>
        <v>1303</v>
      </c>
      <c r="G54" s="49" t="e">
        <f t="shared" si="8"/>
        <v>#REF!</v>
      </c>
      <c r="H54" s="6" t="e">
        <f xml:space="preserve"> [2]!'ALXN.US-Price'</f>
        <v>#REF!</v>
      </c>
      <c r="I54" s="6" t="e">
        <f xml:space="preserve"> [2]!'ALXN.US-BestBid1'</f>
        <v>#REF!</v>
      </c>
      <c r="J54" s="6" t="e">
        <f xml:space="preserve"> [2]!'ALXN.US-BestAsk1'</f>
        <v>#REF!</v>
      </c>
      <c r="K54" s="65" t="e">
        <f t="shared" si="2"/>
        <v>#REF!</v>
      </c>
      <c r="L54" s="65" t="e">
        <f t="shared" si="3"/>
        <v>#REF!</v>
      </c>
      <c r="M54" s="68" t="e">
        <f t="shared" si="4"/>
        <v>#REF!</v>
      </c>
      <c r="AC54" s="440" t="s">
        <v>2926</v>
      </c>
      <c r="AD54" s="441" t="s">
        <v>697</v>
      </c>
      <c r="AE54" s="442">
        <v>0.11</v>
      </c>
      <c r="AF54" s="443">
        <v>1303</v>
      </c>
    </row>
    <row r="55" spans="1:32" ht="33" thickBot="1">
      <c r="A55" s="24" t="e">
        <f t="shared" si="1"/>
        <v>#REF!</v>
      </c>
      <c r="B55" s="243" t="str">
        <f t="shared" si="5"/>
        <v>APPLIED MATERIALS INC</v>
      </c>
      <c r="C55" s="25" t="str">
        <f t="shared" si="6"/>
        <v>AMAT UQ</v>
      </c>
      <c r="D55" s="25">
        <v>1</v>
      </c>
      <c r="E55" s="6" t="e">
        <f xml:space="preserve"> [2]!'AMAT.US-PreClose'</f>
        <v>#REF!</v>
      </c>
      <c r="F55" s="78">
        <f t="shared" si="7"/>
        <v>5441</v>
      </c>
      <c r="G55" s="49" t="e">
        <f t="shared" si="8"/>
        <v>#REF!</v>
      </c>
      <c r="H55" s="6" t="e">
        <f xml:space="preserve"> [2]!'AMAT.US-Price'</f>
        <v>#REF!</v>
      </c>
      <c r="I55" s="6" t="e">
        <f xml:space="preserve"> [2]!'AMAT.US-BestBid1'</f>
        <v>#REF!</v>
      </c>
      <c r="J55" s="6" t="e">
        <f xml:space="preserve"> [2]!'AMAT.US-BestAsk1'</f>
        <v>#REF!</v>
      </c>
      <c r="K55" s="65" t="e">
        <f t="shared" si="2"/>
        <v>#REF!</v>
      </c>
      <c r="L55" s="65" t="e">
        <f t="shared" si="3"/>
        <v>#REF!</v>
      </c>
      <c r="M55" s="68" t="e">
        <f t="shared" si="4"/>
        <v>#REF!</v>
      </c>
      <c r="AC55" s="444" t="s">
        <v>2927</v>
      </c>
      <c r="AD55" s="445" t="s">
        <v>698</v>
      </c>
      <c r="AE55" s="446">
        <v>0.16</v>
      </c>
      <c r="AF55" s="447">
        <v>5441</v>
      </c>
    </row>
    <row r="56" spans="1:32" ht="22.2" thickBot="1">
      <c r="A56" s="24" t="e">
        <f t="shared" si="1"/>
        <v>#REF!</v>
      </c>
      <c r="B56" s="243" t="str">
        <f t="shared" si="5"/>
        <v>AMCOR PLC</v>
      </c>
      <c r="C56" s="25" t="str">
        <f t="shared" si="6"/>
        <v>AMCR UN</v>
      </c>
      <c r="D56" s="25">
        <v>1</v>
      </c>
      <c r="E56" s="6" t="e">
        <f xml:space="preserve"> [2]!'AMD.US-PreClose'</f>
        <v>#REF!</v>
      </c>
      <c r="F56" s="78">
        <f t="shared" si="7"/>
        <v>9434</v>
      </c>
      <c r="G56" s="49" t="e">
        <f t="shared" si="8"/>
        <v>#REF!</v>
      </c>
      <c r="H56" s="6" t="e">
        <f xml:space="preserve"> [2]!'AMD.US-Price'</f>
        <v>#REF!</v>
      </c>
      <c r="I56" s="6" t="e">
        <f xml:space="preserve"> [2]!'AMD.US-BestBid1'</f>
        <v>#REF!</v>
      </c>
      <c r="J56" s="6" t="e">
        <f xml:space="preserve"> [2]!'AMD.US-BestAsk1'</f>
        <v>#REF!</v>
      </c>
      <c r="K56" s="65" t="e">
        <f t="shared" si="2"/>
        <v>#REF!</v>
      </c>
      <c r="L56" s="65" t="e">
        <f t="shared" si="3"/>
        <v>#REF!</v>
      </c>
      <c r="M56" s="68" t="e">
        <f t="shared" si="4"/>
        <v>#REF!</v>
      </c>
      <c r="AC56" s="440" t="s">
        <v>2928</v>
      </c>
      <c r="AD56" s="441" t="s">
        <v>2929</v>
      </c>
      <c r="AE56" s="442">
        <v>7.0000000000000007E-2</v>
      </c>
      <c r="AF56" s="443">
        <v>9434</v>
      </c>
    </row>
    <row r="57" spans="1:32" ht="33" thickBot="1">
      <c r="A57" s="24" t="e">
        <f t="shared" si="1"/>
        <v>#REF!</v>
      </c>
      <c r="B57" s="243" t="str">
        <f t="shared" si="5"/>
        <v>ADVANCED MICRO DEVICES</v>
      </c>
      <c r="C57" s="25" t="str">
        <f t="shared" si="6"/>
        <v>AMD UQ</v>
      </c>
      <c r="D57" s="25">
        <v>1</v>
      </c>
      <c r="E57" s="6" t="e">
        <f xml:space="preserve"> [2]!'AME.US-PreClose'</f>
        <v>#REF!</v>
      </c>
      <c r="F57" s="78">
        <f t="shared" si="7"/>
        <v>5155</v>
      </c>
      <c r="G57" s="49" t="e">
        <f t="shared" si="8"/>
        <v>#REF!</v>
      </c>
      <c r="H57" s="6" t="e">
        <f xml:space="preserve"> [2]!'AME.US-Price'</f>
        <v>#REF!</v>
      </c>
      <c r="I57" s="6" t="e">
        <f xml:space="preserve"> [2]!'AME.US-BestBid1'</f>
        <v>#REF!</v>
      </c>
      <c r="J57" s="6" t="e">
        <f xml:space="preserve"> [2]!'AME.US-BestAsk1'</f>
        <v>#REF!</v>
      </c>
      <c r="K57" s="65" t="e">
        <f t="shared" si="2"/>
        <v>#REF!</v>
      </c>
      <c r="L57" s="65" t="e">
        <f t="shared" si="3"/>
        <v>#REF!</v>
      </c>
      <c r="M57" s="68" t="e">
        <f t="shared" si="4"/>
        <v>#REF!</v>
      </c>
      <c r="AC57" s="444" t="s">
        <v>2930</v>
      </c>
      <c r="AD57" s="445" t="s">
        <v>699</v>
      </c>
      <c r="AE57" s="446">
        <v>0.11</v>
      </c>
      <c r="AF57" s="447">
        <v>5155</v>
      </c>
    </row>
    <row r="58" spans="1:32" ht="22.2" thickBot="1">
      <c r="A58" s="24" t="e">
        <f t="shared" si="1"/>
        <v>#REF!</v>
      </c>
      <c r="B58" s="243" t="str">
        <f t="shared" si="5"/>
        <v>AMETEK INC</v>
      </c>
      <c r="C58" s="25" t="str">
        <f t="shared" si="6"/>
        <v>AME UN</v>
      </c>
      <c r="D58" s="25">
        <v>1</v>
      </c>
      <c r="E58" s="6" t="e">
        <f xml:space="preserve"> [2]!'AMG.US-PreClose'</f>
        <v>#REF!</v>
      </c>
      <c r="F58" s="78">
        <f t="shared" si="7"/>
        <v>1324</v>
      </c>
      <c r="G58" s="49" t="e">
        <f t="shared" si="8"/>
        <v>#REF!</v>
      </c>
      <c r="H58" s="6" t="e">
        <f xml:space="preserve"> [2]!'AMG.US-Price'</f>
        <v>#REF!</v>
      </c>
      <c r="I58" s="6" t="e">
        <f xml:space="preserve"> [2]!'AMG.US-BestBid1'</f>
        <v>#REF!</v>
      </c>
      <c r="J58" s="6" t="e">
        <f xml:space="preserve"> [2]!'AMG.US-BestAsk1'</f>
        <v>#REF!</v>
      </c>
      <c r="K58" s="65" t="e">
        <f t="shared" si="2"/>
        <v>#REF!</v>
      </c>
      <c r="L58" s="65" t="e">
        <f t="shared" si="3"/>
        <v>#REF!</v>
      </c>
      <c r="M58" s="68" t="e">
        <f t="shared" si="4"/>
        <v>#REF!</v>
      </c>
      <c r="AC58" s="440" t="s">
        <v>2931</v>
      </c>
      <c r="AD58" s="441" t="s">
        <v>700</v>
      </c>
      <c r="AE58" s="442">
        <v>0.08</v>
      </c>
      <c r="AF58" s="443">
        <v>1324</v>
      </c>
    </row>
    <row r="59" spans="1:32" ht="33" thickBot="1">
      <c r="A59" s="24" t="e">
        <f t="shared" si="1"/>
        <v>#REF!</v>
      </c>
      <c r="B59" s="243" t="str">
        <f t="shared" si="5"/>
        <v>AFFILIATED MANAGERS GROUP</v>
      </c>
      <c r="C59" s="25" t="str">
        <f t="shared" si="6"/>
        <v>AMG UN</v>
      </c>
      <c r="D59" s="25">
        <v>1</v>
      </c>
      <c r="E59" s="6" t="e">
        <f xml:space="preserve"> [2]!'AMGN.US-PreClose'</f>
        <v>#REF!</v>
      </c>
      <c r="F59" s="78">
        <f t="shared" si="7"/>
        <v>298</v>
      </c>
      <c r="G59" s="49" t="e">
        <f t="shared" si="8"/>
        <v>#REF!</v>
      </c>
      <c r="H59" s="6" t="e">
        <f xml:space="preserve"> [2]!'AMGN.US-Price'</f>
        <v>#REF!</v>
      </c>
      <c r="I59" s="6" t="e">
        <f xml:space="preserve"> [2]!'AMGN.US-BestBid1'</f>
        <v>#REF!</v>
      </c>
      <c r="J59" s="6" t="e">
        <f xml:space="preserve"> [2]!'AMGN.US-BestAsk1'</f>
        <v>#REF!</v>
      </c>
      <c r="K59" s="65" t="e">
        <f t="shared" si="2"/>
        <v>#REF!</v>
      </c>
      <c r="L59" s="65" t="e">
        <f t="shared" si="3"/>
        <v>#REF!</v>
      </c>
      <c r="M59" s="68" t="e">
        <f t="shared" si="4"/>
        <v>#REF!</v>
      </c>
      <c r="AC59" s="444" t="s">
        <v>2932</v>
      </c>
      <c r="AD59" s="445" t="s">
        <v>701</v>
      </c>
      <c r="AE59" s="446">
        <v>0.02</v>
      </c>
      <c r="AF59" s="446">
        <v>298</v>
      </c>
    </row>
    <row r="60" spans="1:32" ht="22.2" thickBot="1">
      <c r="A60" s="24" t="e">
        <f t="shared" si="1"/>
        <v>#REF!</v>
      </c>
      <c r="B60" s="243" t="str">
        <f t="shared" si="5"/>
        <v>AMGEN INC</v>
      </c>
      <c r="C60" s="25" t="str">
        <f t="shared" si="6"/>
        <v>AMGN UQ</v>
      </c>
      <c r="D60" s="25">
        <v>1</v>
      </c>
      <c r="E60" s="6" t="e">
        <f xml:space="preserve"> [2]!'AMP.US-PreClose'</f>
        <v>#REF!</v>
      </c>
      <c r="F60" s="78">
        <f t="shared" si="7"/>
        <v>3545</v>
      </c>
      <c r="G60" s="49" t="e">
        <f t="shared" si="8"/>
        <v>#REF!</v>
      </c>
      <c r="H60" s="6" t="e">
        <f xml:space="preserve"> [2]!'AMP.US-Price'</f>
        <v>#REF!</v>
      </c>
      <c r="I60" s="6" t="e">
        <f xml:space="preserve"> [2]!'AMP.US-BestBid1'</f>
        <v>#REF!</v>
      </c>
      <c r="J60" s="6" t="e">
        <f xml:space="preserve"> [2]!'AMP.US-BestAsk1'</f>
        <v>#REF!</v>
      </c>
      <c r="K60" s="65" t="e">
        <f t="shared" si="2"/>
        <v>#REF!</v>
      </c>
      <c r="L60" s="65" t="e">
        <f t="shared" si="3"/>
        <v>#REF!</v>
      </c>
      <c r="M60" s="68" t="e">
        <f t="shared" si="4"/>
        <v>#REF!</v>
      </c>
      <c r="AC60" s="440" t="s">
        <v>2933</v>
      </c>
      <c r="AD60" s="441" t="s">
        <v>702</v>
      </c>
      <c r="AE60" s="442">
        <v>0.42</v>
      </c>
      <c r="AF60" s="443">
        <v>3545</v>
      </c>
    </row>
    <row r="61" spans="1:32" ht="43.8" thickBot="1">
      <c r="A61" s="24" t="e">
        <f t="shared" si="1"/>
        <v>#REF!</v>
      </c>
      <c r="B61" s="243" t="str">
        <f t="shared" si="5"/>
        <v>AMERIPRISE FINANCIAL INC</v>
      </c>
      <c r="C61" s="25" t="str">
        <f t="shared" si="6"/>
        <v>AMP UN</v>
      </c>
      <c r="D61" s="25">
        <v>1</v>
      </c>
      <c r="E61" s="6" t="e">
        <f xml:space="preserve"> [2]!'AMT.US-PreClose'</f>
        <v>#REF!</v>
      </c>
      <c r="F61" s="78">
        <f t="shared" si="7"/>
        <v>778</v>
      </c>
      <c r="G61" s="49" t="e">
        <f t="shared" si="8"/>
        <v>#REF!</v>
      </c>
      <c r="H61" s="6" t="e">
        <f xml:space="preserve"> [2]!'AMT.US-Price'</f>
        <v>#REF!</v>
      </c>
      <c r="I61" s="6" t="e">
        <f xml:space="preserve"> [2]!'AMT.US-BestBid1'</f>
        <v>#REF!</v>
      </c>
      <c r="J61" s="6" t="e">
        <f xml:space="preserve"> [2]!'AMT.US-BestAsk1'</f>
        <v>#REF!</v>
      </c>
      <c r="K61" s="65" t="e">
        <f t="shared" si="2"/>
        <v>#REF!</v>
      </c>
      <c r="L61" s="65" t="e">
        <f t="shared" si="3"/>
        <v>#REF!</v>
      </c>
      <c r="M61" s="68" t="e">
        <f t="shared" si="4"/>
        <v>#REF!</v>
      </c>
      <c r="AC61" s="444" t="s">
        <v>2934</v>
      </c>
      <c r="AD61" s="445" t="s">
        <v>703</v>
      </c>
      <c r="AE61" s="446">
        <v>0.08</v>
      </c>
      <c r="AF61" s="446">
        <v>778</v>
      </c>
    </row>
    <row r="62" spans="1:32" ht="33" thickBot="1">
      <c r="A62" s="24" t="e">
        <f t="shared" si="1"/>
        <v>#REF!</v>
      </c>
      <c r="B62" s="243" t="str">
        <f t="shared" si="5"/>
        <v>AMERICAN TOWER CORP</v>
      </c>
      <c r="C62" s="25" t="str">
        <f t="shared" si="6"/>
        <v>AMT UN</v>
      </c>
      <c r="D62" s="25">
        <v>1</v>
      </c>
      <c r="E62" s="6" t="e">
        <f xml:space="preserve"> [2]!'AMZN.US-PreClose'</f>
        <v>#REF!</v>
      </c>
      <c r="F62" s="78">
        <f t="shared" si="7"/>
        <v>2569</v>
      </c>
      <c r="G62" s="49" t="e">
        <f t="shared" si="8"/>
        <v>#REF!</v>
      </c>
      <c r="H62" s="6" t="e">
        <f xml:space="preserve"> [2]!'AMZN.US-Price'</f>
        <v>#REF!</v>
      </c>
      <c r="I62" s="6" t="e">
        <f xml:space="preserve"> [2]!'AMZN.US-BestBid1'</f>
        <v>#REF!</v>
      </c>
      <c r="J62" s="6" t="e">
        <f xml:space="preserve"> [2]!'AMZN.US-BestAsk1'</f>
        <v>#REF!</v>
      </c>
      <c r="K62" s="65" t="e">
        <f t="shared" si="2"/>
        <v>#REF!</v>
      </c>
      <c r="L62" s="65" t="e">
        <f t="shared" si="3"/>
        <v>#REF!</v>
      </c>
      <c r="M62" s="68" t="e">
        <f t="shared" si="4"/>
        <v>#REF!</v>
      </c>
      <c r="AC62" s="440" t="s">
        <v>2935</v>
      </c>
      <c r="AD62" s="441" t="s">
        <v>704</v>
      </c>
      <c r="AE62" s="442">
        <v>0.36</v>
      </c>
      <c r="AF62" s="443">
        <v>2569</v>
      </c>
    </row>
    <row r="63" spans="1:32" ht="22.2" thickBot="1">
      <c r="A63" s="24" t="e">
        <f t="shared" si="1"/>
        <v>#REF!</v>
      </c>
      <c r="B63" s="243" t="str">
        <f t="shared" si="5"/>
        <v>AMAZON.COM INC</v>
      </c>
      <c r="C63" s="25" t="str">
        <f t="shared" si="6"/>
        <v>AMZN UQ</v>
      </c>
      <c r="D63" s="25">
        <v>1</v>
      </c>
      <c r="E63" s="6" t="e">
        <f xml:space="preserve"> [2]!'ANDV.US-PreClose'</f>
        <v>#REF!</v>
      </c>
      <c r="F63" s="78">
        <f t="shared" si="7"/>
        <v>2404</v>
      </c>
      <c r="G63" s="49" t="e">
        <f t="shared" si="8"/>
        <v>#REF!</v>
      </c>
      <c r="H63" s="6" t="e">
        <f xml:space="preserve"> [2]!'ANDV.US-Price'</f>
        <v>#REF!</v>
      </c>
      <c r="I63" s="6" t="e">
        <f xml:space="preserve"> [2]!'ANDV.US-BestBid1'</f>
        <v>#REF!</v>
      </c>
      <c r="J63" s="6" t="e">
        <f xml:space="preserve"> [2]!'ANDV.US-BestAsk1'</f>
        <v>#REF!</v>
      </c>
      <c r="K63" s="65" t="e">
        <f t="shared" si="2"/>
        <v>#REF!</v>
      </c>
      <c r="L63" s="65" t="e">
        <f t="shared" si="3"/>
        <v>#REF!</v>
      </c>
      <c r="M63" s="68" t="e">
        <f t="shared" si="4"/>
        <v>#REF!</v>
      </c>
      <c r="AC63" s="444" t="s">
        <v>2936</v>
      </c>
      <c r="AD63" s="445" t="s">
        <v>705</v>
      </c>
      <c r="AE63" s="446">
        <v>3.21</v>
      </c>
      <c r="AF63" s="447">
        <v>2404</v>
      </c>
    </row>
    <row r="64" spans="1:32" ht="33" thickBot="1">
      <c r="A64" s="24" t="e">
        <f t="shared" si="1"/>
        <v>#REF!</v>
      </c>
      <c r="B64" s="243" t="str">
        <f t="shared" si="5"/>
        <v>ARISTA NETWORKS INC</v>
      </c>
      <c r="C64" s="25" t="str">
        <f t="shared" si="6"/>
        <v>ANET UN</v>
      </c>
      <c r="D64" s="25">
        <v>1</v>
      </c>
      <c r="E64" s="6" t="e">
        <f xml:space="preserve"> [2]!'ANSS.US-PreClose'</f>
        <v>#REF!</v>
      </c>
      <c r="F64" s="78">
        <f t="shared" si="7"/>
        <v>307</v>
      </c>
      <c r="G64" s="49" t="e">
        <f t="shared" si="8"/>
        <v>#REF!</v>
      </c>
      <c r="H64" s="6" t="e">
        <f xml:space="preserve"> [2]!'ANSS.US-Price'</f>
        <v>#REF!</v>
      </c>
      <c r="I64" s="6" t="e">
        <f xml:space="preserve"> [2]!'ANSS.US-BestBid1'</f>
        <v>#REF!</v>
      </c>
      <c r="J64" s="6" t="e">
        <f xml:space="preserve"> [2]!'ANSS.US-BestAsk1'</f>
        <v>#REF!</v>
      </c>
      <c r="K64" s="65" t="e">
        <f t="shared" si="2"/>
        <v>#REF!</v>
      </c>
      <c r="L64" s="65" t="e">
        <f t="shared" si="3"/>
        <v>#REF!</v>
      </c>
      <c r="M64" s="68" t="e">
        <f t="shared" si="4"/>
        <v>#REF!</v>
      </c>
      <c r="AC64" s="440" t="s">
        <v>2937</v>
      </c>
      <c r="AD64" s="441" t="s">
        <v>2938</v>
      </c>
      <c r="AE64" s="442">
        <v>0.06</v>
      </c>
      <c r="AF64" s="442">
        <v>307</v>
      </c>
    </row>
    <row r="65" spans="1:32" ht="16.8" thickBot="1">
      <c r="A65" s="24" t="e">
        <f t="shared" si="1"/>
        <v>#REF!</v>
      </c>
      <c r="B65" s="243" t="str">
        <f t="shared" si="5"/>
        <v>ANSYS INC</v>
      </c>
      <c r="C65" s="25" t="str">
        <f t="shared" si="6"/>
        <v>ANSS UQ</v>
      </c>
      <c r="D65" s="25">
        <v>1</v>
      </c>
      <c r="E65" s="6" t="e">
        <f xml:space="preserve"> [2]!'ANTM.US-PreClose'</f>
        <v>#REF!</v>
      </c>
      <c r="F65" s="78">
        <f t="shared" si="7"/>
        <v>488</v>
      </c>
      <c r="G65" s="49" t="e">
        <f t="shared" si="8"/>
        <v>#REF!</v>
      </c>
      <c r="H65" s="6" t="e">
        <f xml:space="preserve"> [2]!'ANTM.US-Price'</f>
        <v>#REF!</v>
      </c>
      <c r="I65" s="6" t="e">
        <f xml:space="preserve"> [2]!'ANTM.US-BestBid1'</f>
        <v>#REF!</v>
      </c>
      <c r="J65" s="6" t="e">
        <f xml:space="preserve"> [2]!'ANTM.US-BestAsk1'</f>
        <v>#REF!</v>
      </c>
      <c r="K65" s="65" t="e">
        <f t="shared" si="2"/>
        <v>#REF!</v>
      </c>
      <c r="L65" s="65" t="e">
        <f t="shared" si="3"/>
        <v>#REF!</v>
      </c>
      <c r="M65" s="68" t="e">
        <f t="shared" si="4"/>
        <v>#REF!</v>
      </c>
      <c r="AC65" s="444" t="s">
        <v>2939</v>
      </c>
      <c r="AD65" s="445" t="s">
        <v>706</v>
      </c>
      <c r="AE65" s="446">
        <v>7.0000000000000007E-2</v>
      </c>
      <c r="AF65" s="446">
        <v>488</v>
      </c>
    </row>
    <row r="66" spans="1:32" ht="22.2" thickBot="1">
      <c r="A66" s="24" t="e">
        <f t="shared" si="1"/>
        <v>#REF!</v>
      </c>
      <c r="B66" s="243" t="str">
        <f t="shared" si="5"/>
        <v>ANTHEM INC</v>
      </c>
      <c r="C66" s="25" t="str">
        <f t="shared" si="6"/>
        <v>ANTM UN</v>
      </c>
      <c r="D66" s="25">
        <v>1</v>
      </c>
      <c r="E66" s="6" t="e">
        <f xml:space="preserve"> [2]!'AON.US-PreClose'</f>
        <v>#REF!</v>
      </c>
      <c r="F66" s="78">
        <f t="shared" si="7"/>
        <v>1495</v>
      </c>
      <c r="G66" s="49" t="e">
        <f t="shared" si="8"/>
        <v>#REF!</v>
      </c>
      <c r="H66" s="6" t="e">
        <f xml:space="preserve"> [2]!'AON.US-Price'</f>
        <v>#REF!</v>
      </c>
      <c r="I66" s="6" t="e">
        <f xml:space="preserve"> [2]!'AON.US-BestBid1'</f>
        <v>#REF!</v>
      </c>
      <c r="J66" s="6" t="e">
        <f xml:space="preserve"> [2]!'AON.US-BestAsk1'</f>
        <v>#REF!</v>
      </c>
      <c r="K66" s="65" t="e">
        <f t="shared" si="2"/>
        <v>#REF!</v>
      </c>
      <c r="L66" s="65" t="e">
        <f t="shared" si="3"/>
        <v>#REF!</v>
      </c>
      <c r="M66" s="68" t="e">
        <f t="shared" si="4"/>
        <v>#REF!</v>
      </c>
      <c r="AC66" s="440" t="s">
        <v>2940</v>
      </c>
      <c r="AD66" s="441" t="s">
        <v>707</v>
      </c>
      <c r="AE66" s="442">
        <v>0.3</v>
      </c>
      <c r="AF66" s="443">
        <v>1495</v>
      </c>
    </row>
    <row r="67" spans="1:32" ht="16.8" thickBot="1">
      <c r="A67" s="24" t="e">
        <f t="shared" si="1"/>
        <v>#REF!</v>
      </c>
      <c r="B67" s="243" t="str">
        <f t="shared" si="5"/>
        <v>AON PLC</v>
      </c>
      <c r="C67" s="25" t="str">
        <f t="shared" si="6"/>
        <v>AON UN</v>
      </c>
      <c r="D67" s="25">
        <v>1</v>
      </c>
      <c r="E67" s="6" t="e">
        <f xml:space="preserve"> [2]!'AOS.US-PreClose'</f>
        <v>#REF!</v>
      </c>
      <c r="F67" s="78">
        <f t="shared" si="7"/>
        <v>1398</v>
      </c>
      <c r="G67" s="49" t="e">
        <f t="shared" si="8"/>
        <v>#REF!</v>
      </c>
      <c r="H67" s="6" t="e">
        <f xml:space="preserve"> [2]!'AOS.US-Price'</f>
        <v>#REF!</v>
      </c>
      <c r="I67" s="6" t="e">
        <f xml:space="preserve"> [2]!'AOS.US-BestBid1'</f>
        <v>#REF!</v>
      </c>
      <c r="J67" s="6" t="e">
        <f xml:space="preserve"> [2]!'AOS.US-BestAsk1'</f>
        <v>#REF!</v>
      </c>
      <c r="K67" s="65" t="e">
        <f t="shared" si="2"/>
        <v>#REF!</v>
      </c>
      <c r="L67" s="65" t="e">
        <f t="shared" si="3"/>
        <v>#REF!</v>
      </c>
      <c r="M67" s="68" t="e">
        <f t="shared" si="4"/>
        <v>#REF!</v>
      </c>
      <c r="AC67" s="444" t="s">
        <v>2941</v>
      </c>
      <c r="AD67" s="445" t="s">
        <v>708</v>
      </c>
      <c r="AE67" s="446">
        <v>0.18</v>
      </c>
      <c r="AF67" s="447">
        <v>1398</v>
      </c>
    </row>
    <row r="68" spans="1:32" ht="22.2" thickBot="1">
      <c r="A68" s="24" t="e">
        <f t="shared" si="1"/>
        <v>#REF!</v>
      </c>
      <c r="B68" s="243" t="str">
        <f t="shared" si="5"/>
        <v>SMITH (A.O.) CORP</v>
      </c>
      <c r="C68" s="25" t="str">
        <f t="shared" si="6"/>
        <v>AOS UN</v>
      </c>
      <c r="D68" s="25">
        <v>1</v>
      </c>
      <c r="E68" s="6" t="e">
        <f xml:space="preserve"> [2]!'APA.US-PreClose'</f>
        <v>#REF!</v>
      </c>
      <c r="F68" s="78">
        <f t="shared" si="7"/>
        <v>820</v>
      </c>
      <c r="G68" s="49" t="e">
        <f t="shared" si="8"/>
        <v>#REF!</v>
      </c>
      <c r="H68" s="6" t="e">
        <f xml:space="preserve"> [2]!'APA.US-Price'</f>
        <v>#REF!</v>
      </c>
      <c r="I68" s="6" t="e">
        <f xml:space="preserve"> [2]!'APA.US-BestBid1'</f>
        <v>#REF!</v>
      </c>
      <c r="J68" s="6" t="e">
        <f xml:space="preserve"> [2]!'APA.US-BestAsk1'</f>
        <v>#REF!</v>
      </c>
      <c r="K68" s="65" t="e">
        <f t="shared" si="2"/>
        <v>#REF!</v>
      </c>
      <c r="L68" s="65" t="e">
        <f t="shared" si="3"/>
        <v>#REF!</v>
      </c>
      <c r="M68" s="68" t="e">
        <f t="shared" si="4"/>
        <v>#REF!</v>
      </c>
      <c r="AC68" s="440" t="s">
        <v>2942</v>
      </c>
      <c r="AD68" s="441" t="s">
        <v>709</v>
      </c>
      <c r="AE68" s="442">
        <v>0.02</v>
      </c>
      <c r="AF68" s="442">
        <v>820</v>
      </c>
    </row>
    <row r="69" spans="1:32" ht="22.2" thickBot="1">
      <c r="A69" s="24" t="e">
        <f t="shared" si="1"/>
        <v>#REF!</v>
      </c>
      <c r="B69" s="243" t="str">
        <f t="shared" si="5"/>
        <v>APACHE CORP</v>
      </c>
      <c r="C69" s="25" t="str">
        <f t="shared" si="6"/>
        <v>APA UN</v>
      </c>
      <c r="D69" s="25">
        <v>1</v>
      </c>
      <c r="E69" s="6" t="e">
        <f xml:space="preserve"> [2]!'APC.US-PreClose'</f>
        <v>#REF!</v>
      </c>
      <c r="F69" s="78">
        <f t="shared" si="7"/>
        <v>2185</v>
      </c>
      <c r="G69" s="49" t="e">
        <f t="shared" si="8"/>
        <v>#REF!</v>
      </c>
      <c r="H69" s="6" t="e">
        <f xml:space="preserve"> [2]!'APC.US-Price'</f>
        <v>#REF!</v>
      </c>
      <c r="I69" s="6" t="e">
        <f xml:space="preserve"> [2]!'APC.US-BestBid1'</f>
        <v>#REF!</v>
      </c>
      <c r="J69" s="6" t="e">
        <f xml:space="preserve"> [2]!'APC.US-BestAsk1'</f>
        <v>#REF!</v>
      </c>
      <c r="K69" s="65" t="e">
        <f t="shared" si="2"/>
        <v>#REF!</v>
      </c>
      <c r="L69" s="65" t="e">
        <f t="shared" si="3"/>
        <v>#REF!</v>
      </c>
      <c r="M69" s="68" t="e">
        <f t="shared" si="4"/>
        <v>#REF!</v>
      </c>
      <c r="AC69" s="444" t="s">
        <v>2943</v>
      </c>
      <c r="AD69" s="445" t="s">
        <v>710</v>
      </c>
      <c r="AE69" s="446">
        <v>0.04</v>
      </c>
      <c r="AF69" s="447">
        <v>2185</v>
      </c>
    </row>
    <row r="70" spans="1:32" ht="33" thickBot="1">
      <c r="A70" s="24" t="e">
        <f t="shared" si="1"/>
        <v>#REF!</v>
      </c>
      <c r="B70" s="243" t="str">
        <f t="shared" si="5"/>
        <v>ANADARKO PETROLEUM CORP</v>
      </c>
      <c r="C70" s="25" t="str">
        <f t="shared" si="6"/>
        <v>APC UN</v>
      </c>
      <c r="D70" s="25">
        <v>1</v>
      </c>
      <c r="E70" s="6" t="e">
        <f xml:space="preserve"> [2]!'APD.US-PreClose'</f>
        <v>#REF!</v>
      </c>
      <c r="F70" s="78">
        <f t="shared" si="7"/>
        <v>2919</v>
      </c>
      <c r="G70" s="49" t="e">
        <f t="shared" si="8"/>
        <v>#REF!</v>
      </c>
      <c r="H70" s="6" t="e">
        <f xml:space="preserve"> [2]!'APD.US-Price'</f>
        <v>#REF!</v>
      </c>
      <c r="I70" s="6" t="e">
        <f xml:space="preserve"> [2]!'APD.US-BestBid1'</f>
        <v>#REF!</v>
      </c>
      <c r="J70" s="6" t="e">
        <f xml:space="preserve"> [2]!'APD.US-BestAsk1'</f>
        <v>#REF!</v>
      </c>
      <c r="K70" s="65" t="e">
        <f t="shared" si="2"/>
        <v>#REF!</v>
      </c>
      <c r="L70" s="65" t="e">
        <f t="shared" si="3"/>
        <v>#REF!</v>
      </c>
      <c r="M70" s="68" t="e">
        <f t="shared" si="4"/>
        <v>#REF!</v>
      </c>
      <c r="AC70" s="440" t="s">
        <v>2944</v>
      </c>
      <c r="AD70" s="441" t="s">
        <v>711</v>
      </c>
      <c r="AE70" s="442">
        <v>0.14000000000000001</v>
      </c>
      <c r="AF70" s="443">
        <v>2919</v>
      </c>
    </row>
    <row r="71" spans="1:32" ht="54.6" thickBot="1">
      <c r="A71" s="24" t="e">
        <f t="shared" si="1"/>
        <v>#REF!</v>
      </c>
      <c r="B71" s="243" t="str">
        <f t="shared" si="5"/>
        <v>AIR PRODUCTS &amp; CHEMICALS INC</v>
      </c>
      <c r="C71" s="25" t="str">
        <f t="shared" si="6"/>
        <v>APD UN</v>
      </c>
      <c r="D71" s="25">
        <v>1</v>
      </c>
      <c r="E71" s="6" t="e">
        <f xml:space="preserve"> [2]!'APH.US-PreClose'</f>
        <v>#REF!</v>
      </c>
      <c r="F71" s="78">
        <f t="shared" si="7"/>
        <v>1280</v>
      </c>
      <c r="G71" s="49" t="e">
        <f t="shared" si="8"/>
        <v>#REF!</v>
      </c>
      <c r="H71" s="6" t="e">
        <f xml:space="preserve"> [2]!'APH.US-Price'</f>
        <v>#REF!</v>
      </c>
      <c r="I71" s="6" t="e">
        <f xml:space="preserve"> [2]!'APH.US-BestBid1'</f>
        <v>#REF!</v>
      </c>
      <c r="J71" s="6" t="e">
        <f xml:space="preserve"> [2]!'APH.US-BestAsk1'</f>
        <v>#REF!</v>
      </c>
      <c r="K71" s="65" t="e">
        <f t="shared" si="2"/>
        <v>#REF!</v>
      </c>
      <c r="L71" s="65" t="e">
        <f t="shared" si="3"/>
        <v>#REF!</v>
      </c>
      <c r="M71" s="68" t="e">
        <f t="shared" si="4"/>
        <v>#REF!</v>
      </c>
      <c r="AC71" s="444" t="s">
        <v>2945</v>
      </c>
      <c r="AD71" s="445" t="s">
        <v>712</v>
      </c>
      <c r="AE71" s="446">
        <v>0.19</v>
      </c>
      <c r="AF71" s="447">
        <v>1280</v>
      </c>
    </row>
    <row r="72" spans="1:32" ht="22.2" thickBot="1">
      <c r="A72" s="24" t="e">
        <f t="shared" si="1"/>
        <v>#REF!</v>
      </c>
      <c r="B72" s="243" t="str">
        <f t="shared" si="5"/>
        <v>AMPHENOL CORP-CL A</v>
      </c>
      <c r="C72" s="25" t="str">
        <f t="shared" si="6"/>
        <v>APH UN</v>
      </c>
      <c r="D72" s="25">
        <v>1</v>
      </c>
      <c r="E72" s="6" t="e">
        <f xml:space="preserve"> [2]!'ARE.US-PreClose'</f>
        <v>#REF!</v>
      </c>
      <c r="F72" s="78">
        <f t="shared" si="7"/>
        <v>1736</v>
      </c>
      <c r="G72" s="49" t="e">
        <f t="shared" si="8"/>
        <v>#REF!</v>
      </c>
      <c r="H72" s="6" t="e">
        <f xml:space="preserve"> [2]!'ARE.US-Price'</f>
        <v>#REF!</v>
      </c>
      <c r="I72" s="6" t="e">
        <f xml:space="preserve"> [2]!'ARE.US-BestBid1'</f>
        <v>#REF!</v>
      </c>
      <c r="J72" s="6" t="e">
        <f xml:space="preserve"> [2]!'ARE.US-BestAsk1'</f>
        <v>#REF!</v>
      </c>
      <c r="K72" s="65" t="e">
        <f t="shared" si="2"/>
        <v>#REF!</v>
      </c>
      <c r="L72" s="65" t="e">
        <f t="shared" si="3"/>
        <v>#REF!</v>
      </c>
      <c r="M72" s="68" t="e">
        <f t="shared" si="4"/>
        <v>#REF!</v>
      </c>
      <c r="AC72" s="440" t="s">
        <v>2946</v>
      </c>
      <c r="AD72" s="441" t="s">
        <v>713</v>
      </c>
      <c r="AE72" s="442">
        <v>0.11</v>
      </c>
      <c r="AF72" s="443">
        <v>1736</v>
      </c>
    </row>
    <row r="73" spans="1:32" ht="16.8" thickBot="1">
      <c r="A73" s="24" t="e">
        <f t="shared" si="1"/>
        <v>#REF!</v>
      </c>
      <c r="B73" s="243" t="str">
        <f t="shared" si="5"/>
        <v>APTIV PLC</v>
      </c>
      <c r="C73" s="25" t="str">
        <f t="shared" si="6"/>
        <v>APTV UN</v>
      </c>
      <c r="D73" s="25">
        <v>1</v>
      </c>
      <c r="E73" s="6" t="e">
        <f xml:space="preserve"> [2]!'ARNC.US-PreClose'</f>
        <v>#REF!</v>
      </c>
      <c r="F73" s="78">
        <f t="shared" si="7"/>
        <v>1499</v>
      </c>
      <c r="G73" s="49" t="e">
        <f t="shared" si="8"/>
        <v>#REF!</v>
      </c>
      <c r="H73" s="6" t="e">
        <f xml:space="preserve"> [2]!'ARNC.US-Price'</f>
        <v>#REF!</v>
      </c>
      <c r="I73" s="6" t="e">
        <f xml:space="preserve"> [2]!'ARNC.US-BestBid1'</f>
        <v>#REF!</v>
      </c>
      <c r="J73" s="6" t="e">
        <f xml:space="preserve"> [2]!'ARNC.US-BestAsk1'</f>
        <v>#REF!</v>
      </c>
      <c r="K73" s="65" t="e">
        <f t="shared" si="2"/>
        <v>#REF!</v>
      </c>
      <c r="L73" s="65" t="e">
        <f t="shared" si="3"/>
        <v>#REF!</v>
      </c>
      <c r="M73" s="68" t="e">
        <f t="shared" si="4"/>
        <v>#REF!</v>
      </c>
      <c r="AC73" s="444" t="s">
        <v>2947</v>
      </c>
      <c r="AD73" s="445" t="s">
        <v>2948</v>
      </c>
      <c r="AE73" s="446">
        <v>0.08</v>
      </c>
      <c r="AF73" s="447">
        <v>1499</v>
      </c>
    </row>
    <row r="74" spans="1:32" ht="43.8" thickBot="1">
      <c r="A74" s="24" t="e">
        <f t="shared" si="1"/>
        <v>#REF!</v>
      </c>
      <c r="B74" s="243" t="str">
        <f t="shared" si="5"/>
        <v>ALEXANDRIA REAL ESTATE EQUIT</v>
      </c>
      <c r="C74" s="25" t="str">
        <f t="shared" si="6"/>
        <v>ARE UN</v>
      </c>
      <c r="D74" s="25">
        <v>1</v>
      </c>
      <c r="E74" s="6" t="e">
        <f xml:space="preserve"> [2]!'ATVI.US-PreClose'</f>
        <v>#REF!</v>
      </c>
      <c r="F74" s="78">
        <f t="shared" si="7"/>
        <v>656</v>
      </c>
      <c r="G74" s="49" t="e">
        <f t="shared" si="8"/>
        <v>#REF!</v>
      </c>
      <c r="H74" s="6" t="e">
        <f xml:space="preserve"> [2]!'ATVI.US-Price'</f>
        <v>#REF!</v>
      </c>
      <c r="I74" s="6" t="e">
        <f xml:space="preserve"> [2]!'ATVI.US-BestBid1'</f>
        <v>#REF!</v>
      </c>
      <c r="J74" s="6" t="e">
        <f xml:space="preserve"> [2]!'ATVI.US-BestAsk1'</f>
        <v>#REF!</v>
      </c>
      <c r="K74" s="65" t="e">
        <f t="shared" si="2"/>
        <v>#REF!</v>
      </c>
      <c r="L74" s="65" t="e">
        <f t="shared" si="3"/>
        <v>#REF!</v>
      </c>
      <c r="M74" s="68" t="e">
        <f t="shared" si="4"/>
        <v>#REF!</v>
      </c>
      <c r="AC74" s="440" t="s">
        <v>2949</v>
      </c>
      <c r="AD74" s="441" t="s">
        <v>714</v>
      </c>
      <c r="AE74" s="442">
        <v>0.06</v>
      </c>
      <c r="AF74" s="442">
        <v>656</v>
      </c>
    </row>
    <row r="75" spans="1:32" ht="22.2" thickBot="1">
      <c r="A75" s="24" t="e">
        <f t="shared" si="1"/>
        <v>#REF!</v>
      </c>
      <c r="B75" s="243" t="str">
        <f t="shared" si="5"/>
        <v>ARCONIC INC</v>
      </c>
      <c r="C75" s="25" t="str">
        <f t="shared" si="6"/>
        <v>ARNC UN</v>
      </c>
      <c r="D75" s="25">
        <v>1</v>
      </c>
      <c r="E75" s="6" t="e">
        <f xml:space="preserve"> [2]!'AVB.US-PreClose'</f>
        <v>#REF!</v>
      </c>
      <c r="F75" s="78">
        <f t="shared" si="7"/>
        <v>2321</v>
      </c>
      <c r="G75" s="49" t="e">
        <f t="shared" si="8"/>
        <v>#REF!</v>
      </c>
      <c r="H75" s="6" t="e">
        <f xml:space="preserve"> [2]!'AVB.US-Price'</f>
        <v>#REF!</v>
      </c>
      <c r="I75" s="6" t="e">
        <f xml:space="preserve"> [2]!'AVB.US-BestBid1'</f>
        <v>#REF!</v>
      </c>
      <c r="J75" s="6" t="e">
        <f xml:space="preserve"> [2]!'AVB.US-BestAsk1'</f>
        <v>#REF!</v>
      </c>
      <c r="K75" s="65" t="e">
        <f t="shared" si="2"/>
        <v>#REF!</v>
      </c>
      <c r="L75" s="65" t="e">
        <f t="shared" si="3"/>
        <v>#REF!</v>
      </c>
      <c r="M75" s="68" t="e">
        <f t="shared" si="4"/>
        <v>#REF!</v>
      </c>
      <c r="AC75" s="444" t="s">
        <v>2950</v>
      </c>
      <c r="AD75" s="445" t="s">
        <v>715</v>
      </c>
      <c r="AE75" s="446">
        <v>0.04</v>
      </c>
      <c r="AF75" s="447">
        <v>2321</v>
      </c>
    </row>
    <row r="76" spans="1:32" ht="33" thickBot="1">
      <c r="A76" s="24" t="e">
        <f t="shared" si="1"/>
        <v>#REF!</v>
      </c>
      <c r="B76" s="243" t="str">
        <f t="shared" si="5"/>
        <v>ATMOS ENERGY CORP</v>
      </c>
      <c r="C76" s="25" t="str">
        <f t="shared" si="6"/>
        <v>ATO UN</v>
      </c>
      <c r="D76" s="25">
        <v>1</v>
      </c>
      <c r="E76" s="6" t="e">
        <f xml:space="preserve"> [2]!'AVGO.US-PreClose'</f>
        <v>#REF!</v>
      </c>
      <c r="F76" s="78">
        <f t="shared" si="7"/>
        <v>680</v>
      </c>
      <c r="G76" s="49" t="e">
        <f t="shared" si="8"/>
        <v>#REF!</v>
      </c>
      <c r="H76" s="6" t="e">
        <f xml:space="preserve"> [2]!'AVGO.US-Price'</f>
        <v>#REF!</v>
      </c>
      <c r="I76" s="6" t="e">
        <f xml:space="preserve"> [2]!'AVGO.US-BestBid1'</f>
        <v>#REF!</v>
      </c>
      <c r="J76" s="6" t="e">
        <f xml:space="preserve"> [2]!'AVGO.US-BestAsk1'</f>
        <v>#REF!</v>
      </c>
      <c r="K76" s="65" t="e">
        <f t="shared" si="2"/>
        <v>#REF!</v>
      </c>
      <c r="L76" s="65" t="e">
        <f t="shared" si="3"/>
        <v>#REF!</v>
      </c>
      <c r="M76" s="68" t="e">
        <f t="shared" si="4"/>
        <v>#REF!</v>
      </c>
      <c r="AC76" s="440" t="s">
        <v>2951</v>
      </c>
      <c r="AD76" s="441" t="s">
        <v>2952</v>
      </c>
      <c r="AE76" s="442">
        <v>0.05</v>
      </c>
      <c r="AF76" s="442">
        <v>680</v>
      </c>
    </row>
    <row r="77" spans="1:32" ht="43.8" thickBot="1">
      <c r="A77" s="24" t="e">
        <f t="shared" si="1"/>
        <v>#REF!</v>
      </c>
      <c r="B77" s="243" t="str">
        <f t="shared" si="5"/>
        <v>ACTIVISION BLIZZARD INC</v>
      </c>
      <c r="C77" s="25" t="str">
        <f t="shared" si="6"/>
        <v>ATVI UQ</v>
      </c>
      <c r="D77" s="25">
        <v>1</v>
      </c>
      <c r="E77" s="6" t="e">
        <f xml:space="preserve"> [2]!'AVY.US-PreClose'</f>
        <v>#REF!</v>
      </c>
      <c r="F77" s="78">
        <f t="shared" si="7"/>
        <v>4452</v>
      </c>
      <c r="G77" s="49" t="e">
        <f t="shared" si="8"/>
        <v>#REF!</v>
      </c>
      <c r="H77" s="6" t="e">
        <f xml:space="preserve"> [2]!'AVY.US-Price'</f>
        <v>#REF!</v>
      </c>
      <c r="I77" s="6" t="e">
        <f xml:space="preserve"> [2]!'AVY.US-BestBid1'</f>
        <v>#REF!</v>
      </c>
      <c r="J77" s="6" t="e">
        <f xml:space="preserve"> [2]!'AVY.US-BestAsk1'</f>
        <v>#REF!</v>
      </c>
      <c r="K77" s="65" t="e">
        <f t="shared" si="2"/>
        <v>#REF!</v>
      </c>
      <c r="L77" s="65" t="e">
        <f t="shared" si="3"/>
        <v>#REF!</v>
      </c>
      <c r="M77" s="68" t="e">
        <f t="shared" si="4"/>
        <v>#REF!</v>
      </c>
      <c r="AC77" s="444" t="s">
        <v>2953</v>
      </c>
      <c r="AD77" s="445" t="s">
        <v>716</v>
      </c>
      <c r="AE77" s="446">
        <v>0.14000000000000001</v>
      </c>
      <c r="AF77" s="447">
        <v>4452</v>
      </c>
    </row>
    <row r="78" spans="1:32" ht="43.8" thickBot="1">
      <c r="A78" s="24" t="e">
        <f t="shared" si="1"/>
        <v>#REF!</v>
      </c>
      <c r="B78" s="243" t="str">
        <f t="shared" si="5"/>
        <v>AVALONBAY COMMUNITIES INC</v>
      </c>
      <c r="C78" s="25" t="str">
        <f t="shared" si="6"/>
        <v>AVB UN</v>
      </c>
      <c r="D78" s="25">
        <v>1</v>
      </c>
      <c r="E78" s="6" t="e">
        <f xml:space="preserve"> [2]!'AWK.US-PreClose'</f>
        <v>#REF!</v>
      </c>
      <c r="F78" s="78">
        <f t="shared" si="7"/>
        <v>810</v>
      </c>
      <c r="G78" s="49" t="e">
        <f t="shared" si="8"/>
        <v>#REF!</v>
      </c>
      <c r="H78" s="6" t="e">
        <f xml:space="preserve"> [2]!'AWK.US-Price'</f>
        <v>#REF!</v>
      </c>
      <c r="I78" s="6" t="e">
        <f xml:space="preserve"> [2]!'AWK.US-BestBid1'</f>
        <v>#REF!</v>
      </c>
      <c r="J78" s="6" t="e">
        <f xml:space="preserve"> [2]!'AWK.US-BestAsk1'</f>
        <v>#REF!</v>
      </c>
      <c r="K78" s="65" t="e">
        <f t="shared" si="2"/>
        <v>#REF!</v>
      </c>
      <c r="L78" s="65" t="e">
        <f t="shared" si="3"/>
        <v>#REF!</v>
      </c>
      <c r="M78" s="68" t="e">
        <f t="shared" si="4"/>
        <v>#REF!</v>
      </c>
      <c r="AC78" s="440" t="s">
        <v>2954</v>
      </c>
      <c r="AD78" s="441" t="s">
        <v>717</v>
      </c>
      <c r="AE78" s="442">
        <v>0.11</v>
      </c>
      <c r="AF78" s="442">
        <v>810</v>
      </c>
    </row>
    <row r="79" spans="1:32" ht="22.2" thickBot="1">
      <c r="A79" s="24" t="e">
        <f t="shared" si="1"/>
        <v>#VALUE!</v>
      </c>
      <c r="B79" s="243" t="str">
        <f t="shared" si="5"/>
        <v>BROADCOM INC</v>
      </c>
      <c r="C79" s="25" t="str">
        <f t="shared" si="6"/>
        <v>AVGO UQ</v>
      </c>
      <c r="D79" s="25">
        <v>1</v>
      </c>
      <c r="E79" s="6" t="str">
        <f xml:space="preserve"> [2]!'AXP.US-PreClose'</f>
        <v>N/A</v>
      </c>
      <c r="F79" s="78">
        <f t="shared" si="7"/>
        <v>2301</v>
      </c>
      <c r="G79" s="49" t="e">
        <f t="shared" si="8"/>
        <v>#VALUE!</v>
      </c>
      <c r="H79" s="6" t="str">
        <f xml:space="preserve"> [2]!'AXP.US-Price'</f>
        <v>N/A</v>
      </c>
      <c r="I79" s="6" t="str">
        <f xml:space="preserve"> [2]!'AXP.US-BestBid1'</f>
        <v>N/A</v>
      </c>
      <c r="J79" s="6" t="str">
        <f xml:space="preserve"> [2]!'AXP.US-BestAsk1'</f>
        <v>N/A</v>
      </c>
      <c r="K79" s="65" t="e">
        <f t="shared" si="2"/>
        <v>#VALUE!</v>
      </c>
      <c r="L79" s="65" t="e">
        <f t="shared" si="3"/>
        <v>#VALUE!</v>
      </c>
      <c r="M79" s="68" t="e">
        <f t="shared" si="4"/>
        <v>#VALUE!</v>
      </c>
      <c r="AC79" s="444" t="s">
        <v>2955</v>
      </c>
      <c r="AD79" s="445" t="s">
        <v>2956</v>
      </c>
      <c r="AE79" s="446">
        <v>0.42</v>
      </c>
      <c r="AF79" s="447">
        <v>2301</v>
      </c>
    </row>
    <row r="80" spans="1:32" ht="33" thickBot="1">
      <c r="A80" s="24" t="e">
        <f t="shared" si="1"/>
        <v>#REF!</v>
      </c>
      <c r="B80" s="243" t="str">
        <f t="shared" si="5"/>
        <v>AVERY DENNISON CORP</v>
      </c>
      <c r="C80" s="25" t="str">
        <f t="shared" si="6"/>
        <v>AVY UN</v>
      </c>
      <c r="D80" s="25">
        <v>1</v>
      </c>
      <c r="E80" s="6" t="e">
        <f xml:space="preserve"> [2]!'AYI.US-PreClose'</f>
        <v>#REF!</v>
      </c>
      <c r="F80" s="78">
        <f t="shared" si="7"/>
        <v>491</v>
      </c>
      <c r="G80" s="49" t="e">
        <f t="shared" si="8"/>
        <v>#REF!</v>
      </c>
      <c r="H80" s="6" t="e">
        <f xml:space="preserve"> [2]!'AYI.US-Price'</f>
        <v>#REF!</v>
      </c>
      <c r="I80" s="6" t="e">
        <f xml:space="preserve"> [2]!'AYI.US-BestBid1'</f>
        <v>#REF!</v>
      </c>
      <c r="J80" s="6" t="e">
        <f xml:space="preserve"> [2]!'AYI.US-BestAsk1'</f>
        <v>#REF!</v>
      </c>
      <c r="K80" s="65" t="e">
        <f t="shared" si="2"/>
        <v>#REF!</v>
      </c>
      <c r="L80" s="65" t="e">
        <f t="shared" si="3"/>
        <v>#REF!</v>
      </c>
      <c r="M80" s="68" t="e">
        <f t="shared" si="4"/>
        <v>#REF!</v>
      </c>
      <c r="AC80" s="440" t="s">
        <v>2957</v>
      </c>
      <c r="AD80" s="441" t="s">
        <v>718</v>
      </c>
      <c r="AE80" s="442">
        <v>0.04</v>
      </c>
      <c r="AF80" s="442">
        <v>491</v>
      </c>
    </row>
    <row r="81" spans="1:32" ht="43.8" thickBot="1">
      <c r="A81" s="24" t="e">
        <f t="shared" si="1"/>
        <v>#REF!</v>
      </c>
      <c r="B81" s="243" t="str">
        <f t="shared" si="5"/>
        <v>AMERICAN WATER WORKS CO INC</v>
      </c>
      <c r="C81" s="25" t="str">
        <f t="shared" si="6"/>
        <v>AWK UN</v>
      </c>
      <c r="D81" s="25">
        <v>1</v>
      </c>
      <c r="E81" s="6" t="e">
        <f xml:space="preserve"> [2]!'AZO.US-PreClose'</f>
        <v>#REF!</v>
      </c>
      <c r="F81" s="78">
        <f t="shared" si="7"/>
        <v>1049</v>
      </c>
      <c r="G81" s="49" t="e">
        <f t="shared" si="8"/>
        <v>#REF!</v>
      </c>
      <c r="H81" s="6" t="e">
        <f xml:space="preserve"> [2]!'AZO.US-Price'</f>
        <v>#REF!</v>
      </c>
      <c r="I81" s="6" t="e">
        <f xml:space="preserve"> [2]!'AZO.US-BestBid1'</f>
        <v>#REF!</v>
      </c>
      <c r="J81" s="6" t="e">
        <f xml:space="preserve"> [2]!'AZO.US-BestAsk1'</f>
        <v>#REF!</v>
      </c>
      <c r="K81" s="65" t="e">
        <f t="shared" si="2"/>
        <v>#REF!</v>
      </c>
      <c r="L81" s="65" t="e">
        <f t="shared" si="3"/>
        <v>#REF!</v>
      </c>
      <c r="M81" s="68" t="e">
        <f t="shared" si="4"/>
        <v>#REF!</v>
      </c>
      <c r="AC81" s="444" t="s">
        <v>2958</v>
      </c>
      <c r="AD81" s="445" t="s">
        <v>719</v>
      </c>
      <c r="AE81" s="446">
        <v>0.08</v>
      </c>
      <c r="AF81" s="447">
        <v>1049</v>
      </c>
    </row>
    <row r="82" spans="1:32" ht="33" thickBot="1">
      <c r="A82" s="24" t="e">
        <f t="shared" si="1"/>
        <v>#VALUE!</v>
      </c>
      <c r="B82" s="243" t="str">
        <f t="shared" si="5"/>
        <v>AMERICAN EXPRESS CO</v>
      </c>
      <c r="C82" s="25" t="str">
        <f t="shared" si="6"/>
        <v>AXP UN</v>
      </c>
      <c r="D82" s="25">
        <v>1</v>
      </c>
      <c r="E82" s="6" t="str">
        <f xml:space="preserve"> [2]!'BA.US-PreClose'</f>
        <v>N/A</v>
      </c>
      <c r="F82" s="78">
        <f t="shared" si="7"/>
        <v>3980</v>
      </c>
      <c r="G82" s="49" t="e">
        <f t="shared" si="8"/>
        <v>#VALUE!</v>
      </c>
      <c r="H82" s="6" t="str">
        <f xml:space="preserve"> [2]!'BA.US-Price'</f>
        <v>N/A</v>
      </c>
      <c r="I82" s="6" t="str">
        <f xml:space="preserve"> [2]!'BA.US-BestBid1'</f>
        <v>N/A</v>
      </c>
      <c r="J82" s="6" t="str">
        <f xml:space="preserve"> [2]!'BA.US-BestAsk1'</f>
        <v>N/A</v>
      </c>
      <c r="K82" s="65" t="e">
        <f t="shared" si="2"/>
        <v>#VALUE!</v>
      </c>
      <c r="L82" s="65" t="e">
        <f t="shared" si="3"/>
        <v>#VALUE!</v>
      </c>
      <c r="M82" s="68" t="e">
        <f t="shared" si="4"/>
        <v>#VALUE!</v>
      </c>
      <c r="AC82" s="440" t="s">
        <v>2959</v>
      </c>
      <c r="AD82" s="441" t="s">
        <v>720</v>
      </c>
      <c r="AE82" s="442">
        <v>0.34</v>
      </c>
      <c r="AF82" s="443">
        <v>3980</v>
      </c>
    </row>
    <row r="83" spans="1:32" ht="22.2" thickBot="1">
      <c r="A83" s="24" t="e">
        <f t="shared" si="1"/>
        <v>#REF!</v>
      </c>
      <c r="B83" s="243" t="str">
        <f t="shared" si="5"/>
        <v>AUTOZONE INC</v>
      </c>
      <c r="C83" s="25" t="str">
        <f t="shared" si="6"/>
        <v>AZO UN</v>
      </c>
      <c r="D83" s="25">
        <v>1</v>
      </c>
      <c r="E83" s="6" t="e">
        <f xml:space="preserve"> [2]!'BAC.US-PreClose'</f>
        <v>#REF!</v>
      </c>
      <c r="F83" s="78">
        <f t="shared" si="7"/>
        <v>143</v>
      </c>
      <c r="G83" s="49" t="e">
        <f t="shared" si="8"/>
        <v>#REF!</v>
      </c>
      <c r="H83" s="6" t="e">
        <f xml:space="preserve"> [2]!'BAC.US-Price'</f>
        <v>#REF!</v>
      </c>
      <c r="I83" s="6" t="e">
        <f xml:space="preserve"> [2]!'BAC.US-BestBid1'</f>
        <v>#REF!</v>
      </c>
      <c r="J83" s="6" t="e">
        <f xml:space="preserve"> [2]!'BAC.US-BestAsk1'</f>
        <v>#REF!</v>
      </c>
      <c r="K83" s="65" t="e">
        <f t="shared" si="2"/>
        <v>#REF!</v>
      </c>
      <c r="L83" s="65" t="e">
        <f t="shared" si="3"/>
        <v>#REF!</v>
      </c>
      <c r="M83" s="68" t="e">
        <f t="shared" si="4"/>
        <v>#REF!</v>
      </c>
      <c r="AC83" s="444" t="s">
        <v>2960</v>
      </c>
      <c r="AD83" s="445" t="s">
        <v>721</v>
      </c>
      <c r="AE83" s="446">
        <v>0.11</v>
      </c>
      <c r="AF83" s="446">
        <v>143</v>
      </c>
    </row>
    <row r="84" spans="1:32" ht="22.2" thickBot="1">
      <c r="A84" s="24" t="e">
        <f t="shared" si="1"/>
        <v>#REF!</v>
      </c>
      <c r="B84" s="243" t="str">
        <f t="shared" si="5"/>
        <v>BOEING CO/THE</v>
      </c>
      <c r="C84" s="25" t="str">
        <f t="shared" si="6"/>
        <v>BA UN</v>
      </c>
      <c r="D84" s="25">
        <v>1</v>
      </c>
      <c r="E84" s="6" t="e">
        <f xml:space="preserve"> [2]!'BAX.US-PreClose'</f>
        <v>#REF!</v>
      </c>
      <c r="F84" s="78">
        <f t="shared" si="7"/>
        <v>3041</v>
      </c>
      <c r="G84" s="49" t="e">
        <f t="shared" si="8"/>
        <v>#REF!</v>
      </c>
      <c r="H84" s="6" t="e">
        <f xml:space="preserve"> [2]!'BAX.US-Price'</f>
        <v>#REF!</v>
      </c>
      <c r="I84" s="6" t="e">
        <f xml:space="preserve"> [2]!'BAX.US-BestBid1'</f>
        <v>#REF!</v>
      </c>
      <c r="J84" s="6" t="e">
        <f xml:space="preserve"> [2]!'BAX.US-BestAsk1'</f>
        <v>#REF!</v>
      </c>
      <c r="K84" s="65" t="e">
        <f t="shared" si="2"/>
        <v>#REF!</v>
      </c>
      <c r="L84" s="65" t="e">
        <f t="shared" si="3"/>
        <v>#REF!</v>
      </c>
      <c r="M84" s="68" t="e">
        <f t="shared" si="4"/>
        <v>#REF!</v>
      </c>
      <c r="AC84" s="440" t="s">
        <v>2961</v>
      </c>
      <c r="AD84" s="441" t="s">
        <v>722</v>
      </c>
      <c r="AE84" s="442">
        <v>0.73</v>
      </c>
      <c r="AF84" s="443">
        <v>3041</v>
      </c>
    </row>
    <row r="85" spans="1:32" ht="33" thickBot="1">
      <c r="A85" s="24" t="e">
        <f t="shared" si="1"/>
        <v>#REF!</v>
      </c>
      <c r="B85" s="243" t="str">
        <f t="shared" si="5"/>
        <v>BANK OF AMERICA CORP</v>
      </c>
      <c r="C85" s="25" t="str">
        <f t="shared" si="6"/>
        <v>BAC UN</v>
      </c>
      <c r="D85" s="25">
        <v>1</v>
      </c>
      <c r="E85" s="6" t="e">
        <f xml:space="preserve"> [2]!'BBT.US-PreClose'</f>
        <v>#REF!</v>
      </c>
      <c r="F85" s="78">
        <f t="shared" si="7"/>
        <v>51397</v>
      </c>
      <c r="G85" s="49" t="e">
        <f t="shared" si="8"/>
        <v>#REF!</v>
      </c>
      <c r="H85" s="6" t="e">
        <f xml:space="preserve"> [2]!'BBT.US-Price'</f>
        <v>#REF!</v>
      </c>
      <c r="I85" s="6" t="e">
        <f xml:space="preserve"> [2]!'BBT.US-BestBid1'</f>
        <v>#REF!</v>
      </c>
      <c r="J85" s="6" t="e">
        <f xml:space="preserve"> [2]!'BBT.US-BestAsk1'</f>
        <v>#REF!</v>
      </c>
      <c r="K85" s="65" t="e">
        <f t="shared" si="2"/>
        <v>#REF!</v>
      </c>
      <c r="L85" s="65" t="e">
        <f t="shared" si="3"/>
        <v>#REF!</v>
      </c>
      <c r="M85" s="68" t="e">
        <f t="shared" si="4"/>
        <v>#REF!</v>
      </c>
      <c r="AC85" s="444" t="s">
        <v>2962</v>
      </c>
      <c r="AD85" s="445" t="s">
        <v>723</v>
      </c>
      <c r="AE85" s="446">
        <v>1.01</v>
      </c>
      <c r="AF85" s="447">
        <v>51397</v>
      </c>
    </row>
    <row r="86" spans="1:32" ht="33" thickBot="1">
      <c r="A86" s="24" t="e">
        <f t="shared" si="1"/>
        <v>#REF!</v>
      </c>
      <c r="B86" s="243" t="str">
        <f t="shared" si="5"/>
        <v>BAXTER INTERNATIONAL INC</v>
      </c>
      <c r="C86" s="25" t="str">
        <f t="shared" si="6"/>
        <v>BAX UN</v>
      </c>
      <c r="D86" s="25">
        <v>1</v>
      </c>
      <c r="E86" s="6" t="e">
        <f xml:space="preserve"> [2]!'BBY.US-PreClose'</f>
        <v>#REF!</v>
      </c>
      <c r="F86" s="78">
        <f t="shared" si="7"/>
        <v>2758</v>
      </c>
      <c r="G86" s="49" t="e">
        <f t="shared" si="8"/>
        <v>#REF!</v>
      </c>
      <c r="H86" s="6" t="e">
        <f xml:space="preserve"> [2]!'BBY.US-Price'</f>
        <v>#REF!</v>
      </c>
      <c r="I86" s="6" t="e">
        <f xml:space="preserve"> [2]!'BBY.US-BestBid1'</f>
        <v>#REF!</v>
      </c>
      <c r="J86" s="6" t="e">
        <f xml:space="preserve"> [2]!'BBY.US-BestAsk1'</f>
        <v>#REF!</v>
      </c>
      <c r="K86" s="65" t="e">
        <f t="shared" si="2"/>
        <v>#REF!</v>
      </c>
      <c r="L86" s="65" t="e">
        <f t="shared" si="3"/>
        <v>#REF!</v>
      </c>
      <c r="M86" s="68" t="e">
        <f t="shared" si="4"/>
        <v>#REF!</v>
      </c>
      <c r="AC86" s="440" t="s">
        <v>2963</v>
      </c>
      <c r="AD86" s="441" t="s">
        <v>724</v>
      </c>
      <c r="AE86" s="442">
        <v>0.15</v>
      </c>
      <c r="AF86" s="443">
        <v>2758</v>
      </c>
    </row>
    <row r="87" spans="1:32" ht="16.8" thickBot="1">
      <c r="A87" s="24" t="e">
        <f t="shared" ref="A87:A150" si="11">G87/$C$6</f>
        <v>#REF!</v>
      </c>
      <c r="B87" s="243" t="str">
        <f t="shared" si="5"/>
        <v>BB&amp;T CORP</v>
      </c>
      <c r="C87" s="25" t="str">
        <f t="shared" si="6"/>
        <v>BBT UN</v>
      </c>
      <c r="D87" s="25">
        <v>1</v>
      </c>
      <c r="E87" s="6" t="e">
        <f xml:space="preserve"> [2]!'BCR.US-PreClose'</f>
        <v>#REF!</v>
      </c>
      <c r="F87" s="78">
        <f t="shared" si="7"/>
        <v>4452</v>
      </c>
      <c r="G87" s="49" t="e">
        <f t="shared" si="8"/>
        <v>#REF!</v>
      </c>
      <c r="H87" s="6" t="e">
        <f xml:space="preserve"> [2]!'BCR.US-Price'</f>
        <v>#REF!</v>
      </c>
      <c r="I87" s="6" t="e">
        <f xml:space="preserve"> [2]!'BCR.US-BestBid1'</f>
        <v>#REF!</v>
      </c>
      <c r="J87" s="6" t="e">
        <f xml:space="preserve"> [2]!'BCR.US-BestAsk1'</f>
        <v>#REF!</v>
      </c>
      <c r="K87" s="65" t="e">
        <f t="shared" ref="K87:K150" si="12">IF(ISNUMBER(H87)=TRUE,H87*F87*D87,E87*F87*D87)*$N$2</f>
        <v>#REF!</v>
      </c>
      <c r="L87" s="65" t="e">
        <f t="shared" ref="L87:L150" si="13">IF(ISNUMBER(I87)=TRUE,I87*F87*D87,E87*F87*D87)*$N$2</f>
        <v>#REF!</v>
      </c>
      <c r="M87" s="68" t="e">
        <f t="shared" ref="M87:M150" si="14">IF(ISNUMBER(J87)=TRUE,J87*F87*D87,E87*F87*D87)*$N$2</f>
        <v>#REF!</v>
      </c>
      <c r="AC87" s="444" t="s">
        <v>2964</v>
      </c>
      <c r="AD87" s="445" t="s">
        <v>725</v>
      </c>
      <c r="AE87" s="446">
        <v>0.15</v>
      </c>
      <c r="AF87" s="447">
        <v>4452</v>
      </c>
    </row>
    <row r="88" spans="1:32" ht="22.2" thickBot="1">
      <c r="A88" s="24" t="e">
        <f t="shared" si="11"/>
        <v>#REF!</v>
      </c>
      <c r="B88" s="243" t="str">
        <f t="shared" si="5"/>
        <v>BEST BUY CO INC</v>
      </c>
      <c r="C88" s="25" t="str">
        <f t="shared" si="6"/>
        <v>BBY UN</v>
      </c>
      <c r="D88" s="25">
        <v>1</v>
      </c>
      <c r="E88" s="6" t="e">
        <f xml:space="preserve"> [2]!'BDX.US-PreClose'</f>
        <v>#REF!</v>
      </c>
      <c r="F88" s="78">
        <f t="shared" si="7"/>
        <v>1350</v>
      </c>
      <c r="G88" s="49" t="e">
        <f t="shared" si="8"/>
        <v>#REF!</v>
      </c>
      <c r="H88" s="6" t="e">
        <f xml:space="preserve"> [2]!'BDX.US-Price'</f>
        <v>#REF!</v>
      </c>
      <c r="I88" s="6" t="e">
        <f xml:space="preserve"> [2]!'BDX.US-BestBid1'</f>
        <v>#REF!</v>
      </c>
      <c r="J88" s="6" t="e">
        <f xml:space="preserve"> [2]!'BDX.US-BestAsk1'</f>
        <v>#REF!</v>
      </c>
      <c r="K88" s="65" t="e">
        <f t="shared" si="12"/>
        <v>#REF!</v>
      </c>
      <c r="L88" s="65" t="e">
        <f t="shared" si="13"/>
        <v>#REF!</v>
      </c>
      <c r="M88" s="68" t="e">
        <f t="shared" si="14"/>
        <v>#REF!</v>
      </c>
      <c r="AC88" s="440" t="s">
        <v>2965</v>
      </c>
      <c r="AD88" s="441" t="s">
        <v>726</v>
      </c>
      <c r="AE88" s="442">
        <v>7.0000000000000007E-2</v>
      </c>
      <c r="AF88" s="443">
        <v>1350</v>
      </c>
    </row>
    <row r="89" spans="1:32" ht="33" thickBot="1">
      <c r="A89" s="24" t="e">
        <f t="shared" si="11"/>
        <v>#REF!</v>
      </c>
      <c r="B89" s="243" t="str">
        <f t="shared" ref="B89:B152" si="15">AD89</f>
        <v>BECTON DICKINSON AND CO</v>
      </c>
      <c r="C89" s="25" t="str">
        <f t="shared" ref="C89:C152" si="16">AC89</f>
        <v>BDX UN</v>
      </c>
      <c r="D89" s="25">
        <v>1</v>
      </c>
      <c r="E89" s="6" t="e">
        <f xml:space="preserve"> [2]!'BEN.US-PreClose'</f>
        <v>#REF!</v>
      </c>
      <c r="F89" s="78">
        <f t="shared" ref="F89:F152" si="17">VLOOKUP($C89,$AC$24:$AF$550,4,FALSE)</f>
        <v>1568</v>
      </c>
      <c r="G89" s="49" t="e">
        <f t="shared" ref="G89:G152" si="18">D89*E89*F89*$O$2</f>
        <v>#REF!</v>
      </c>
      <c r="H89" s="6" t="e">
        <f xml:space="preserve"> [2]!'BEN.US-Price'</f>
        <v>#REF!</v>
      </c>
      <c r="I89" s="6" t="e">
        <f xml:space="preserve"> [2]!'BEN.US-BestBid1'</f>
        <v>#REF!</v>
      </c>
      <c r="J89" s="6" t="e">
        <f xml:space="preserve"> [2]!'BEN.US-BestAsk1'</f>
        <v>#REF!</v>
      </c>
      <c r="K89" s="65" t="e">
        <f t="shared" si="12"/>
        <v>#REF!</v>
      </c>
      <c r="L89" s="65" t="e">
        <f t="shared" si="13"/>
        <v>#REF!</v>
      </c>
      <c r="M89" s="68" t="e">
        <f t="shared" si="14"/>
        <v>#REF!</v>
      </c>
      <c r="AC89" s="444" t="s">
        <v>2966</v>
      </c>
      <c r="AD89" s="445" t="s">
        <v>727</v>
      </c>
      <c r="AE89" s="446">
        <v>0.27</v>
      </c>
      <c r="AF89" s="447">
        <v>1568</v>
      </c>
    </row>
    <row r="90" spans="1:32" ht="33" thickBot="1">
      <c r="A90" s="24" t="e">
        <f t="shared" si="11"/>
        <v>#REF!</v>
      </c>
      <c r="B90" s="243" t="str">
        <f t="shared" si="15"/>
        <v>FRANKLIN RESOURCES INC</v>
      </c>
      <c r="C90" s="25" t="str">
        <f t="shared" si="16"/>
        <v>BEN UN</v>
      </c>
      <c r="D90" s="25">
        <v>1</v>
      </c>
      <c r="E90" s="6" t="e">
        <f xml:space="preserve"> [2]!'BF.B.US-PreClose'</f>
        <v>#REF!</v>
      </c>
      <c r="F90" s="78">
        <f t="shared" si="17"/>
        <v>1711</v>
      </c>
      <c r="G90" s="49" t="e">
        <f t="shared" si="18"/>
        <v>#REF!</v>
      </c>
      <c r="H90" s="6" t="e">
        <f xml:space="preserve"> [2]!'BF.B.US-Price'</f>
        <v>#REF!</v>
      </c>
      <c r="I90" s="6" t="e">
        <f xml:space="preserve"> [2]!'BF.B.US-BestBid1'</f>
        <v>#REF!</v>
      </c>
      <c r="J90" s="6" t="e">
        <f xml:space="preserve"> [2]!'BF.B.US-BestAsk1'</f>
        <v>#REF!</v>
      </c>
      <c r="K90" s="65" t="e">
        <f t="shared" si="12"/>
        <v>#REF!</v>
      </c>
      <c r="L90" s="65" t="e">
        <f t="shared" si="13"/>
        <v>#REF!</v>
      </c>
      <c r="M90" s="68" t="e">
        <f t="shared" si="14"/>
        <v>#REF!</v>
      </c>
      <c r="AC90" s="440" t="s">
        <v>2967</v>
      </c>
      <c r="AD90" s="441" t="s">
        <v>728</v>
      </c>
      <c r="AE90" s="442">
        <v>0.04</v>
      </c>
      <c r="AF90" s="443">
        <v>1711</v>
      </c>
    </row>
    <row r="91" spans="1:32" ht="43.8" thickBot="1">
      <c r="A91" s="24" t="e">
        <f t="shared" si="11"/>
        <v>#REF!</v>
      </c>
      <c r="B91" s="243" t="str">
        <f t="shared" si="15"/>
        <v>BROWN-FORMAN CORP-CLASS B</v>
      </c>
      <c r="C91" s="25" t="str">
        <f t="shared" si="16"/>
        <v>BF/B UN</v>
      </c>
      <c r="D91" s="25">
        <v>1</v>
      </c>
      <c r="E91" s="6" t="e">
        <f xml:space="preserve"> [2]!'BHF.US-PreClose'</f>
        <v>#REF!</v>
      </c>
      <c r="F91" s="78">
        <f t="shared" si="17"/>
        <v>967</v>
      </c>
      <c r="G91" s="49" t="e">
        <f t="shared" si="18"/>
        <v>#REF!</v>
      </c>
      <c r="H91" s="6" t="e">
        <f xml:space="preserve"> [2]!'BHF.US-Price'</f>
        <v>#REF!</v>
      </c>
      <c r="I91" s="6" t="e">
        <f xml:space="preserve"> [2]!'BHF.US-BestBid1'</f>
        <v>#REF!</v>
      </c>
      <c r="J91" s="6" t="e">
        <f xml:space="preserve"> [2]!'BHF.US-BestAsk1'</f>
        <v>#REF!</v>
      </c>
      <c r="K91" s="65" t="e">
        <f t="shared" si="12"/>
        <v>#REF!</v>
      </c>
      <c r="L91" s="65" t="e">
        <f t="shared" si="13"/>
        <v>#REF!</v>
      </c>
      <c r="M91" s="68" t="e">
        <f t="shared" si="14"/>
        <v>#REF!</v>
      </c>
      <c r="AC91" s="444" t="s">
        <v>2968</v>
      </c>
      <c r="AD91" s="445" t="s">
        <v>729</v>
      </c>
      <c r="AE91" s="446">
        <v>0.04</v>
      </c>
      <c r="AF91" s="446">
        <v>967</v>
      </c>
    </row>
    <row r="92" spans="1:32" ht="33" thickBot="1">
      <c r="A92" s="24" t="e">
        <f t="shared" si="11"/>
        <v>#REF!</v>
      </c>
      <c r="B92" s="243" t="str">
        <f t="shared" si="15"/>
        <v>BAKER HUGHES A GE CO</v>
      </c>
      <c r="C92" s="25" t="str">
        <f t="shared" si="16"/>
        <v>BHGE UN</v>
      </c>
      <c r="D92" s="25">
        <v>1</v>
      </c>
      <c r="E92" s="6" t="e">
        <f xml:space="preserve"> [2]!'BHGE.US-PreClose'</f>
        <v>#REF!</v>
      </c>
      <c r="F92" s="78">
        <f t="shared" si="17"/>
        <v>2993</v>
      </c>
      <c r="G92" s="49" t="e">
        <f t="shared" si="18"/>
        <v>#REF!</v>
      </c>
      <c r="H92" s="6" t="e">
        <f xml:space="preserve"> [2]!'BHGE.US-Price'</f>
        <v>#REF!</v>
      </c>
      <c r="I92" s="6" t="e">
        <f xml:space="preserve"> [2]!'BHGE.US-BestBid1'</f>
        <v>#REF!</v>
      </c>
      <c r="J92" s="6" t="e">
        <f xml:space="preserve"> [2]!'BHGE.US-BestAsk1'</f>
        <v>#REF!</v>
      </c>
      <c r="K92" s="65" t="e">
        <f t="shared" si="12"/>
        <v>#REF!</v>
      </c>
      <c r="L92" s="65" t="e">
        <f t="shared" si="13"/>
        <v>#REF!</v>
      </c>
      <c r="M92" s="68" t="e">
        <f t="shared" si="14"/>
        <v>#REF!</v>
      </c>
      <c r="AC92" s="440" t="s">
        <v>2969</v>
      </c>
      <c r="AD92" s="441" t="s">
        <v>730</v>
      </c>
      <c r="AE92" s="442">
        <v>0.05</v>
      </c>
      <c r="AF92" s="443">
        <v>2993</v>
      </c>
    </row>
    <row r="93" spans="1:32" ht="22.2" thickBot="1">
      <c r="A93" s="24" t="e">
        <f t="shared" si="11"/>
        <v>#REF!</v>
      </c>
      <c r="B93" s="243" t="str">
        <f t="shared" si="15"/>
        <v>BIOGEN INC</v>
      </c>
      <c r="C93" s="25" t="str">
        <f t="shared" si="16"/>
        <v>BIIB UQ</v>
      </c>
      <c r="D93" s="25">
        <v>1</v>
      </c>
      <c r="E93" s="6" t="e">
        <f xml:space="preserve"> [2]!'BIIB.US-PreClose'</f>
        <v>#REF!</v>
      </c>
      <c r="F93" s="78">
        <f t="shared" si="17"/>
        <v>1127</v>
      </c>
      <c r="G93" s="49" t="e">
        <f t="shared" si="18"/>
        <v>#REF!</v>
      </c>
      <c r="H93" s="6" t="e">
        <f xml:space="preserve"> [2]!'BIIB.US-Price'</f>
        <v>#REF!</v>
      </c>
      <c r="I93" s="6" t="e">
        <f xml:space="preserve"> [2]!'BIIB.US-BestBid1'</f>
        <v>#REF!</v>
      </c>
      <c r="J93" s="6" t="e">
        <f xml:space="preserve"> [2]!'BIIB.US-BestAsk1'</f>
        <v>#REF!</v>
      </c>
      <c r="K93" s="65" t="e">
        <f t="shared" si="12"/>
        <v>#REF!</v>
      </c>
      <c r="L93" s="65" t="e">
        <f t="shared" si="13"/>
        <v>#REF!</v>
      </c>
      <c r="M93" s="68" t="e">
        <f t="shared" si="14"/>
        <v>#REF!</v>
      </c>
      <c r="AC93" s="444" t="s">
        <v>2970</v>
      </c>
      <c r="AD93" s="445" t="s">
        <v>731</v>
      </c>
      <c r="AE93" s="446">
        <v>0.17</v>
      </c>
      <c r="AF93" s="447">
        <v>1127</v>
      </c>
    </row>
    <row r="94" spans="1:32" ht="43.8" thickBot="1">
      <c r="A94" s="24" t="e">
        <f t="shared" si="11"/>
        <v>#REF!</v>
      </c>
      <c r="B94" s="243" t="str">
        <f t="shared" si="15"/>
        <v>BANK OF NEW YORK MELLON CORP</v>
      </c>
      <c r="C94" s="25" t="str">
        <f t="shared" si="16"/>
        <v>BK UN</v>
      </c>
      <c r="D94" s="25">
        <v>1</v>
      </c>
      <c r="E94" s="6" t="e">
        <f xml:space="preserve"> [2]!'BK.US-PreClose'</f>
        <v>#REF!</v>
      </c>
      <c r="F94" s="78">
        <f t="shared" si="17"/>
        <v>5120</v>
      </c>
      <c r="G94" s="49" t="e">
        <f t="shared" si="18"/>
        <v>#REF!</v>
      </c>
      <c r="H94" s="6" t="e">
        <f xml:space="preserve"> [2]!'BK.US-Price'</f>
        <v>#REF!</v>
      </c>
      <c r="I94" s="6" t="e">
        <f xml:space="preserve"> [2]!'BK.US-BestBid1'</f>
        <v>#REF!</v>
      </c>
      <c r="J94" s="6" t="e">
        <f xml:space="preserve"> [2]!'BK.US-BestAsk1'</f>
        <v>#REF!</v>
      </c>
      <c r="K94" s="65" t="e">
        <f t="shared" si="12"/>
        <v>#REF!</v>
      </c>
      <c r="L94" s="65" t="e">
        <f t="shared" si="13"/>
        <v>#REF!</v>
      </c>
      <c r="M94" s="68" t="e">
        <f t="shared" si="14"/>
        <v>#REF!</v>
      </c>
      <c r="AC94" s="440" t="s">
        <v>2971</v>
      </c>
      <c r="AD94" s="441" t="s">
        <v>732</v>
      </c>
      <c r="AE94" s="442">
        <v>0.15</v>
      </c>
      <c r="AF94" s="443">
        <v>5120</v>
      </c>
    </row>
    <row r="95" spans="1:32" ht="33" thickBot="1">
      <c r="A95" s="24" t="e">
        <f t="shared" si="11"/>
        <v>#REF!</v>
      </c>
      <c r="B95" s="243" t="str">
        <f t="shared" si="15"/>
        <v>BOOKING HOLDINGS INC</v>
      </c>
      <c r="C95" s="25" t="str">
        <f t="shared" si="16"/>
        <v>BKNG UQ</v>
      </c>
      <c r="D95" s="25">
        <v>1</v>
      </c>
      <c r="E95" s="6" t="e">
        <f xml:space="preserve"> [2]!'BLK.US-PreClose'</f>
        <v>#REF!</v>
      </c>
      <c r="F95" s="78">
        <f t="shared" si="17"/>
        <v>252</v>
      </c>
      <c r="G95" s="49" t="e">
        <f t="shared" si="18"/>
        <v>#REF!</v>
      </c>
      <c r="H95" s="6" t="e">
        <f xml:space="preserve"> [2]!'BLK.US-Price'</f>
        <v>#REF!</v>
      </c>
      <c r="I95" s="6" t="e">
        <f xml:space="preserve"> [2]!'BLK.US-BestBid1'</f>
        <v>#REF!</v>
      </c>
      <c r="J95" s="6" t="e">
        <f xml:space="preserve"> [2]!'BLK.US-BestAsk1'</f>
        <v>#REF!</v>
      </c>
      <c r="K95" s="65" t="e">
        <f t="shared" si="12"/>
        <v>#REF!</v>
      </c>
      <c r="L95" s="65" t="e">
        <f t="shared" si="13"/>
        <v>#REF!</v>
      </c>
      <c r="M95" s="68" t="e">
        <f t="shared" si="14"/>
        <v>#REF!</v>
      </c>
      <c r="AC95" s="444" t="s">
        <v>2972</v>
      </c>
      <c r="AD95" s="445" t="s">
        <v>2973</v>
      </c>
      <c r="AE95" s="446">
        <v>0.32</v>
      </c>
      <c r="AF95" s="446">
        <v>252</v>
      </c>
    </row>
    <row r="96" spans="1:32" ht="22.2" thickBot="1">
      <c r="A96" s="24" t="e">
        <f t="shared" si="11"/>
        <v>#REF!</v>
      </c>
      <c r="B96" s="243" t="str">
        <f t="shared" si="15"/>
        <v>BLACKROCK INC</v>
      </c>
      <c r="C96" s="25" t="str">
        <f t="shared" si="16"/>
        <v>BLK UN</v>
      </c>
      <c r="D96" s="25">
        <v>1</v>
      </c>
      <c r="E96" s="6" t="e">
        <f xml:space="preserve"> [2]!'BLL.US-PreClose'</f>
        <v>#REF!</v>
      </c>
      <c r="F96" s="78">
        <f t="shared" si="17"/>
        <v>692</v>
      </c>
      <c r="G96" s="49" t="e">
        <f t="shared" si="18"/>
        <v>#REF!</v>
      </c>
      <c r="H96" s="6" t="e">
        <f xml:space="preserve"> [2]!'BLL.US-Price'</f>
        <v>#REF!</v>
      </c>
      <c r="I96" s="6" t="e">
        <f xml:space="preserve"> [2]!'BLL.US-BestBid1'</f>
        <v>#REF!</v>
      </c>
      <c r="J96" s="6" t="e">
        <f xml:space="preserve"> [2]!'BLL.US-BestAsk1'</f>
        <v>#REF!</v>
      </c>
      <c r="K96" s="65" t="e">
        <f t="shared" si="12"/>
        <v>#REF!</v>
      </c>
      <c r="L96" s="65" t="e">
        <f t="shared" si="13"/>
        <v>#REF!</v>
      </c>
      <c r="M96" s="68" t="e">
        <f t="shared" si="14"/>
        <v>#REF!</v>
      </c>
      <c r="AC96" s="440" t="s">
        <v>2974</v>
      </c>
      <c r="AD96" s="441" t="s">
        <v>733</v>
      </c>
      <c r="AE96" s="442">
        <v>0.22</v>
      </c>
      <c r="AF96" s="442">
        <v>692</v>
      </c>
    </row>
    <row r="97" spans="1:32" ht="16.8" thickBot="1">
      <c r="A97" s="24" t="e">
        <f t="shared" si="11"/>
        <v>#REF!</v>
      </c>
      <c r="B97" s="243" t="str">
        <f t="shared" si="15"/>
        <v>BALL CORP</v>
      </c>
      <c r="C97" s="25" t="str">
        <f t="shared" si="16"/>
        <v>BLL UN</v>
      </c>
      <c r="D97" s="25">
        <v>1</v>
      </c>
      <c r="E97" s="6" t="e">
        <f xml:space="preserve"> [2]!'BMY.US-PreClose'</f>
        <v>#REF!</v>
      </c>
      <c r="F97" s="78">
        <f t="shared" si="17"/>
        <v>1946</v>
      </c>
      <c r="G97" s="49" t="e">
        <f t="shared" si="18"/>
        <v>#REF!</v>
      </c>
      <c r="H97" s="6" t="e">
        <f xml:space="preserve"> [2]!'BMY.US-Price'</f>
        <v>#REF!</v>
      </c>
      <c r="I97" s="6" t="e">
        <f xml:space="preserve"> [2]!'BMY.US-BestBid1'</f>
        <v>#REF!</v>
      </c>
      <c r="J97" s="6" t="e">
        <f xml:space="preserve"> [2]!'BMY.US-BestAsk1'</f>
        <v>#REF!</v>
      </c>
      <c r="K97" s="65" t="e">
        <f t="shared" si="12"/>
        <v>#REF!</v>
      </c>
      <c r="L97" s="65" t="e">
        <f t="shared" si="13"/>
        <v>#REF!</v>
      </c>
      <c r="M97" s="68" t="e">
        <f t="shared" si="14"/>
        <v>#REF!</v>
      </c>
      <c r="AC97" s="444" t="s">
        <v>2975</v>
      </c>
      <c r="AD97" s="445" t="s">
        <v>734</v>
      </c>
      <c r="AE97" s="446">
        <v>0.09</v>
      </c>
      <c r="AF97" s="447">
        <v>1946</v>
      </c>
    </row>
    <row r="98" spans="1:32" ht="33" thickBot="1">
      <c r="A98" s="24" t="e">
        <f t="shared" si="11"/>
        <v>#REF!</v>
      </c>
      <c r="B98" s="243" t="str">
        <f t="shared" si="15"/>
        <v>BRISTOL-MYERS SQUIBB CO</v>
      </c>
      <c r="C98" s="25" t="str">
        <f t="shared" si="16"/>
        <v>BMY UN</v>
      </c>
      <c r="D98" s="25">
        <v>1</v>
      </c>
      <c r="E98" s="6" t="e">
        <f xml:space="preserve"> [2]!'BRK.B.US-PreClose'</f>
        <v>#REF!</v>
      </c>
      <c r="F98" s="78">
        <f t="shared" si="17"/>
        <v>9508</v>
      </c>
      <c r="G98" s="49" t="e">
        <f t="shared" si="18"/>
        <v>#REF!</v>
      </c>
      <c r="H98" s="6" t="e">
        <f xml:space="preserve"> [2]!'BRK.B.US-Price'</f>
        <v>#REF!</v>
      </c>
      <c r="I98" s="6" t="e">
        <f xml:space="preserve"> [2]!'BRK.B.US-BestBid1'</f>
        <v>#REF!</v>
      </c>
      <c r="J98" s="6" t="e">
        <f xml:space="preserve"> [2]!'BRK.B.US-BestAsk1'</f>
        <v>#REF!</v>
      </c>
      <c r="K98" s="65" t="e">
        <f t="shared" si="12"/>
        <v>#REF!</v>
      </c>
      <c r="L98" s="65" t="e">
        <f t="shared" si="13"/>
        <v>#REF!</v>
      </c>
      <c r="M98" s="68" t="e">
        <f t="shared" si="14"/>
        <v>#REF!</v>
      </c>
      <c r="AC98" s="440" t="s">
        <v>2976</v>
      </c>
      <c r="AD98" s="441" t="s">
        <v>735</v>
      </c>
      <c r="AE98" s="442">
        <v>0.28000000000000003</v>
      </c>
      <c r="AF98" s="443">
        <v>9508</v>
      </c>
    </row>
    <row r="99" spans="1:32" ht="43.8" thickBot="1">
      <c r="A99" s="24" t="e">
        <f t="shared" si="11"/>
        <v>#REF!</v>
      </c>
      <c r="B99" s="243" t="str">
        <f t="shared" si="15"/>
        <v>BROADRIDGE FINANCIAL SOLUTIO</v>
      </c>
      <c r="C99" s="25" t="str">
        <f t="shared" si="16"/>
        <v>BR UN</v>
      </c>
      <c r="D99" s="25">
        <v>1</v>
      </c>
      <c r="E99" s="6" t="e">
        <f xml:space="preserve"> [2]!'BSX.US-PreClose'</f>
        <v>#REF!</v>
      </c>
      <c r="F99" s="78">
        <f t="shared" si="17"/>
        <v>675</v>
      </c>
      <c r="G99" s="49" t="e">
        <f t="shared" si="18"/>
        <v>#REF!</v>
      </c>
      <c r="H99" s="6" t="e">
        <f xml:space="preserve"> [2]!'BSX.US-Price'</f>
        <v>#REF!</v>
      </c>
      <c r="I99" s="6" t="e">
        <f xml:space="preserve"> [2]!'BSX.US-BestBid1'</f>
        <v>#REF!</v>
      </c>
      <c r="J99" s="6" t="e">
        <f xml:space="preserve"> [2]!'BSX.US-BestAsk1'</f>
        <v>#REF!</v>
      </c>
      <c r="K99" s="65" t="e">
        <f t="shared" si="12"/>
        <v>#REF!</v>
      </c>
      <c r="L99" s="65" t="e">
        <f t="shared" si="13"/>
        <v>#REF!</v>
      </c>
      <c r="M99" s="68" t="e">
        <f t="shared" si="14"/>
        <v>#REF!</v>
      </c>
      <c r="AC99" s="444" t="s">
        <v>2977</v>
      </c>
      <c r="AD99" s="445" t="s">
        <v>2978</v>
      </c>
      <c r="AE99" s="446">
        <v>0.06</v>
      </c>
      <c r="AF99" s="446">
        <v>675</v>
      </c>
    </row>
    <row r="100" spans="1:32" ht="33" thickBot="1">
      <c r="A100" s="24" t="e">
        <f t="shared" si="11"/>
        <v>#REF!</v>
      </c>
      <c r="B100" s="243" t="str">
        <f t="shared" si="15"/>
        <v>BERKSHIRE HATHAWAY INC-CL B</v>
      </c>
      <c r="C100" s="25" t="str">
        <f t="shared" si="16"/>
        <v>BRK/B UN</v>
      </c>
      <c r="D100" s="25">
        <v>1</v>
      </c>
      <c r="E100" s="6" t="e">
        <f xml:space="preserve"> [2]!'BWA.US-PreClose'</f>
        <v>#REF!</v>
      </c>
      <c r="F100" s="78">
        <f t="shared" si="17"/>
        <v>11263</v>
      </c>
      <c r="G100" s="49" t="e">
        <f t="shared" si="18"/>
        <v>#REF!</v>
      </c>
      <c r="H100" s="6" t="e">
        <f xml:space="preserve"> [2]!'BWA.US-Price'</f>
        <v>#REF!</v>
      </c>
      <c r="I100" s="6" t="e">
        <f xml:space="preserve"> [2]!'BWA.US-BestBid1'</f>
        <v>#REF!</v>
      </c>
      <c r="J100" s="6" t="e">
        <f xml:space="preserve"> [2]!'BWA.US-BestAsk1'</f>
        <v>#REF!</v>
      </c>
      <c r="K100" s="65" t="e">
        <f t="shared" si="12"/>
        <v>#REF!</v>
      </c>
      <c r="L100" s="65" t="e">
        <f t="shared" si="13"/>
        <v>#REF!</v>
      </c>
      <c r="M100" s="68" t="e">
        <f t="shared" si="14"/>
        <v>#REF!</v>
      </c>
      <c r="AC100" s="440" t="s">
        <v>2979</v>
      </c>
      <c r="AD100" s="441" t="s">
        <v>736</v>
      </c>
      <c r="AE100" s="442">
        <v>1.6</v>
      </c>
      <c r="AF100" s="443">
        <v>11263</v>
      </c>
    </row>
    <row r="101" spans="1:32" ht="33" thickBot="1">
      <c r="A101" s="24" t="e">
        <f t="shared" si="11"/>
        <v>#REF!</v>
      </c>
      <c r="B101" s="243" t="str">
        <f t="shared" si="15"/>
        <v>BOSTON SCIENTIFIC CORP</v>
      </c>
      <c r="C101" s="25" t="str">
        <f t="shared" si="16"/>
        <v>BSX UN</v>
      </c>
      <c r="D101" s="25">
        <v>1</v>
      </c>
      <c r="E101" s="6" t="e">
        <f xml:space="preserve"> [2]!'BXP.US-PreClose'</f>
        <v>#REF!</v>
      </c>
      <c r="F101" s="78">
        <f t="shared" si="17"/>
        <v>8083</v>
      </c>
      <c r="G101" s="49" t="e">
        <f t="shared" si="18"/>
        <v>#REF!</v>
      </c>
      <c r="H101" s="6" t="e">
        <f xml:space="preserve"> [2]!'BXP.US-Price'</f>
        <v>#REF!</v>
      </c>
      <c r="I101" s="6" t="e">
        <f xml:space="preserve"> [2]!'BXP.US-BestBid1'</f>
        <v>#REF!</v>
      </c>
      <c r="J101" s="6" t="e">
        <f xml:space="preserve"> [2]!'BXP.US-BestAsk1'</f>
        <v>#REF!</v>
      </c>
      <c r="K101" s="65" t="e">
        <f t="shared" si="12"/>
        <v>#REF!</v>
      </c>
      <c r="L101" s="65" t="e">
        <f t="shared" si="13"/>
        <v>#REF!</v>
      </c>
      <c r="M101" s="68" t="e">
        <f t="shared" si="14"/>
        <v>#REF!</v>
      </c>
      <c r="AC101" s="444" t="s">
        <v>2980</v>
      </c>
      <c r="AD101" s="445" t="s">
        <v>737</v>
      </c>
      <c r="AE101" s="446">
        <v>0.23</v>
      </c>
      <c r="AF101" s="447">
        <v>8083</v>
      </c>
    </row>
    <row r="102" spans="1:32" ht="22.2" thickBot="1">
      <c r="A102" s="24" t="e">
        <f t="shared" si="11"/>
        <v>#REF!</v>
      </c>
      <c r="B102" s="243" t="str">
        <f t="shared" si="15"/>
        <v>BORGWARNER INC</v>
      </c>
      <c r="C102" s="25" t="str">
        <f t="shared" si="16"/>
        <v>BWA UN</v>
      </c>
      <c r="D102" s="25">
        <v>1</v>
      </c>
      <c r="E102" s="6" t="e">
        <f xml:space="preserve"> [2]!'C.US-PreClose'</f>
        <v>#REF!</v>
      </c>
      <c r="F102" s="78">
        <f t="shared" si="17"/>
        <v>1205</v>
      </c>
      <c r="G102" s="49" t="e">
        <f t="shared" si="18"/>
        <v>#REF!</v>
      </c>
      <c r="H102" s="6" t="e">
        <f xml:space="preserve"> [2]!'C.US-Price'</f>
        <v>#REF!</v>
      </c>
      <c r="I102" s="6" t="e">
        <f xml:space="preserve"> [2]!'C.US-BestBid1'</f>
        <v>#REF!</v>
      </c>
      <c r="J102" s="6" t="e">
        <f xml:space="preserve"> [2]!'C.US-BestAsk1'</f>
        <v>#REF!</v>
      </c>
      <c r="K102" s="65" t="e">
        <f t="shared" si="12"/>
        <v>#REF!</v>
      </c>
      <c r="L102" s="65" t="e">
        <f t="shared" si="13"/>
        <v>#REF!</v>
      </c>
      <c r="M102" s="68" t="e">
        <f t="shared" si="14"/>
        <v>#REF!</v>
      </c>
      <c r="AC102" s="440" t="s">
        <v>2981</v>
      </c>
      <c r="AD102" s="441" t="s">
        <v>738</v>
      </c>
      <c r="AE102" s="442">
        <v>0.03</v>
      </c>
      <c r="AF102" s="443">
        <v>1205</v>
      </c>
    </row>
    <row r="103" spans="1:32" ht="33" thickBot="1">
      <c r="A103" s="24" t="e">
        <f t="shared" si="11"/>
        <v>#REF!</v>
      </c>
      <c r="B103" s="243" t="str">
        <f t="shared" si="15"/>
        <v>BOSTON PROPERTIES INC</v>
      </c>
      <c r="C103" s="25" t="str">
        <f t="shared" si="16"/>
        <v>BXP UN</v>
      </c>
      <c r="D103" s="25">
        <v>1</v>
      </c>
      <c r="E103" s="6" t="e">
        <f xml:space="preserve"> [2]!'CA.US-PreClose'</f>
        <v>#REF!</v>
      </c>
      <c r="F103" s="78">
        <f t="shared" si="17"/>
        <v>898</v>
      </c>
      <c r="G103" s="49" t="e">
        <f t="shared" si="18"/>
        <v>#REF!</v>
      </c>
      <c r="H103" s="6" t="e">
        <f xml:space="preserve"> [2]!'CA.US-Price'</f>
        <v>#REF!</v>
      </c>
      <c r="I103" s="6" t="e">
        <f xml:space="preserve"> [2]!'CA.US-BestBid1'</f>
        <v>#REF!</v>
      </c>
      <c r="J103" s="6" t="e">
        <f xml:space="preserve"> [2]!'CA.US-BestAsk1'</f>
        <v>#REF!</v>
      </c>
      <c r="K103" s="65" t="e">
        <f t="shared" si="12"/>
        <v>#REF!</v>
      </c>
      <c r="L103" s="65" t="e">
        <f t="shared" si="13"/>
        <v>#REF!</v>
      </c>
      <c r="M103" s="68" t="e">
        <f t="shared" si="14"/>
        <v>#REF!</v>
      </c>
      <c r="AC103" s="444" t="s">
        <v>2982</v>
      </c>
      <c r="AD103" s="445" t="s">
        <v>739</v>
      </c>
      <c r="AE103" s="446">
        <v>0.08</v>
      </c>
      <c r="AF103" s="446">
        <v>898</v>
      </c>
    </row>
    <row r="104" spans="1:32" ht="22.2" thickBot="1">
      <c r="A104" s="24" t="e">
        <f t="shared" si="11"/>
        <v>#REF!</v>
      </c>
      <c r="B104" s="243" t="str">
        <f t="shared" si="15"/>
        <v>CITIGROUP INC</v>
      </c>
      <c r="C104" s="25" t="str">
        <f t="shared" si="16"/>
        <v>C UN</v>
      </c>
      <c r="D104" s="25">
        <v>1</v>
      </c>
      <c r="E104" s="6" t="e">
        <f xml:space="preserve"> [2]!'CAG.US-PreClose'</f>
        <v>#REF!</v>
      </c>
      <c r="F104" s="78">
        <f t="shared" si="17"/>
        <v>13441</v>
      </c>
      <c r="G104" s="49" t="e">
        <f t="shared" si="18"/>
        <v>#REF!</v>
      </c>
      <c r="H104" s="6" t="e">
        <f xml:space="preserve"> [2]!'CAG.US-Price'</f>
        <v>#REF!</v>
      </c>
      <c r="I104" s="6" t="e">
        <f xml:space="preserve"> [2]!'CAG.US-BestBid1'</f>
        <v>#REF!</v>
      </c>
      <c r="J104" s="6" t="e">
        <f xml:space="preserve"> [2]!'CAG.US-BestAsk1'</f>
        <v>#REF!</v>
      </c>
      <c r="K104" s="65" t="e">
        <f t="shared" si="12"/>
        <v>#REF!</v>
      </c>
      <c r="L104" s="65" t="e">
        <f t="shared" si="13"/>
        <v>#REF!</v>
      </c>
      <c r="M104" s="68" t="e">
        <f t="shared" si="14"/>
        <v>#REF!</v>
      </c>
      <c r="AC104" s="440" t="s">
        <v>2983</v>
      </c>
      <c r="AD104" s="441" t="s">
        <v>740</v>
      </c>
      <c r="AE104" s="442">
        <v>0.64</v>
      </c>
      <c r="AF104" s="443">
        <v>13441</v>
      </c>
    </row>
    <row r="105" spans="1:32" ht="33" thickBot="1">
      <c r="A105" s="24" t="e">
        <f t="shared" si="11"/>
        <v>#REF!</v>
      </c>
      <c r="B105" s="243" t="str">
        <f t="shared" si="15"/>
        <v>CONAGRA BRANDS INC</v>
      </c>
      <c r="C105" s="25" t="str">
        <f t="shared" si="16"/>
        <v>CAG UN</v>
      </c>
      <c r="D105" s="25">
        <v>1</v>
      </c>
      <c r="E105" s="6" t="e">
        <f xml:space="preserve"> [2]!'CAH.US-PreClose'</f>
        <v>#REF!</v>
      </c>
      <c r="F105" s="78">
        <f t="shared" si="17"/>
        <v>2824</v>
      </c>
      <c r="G105" s="49" t="e">
        <f t="shared" si="18"/>
        <v>#REF!</v>
      </c>
      <c r="H105" s="6" t="e">
        <f xml:space="preserve"> [2]!'CAH.US-Price'</f>
        <v>#REF!</v>
      </c>
      <c r="I105" s="6" t="e">
        <f xml:space="preserve"> [2]!'CAH.US-BestBid1'</f>
        <v>#REF!</v>
      </c>
      <c r="J105" s="6" t="e">
        <f xml:space="preserve"> [2]!'CAH.US-BestAsk1'</f>
        <v>#REF!</v>
      </c>
      <c r="K105" s="65" t="e">
        <f t="shared" si="12"/>
        <v>#REF!</v>
      </c>
      <c r="L105" s="65" t="e">
        <f t="shared" si="13"/>
        <v>#REF!</v>
      </c>
      <c r="M105" s="68" t="e">
        <f t="shared" si="14"/>
        <v>#REF!</v>
      </c>
      <c r="AC105" s="444" t="s">
        <v>2984</v>
      </c>
      <c r="AD105" s="445" t="s">
        <v>741</v>
      </c>
      <c r="AE105" s="446">
        <v>0.05</v>
      </c>
      <c r="AF105" s="447">
        <v>2824</v>
      </c>
    </row>
    <row r="106" spans="1:32" ht="33" thickBot="1">
      <c r="A106" s="24" t="e">
        <f t="shared" si="11"/>
        <v>#VALUE!</v>
      </c>
      <c r="B106" s="243" t="str">
        <f t="shared" si="15"/>
        <v>CARDINAL HEALTH INC</v>
      </c>
      <c r="C106" s="25" t="str">
        <f t="shared" si="16"/>
        <v>CAH UN</v>
      </c>
      <c r="D106" s="25">
        <v>1</v>
      </c>
      <c r="E106" s="6" t="str">
        <f xml:space="preserve"> [2]!'CAT.US-PreClose'</f>
        <v>N/A</v>
      </c>
      <c r="F106" s="78">
        <f t="shared" si="17"/>
        <v>1732</v>
      </c>
      <c r="G106" s="49" t="e">
        <f t="shared" si="18"/>
        <v>#VALUE!</v>
      </c>
      <c r="H106" s="6" t="str">
        <f xml:space="preserve"> [2]!'CAT.US-Price'</f>
        <v>N/A</v>
      </c>
      <c r="I106" s="6" t="str">
        <f xml:space="preserve"> [2]!'CAT.US-BestBid1'</f>
        <v>N/A</v>
      </c>
      <c r="J106" s="6" t="str">
        <f xml:space="preserve"> [2]!'CAT.US-BestAsk1'</f>
        <v>N/A</v>
      </c>
      <c r="K106" s="65" t="e">
        <f t="shared" si="12"/>
        <v>#VALUE!</v>
      </c>
      <c r="L106" s="65" t="e">
        <f t="shared" si="13"/>
        <v>#VALUE!</v>
      </c>
      <c r="M106" s="68" t="e">
        <f t="shared" si="14"/>
        <v>#VALUE!</v>
      </c>
      <c r="AC106" s="440" t="s">
        <v>2985</v>
      </c>
      <c r="AD106" s="441" t="s">
        <v>742</v>
      </c>
      <c r="AE106" s="442">
        <v>0.06</v>
      </c>
      <c r="AF106" s="443">
        <v>1732</v>
      </c>
    </row>
    <row r="107" spans="1:32" ht="22.2" thickBot="1">
      <c r="A107" s="24" t="e">
        <f t="shared" si="11"/>
        <v>#REF!</v>
      </c>
      <c r="B107" s="243" t="str">
        <f t="shared" si="15"/>
        <v>CATERPILLAR INC</v>
      </c>
      <c r="C107" s="25" t="str">
        <f t="shared" si="16"/>
        <v>CAT UN</v>
      </c>
      <c r="D107" s="25">
        <v>1</v>
      </c>
      <c r="E107" s="6" t="e">
        <f xml:space="preserve"> [2]!'CB.US-PreClose'</f>
        <v>#REF!</v>
      </c>
      <c r="F107" s="78">
        <f t="shared" si="17"/>
        <v>3324</v>
      </c>
      <c r="G107" s="49" t="e">
        <f t="shared" si="18"/>
        <v>#REF!</v>
      </c>
      <c r="H107" s="6" t="e">
        <f xml:space="preserve"> [2]!'CB.US-Price'</f>
        <v>#REF!</v>
      </c>
      <c r="I107" s="6" t="e">
        <f xml:space="preserve"> [2]!'CB.US-BestBid1'</f>
        <v>#REF!</v>
      </c>
      <c r="J107" s="6" t="e">
        <f xml:space="preserve"> [2]!'CB.US-BestAsk1'</f>
        <v>#REF!</v>
      </c>
      <c r="K107" s="65" t="e">
        <f t="shared" si="12"/>
        <v>#REF!</v>
      </c>
      <c r="L107" s="65" t="e">
        <f t="shared" si="13"/>
        <v>#REF!</v>
      </c>
      <c r="M107" s="68" t="e">
        <f t="shared" si="14"/>
        <v>#REF!</v>
      </c>
      <c r="AC107" s="444" t="s">
        <v>2986</v>
      </c>
      <c r="AD107" s="445" t="s">
        <v>743</v>
      </c>
      <c r="AE107" s="446">
        <v>0.3</v>
      </c>
      <c r="AF107" s="447">
        <v>3324</v>
      </c>
    </row>
    <row r="108" spans="1:32" ht="16.8" thickBot="1">
      <c r="A108" s="24" t="e">
        <f t="shared" si="11"/>
        <v>#REF!</v>
      </c>
      <c r="B108" s="243" t="str">
        <f t="shared" si="15"/>
        <v>CHUBB LTD</v>
      </c>
      <c r="C108" s="25" t="str">
        <f t="shared" si="16"/>
        <v>CB UN</v>
      </c>
      <c r="D108" s="25">
        <v>1</v>
      </c>
      <c r="E108" s="6" t="e">
        <f xml:space="preserve"> [2]!'CBG.US-PreClose'</f>
        <v>#REF!</v>
      </c>
      <c r="F108" s="78">
        <f t="shared" si="17"/>
        <v>2661</v>
      </c>
      <c r="G108" s="49" t="e">
        <f t="shared" si="18"/>
        <v>#REF!</v>
      </c>
      <c r="H108" s="6" t="e">
        <f xml:space="preserve"> [2]!'CBG.US-Price'</f>
        <v>#REF!</v>
      </c>
      <c r="I108" s="6" t="e">
        <f xml:space="preserve"> [2]!'CBG.US-BestBid1'</f>
        <v>#REF!</v>
      </c>
      <c r="J108" s="6" t="e">
        <f xml:space="preserve"> [2]!'CBG.US-BestAsk1'</f>
        <v>#REF!</v>
      </c>
      <c r="K108" s="65" t="e">
        <f t="shared" si="12"/>
        <v>#REF!</v>
      </c>
      <c r="L108" s="65" t="e">
        <f t="shared" si="13"/>
        <v>#REF!</v>
      </c>
      <c r="M108" s="68" t="e">
        <f t="shared" si="14"/>
        <v>#REF!</v>
      </c>
      <c r="AC108" s="440" t="s">
        <v>2987</v>
      </c>
      <c r="AD108" s="441" t="s">
        <v>744</v>
      </c>
      <c r="AE108" s="442">
        <v>0.26</v>
      </c>
      <c r="AF108" s="443">
        <v>2661</v>
      </c>
    </row>
    <row r="109" spans="1:32" ht="43.8" thickBot="1">
      <c r="A109" s="24" t="e">
        <f t="shared" si="11"/>
        <v>#REF!</v>
      </c>
      <c r="B109" s="243" t="str">
        <f t="shared" si="15"/>
        <v>CBOE GLOBAL MARKETS INC</v>
      </c>
      <c r="C109" s="25" t="str">
        <f t="shared" si="16"/>
        <v>CBOE UF</v>
      </c>
      <c r="D109" s="25">
        <v>1</v>
      </c>
      <c r="E109" s="6" t="e">
        <f xml:space="preserve"> [2]!'CBOE.US-PreClose'</f>
        <v>#REF!</v>
      </c>
      <c r="F109" s="78">
        <f t="shared" si="17"/>
        <v>649</v>
      </c>
      <c r="G109" s="49" t="e">
        <f t="shared" si="18"/>
        <v>#REF!</v>
      </c>
      <c r="H109" s="6" t="e">
        <f xml:space="preserve"> [2]!'CBOE.US-Price'</f>
        <v>#REF!</v>
      </c>
      <c r="I109" s="6" t="e">
        <f xml:space="preserve"> [2]!'CBOE.US-BestBid1'</f>
        <v>#REF!</v>
      </c>
      <c r="J109" s="6" t="e">
        <f xml:space="preserve"> [2]!'CBOE.US-BestAsk1'</f>
        <v>#REF!</v>
      </c>
      <c r="K109" s="65" t="e">
        <f t="shared" si="12"/>
        <v>#REF!</v>
      </c>
      <c r="L109" s="65" t="e">
        <f t="shared" si="13"/>
        <v>#REF!</v>
      </c>
      <c r="M109" s="68" t="e">
        <f t="shared" si="14"/>
        <v>#REF!</v>
      </c>
      <c r="AC109" s="444" t="s">
        <v>2988</v>
      </c>
      <c r="AD109" s="445" t="s">
        <v>2989</v>
      </c>
      <c r="AE109" s="446">
        <v>0.05</v>
      </c>
      <c r="AF109" s="446">
        <v>649</v>
      </c>
    </row>
    <row r="110" spans="1:32" ht="33" thickBot="1">
      <c r="A110" s="24" t="e">
        <f t="shared" si="11"/>
        <v>#REF!</v>
      </c>
      <c r="B110" s="243" t="str">
        <f t="shared" si="15"/>
        <v>CBRE GROUP INC - A</v>
      </c>
      <c r="C110" s="25" t="str">
        <f t="shared" si="16"/>
        <v>CBRE UN</v>
      </c>
      <c r="D110" s="25">
        <v>1</v>
      </c>
      <c r="E110" s="6" t="e">
        <f xml:space="preserve"> [2]!'CBS.US-PreClose'</f>
        <v>#REF!</v>
      </c>
      <c r="F110" s="78">
        <f t="shared" si="17"/>
        <v>1818</v>
      </c>
      <c r="G110" s="49" t="e">
        <f t="shared" si="18"/>
        <v>#REF!</v>
      </c>
      <c r="H110" s="6" t="e">
        <f xml:space="preserve"> [2]!'CBS.US-Price'</f>
        <v>#REF!</v>
      </c>
      <c r="I110" s="6" t="e">
        <f xml:space="preserve"> [2]!'CBS.US-BestBid1'</f>
        <v>#REF!</v>
      </c>
      <c r="J110" s="6" t="e">
        <f xml:space="preserve"> [2]!'CBS.US-BestAsk1'</f>
        <v>#REF!</v>
      </c>
      <c r="K110" s="65" t="e">
        <f t="shared" si="12"/>
        <v>#REF!</v>
      </c>
      <c r="L110" s="65" t="e">
        <f t="shared" si="13"/>
        <v>#REF!</v>
      </c>
      <c r="M110" s="68" t="e">
        <f t="shared" si="14"/>
        <v>#REF!</v>
      </c>
      <c r="AC110" s="440" t="s">
        <v>2990</v>
      </c>
      <c r="AD110" s="441" t="s">
        <v>745</v>
      </c>
      <c r="AE110" s="442">
        <v>0.06</v>
      </c>
      <c r="AF110" s="443">
        <v>1818</v>
      </c>
    </row>
    <row r="111" spans="1:32" ht="43.8" thickBot="1">
      <c r="A111" s="24" t="e">
        <f t="shared" si="11"/>
        <v>#REF!</v>
      </c>
      <c r="B111" s="243" t="str">
        <f t="shared" si="15"/>
        <v>CBS CORP-CLASS B NON VOTING</v>
      </c>
      <c r="C111" s="25" t="str">
        <f t="shared" si="16"/>
        <v>CBS UN</v>
      </c>
      <c r="D111" s="25">
        <v>1</v>
      </c>
      <c r="E111" s="6" t="e">
        <f xml:space="preserve"> [2]!'CCI.US-PreClose'</f>
        <v>#REF!</v>
      </c>
      <c r="F111" s="78">
        <f t="shared" si="17"/>
        <v>2046</v>
      </c>
      <c r="G111" s="49" t="e">
        <f t="shared" si="18"/>
        <v>#REF!</v>
      </c>
      <c r="H111" s="6" t="e">
        <f xml:space="preserve"> [2]!'CCI.US-Price'</f>
        <v>#REF!</v>
      </c>
      <c r="I111" s="6" t="e">
        <f xml:space="preserve"> [2]!'CCI.US-BestBid1'</f>
        <v>#REF!</v>
      </c>
      <c r="J111" s="6" t="e">
        <f xml:space="preserve"> [2]!'CCI.US-BestAsk1'</f>
        <v>#REF!</v>
      </c>
      <c r="K111" s="65" t="e">
        <f t="shared" si="12"/>
        <v>#REF!</v>
      </c>
      <c r="L111" s="65" t="e">
        <f t="shared" si="13"/>
        <v>#REF!</v>
      </c>
      <c r="M111" s="68" t="e">
        <f t="shared" si="14"/>
        <v>#REF!</v>
      </c>
      <c r="AC111" s="444" t="s">
        <v>2991</v>
      </c>
      <c r="AD111" s="445" t="s">
        <v>746</v>
      </c>
      <c r="AE111" s="446">
        <v>7.0000000000000007E-2</v>
      </c>
      <c r="AF111" s="447">
        <v>2046</v>
      </c>
    </row>
    <row r="112" spans="1:32" ht="33" thickBot="1">
      <c r="A112" s="24" t="e">
        <f t="shared" si="11"/>
        <v>#REF!</v>
      </c>
      <c r="B112" s="243" t="str">
        <f t="shared" si="15"/>
        <v>CROWN CASTLE INTL CORP</v>
      </c>
      <c r="C112" s="25" t="str">
        <f t="shared" si="16"/>
        <v>CCI UN</v>
      </c>
      <c r="D112" s="25">
        <v>1</v>
      </c>
      <c r="E112" s="6" t="e">
        <f xml:space="preserve"> [2]!'CCL.US-PreClose'</f>
        <v>#REF!</v>
      </c>
      <c r="F112" s="78">
        <f t="shared" si="17"/>
        <v>2416</v>
      </c>
      <c r="G112" s="49" t="e">
        <f t="shared" si="18"/>
        <v>#REF!</v>
      </c>
      <c r="H112" s="6" t="e">
        <f xml:space="preserve"> [2]!'CCL.US-Price'</f>
        <v>#REF!</v>
      </c>
      <c r="I112" s="6" t="e">
        <f xml:space="preserve"> [2]!'CCL.US-BestBid1'</f>
        <v>#REF!</v>
      </c>
      <c r="J112" s="6" t="e">
        <f xml:space="preserve"> [2]!'CCL.US-BestAsk1'</f>
        <v>#REF!</v>
      </c>
      <c r="K112" s="65" t="e">
        <f t="shared" si="12"/>
        <v>#REF!</v>
      </c>
      <c r="L112" s="65" t="e">
        <f t="shared" si="13"/>
        <v>#REF!</v>
      </c>
      <c r="M112" s="68" t="e">
        <f t="shared" si="14"/>
        <v>#REF!</v>
      </c>
      <c r="AC112" s="440" t="s">
        <v>2992</v>
      </c>
      <c r="AD112" s="441" t="s">
        <v>747</v>
      </c>
      <c r="AE112" s="442">
        <v>0.22</v>
      </c>
      <c r="AF112" s="443">
        <v>2416</v>
      </c>
    </row>
    <row r="113" spans="1:32" ht="22.2" thickBot="1">
      <c r="A113" s="24" t="e">
        <f t="shared" si="11"/>
        <v>#REF!</v>
      </c>
      <c r="B113" s="243" t="str">
        <f t="shared" si="15"/>
        <v>CARNIVAL CORP</v>
      </c>
      <c r="C113" s="25" t="str">
        <f t="shared" si="16"/>
        <v>CCL UN</v>
      </c>
      <c r="D113" s="25">
        <v>1</v>
      </c>
      <c r="E113" s="6" t="e">
        <f xml:space="preserve"> [2]!'CDNS.US-PreClose'</f>
        <v>#REF!</v>
      </c>
      <c r="F113" s="78">
        <f t="shared" si="17"/>
        <v>2327</v>
      </c>
      <c r="G113" s="49" t="e">
        <f t="shared" si="18"/>
        <v>#REF!</v>
      </c>
      <c r="H113" s="6" t="e">
        <f xml:space="preserve"> [2]!'CDNS.US-Price'</f>
        <v>#REF!</v>
      </c>
      <c r="I113" s="6" t="e">
        <f xml:space="preserve"> [2]!'CDNS.US-BestBid1'</f>
        <v>#REF!</v>
      </c>
      <c r="J113" s="6" t="e">
        <f xml:space="preserve"> [2]!'CDNS.US-BestAsk1'</f>
        <v>#REF!</v>
      </c>
      <c r="K113" s="65" t="e">
        <f t="shared" si="12"/>
        <v>#REF!</v>
      </c>
      <c r="L113" s="65" t="e">
        <f t="shared" si="13"/>
        <v>#REF!</v>
      </c>
      <c r="M113" s="68" t="e">
        <f t="shared" si="14"/>
        <v>#REF!</v>
      </c>
      <c r="AC113" s="444" t="s">
        <v>2993</v>
      </c>
      <c r="AD113" s="445" t="s">
        <v>748</v>
      </c>
      <c r="AE113" s="446">
        <v>7.0000000000000007E-2</v>
      </c>
      <c r="AF113" s="447">
        <v>2327</v>
      </c>
    </row>
    <row r="114" spans="1:32" ht="33" thickBot="1">
      <c r="A114" s="24" t="e">
        <f t="shared" si="11"/>
        <v>#REF!</v>
      </c>
      <c r="B114" s="243" t="str">
        <f t="shared" si="15"/>
        <v>CADENCE DESIGN SYS INC</v>
      </c>
      <c r="C114" s="25" t="str">
        <f t="shared" si="16"/>
        <v>CDNS UQ</v>
      </c>
      <c r="D114" s="25">
        <v>1</v>
      </c>
      <c r="E114" s="6" t="e">
        <f xml:space="preserve"> [2]!'CELG.US-PreClose'</f>
        <v>#REF!</v>
      </c>
      <c r="F114" s="78">
        <f t="shared" si="17"/>
        <v>1633</v>
      </c>
      <c r="G114" s="49" t="e">
        <f t="shared" si="18"/>
        <v>#REF!</v>
      </c>
      <c r="H114" s="6" t="e">
        <f xml:space="preserve"> [2]!'CELG.US-Price'</f>
        <v>#REF!</v>
      </c>
      <c r="I114" s="6" t="e">
        <f xml:space="preserve"> [2]!'CELG.US-BestBid1'</f>
        <v>#REF!</v>
      </c>
      <c r="J114" s="6" t="e">
        <f xml:space="preserve"> [2]!'CELG.US-BestAsk1'</f>
        <v>#REF!</v>
      </c>
      <c r="K114" s="65" t="e">
        <f t="shared" si="12"/>
        <v>#REF!</v>
      </c>
      <c r="L114" s="65" t="e">
        <f t="shared" si="13"/>
        <v>#REF!</v>
      </c>
      <c r="M114" s="68" t="e">
        <f t="shared" si="14"/>
        <v>#REF!</v>
      </c>
      <c r="AC114" s="440" t="s">
        <v>2994</v>
      </c>
      <c r="AD114" s="441" t="s">
        <v>749</v>
      </c>
      <c r="AE114" s="442">
        <v>0.08</v>
      </c>
      <c r="AF114" s="443">
        <v>1633</v>
      </c>
    </row>
    <row r="115" spans="1:32" ht="22.2" thickBot="1">
      <c r="A115" s="24" t="e">
        <f t="shared" si="11"/>
        <v>#REF!</v>
      </c>
      <c r="B115" s="243" t="str">
        <f t="shared" si="15"/>
        <v>CELANESE CORP</v>
      </c>
      <c r="C115" s="25" t="str">
        <f t="shared" si="16"/>
        <v>CE UN</v>
      </c>
      <c r="D115" s="25">
        <v>1</v>
      </c>
      <c r="E115" s="6" t="e">
        <f xml:space="preserve"> [2]!'CERN.US-PreClose'</f>
        <v>#REF!</v>
      </c>
      <c r="F115" s="78">
        <f t="shared" si="17"/>
        <v>736</v>
      </c>
      <c r="G115" s="49" t="e">
        <f t="shared" si="18"/>
        <v>#REF!</v>
      </c>
      <c r="H115" s="6" t="e">
        <f xml:space="preserve"> [2]!'CERN.US-Price'</f>
        <v>#REF!</v>
      </c>
      <c r="I115" s="6" t="e">
        <f xml:space="preserve"> [2]!'CERN.US-BestBid1'</f>
        <v>#REF!</v>
      </c>
      <c r="J115" s="6" t="e">
        <f xml:space="preserve"> [2]!'CERN.US-BestAsk1'</f>
        <v>#REF!</v>
      </c>
      <c r="K115" s="65" t="e">
        <f t="shared" si="12"/>
        <v>#REF!</v>
      </c>
      <c r="L115" s="65" t="e">
        <f t="shared" si="13"/>
        <v>#REF!</v>
      </c>
      <c r="M115" s="68" t="e">
        <f t="shared" si="14"/>
        <v>#REF!</v>
      </c>
      <c r="AC115" s="444" t="s">
        <v>2995</v>
      </c>
      <c r="AD115" s="445" t="s">
        <v>2996</v>
      </c>
      <c r="AE115" s="446">
        <v>0.05</v>
      </c>
      <c r="AF115" s="446">
        <v>736</v>
      </c>
    </row>
    <row r="116" spans="1:32" ht="22.2" thickBot="1">
      <c r="A116" s="24" t="e">
        <f t="shared" si="11"/>
        <v>#REF!</v>
      </c>
      <c r="B116" s="243" t="str">
        <f t="shared" si="15"/>
        <v>CELGENE CORP</v>
      </c>
      <c r="C116" s="25" t="str">
        <f t="shared" si="16"/>
        <v>CELG UQ</v>
      </c>
      <c r="D116" s="25">
        <v>1</v>
      </c>
      <c r="E116" s="6" t="e">
        <f xml:space="preserve"> [2]!'CF.US-PreClose'</f>
        <v>#REF!</v>
      </c>
      <c r="F116" s="78">
        <f t="shared" si="17"/>
        <v>4099</v>
      </c>
      <c r="G116" s="49" t="e">
        <f t="shared" si="18"/>
        <v>#REF!</v>
      </c>
      <c r="H116" s="6" t="e">
        <f xml:space="preserve"> [2]!'CF.US-Price'</f>
        <v>#REF!</v>
      </c>
      <c r="I116" s="6" t="e">
        <f xml:space="preserve"> [2]!'CF.US-BestBid1'</f>
        <v>#REF!</v>
      </c>
      <c r="J116" s="6" t="e">
        <f xml:space="preserve"> [2]!'CF.US-BestAsk1'</f>
        <v>#REF!</v>
      </c>
      <c r="K116" s="65" t="e">
        <f t="shared" si="12"/>
        <v>#REF!</v>
      </c>
      <c r="L116" s="65" t="e">
        <f t="shared" si="13"/>
        <v>#REF!</v>
      </c>
      <c r="M116" s="68" t="e">
        <f t="shared" si="14"/>
        <v>#REF!</v>
      </c>
      <c r="AC116" s="440" t="s">
        <v>2997</v>
      </c>
      <c r="AD116" s="441" t="s">
        <v>750</v>
      </c>
      <c r="AE116" s="442">
        <v>0.25</v>
      </c>
      <c r="AF116" s="443">
        <v>4099</v>
      </c>
    </row>
    <row r="117" spans="1:32" ht="22.2" thickBot="1">
      <c r="A117" s="24" t="e">
        <f t="shared" si="11"/>
        <v>#REF!</v>
      </c>
      <c r="B117" s="243" t="str">
        <f t="shared" si="15"/>
        <v>CERNER CORP</v>
      </c>
      <c r="C117" s="25" t="str">
        <f t="shared" si="16"/>
        <v>CERN UQ</v>
      </c>
      <c r="D117" s="25">
        <v>1</v>
      </c>
      <c r="E117" s="6" t="e">
        <f xml:space="preserve"> [2]!'CFG.US-PreClose'</f>
        <v>#REF!</v>
      </c>
      <c r="F117" s="78">
        <f t="shared" si="17"/>
        <v>1891</v>
      </c>
      <c r="G117" s="49" t="e">
        <f t="shared" si="18"/>
        <v>#REF!</v>
      </c>
      <c r="H117" s="6" t="e">
        <f xml:space="preserve"> [2]!'CFG.US-Price'</f>
        <v>#REF!</v>
      </c>
      <c r="I117" s="6" t="e">
        <f xml:space="preserve"> [2]!'CFG.US-BestBid1'</f>
        <v>#REF!</v>
      </c>
      <c r="J117" s="6" t="e">
        <f xml:space="preserve"> [2]!'CFG.US-BestAsk1'</f>
        <v>#REF!</v>
      </c>
      <c r="K117" s="65" t="e">
        <f t="shared" si="12"/>
        <v>#REF!</v>
      </c>
      <c r="L117" s="65" t="e">
        <f t="shared" si="13"/>
        <v>#REF!</v>
      </c>
      <c r="M117" s="68" t="e">
        <f t="shared" si="14"/>
        <v>#REF!</v>
      </c>
      <c r="AC117" s="444" t="s">
        <v>2998</v>
      </c>
      <c r="AD117" s="445" t="s">
        <v>751</v>
      </c>
      <c r="AE117" s="446">
        <v>0.1</v>
      </c>
      <c r="AF117" s="447">
        <v>1891</v>
      </c>
    </row>
    <row r="118" spans="1:32" ht="54.6" thickBot="1">
      <c r="A118" s="24" t="e">
        <f t="shared" si="11"/>
        <v>#REF!</v>
      </c>
      <c r="B118" s="243" t="str">
        <f t="shared" si="15"/>
        <v>CF INDUSTRIES HOLDINGS INC</v>
      </c>
      <c r="C118" s="25" t="str">
        <f t="shared" si="16"/>
        <v>CF UN</v>
      </c>
      <c r="D118" s="25">
        <v>1</v>
      </c>
      <c r="E118" s="6" t="e">
        <f xml:space="preserve"> [2]!'CHD.US-PreClose'</f>
        <v>#REF!</v>
      </c>
      <c r="F118" s="78">
        <f t="shared" si="17"/>
        <v>1285</v>
      </c>
      <c r="G118" s="49" t="e">
        <f t="shared" si="18"/>
        <v>#REF!</v>
      </c>
      <c r="H118" s="6" t="e">
        <f xml:space="preserve"> [2]!'CHD.US-Price'</f>
        <v>#REF!</v>
      </c>
      <c r="I118" s="6" t="e">
        <f xml:space="preserve"> [2]!'CHD.US-BestBid1'</f>
        <v>#REF!</v>
      </c>
      <c r="J118" s="6" t="e">
        <f xml:space="preserve"> [2]!'CHD.US-BestAsk1'</f>
        <v>#REF!</v>
      </c>
      <c r="K118" s="65" t="e">
        <f t="shared" si="12"/>
        <v>#REF!</v>
      </c>
      <c r="L118" s="65" t="e">
        <f t="shared" si="13"/>
        <v>#REF!</v>
      </c>
      <c r="M118" s="68" t="e">
        <f t="shared" si="14"/>
        <v>#REF!</v>
      </c>
      <c r="AC118" s="440" t="s">
        <v>2999</v>
      </c>
      <c r="AD118" s="441" t="s">
        <v>752</v>
      </c>
      <c r="AE118" s="442">
        <v>0.04</v>
      </c>
      <c r="AF118" s="443">
        <v>1285</v>
      </c>
    </row>
    <row r="119" spans="1:32" ht="33" thickBot="1">
      <c r="A119" s="24" t="e">
        <f t="shared" si="11"/>
        <v>#REF!</v>
      </c>
      <c r="B119" s="243" t="str">
        <f t="shared" si="15"/>
        <v>CITIZENS FINANCIAL GROUP</v>
      </c>
      <c r="C119" s="25" t="str">
        <f t="shared" si="16"/>
        <v>CFG UN</v>
      </c>
      <c r="D119" s="25">
        <v>1</v>
      </c>
      <c r="E119" s="6" t="e">
        <f xml:space="preserve"> [2]!'CHK.US-PreClose'</f>
        <v>#REF!</v>
      </c>
      <c r="F119" s="78">
        <f t="shared" si="17"/>
        <v>2664</v>
      </c>
      <c r="G119" s="49" t="e">
        <f t="shared" si="18"/>
        <v>#REF!</v>
      </c>
      <c r="H119" s="6" t="e">
        <f xml:space="preserve"> [2]!'CHK.US-Price'</f>
        <v>#REF!</v>
      </c>
      <c r="I119" s="6" t="e">
        <f xml:space="preserve"> [2]!'CHK.US-BestBid1'</f>
        <v>#REF!</v>
      </c>
      <c r="J119" s="6" t="e">
        <f xml:space="preserve"> [2]!'CHK.US-BestAsk1'</f>
        <v>#REF!</v>
      </c>
      <c r="K119" s="65" t="e">
        <f t="shared" si="12"/>
        <v>#REF!</v>
      </c>
      <c r="L119" s="65" t="e">
        <f t="shared" si="13"/>
        <v>#REF!</v>
      </c>
      <c r="M119" s="68" t="e">
        <f t="shared" si="14"/>
        <v>#REF!</v>
      </c>
      <c r="AC119" s="444" t="s">
        <v>3000</v>
      </c>
      <c r="AD119" s="445" t="s">
        <v>753</v>
      </c>
      <c r="AE119" s="446">
        <v>0.06</v>
      </c>
      <c r="AF119" s="447">
        <v>2664</v>
      </c>
    </row>
    <row r="120" spans="1:32" ht="33" thickBot="1">
      <c r="A120" s="24" t="e">
        <f t="shared" si="11"/>
        <v>#REF!</v>
      </c>
      <c r="B120" s="243" t="str">
        <f t="shared" si="15"/>
        <v>CHURCH &amp; DWIGHT CO INC</v>
      </c>
      <c r="C120" s="25" t="str">
        <f t="shared" si="16"/>
        <v>CHD UN</v>
      </c>
      <c r="D120" s="25">
        <v>1</v>
      </c>
      <c r="E120" s="6" t="e">
        <f xml:space="preserve"> [2]!'CHRW.US-PreClose'</f>
        <v>#REF!</v>
      </c>
      <c r="F120" s="78">
        <f t="shared" si="17"/>
        <v>1431</v>
      </c>
      <c r="G120" s="49" t="e">
        <f t="shared" si="18"/>
        <v>#REF!</v>
      </c>
      <c r="H120" s="6" t="e">
        <f xml:space="preserve"> [2]!'CHRW.US-Price'</f>
        <v>#REF!</v>
      </c>
      <c r="I120" s="6" t="e">
        <f xml:space="preserve"> [2]!'CHRW.US-BestBid1'</f>
        <v>#REF!</v>
      </c>
      <c r="J120" s="6" t="e">
        <f xml:space="preserve"> [2]!'CHRW.US-BestAsk1'</f>
        <v>#REF!</v>
      </c>
      <c r="K120" s="65" t="e">
        <f t="shared" si="12"/>
        <v>#REF!</v>
      </c>
      <c r="L120" s="65" t="e">
        <f t="shared" si="13"/>
        <v>#REF!</v>
      </c>
      <c r="M120" s="68" t="e">
        <f t="shared" si="14"/>
        <v>#REF!</v>
      </c>
      <c r="AC120" s="440" t="s">
        <v>3001</v>
      </c>
      <c r="AD120" s="441" t="s">
        <v>754</v>
      </c>
      <c r="AE120" s="442">
        <v>7.0000000000000007E-2</v>
      </c>
      <c r="AF120" s="443">
        <v>1431</v>
      </c>
    </row>
    <row r="121" spans="1:32" ht="43.8" thickBot="1">
      <c r="A121" s="24" t="e">
        <f t="shared" si="11"/>
        <v>#REF!</v>
      </c>
      <c r="B121" s="243" t="str">
        <f t="shared" si="15"/>
        <v>C.H. ROBINSON WORLDWIDE INC</v>
      </c>
      <c r="C121" s="25" t="str">
        <f t="shared" si="16"/>
        <v>CHRW UQ</v>
      </c>
      <c r="D121" s="25">
        <v>1</v>
      </c>
      <c r="E121" s="6" t="e">
        <f xml:space="preserve"> [2]!'CHTR.US-PreClose'</f>
        <v>#REF!</v>
      </c>
      <c r="F121" s="78">
        <f t="shared" si="17"/>
        <v>794</v>
      </c>
      <c r="G121" s="49" t="e">
        <f t="shared" si="18"/>
        <v>#REF!</v>
      </c>
      <c r="H121" s="6" t="e">
        <f xml:space="preserve"> [2]!'CHTR.US-Price'</f>
        <v>#REF!</v>
      </c>
      <c r="I121" s="6" t="e">
        <f xml:space="preserve"> [2]!'CHTR.US-BestBid1'</f>
        <v>#REF!</v>
      </c>
      <c r="J121" s="6" t="e">
        <f xml:space="preserve"> [2]!'CHTR.US-BestAsk1'</f>
        <v>#REF!</v>
      </c>
      <c r="K121" s="65" t="e">
        <f t="shared" si="12"/>
        <v>#REF!</v>
      </c>
      <c r="L121" s="65" t="e">
        <f t="shared" si="13"/>
        <v>#REF!</v>
      </c>
      <c r="M121" s="68" t="e">
        <f t="shared" si="14"/>
        <v>#REF!</v>
      </c>
      <c r="AC121" s="444" t="s">
        <v>3002</v>
      </c>
      <c r="AD121" s="445" t="s">
        <v>755</v>
      </c>
      <c r="AE121" s="446">
        <v>0.04</v>
      </c>
      <c r="AF121" s="446">
        <v>794</v>
      </c>
    </row>
    <row r="122" spans="1:32" ht="43.8" thickBot="1">
      <c r="A122" s="24" t="e">
        <f t="shared" si="11"/>
        <v>#REF!</v>
      </c>
      <c r="B122" s="243" t="str">
        <f t="shared" si="15"/>
        <v>CHARTER COMMUNICATIONS INC-A</v>
      </c>
      <c r="C122" s="25" t="str">
        <f t="shared" si="16"/>
        <v>CHTR UQ</v>
      </c>
      <c r="D122" s="25">
        <v>1</v>
      </c>
      <c r="E122" s="6" t="e">
        <f xml:space="preserve"> [2]!'CI.US-PreClose'</f>
        <v>#REF!</v>
      </c>
      <c r="F122" s="78">
        <f t="shared" si="17"/>
        <v>1000</v>
      </c>
      <c r="G122" s="49" t="e">
        <f t="shared" si="18"/>
        <v>#REF!</v>
      </c>
      <c r="H122" s="6" t="e">
        <f xml:space="preserve"> [2]!'CI.US-Price'</f>
        <v>#REF!</v>
      </c>
      <c r="I122" s="6" t="e">
        <f xml:space="preserve"> [2]!'CI.US-BestBid1'</f>
        <v>#REF!</v>
      </c>
      <c r="J122" s="6" t="e">
        <f xml:space="preserve"> [2]!'CI.US-BestAsk1'</f>
        <v>#REF!</v>
      </c>
      <c r="K122" s="65" t="e">
        <f t="shared" si="12"/>
        <v>#REF!</v>
      </c>
      <c r="L122" s="65" t="e">
        <f t="shared" si="13"/>
        <v>#REF!</v>
      </c>
      <c r="M122" s="68" t="e">
        <f t="shared" si="14"/>
        <v>#REF!</v>
      </c>
      <c r="AC122" s="440" t="s">
        <v>3003</v>
      </c>
      <c r="AD122" s="441" t="s">
        <v>756</v>
      </c>
      <c r="AE122" s="442">
        <v>0.27</v>
      </c>
      <c r="AF122" s="443">
        <v>1000</v>
      </c>
    </row>
    <row r="123" spans="1:32" ht="22.2" thickBot="1">
      <c r="A123" s="24" t="e">
        <f t="shared" si="11"/>
        <v>#REF!</v>
      </c>
      <c r="B123" s="243" t="str">
        <f t="shared" si="15"/>
        <v>CIGNA CORP</v>
      </c>
      <c r="C123" s="25" t="str">
        <f t="shared" si="16"/>
        <v>CI UN</v>
      </c>
      <c r="D123" s="25">
        <v>1</v>
      </c>
      <c r="E123" s="6" t="e">
        <f xml:space="preserve"> [2]!'CINF.US-PreClose'</f>
        <v>#REF!</v>
      </c>
      <c r="F123" s="78">
        <f t="shared" si="17"/>
        <v>2206</v>
      </c>
      <c r="G123" s="49" t="e">
        <f t="shared" si="18"/>
        <v>#REF!</v>
      </c>
      <c r="H123" s="6" t="e">
        <f xml:space="preserve"> [2]!'CINF.US-Price'</f>
        <v>#REF!</v>
      </c>
      <c r="I123" s="6" t="e">
        <f xml:space="preserve"> [2]!'CINF.US-BestBid1'</f>
        <v>#REF!</v>
      </c>
      <c r="J123" s="6" t="e">
        <f xml:space="preserve"> [2]!'CINF.US-BestAsk1'</f>
        <v>#REF!</v>
      </c>
      <c r="K123" s="65" t="e">
        <f t="shared" si="12"/>
        <v>#REF!</v>
      </c>
      <c r="L123" s="65" t="e">
        <f t="shared" si="13"/>
        <v>#REF!</v>
      </c>
      <c r="M123" s="68" t="e">
        <f t="shared" si="14"/>
        <v>#REF!</v>
      </c>
      <c r="AC123" s="444" t="s">
        <v>3004</v>
      </c>
      <c r="AD123" s="445" t="s">
        <v>757</v>
      </c>
      <c r="AE123" s="446">
        <v>0.26</v>
      </c>
      <c r="AF123" s="447">
        <v>2206</v>
      </c>
    </row>
    <row r="124" spans="1:32" ht="43.8" thickBot="1">
      <c r="A124" s="24" t="e">
        <f t="shared" si="11"/>
        <v>#REF!</v>
      </c>
      <c r="B124" s="243" t="str">
        <f t="shared" si="15"/>
        <v>CINCINNATI FINANCIAL CORP</v>
      </c>
      <c r="C124" s="25" t="str">
        <f t="shared" si="16"/>
        <v>CINF UQ</v>
      </c>
      <c r="D124" s="25">
        <v>1</v>
      </c>
      <c r="E124" s="6" t="e">
        <f xml:space="preserve"> [2]!'CL.US-PreClose'</f>
        <v>#REF!</v>
      </c>
      <c r="F124" s="78">
        <f t="shared" si="17"/>
        <v>882</v>
      </c>
      <c r="G124" s="49" t="e">
        <f t="shared" si="18"/>
        <v>#REF!</v>
      </c>
      <c r="H124" s="6" t="e">
        <f xml:space="preserve"> [2]!'CL.US-Price'</f>
        <v>#REF!</v>
      </c>
      <c r="I124" s="6" t="e">
        <f xml:space="preserve"> [2]!'CL.US-BestBid1'</f>
        <v>#REF!</v>
      </c>
      <c r="J124" s="6" t="e">
        <f xml:space="preserve"> [2]!'CL.US-BestAsk1'</f>
        <v>#REF!</v>
      </c>
      <c r="K124" s="65" t="e">
        <f t="shared" si="12"/>
        <v>#REF!</v>
      </c>
      <c r="L124" s="65" t="e">
        <f t="shared" si="13"/>
        <v>#REF!</v>
      </c>
      <c r="M124" s="68" t="e">
        <f t="shared" si="14"/>
        <v>#REF!</v>
      </c>
      <c r="AC124" s="440" t="s">
        <v>3005</v>
      </c>
      <c r="AD124" s="441" t="s">
        <v>758</v>
      </c>
      <c r="AE124" s="442">
        <v>0.06</v>
      </c>
      <c r="AF124" s="442">
        <v>882</v>
      </c>
    </row>
    <row r="125" spans="1:32" ht="33" thickBot="1">
      <c r="A125" s="24" t="e">
        <f t="shared" si="11"/>
        <v>#REF!</v>
      </c>
      <c r="B125" s="243" t="str">
        <f t="shared" si="15"/>
        <v>COLGATE-PALMOLIVE CO</v>
      </c>
      <c r="C125" s="25" t="str">
        <f t="shared" si="16"/>
        <v>CL UN</v>
      </c>
      <c r="D125" s="25">
        <v>1</v>
      </c>
      <c r="E125" s="6" t="e">
        <f xml:space="preserve"> [2]!'CLX.US-PreClose'</f>
        <v>#REF!</v>
      </c>
      <c r="F125" s="78">
        <f t="shared" si="17"/>
        <v>4990</v>
      </c>
      <c r="G125" s="49" t="e">
        <f t="shared" si="18"/>
        <v>#REF!</v>
      </c>
      <c r="H125" s="6" t="e">
        <f xml:space="preserve"> [2]!'CLX.US-Price'</f>
        <v>#REF!</v>
      </c>
      <c r="I125" s="6" t="e">
        <f xml:space="preserve"> [2]!'CLX.US-BestBid1'</f>
        <v>#REF!</v>
      </c>
      <c r="J125" s="6" t="e">
        <f xml:space="preserve"> [2]!'CLX.US-BestAsk1'</f>
        <v>#REF!</v>
      </c>
      <c r="K125" s="65" t="e">
        <f t="shared" si="12"/>
        <v>#REF!</v>
      </c>
      <c r="L125" s="65" t="e">
        <f t="shared" si="13"/>
        <v>#REF!</v>
      </c>
      <c r="M125" s="68" t="e">
        <f t="shared" si="14"/>
        <v>#REF!</v>
      </c>
      <c r="AC125" s="444" t="s">
        <v>3006</v>
      </c>
      <c r="AD125" s="445" t="s">
        <v>759</v>
      </c>
      <c r="AE125" s="446">
        <v>0.25</v>
      </c>
      <c r="AF125" s="447">
        <v>4990</v>
      </c>
    </row>
    <row r="126" spans="1:32" ht="22.2" thickBot="1">
      <c r="A126" s="24" t="e">
        <f t="shared" si="11"/>
        <v>#REF!</v>
      </c>
      <c r="B126" s="243" t="str">
        <f t="shared" si="15"/>
        <v>CLOROX COMPANY</v>
      </c>
      <c r="C126" s="25" t="str">
        <f t="shared" si="16"/>
        <v>CLX UN</v>
      </c>
      <c r="D126" s="25">
        <v>1</v>
      </c>
      <c r="E126" s="6" t="e">
        <f xml:space="preserve"> [2]!'CMA.US-PreClose'</f>
        <v>#REF!</v>
      </c>
      <c r="F126" s="78">
        <f t="shared" si="17"/>
        <v>740</v>
      </c>
      <c r="G126" s="49" t="e">
        <f t="shared" si="18"/>
        <v>#REF!</v>
      </c>
      <c r="H126" s="6" t="e">
        <f xml:space="preserve"> [2]!'CMA.US-Price'</f>
        <v>#REF!</v>
      </c>
      <c r="I126" s="6" t="e">
        <f xml:space="preserve"> [2]!'CMA.US-BestBid1'</f>
        <v>#REF!</v>
      </c>
      <c r="J126" s="6" t="e">
        <f xml:space="preserve"> [2]!'CMA.US-BestAsk1'</f>
        <v>#REF!</v>
      </c>
      <c r="K126" s="65" t="e">
        <f t="shared" si="12"/>
        <v>#REF!</v>
      </c>
      <c r="L126" s="65" t="e">
        <f t="shared" si="13"/>
        <v>#REF!</v>
      </c>
      <c r="M126" s="68" t="e">
        <f t="shared" si="14"/>
        <v>#REF!</v>
      </c>
      <c r="AC126" s="440" t="s">
        <v>3007</v>
      </c>
      <c r="AD126" s="441" t="s">
        <v>760</v>
      </c>
      <c r="AE126" s="442">
        <v>0.08</v>
      </c>
      <c r="AF126" s="442">
        <v>740</v>
      </c>
    </row>
    <row r="127" spans="1:32" ht="22.2" thickBot="1">
      <c r="A127" s="24" t="e">
        <f t="shared" si="11"/>
        <v>#REF!</v>
      </c>
      <c r="B127" s="243" t="str">
        <f t="shared" si="15"/>
        <v>COMERICA INC</v>
      </c>
      <c r="C127" s="25" t="str">
        <f t="shared" si="16"/>
        <v>CMA UN</v>
      </c>
      <c r="D127" s="25">
        <v>1</v>
      </c>
      <c r="E127" s="6" t="e">
        <f xml:space="preserve"> [2]!'CMCSA.US-PreClose'</f>
        <v>#REF!</v>
      </c>
      <c r="F127" s="78">
        <f t="shared" si="17"/>
        <v>896</v>
      </c>
      <c r="G127" s="49" t="e">
        <f t="shared" si="18"/>
        <v>#REF!</v>
      </c>
      <c r="H127" s="6" t="e">
        <f xml:space="preserve"> [2]!'CMCSA.US-Price'</f>
        <v>#REF!</v>
      </c>
      <c r="I127" s="6" t="e">
        <f xml:space="preserve"> [2]!'CMCSA.US-BestBid1'</f>
        <v>#REF!</v>
      </c>
      <c r="J127" s="6" t="e">
        <f xml:space="preserve"> [2]!'CMCSA.US-BestAsk1'</f>
        <v>#REF!</v>
      </c>
      <c r="K127" s="65" t="e">
        <f t="shared" si="12"/>
        <v>#REF!</v>
      </c>
      <c r="L127" s="65" t="e">
        <f t="shared" si="13"/>
        <v>#REF!</v>
      </c>
      <c r="M127" s="68" t="e">
        <f t="shared" si="14"/>
        <v>#REF!</v>
      </c>
      <c r="AC127" s="444" t="s">
        <v>3008</v>
      </c>
      <c r="AD127" s="445" t="s">
        <v>761</v>
      </c>
      <c r="AE127" s="446">
        <v>0.04</v>
      </c>
      <c r="AF127" s="446">
        <v>896</v>
      </c>
    </row>
    <row r="128" spans="1:32" ht="33" thickBot="1">
      <c r="A128" s="24" t="e">
        <f t="shared" si="11"/>
        <v>#VALUE!</v>
      </c>
      <c r="B128" s="243" t="str">
        <f t="shared" si="15"/>
        <v>COMCAST CORP-CLASS A</v>
      </c>
      <c r="C128" s="25" t="str">
        <f t="shared" si="16"/>
        <v>CMCSA UQ</v>
      </c>
      <c r="D128" s="25">
        <v>1</v>
      </c>
      <c r="E128" s="6" t="str">
        <f xml:space="preserve"> [2]!'CME.US-PreClose'</f>
        <v>N/A</v>
      </c>
      <c r="F128" s="78">
        <f t="shared" si="17"/>
        <v>26327</v>
      </c>
      <c r="G128" s="49" t="e">
        <f t="shared" si="18"/>
        <v>#VALUE!</v>
      </c>
      <c r="H128" s="6" t="str">
        <f xml:space="preserve"> [2]!'CME.US-Price'</f>
        <v>N/A</v>
      </c>
      <c r="I128" s="6" t="str">
        <f xml:space="preserve"> [2]!'CME.US-BestBid1'</f>
        <v>N/A</v>
      </c>
      <c r="J128" s="6" t="str">
        <f xml:space="preserve"> [2]!'CME.US-BestAsk1'</f>
        <v>N/A</v>
      </c>
      <c r="K128" s="65" t="e">
        <f t="shared" si="12"/>
        <v>#VALUE!</v>
      </c>
      <c r="L128" s="65" t="e">
        <f t="shared" si="13"/>
        <v>#VALUE!</v>
      </c>
      <c r="M128" s="68" t="e">
        <f t="shared" si="14"/>
        <v>#VALUE!</v>
      </c>
      <c r="AC128" s="440" t="s">
        <v>3009</v>
      </c>
      <c r="AD128" s="441" t="s">
        <v>762</v>
      </c>
      <c r="AE128" s="442">
        <v>0.78</v>
      </c>
      <c r="AF128" s="443">
        <v>26327</v>
      </c>
    </row>
    <row r="129" spans="1:32" ht="22.2" thickBot="1">
      <c r="A129" s="24" t="e">
        <f t="shared" si="11"/>
        <v>#REF!</v>
      </c>
      <c r="B129" s="243" t="str">
        <f t="shared" si="15"/>
        <v>CME GROUP INC</v>
      </c>
      <c r="C129" s="25" t="str">
        <f t="shared" si="16"/>
        <v>CME UQ</v>
      </c>
      <c r="D129" s="25">
        <v>1</v>
      </c>
      <c r="E129" s="6" t="e">
        <f xml:space="preserve"> [2]!'CMG.US-PreClose'</f>
        <v>#REF!</v>
      </c>
      <c r="F129" s="78">
        <f t="shared" si="17"/>
        <v>2081</v>
      </c>
      <c r="G129" s="49" t="e">
        <f t="shared" si="18"/>
        <v>#REF!</v>
      </c>
      <c r="H129" s="6" t="e">
        <f xml:space="preserve"> [2]!'CMG.US-Price'</f>
        <v>#REF!</v>
      </c>
      <c r="I129" s="6" t="e">
        <f xml:space="preserve"> [2]!'CMG.US-BestBid1'</f>
        <v>#REF!</v>
      </c>
      <c r="J129" s="6" t="e">
        <f xml:space="preserve"> [2]!'CMG.US-BestAsk1'</f>
        <v>#REF!</v>
      </c>
      <c r="K129" s="65" t="e">
        <f t="shared" si="12"/>
        <v>#REF!</v>
      </c>
      <c r="L129" s="65" t="e">
        <f t="shared" si="13"/>
        <v>#REF!</v>
      </c>
      <c r="M129" s="68" t="e">
        <f t="shared" si="14"/>
        <v>#REF!</v>
      </c>
      <c r="AC129" s="444" t="s">
        <v>3010</v>
      </c>
      <c r="AD129" s="445" t="s">
        <v>763</v>
      </c>
      <c r="AE129" s="446">
        <v>0.28999999999999998</v>
      </c>
      <c r="AF129" s="447">
        <v>2081</v>
      </c>
    </row>
    <row r="130" spans="1:32" ht="33" thickBot="1">
      <c r="A130" s="24" t="e">
        <f t="shared" si="11"/>
        <v>#REF!</v>
      </c>
      <c r="B130" s="243" t="str">
        <f t="shared" si="15"/>
        <v>CHIPOTLE MEXICAN GRILL INC</v>
      </c>
      <c r="C130" s="25" t="str">
        <f t="shared" si="16"/>
        <v>CMG UN</v>
      </c>
      <c r="D130" s="25">
        <v>1</v>
      </c>
      <c r="E130" s="6" t="e">
        <f xml:space="preserve"> [2]!'CMI.US-PreClose'</f>
        <v>#REF!</v>
      </c>
      <c r="F130" s="78">
        <f t="shared" si="17"/>
        <v>142</v>
      </c>
      <c r="G130" s="49" t="e">
        <f t="shared" si="18"/>
        <v>#REF!</v>
      </c>
      <c r="H130" s="6" t="e">
        <f xml:space="preserve"> [2]!'CMI.US-Price'</f>
        <v>#REF!</v>
      </c>
      <c r="I130" s="6" t="e">
        <f xml:space="preserve"> [2]!'CMI.US-BestBid1'</f>
        <v>#REF!</v>
      </c>
      <c r="J130" s="6" t="e">
        <f xml:space="preserve"> [2]!'CMI.US-BestAsk1'</f>
        <v>#REF!</v>
      </c>
      <c r="K130" s="65" t="e">
        <f t="shared" si="12"/>
        <v>#REF!</v>
      </c>
      <c r="L130" s="65" t="e">
        <f t="shared" si="13"/>
        <v>#REF!</v>
      </c>
      <c r="M130" s="68" t="e">
        <f t="shared" si="14"/>
        <v>#REF!</v>
      </c>
      <c r="AC130" s="440" t="s">
        <v>3011</v>
      </c>
      <c r="AD130" s="441" t="s">
        <v>764</v>
      </c>
      <c r="AE130" s="442">
        <v>7.0000000000000007E-2</v>
      </c>
      <c r="AF130" s="442">
        <v>142</v>
      </c>
    </row>
    <row r="131" spans="1:32" ht="22.2" thickBot="1">
      <c r="A131" s="24" t="e">
        <f t="shared" si="11"/>
        <v>#REF!</v>
      </c>
      <c r="B131" s="243" t="str">
        <f t="shared" si="15"/>
        <v>CUMMINS INC</v>
      </c>
      <c r="C131" s="25" t="str">
        <f t="shared" si="16"/>
        <v>CMI UN</v>
      </c>
      <c r="D131" s="25">
        <v>1</v>
      </c>
      <c r="E131" s="6" t="e">
        <f xml:space="preserve"> [2]!'CMS.US-PreClose'</f>
        <v>#REF!</v>
      </c>
      <c r="F131" s="78">
        <f t="shared" si="17"/>
        <v>842</v>
      </c>
      <c r="G131" s="49" t="e">
        <f t="shared" si="18"/>
        <v>#REF!</v>
      </c>
      <c r="H131" s="6" t="e">
        <f xml:space="preserve"> [2]!'CMS.US-Price'</f>
        <v>#REF!</v>
      </c>
      <c r="I131" s="6" t="e">
        <f xml:space="preserve"> [2]!'CMS.US-BestBid1'</f>
        <v>#REF!</v>
      </c>
      <c r="J131" s="6" t="e">
        <f xml:space="preserve"> [2]!'CMS.US-BestAsk1'</f>
        <v>#REF!</v>
      </c>
      <c r="K131" s="65" t="e">
        <f t="shared" si="12"/>
        <v>#REF!</v>
      </c>
      <c r="L131" s="65" t="e">
        <f t="shared" si="13"/>
        <v>#REF!</v>
      </c>
      <c r="M131" s="68" t="e">
        <f t="shared" si="14"/>
        <v>#REF!</v>
      </c>
      <c r="AC131" s="444" t="s">
        <v>3012</v>
      </c>
      <c r="AD131" s="445" t="s">
        <v>765</v>
      </c>
      <c r="AE131" s="446">
        <v>0.09</v>
      </c>
      <c r="AF131" s="446">
        <v>842</v>
      </c>
    </row>
    <row r="132" spans="1:32" ht="33" thickBot="1">
      <c r="A132" s="24" t="e">
        <f t="shared" si="11"/>
        <v>#REF!</v>
      </c>
      <c r="B132" s="243" t="str">
        <f t="shared" si="15"/>
        <v>CMS ENERGY CORP</v>
      </c>
      <c r="C132" s="25" t="str">
        <f t="shared" si="16"/>
        <v>CMS UN</v>
      </c>
      <c r="D132" s="25">
        <v>1</v>
      </c>
      <c r="E132" s="6" t="e">
        <f xml:space="preserve"> [2]!'CNC.US-PreClose'</f>
        <v>#REF!</v>
      </c>
      <c r="F132" s="78">
        <f t="shared" si="17"/>
        <v>1649</v>
      </c>
      <c r="G132" s="49" t="e">
        <f t="shared" si="18"/>
        <v>#REF!</v>
      </c>
      <c r="H132" s="6" t="e">
        <f xml:space="preserve"> [2]!'CNC.US-Price'</f>
        <v>#REF!</v>
      </c>
      <c r="I132" s="6" t="e">
        <f xml:space="preserve"> [2]!'CNC.US-BestBid1'</f>
        <v>#REF!</v>
      </c>
      <c r="J132" s="6" t="e">
        <f xml:space="preserve"> [2]!'CNC.US-BestAsk1'</f>
        <v>#REF!</v>
      </c>
      <c r="K132" s="65" t="e">
        <f t="shared" si="12"/>
        <v>#REF!</v>
      </c>
      <c r="L132" s="65" t="e">
        <f t="shared" si="13"/>
        <v>#REF!</v>
      </c>
      <c r="M132" s="68" t="e">
        <f t="shared" si="14"/>
        <v>#REF!</v>
      </c>
      <c r="AC132" s="440" t="s">
        <v>3013</v>
      </c>
      <c r="AD132" s="441" t="s">
        <v>766</v>
      </c>
      <c r="AE132" s="442">
        <v>0.06</v>
      </c>
      <c r="AF132" s="443">
        <v>1649</v>
      </c>
    </row>
    <row r="133" spans="1:32" ht="22.2" thickBot="1">
      <c r="A133" s="24" t="e">
        <f t="shared" si="11"/>
        <v>#VALUE!</v>
      </c>
      <c r="B133" s="243" t="str">
        <f t="shared" si="15"/>
        <v>CENTENE CORP</v>
      </c>
      <c r="C133" s="25" t="str">
        <f t="shared" si="16"/>
        <v>CNC UN</v>
      </c>
      <c r="D133" s="25">
        <v>1</v>
      </c>
      <c r="E133" s="6" t="str">
        <f xml:space="preserve"> [2]!'CNP.US-PreClose'</f>
        <v>N/A</v>
      </c>
      <c r="F133" s="78">
        <f t="shared" si="17"/>
        <v>2403</v>
      </c>
      <c r="G133" s="49" t="e">
        <f t="shared" si="18"/>
        <v>#VALUE!</v>
      </c>
      <c r="H133" s="6" t="str">
        <f xml:space="preserve"> [2]!'CNP.US-Price'</f>
        <v>N/A</v>
      </c>
      <c r="I133" s="6" t="str">
        <f xml:space="preserve"> [2]!'CNP.US-BestBid1'</f>
        <v>N/A</v>
      </c>
      <c r="J133" s="6" t="str">
        <f xml:space="preserve"> [2]!'CNP.US-BestAsk1'</f>
        <v>N/A</v>
      </c>
      <c r="K133" s="65" t="e">
        <f t="shared" si="12"/>
        <v>#VALUE!</v>
      </c>
      <c r="L133" s="65" t="e">
        <f t="shared" si="13"/>
        <v>#VALUE!</v>
      </c>
      <c r="M133" s="68" t="e">
        <f t="shared" si="14"/>
        <v>#VALUE!</v>
      </c>
      <c r="AC133" s="444" t="s">
        <v>3014</v>
      </c>
      <c r="AD133" s="445" t="s">
        <v>767</v>
      </c>
      <c r="AE133" s="446">
        <v>0.09</v>
      </c>
      <c r="AF133" s="447">
        <v>2403</v>
      </c>
    </row>
    <row r="134" spans="1:32" ht="33" thickBot="1">
      <c r="A134" s="24" t="e">
        <f t="shared" si="11"/>
        <v>#REF!</v>
      </c>
      <c r="B134" s="243" t="str">
        <f t="shared" si="15"/>
        <v>CENTERPOINT ENERGY INC</v>
      </c>
      <c r="C134" s="25" t="str">
        <f t="shared" si="16"/>
        <v>CNP UN</v>
      </c>
      <c r="D134" s="25">
        <v>1</v>
      </c>
      <c r="E134" s="6" t="e">
        <f xml:space="preserve"> [2]!'COF.US-PreClose'</f>
        <v>#REF!</v>
      </c>
      <c r="F134" s="78">
        <f t="shared" si="17"/>
        <v>2919</v>
      </c>
      <c r="G134" s="49" t="e">
        <f t="shared" si="18"/>
        <v>#REF!</v>
      </c>
      <c r="H134" s="6" t="e">
        <f xml:space="preserve"> [2]!'COF.US-Price'</f>
        <v>#REF!</v>
      </c>
      <c r="I134" s="6" t="e">
        <f xml:space="preserve"> [2]!'COF.US-BestBid1'</f>
        <v>#REF!</v>
      </c>
      <c r="J134" s="6" t="e">
        <f xml:space="preserve"> [2]!'COF.US-BestAsk1'</f>
        <v>#REF!</v>
      </c>
      <c r="K134" s="65" t="e">
        <f t="shared" si="12"/>
        <v>#REF!</v>
      </c>
      <c r="L134" s="65" t="e">
        <f t="shared" si="13"/>
        <v>#REF!</v>
      </c>
      <c r="M134" s="68" t="e">
        <f t="shared" si="14"/>
        <v>#REF!</v>
      </c>
      <c r="AC134" s="440" t="s">
        <v>3015</v>
      </c>
      <c r="AD134" s="441" t="s">
        <v>768</v>
      </c>
      <c r="AE134" s="442">
        <v>0.06</v>
      </c>
      <c r="AF134" s="443">
        <v>2919</v>
      </c>
    </row>
    <row r="135" spans="1:32" ht="43.8" thickBot="1">
      <c r="A135" s="24" t="e">
        <f t="shared" si="11"/>
        <v>#REF!</v>
      </c>
      <c r="B135" s="243" t="str">
        <f t="shared" si="15"/>
        <v>CAPITAL ONE FINANCIAL CORP</v>
      </c>
      <c r="C135" s="25" t="str">
        <f t="shared" si="16"/>
        <v>COF UN</v>
      </c>
      <c r="D135" s="25">
        <v>1</v>
      </c>
      <c r="E135" s="6" t="e">
        <f xml:space="preserve"> [2]!'COG.US-PreClose'</f>
        <v>#REF!</v>
      </c>
      <c r="F135" s="78">
        <f t="shared" si="17"/>
        <v>2730</v>
      </c>
      <c r="G135" s="49" t="e">
        <f t="shared" si="18"/>
        <v>#REF!</v>
      </c>
      <c r="H135" s="6" t="e">
        <f xml:space="preserve"> [2]!'COG.US-Price'</f>
        <v>#REF!</v>
      </c>
      <c r="I135" s="6" t="e">
        <f xml:space="preserve"> [2]!'COG.US-BestBid1'</f>
        <v>#REF!</v>
      </c>
      <c r="J135" s="6" t="e">
        <f xml:space="preserve"> [2]!'COG.US-BestAsk1'</f>
        <v>#REF!</v>
      </c>
      <c r="K135" s="65" t="e">
        <f t="shared" si="12"/>
        <v>#REF!</v>
      </c>
      <c r="L135" s="65" t="e">
        <f t="shared" si="13"/>
        <v>#REF!</v>
      </c>
      <c r="M135" s="68" t="e">
        <f t="shared" si="14"/>
        <v>#REF!</v>
      </c>
      <c r="AC135" s="444" t="s">
        <v>3016</v>
      </c>
      <c r="AD135" s="445" t="s">
        <v>769</v>
      </c>
      <c r="AE135" s="446">
        <v>0.17</v>
      </c>
      <c r="AF135" s="447">
        <v>2730</v>
      </c>
    </row>
    <row r="136" spans="1:32" ht="33" thickBot="1">
      <c r="A136" s="24" t="e">
        <f t="shared" si="11"/>
        <v>#REF!</v>
      </c>
      <c r="B136" s="243" t="str">
        <f t="shared" si="15"/>
        <v>CABOT OIL &amp; GAS CORP</v>
      </c>
      <c r="C136" s="25" t="str">
        <f t="shared" si="16"/>
        <v>COG UN</v>
      </c>
      <c r="D136" s="25">
        <v>1</v>
      </c>
      <c r="E136" s="6" t="e">
        <f xml:space="preserve"> [2]!'COH.US-PreClose'</f>
        <v>#REF!</v>
      </c>
      <c r="F136" s="78">
        <f t="shared" si="17"/>
        <v>2460</v>
      </c>
      <c r="G136" s="49" t="e">
        <f t="shared" si="18"/>
        <v>#REF!</v>
      </c>
      <c r="H136" s="6" t="e">
        <f xml:space="preserve"> [2]!'COH.US-Price'</f>
        <v>#REF!</v>
      </c>
      <c r="I136" s="6" t="e">
        <f xml:space="preserve"> [2]!'COH.US-BestBid1'</f>
        <v>#REF!</v>
      </c>
      <c r="J136" s="6" t="e">
        <f xml:space="preserve"> [2]!'COH.US-BestAsk1'</f>
        <v>#REF!</v>
      </c>
      <c r="K136" s="65" t="e">
        <f t="shared" si="12"/>
        <v>#REF!</v>
      </c>
      <c r="L136" s="65" t="e">
        <f t="shared" si="13"/>
        <v>#REF!</v>
      </c>
      <c r="M136" s="68" t="e">
        <f t="shared" si="14"/>
        <v>#REF!</v>
      </c>
      <c r="AC136" s="440" t="s">
        <v>3017</v>
      </c>
      <c r="AD136" s="441" t="s">
        <v>770</v>
      </c>
      <c r="AE136" s="442">
        <v>0.04</v>
      </c>
      <c r="AF136" s="443">
        <v>2460</v>
      </c>
    </row>
    <row r="137" spans="1:32" ht="33" thickBot="1">
      <c r="A137" s="24" t="e">
        <f t="shared" si="11"/>
        <v>#REF!</v>
      </c>
      <c r="B137" s="243" t="str">
        <f t="shared" si="15"/>
        <v>COOPER COS INC/THE</v>
      </c>
      <c r="C137" s="25" t="str">
        <f t="shared" si="16"/>
        <v>COO UN</v>
      </c>
      <c r="D137" s="25">
        <v>1</v>
      </c>
      <c r="E137" s="6" t="e">
        <f xml:space="preserve"> [2]!'COL.US-PreClose'</f>
        <v>#REF!</v>
      </c>
      <c r="F137" s="78">
        <f t="shared" si="17"/>
        <v>288</v>
      </c>
      <c r="G137" s="49" t="e">
        <f t="shared" si="18"/>
        <v>#REF!</v>
      </c>
      <c r="H137" s="6" t="e">
        <f xml:space="preserve"> [2]!'COL.US-Price'</f>
        <v>#REF!</v>
      </c>
      <c r="I137" s="6" t="e">
        <f xml:space="preserve"> [2]!'COL.US-BestBid1'</f>
        <v>#REF!</v>
      </c>
      <c r="J137" s="6" t="e">
        <f xml:space="preserve"> [2]!'COL.US-BestAsk1'</f>
        <v>#REF!</v>
      </c>
      <c r="K137" s="65" t="e">
        <f t="shared" si="12"/>
        <v>#REF!</v>
      </c>
      <c r="L137" s="65" t="e">
        <f t="shared" si="13"/>
        <v>#REF!</v>
      </c>
      <c r="M137" s="68" t="e">
        <f t="shared" si="14"/>
        <v>#REF!</v>
      </c>
      <c r="AC137" s="444" t="s">
        <v>3018</v>
      </c>
      <c r="AD137" s="445" t="s">
        <v>771</v>
      </c>
      <c r="AE137" s="446">
        <v>0.06</v>
      </c>
      <c r="AF137" s="446">
        <v>288</v>
      </c>
    </row>
    <row r="138" spans="1:32" ht="22.2" thickBot="1">
      <c r="A138" s="24" t="e">
        <f t="shared" si="11"/>
        <v>#REF!</v>
      </c>
      <c r="B138" s="243" t="str">
        <f t="shared" si="15"/>
        <v>CONOCOPHILLIPS</v>
      </c>
      <c r="C138" s="25" t="str">
        <f t="shared" si="16"/>
        <v>COP UN</v>
      </c>
      <c r="D138" s="25">
        <v>1</v>
      </c>
      <c r="E138" s="6" t="e">
        <f xml:space="preserve"> [2]!'COO.US-PreClose'</f>
        <v>#REF!</v>
      </c>
      <c r="F138" s="78">
        <f t="shared" si="17"/>
        <v>6569</v>
      </c>
      <c r="G138" s="49" t="e">
        <f t="shared" si="18"/>
        <v>#REF!</v>
      </c>
      <c r="H138" s="6" t="e">
        <f xml:space="preserve"> [2]!'COO.US-Price'</f>
        <v>#REF!</v>
      </c>
      <c r="I138" s="6" t="e">
        <f xml:space="preserve"> [2]!'COO.US-BestBid1'</f>
        <v>#REF!</v>
      </c>
      <c r="J138" s="6" t="e">
        <f xml:space="preserve"> [2]!'COO.US-BestAsk1'</f>
        <v>#REF!</v>
      </c>
      <c r="K138" s="65" t="e">
        <f t="shared" si="12"/>
        <v>#REF!</v>
      </c>
      <c r="L138" s="65" t="e">
        <f t="shared" si="13"/>
        <v>#REF!</v>
      </c>
      <c r="M138" s="68" t="e">
        <f t="shared" si="14"/>
        <v>#REF!</v>
      </c>
      <c r="AC138" s="440" t="s">
        <v>3019</v>
      </c>
      <c r="AD138" s="441" t="s">
        <v>772</v>
      </c>
      <c r="AE138" s="442">
        <v>0.27</v>
      </c>
      <c r="AF138" s="443">
        <v>6569</v>
      </c>
    </row>
    <row r="139" spans="1:32" ht="33" thickBot="1">
      <c r="A139" s="24" t="e">
        <f t="shared" si="11"/>
        <v>#REF!</v>
      </c>
      <c r="B139" s="243" t="str">
        <f t="shared" si="15"/>
        <v>COSTCO WHOLESALE CORP</v>
      </c>
      <c r="C139" s="25" t="str">
        <f t="shared" si="16"/>
        <v>COST UQ</v>
      </c>
      <c r="D139" s="25">
        <v>1</v>
      </c>
      <c r="E139" s="6" t="e">
        <f xml:space="preserve"> [2]!'COP.US-PreClose'</f>
        <v>#REF!</v>
      </c>
      <c r="F139" s="78">
        <f t="shared" si="17"/>
        <v>2556</v>
      </c>
      <c r="G139" s="49" t="e">
        <f t="shared" si="18"/>
        <v>#REF!</v>
      </c>
      <c r="H139" s="6" t="e">
        <f xml:space="preserve"> [2]!'COP.US-Price'</f>
        <v>#REF!</v>
      </c>
      <c r="I139" s="6" t="e">
        <f xml:space="preserve"> [2]!'COP.US-BestBid1'</f>
        <v>#REF!</v>
      </c>
      <c r="J139" s="6" t="e">
        <f xml:space="preserve"> [2]!'COP.US-BestAsk1'</f>
        <v>#REF!</v>
      </c>
      <c r="K139" s="65" t="e">
        <f t="shared" si="12"/>
        <v>#REF!</v>
      </c>
      <c r="L139" s="65" t="e">
        <f t="shared" si="13"/>
        <v>#REF!</v>
      </c>
      <c r="M139" s="68" t="e">
        <f t="shared" si="14"/>
        <v>#REF!</v>
      </c>
      <c r="AC139" s="444" t="s">
        <v>3020</v>
      </c>
      <c r="AD139" s="445" t="s">
        <v>773</v>
      </c>
      <c r="AE139" s="446">
        <v>0.47</v>
      </c>
      <c r="AF139" s="447">
        <v>2556</v>
      </c>
    </row>
    <row r="140" spans="1:32" ht="22.2" thickBot="1">
      <c r="A140" s="24" t="e">
        <f t="shared" si="11"/>
        <v>#REF!</v>
      </c>
      <c r="B140" s="243" t="str">
        <f t="shared" si="15"/>
        <v>COTY INC-CL A</v>
      </c>
      <c r="C140" s="25" t="str">
        <f t="shared" si="16"/>
        <v>COTY UN</v>
      </c>
      <c r="D140" s="25">
        <v>1</v>
      </c>
      <c r="E140" s="6" t="e">
        <f xml:space="preserve"> [2]!'COST.US-PreClose'</f>
        <v>#REF!</v>
      </c>
      <c r="F140" s="78">
        <f t="shared" si="17"/>
        <v>1747</v>
      </c>
      <c r="G140" s="49" t="e">
        <f t="shared" si="18"/>
        <v>#REF!</v>
      </c>
      <c r="H140" s="6" t="e">
        <f xml:space="preserve"> [2]!'COST.US-Price'</f>
        <v>#REF!</v>
      </c>
      <c r="I140" s="6" t="e">
        <f xml:space="preserve"> [2]!'COST.US-BestBid1'</f>
        <v>#REF!</v>
      </c>
      <c r="J140" s="6" t="e">
        <f xml:space="preserve"> [2]!'COST.US-BestAsk1'</f>
        <v>#REF!</v>
      </c>
      <c r="K140" s="65" t="e">
        <f t="shared" si="12"/>
        <v>#REF!</v>
      </c>
      <c r="L140" s="65" t="e">
        <f t="shared" si="13"/>
        <v>#REF!</v>
      </c>
      <c r="M140" s="68" t="e">
        <f t="shared" si="14"/>
        <v>#REF!</v>
      </c>
      <c r="AC140" s="440" t="s">
        <v>3021</v>
      </c>
      <c r="AD140" s="441" t="s">
        <v>774</v>
      </c>
      <c r="AE140" s="442">
        <v>0.01</v>
      </c>
      <c r="AF140" s="443">
        <v>1747</v>
      </c>
    </row>
    <row r="141" spans="1:32" ht="22.2" thickBot="1">
      <c r="A141" s="24" t="e">
        <f t="shared" si="11"/>
        <v>#REF!</v>
      </c>
      <c r="B141" s="243" t="str">
        <f t="shared" si="15"/>
        <v>CAMPBELL SOUP CO</v>
      </c>
      <c r="C141" s="25" t="str">
        <f t="shared" si="16"/>
        <v>CPB UN</v>
      </c>
      <c r="D141" s="25">
        <v>1</v>
      </c>
      <c r="E141" s="6" t="e">
        <f xml:space="preserve"> [2]!'COTY.US-PreClose'</f>
        <v>#REF!</v>
      </c>
      <c r="F141" s="78">
        <f t="shared" si="17"/>
        <v>1120</v>
      </c>
      <c r="G141" s="49" t="e">
        <f t="shared" si="18"/>
        <v>#REF!</v>
      </c>
      <c r="H141" s="6" t="e">
        <f xml:space="preserve"> [2]!'COTY.US-Price'</f>
        <v>#REF!</v>
      </c>
      <c r="I141" s="6" t="e">
        <f xml:space="preserve"> [2]!'COTY.US-BestBid1'</f>
        <v>#REF!</v>
      </c>
      <c r="J141" s="6" t="e">
        <f xml:space="preserve"> [2]!'COTY.US-BestAsk1'</f>
        <v>#REF!</v>
      </c>
      <c r="K141" s="65" t="e">
        <f t="shared" si="12"/>
        <v>#REF!</v>
      </c>
      <c r="L141" s="65" t="e">
        <f t="shared" si="13"/>
        <v>#REF!</v>
      </c>
      <c r="M141" s="68" t="e">
        <f t="shared" si="14"/>
        <v>#REF!</v>
      </c>
      <c r="AC141" s="444" t="s">
        <v>3022</v>
      </c>
      <c r="AD141" s="445" t="s">
        <v>775</v>
      </c>
      <c r="AE141" s="446">
        <v>0.03</v>
      </c>
      <c r="AF141" s="447">
        <v>1120</v>
      </c>
    </row>
    <row r="142" spans="1:32" ht="33" thickBot="1">
      <c r="A142" s="24" t="e">
        <f t="shared" si="11"/>
        <v>#REF!</v>
      </c>
      <c r="B142" s="243" t="str">
        <f t="shared" si="15"/>
        <v>CAPRI HOLDINGS LTD</v>
      </c>
      <c r="C142" s="25" t="str">
        <f t="shared" si="16"/>
        <v>CPRI UN</v>
      </c>
      <c r="D142" s="25">
        <v>1</v>
      </c>
      <c r="E142" s="6" t="e">
        <f xml:space="preserve"> [2]!'CPB.US-PreClose'</f>
        <v>#REF!</v>
      </c>
      <c r="F142" s="78">
        <f t="shared" si="17"/>
        <v>877</v>
      </c>
      <c r="G142" s="49" t="e">
        <f t="shared" si="18"/>
        <v>#REF!</v>
      </c>
      <c r="H142" s="6" t="e">
        <f xml:space="preserve"> [2]!'CPB.US-Price'</f>
        <v>#REF!</v>
      </c>
      <c r="I142" s="6" t="e">
        <f xml:space="preserve"> [2]!'CPB.US-BestBid1'</f>
        <v>#REF!</v>
      </c>
      <c r="J142" s="6" t="e">
        <f xml:space="preserve"> [2]!'CPB.US-BestAsk1'</f>
        <v>#REF!</v>
      </c>
      <c r="K142" s="65" t="e">
        <f t="shared" si="12"/>
        <v>#REF!</v>
      </c>
      <c r="L142" s="65" t="e">
        <f t="shared" si="13"/>
        <v>#REF!</v>
      </c>
      <c r="M142" s="68" t="e">
        <f t="shared" si="14"/>
        <v>#REF!</v>
      </c>
      <c r="AC142" s="440" t="s">
        <v>3023</v>
      </c>
      <c r="AD142" s="441" t="s">
        <v>3024</v>
      </c>
      <c r="AE142" s="442">
        <v>0.02</v>
      </c>
      <c r="AF142" s="442">
        <v>877</v>
      </c>
    </row>
    <row r="143" spans="1:32" ht="22.2" thickBot="1">
      <c r="A143" s="24" t="e">
        <f t="shared" si="11"/>
        <v>#REF!</v>
      </c>
      <c r="B143" s="243" t="str">
        <f t="shared" si="15"/>
        <v>COPART INC</v>
      </c>
      <c r="C143" s="25" t="str">
        <f t="shared" si="16"/>
        <v>CPRT UQ</v>
      </c>
      <c r="D143" s="25">
        <v>1</v>
      </c>
      <c r="E143" s="6" t="e">
        <f xml:space="preserve"> [2]!'CRM.US-PreClose'</f>
        <v>#REF!</v>
      </c>
      <c r="F143" s="78">
        <f t="shared" si="17"/>
        <v>1172</v>
      </c>
      <c r="G143" s="49" t="e">
        <f t="shared" si="18"/>
        <v>#REF!</v>
      </c>
      <c r="H143" s="6" t="e">
        <f xml:space="preserve"> [2]!'CRM.US-Price'</f>
        <v>#REF!</v>
      </c>
      <c r="I143" s="6" t="e">
        <f xml:space="preserve"> [2]!'CRM.US-BestBid1'</f>
        <v>#REF!</v>
      </c>
      <c r="J143" s="6" t="e">
        <f xml:space="preserve"> [2]!'CRM.US-BestAsk1'</f>
        <v>#REF!</v>
      </c>
      <c r="K143" s="65" t="e">
        <f t="shared" si="12"/>
        <v>#REF!</v>
      </c>
      <c r="L143" s="65" t="e">
        <f t="shared" si="13"/>
        <v>#REF!</v>
      </c>
      <c r="M143" s="68" t="e">
        <f t="shared" si="14"/>
        <v>#REF!</v>
      </c>
      <c r="AC143" s="444" t="s">
        <v>3025</v>
      </c>
      <c r="AD143" s="445" t="s">
        <v>3026</v>
      </c>
      <c r="AE143" s="446">
        <v>0.06</v>
      </c>
      <c r="AF143" s="447">
        <v>1172</v>
      </c>
    </row>
    <row r="144" spans="1:32" ht="22.2" thickBot="1">
      <c r="A144" s="24" t="e">
        <f t="shared" si="11"/>
        <v>#REF!</v>
      </c>
      <c r="B144" s="243" t="str">
        <f t="shared" si="15"/>
        <v>SALESFORCE.COM INC</v>
      </c>
      <c r="C144" s="25" t="str">
        <f t="shared" si="16"/>
        <v>CRM UN</v>
      </c>
      <c r="D144" s="25">
        <v>1</v>
      </c>
      <c r="E144" s="6" t="e">
        <f xml:space="preserve"> [2]!'CSCO.US-PreClose'</f>
        <v>#REF!</v>
      </c>
      <c r="F144" s="78">
        <f t="shared" si="17"/>
        <v>4514</v>
      </c>
      <c r="G144" s="49" t="e">
        <f t="shared" si="18"/>
        <v>#REF!</v>
      </c>
      <c r="H144" s="6" t="e">
        <f xml:space="preserve"> [2]!'CSCO.US-Price'</f>
        <v>#REF!</v>
      </c>
      <c r="I144" s="6" t="e">
        <f xml:space="preserve"> [2]!'CSCO.US-BestBid1'</f>
        <v>#REF!</v>
      </c>
      <c r="J144" s="6" t="e">
        <f xml:space="preserve"> [2]!'CSCO.US-BestAsk1'</f>
        <v>#REF!</v>
      </c>
      <c r="K144" s="65" t="e">
        <f t="shared" si="12"/>
        <v>#REF!</v>
      </c>
      <c r="L144" s="65" t="e">
        <f t="shared" si="13"/>
        <v>#REF!</v>
      </c>
      <c r="M144" s="68" t="e">
        <f t="shared" si="14"/>
        <v>#REF!</v>
      </c>
      <c r="AC144" s="440" t="s">
        <v>3027</v>
      </c>
      <c r="AD144" s="441" t="s">
        <v>776</v>
      </c>
      <c r="AE144" s="442">
        <v>0.48</v>
      </c>
      <c r="AF144" s="443">
        <v>4514</v>
      </c>
    </row>
    <row r="145" spans="1:32" ht="33" thickBot="1">
      <c r="A145" s="24" t="e">
        <f t="shared" si="11"/>
        <v>#REF!</v>
      </c>
      <c r="B145" s="243" t="str">
        <f t="shared" si="15"/>
        <v>CISCO SYSTEMS INC</v>
      </c>
      <c r="C145" s="25" t="str">
        <f t="shared" si="16"/>
        <v>CSCO UQ</v>
      </c>
      <c r="D145" s="25">
        <v>1</v>
      </c>
      <c r="E145" s="6" t="e">
        <f xml:space="preserve"> [2]!'CSRA.US-PreClose'</f>
        <v>#REF!</v>
      </c>
      <c r="F145" s="78">
        <f t="shared" si="17"/>
        <v>24882</v>
      </c>
      <c r="G145" s="49" t="e">
        <f t="shared" si="18"/>
        <v>#REF!</v>
      </c>
      <c r="H145" s="6" t="e">
        <f xml:space="preserve"> [2]!'CSRA.US-Price'</f>
        <v>#REF!</v>
      </c>
      <c r="I145" s="6" t="e">
        <f xml:space="preserve"> [2]!'CSRA.US-BestBid1'</f>
        <v>#REF!</v>
      </c>
      <c r="J145" s="6" t="e">
        <f xml:space="preserve"> [2]!'CSRA.US-BestAsk1'</f>
        <v>#REF!</v>
      </c>
      <c r="K145" s="65" t="e">
        <f t="shared" si="12"/>
        <v>#REF!</v>
      </c>
      <c r="L145" s="65" t="e">
        <f t="shared" si="13"/>
        <v>#REF!</v>
      </c>
      <c r="M145" s="68" t="e">
        <f t="shared" si="14"/>
        <v>#REF!</v>
      </c>
      <c r="AC145" s="444" t="s">
        <v>3028</v>
      </c>
      <c r="AD145" s="445" t="s">
        <v>777</v>
      </c>
      <c r="AE145" s="446">
        <v>0.95</v>
      </c>
      <c r="AF145" s="447">
        <v>24882</v>
      </c>
    </row>
    <row r="146" spans="1:32" ht="16.8" thickBot="1">
      <c r="A146" s="24" t="e">
        <f t="shared" si="11"/>
        <v>#REF!</v>
      </c>
      <c r="B146" s="243" t="str">
        <f t="shared" si="15"/>
        <v>CSX CORP</v>
      </c>
      <c r="C146" s="25" t="str">
        <f t="shared" si="16"/>
        <v>CSX UQ</v>
      </c>
      <c r="D146" s="25">
        <v>1</v>
      </c>
      <c r="E146" s="6" t="e">
        <f xml:space="preserve"> [2]!'CSX.US-PreClose'</f>
        <v>#REF!</v>
      </c>
      <c r="F146" s="78">
        <f t="shared" si="17"/>
        <v>4468</v>
      </c>
      <c r="G146" s="49" t="e">
        <f t="shared" si="18"/>
        <v>#REF!</v>
      </c>
      <c r="H146" s="6" t="e">
        <f xml:space="preserve"> [2]!'CSX.US-Price'</f>
        <v>#REF!</v>
      </c>
      <c r="I146" s="6" t="e">
        <f xml:space="preserve"> [2]!'CSX.US-BestBid1'</f>
        <v>#REF!</v>
      </c>
      <c r="J146" s="6" t="e">
        <f xml:space="preserve"> [2]!'CSX.US-BestAsk1'</f>
        <v>#REF!</v>
      </c>
      <c r="K146" s="65" t="e">
        <f t="shared" si="12"/>
        <v>#REF!</v>
      </c>
      <c r="L146" s="65" t="e">
        <f t="shared" si="13"/>
        <v>#REF!</v>
      </c>
      <c r="M146" s="68" t="e">
        <f t="shared" si="14"/>
        <v>#REF!</v>
      </c>
      <c r="AC146" s="440" t="s">
        <v>3029</v>
      </c>
      <c r="AD146" s="441" t="s">
        <v>778</v>
      </c>
      <c r="AE146" s="442">
        <v>0.23</v>
      </c>
      <c r="AF146" s="443">
        <v>4468</v>
      </c>
    </row>
    <row r="147" spans="1:32" ht="22.2" thickBot="1">
      <c r="A147" s="24" t="e">
        <f t="shared" si="11"/>
        <v>#REF!</v>
      </c>
      <c r="B147" s="243" t="str">
        <f t="shared" si="15"/>
        <v>CINTAS CORP</v>
      </c>
      <c r="C147" s="25" t="str">
        <f t="shared" si="16"/>
        <v>CTAS UQ</v>
      </c>
      <c r="D147" s="25">
        <v>1</v>
      </c>
      <c r="E147" s="6" t="e">
        <f xml:space="preserve"> [2]!'CTAS.US-PreClose'</f>
        <v>#REF!</v>
      </c>
      <c r="F147" s="78">
        <f t="shared" si="17"/>
        <v>492</v>
      </c>
      <c r="G147" s="49" t="e">
        <f t="shared" si="18"/>
        <v>#REF!</v>
      </c>
      <c r="H147" s="6" t="e">
        <f xml:space="preserve"> [2]!'CTAS.US-Price'</f>
        <v>#REF!</v>
      </c>
      <c r="I147" s="6" t="e">
        <f xml:space="preserve"> [2]!'CTAS.US-BestBid1'</f>
        <v>#REF!</v>
      </c>
      <c r="J147" s="6" t="e">
        <f xml:space="preserve"> [2]!'CTAS.US-BestAsk1'</f>
        <v>#REF!</v>
      </c>
      <c r="K147" s="65" t="e">
        <f t="shared" si="12"/>
        <v>#REF!</v>
      </c>
      <c r="L147" s="65" t="e">
        <f t="shared" si="13"/>
        <v>#REF!</v>
      </c>
      <c r="M147" s="68" t="e">
        <f t="shared" si="14"/>
        <v>#REF!</v>
      </c>
      <c r="AC147" s="444" t="s">
        <v>3030</v>
      </c>
      <c r="AD147" s="445" t="s">
        <v>779</v>
      </c>
      <c r="AE147" s="446">
        <v>0.08</v>
      </c>
      <c r="AF147" s="446">
        <v>492</v>
      </c>
    </row>
    <row r="148" spans="1:32" ht="22.2" thickBot="1">
      <c r="A148" s="24" t="e">
        <f t="shared" si="11"/>
        <v>#REF!</v>
      </c>
      <c r="B148" s="243" t="str">
        <f t="shared" si="15"/>
        <v>CENTURYLINK INC</v>
      </c>
      <c r="C148" s="25" t="str">
        <f t="shared" si="16"/>
        <v>CTL UN</v>
      </c>
      <c r="D148" s="25">
        <v>1</v>
      </c>
      <c r="E148" s="6" t="e">
        <f xml:space="preserve"> [2]!'CTL.US-PreClose'</f>
        <v>#REF!</v>
      </c>
      <c r="F148" s="78">
        <f t="shared" si="17"/>
        <v>5577</v>
      </c>
      <c r="G148" s="49" t="e">
        <f t="shared" si="18"/>
        <v>#REF!</v>
      </c>
      <c r="H148" s="6" t="e">
        <f xml:space="preserve"> [2]!'CTL.US-Price'</f>
        <v>#REF!</v>
      </c>
      <c r="I148" s="6" t="e">
        <f xml:space="preserve"> [2]!'CTL.US-BestBid1'</f>
        <v>#REF!</v>
      </c>
      <c r="J148" s="6" t="e">
        <f xml:space="preserve"> [2]!'CTL.US-BestAsk1'</f>
        <v>#REF!</v>
      </c>
      <c r="K148" s="65" t="e">
        <f t="shared" si="12"/>
        <v>#REF!</v>
      </c>
      <c r="L148" s="65" t="e">
        <f t="shared" si="13"/>
        <v>#REF!</v>
      </c>
      <c r="M148" s="68" t="e">
        <f t="shared" si="14"/>
        <v>#REF!</v>
      </c>
      <c r="AC148" s="440" t="s">
        <v>3031</v>
      </c>
      <c r="AD148" s="441" t="s">
        <v>780</v>
      </c>
      <c r="AE148" s="442">
        <v>0.04</v>
      </c>
      <c r="AF148" s="443">
        <v>5577</v>
      </c>
    </row>
    <row r="149" spans="1:32" ht="43.8" thickBot="1">
      <c r="A149" s="24" t="e">
        <f t="shared" si="11"/>
        <v>#REF!</v>
      </c>
      <c r="B149" s="243" t="str">
        <f t="shared" si="15"/>
        <v>COGNIZANT TECH SOLUTIONS-A</v>
      </c>
      <c r="C149" s="25" t="str">
        <f t="shared" si="16"/>
        <v>CTSH UQ</v>
      </c>
      <c r="D149" s="25">
        <v>1</v>
      </c>
      <c r="E149" s="6" t="e">
        <f xml:space="preserve"> [2]!'CTSH.US-PreClose'</f>
        <v>#REF!</v>
      </c>
      <c r="F149" s="78">
        <f t="shared" si="17"/>
        <v>3309</v>
      </c>
      <c r="G149" s="49" t="e">
        <f t="shared" si="18"/>
        <v>#REF!</v>
      </c>
      <c r="H149" s="6" t="e">
        <f xml:space="preserve"> [2]!'CTSH.US-Price'</f>
        <v>#REF!</v>
      </c>
      <c r="I149" s="6" t="e">
        <f xml:space="preserve"> [2]!'CTSH.US-BestBid1'</f>
        <v>#REF!</v>
      </c>
      <c r="J149" s="6" t="e">
        <f xml:space="preserve"> [2]!'CTSH.US-BestAsk1'</f>
        <v>#REF!</v>
      </c>
      <c r="K149" s="65" t="e">
        <f t="shared" si="12"/>
        <v>#REF!</v>
      </c>
      <c r="L149" s="65" t="e">
        <f t="shared" si="13"/>
        <v>#REF!</v>
      </c>
      <c r="M149" s="68" t="e">
        <f t="shared" si="14"/>
        <v>#REF!</v>
      </c>
      <c r="AC149" s="444" t="s">
        <v>3032</v>
      </c>
      <c r="AD149" s="445" t="s">
        <v>781</v>
      </c>
      <c r="AE149" s="446">
        <v>0.14000000000000001</v>
      </c>
      <c r="AF149" s="447">
        <v>3309</v>
      </c>
    </row>
    <row r="150" spans="1:32" ht="22.2" thickBot="1">
      <c r="A150" s="24" t="e">
        <f t="shared" si="11"/>
        <v>#REF!</v>
      </c>
      <c r="B150" s="243" t="str">
        <f t="shared" si="15"/>
        <v>CORTEVA INC</v>
      </c>
      <c r="C150" s="25" t="str">
        <f t="shared" si="16"/>
        <v>CTVA UN</v>
      </c>
      <c r="D150" s="25">
        <v>1</v>
      </c>
      <c r="E150" s="6" t="e">
        <f xml:space="preserve"> [2]!'CTXS.US-PreClose'</f>
        <v>#REF!</v>
      </c>
      <c r="F150" s="78">
        <f t="shared" si="17"/>
        <v>4352</v>
      </c>
      <c r="G150" s="49" t="e">
        <f t="shared" si="18"/>
        <v>#REF!</v>
      </c>
      <c r="H150" s="6" t="e">
        <f xml:space="preserve"> [2]!'CTXS.US-Price'</f>
        <v>#REF!</v>
      </c>
      <c r="I150" s="6" t="e">
        <f xml:space="preserve"> [2]!'CTXS.US-BestBid1'</f>
        <v>#REF!</v>
      </c>
      <c r="J150" s="6" t="e">
        <f xml:space="preserve"> [2]!'CTXS.US-BestAsk1'</f>
        <v>#REF!</v>
      </c>
      <c r="K150" s="65" t="e">
        <f t="shared" si="12"/>
        <v>#REF!</v>
      </c>
      <c r="L150" s="65" t="e">
        <f t="shared" si="13"/>
        <v>#REF!</v>
      </c>
      <c r="M150" s="68" t="e">
        <f t="shared" si="14"/>
        <v>#REF!</v>
      </c>
      <c r="AC150" s="440" t="s">
        <v>3033</v>
      </c>
      <c r="AD150" s="441" t="s">
        <v>3034</v>
      </c>
      <c r="AE150" s="442">
        <v>0.08</v>
      </c>
      <c r="AF150" s="443">
        <v>4352</v>
      </c>
    </row>
    <row r="151" spans="1:32" ht="33" thickBot="1">
      <c r="A151" s="24" t="e">
        <f t="shared" ref="A151:A214" si="19">G151/$C$6</f>
        <v>#REF!</v>
      </c>
      <c r="B151" s="243" t="str">
        <f t="shared" si="15"/>
        <v>CITRIX SYSTEMS INC</v>
      </c>
      <c r="C151" s="25" t="str">
        <f t="shared" si="16"/>
        <v>CTXS UQ</v>
      </c>
      <c r="D151" s="25">
        <v>1</v>
      </c>
      <c r="E151" s="6" t="e">
        <f xml:space="preserve"> [2]!'CVS.US-PreClose'</f>
        <v>#REF!</v>
      </c>
      <c r="F151" s="78">
        <f t="shared" si="17"/>
        <v>727</v>
      </c>
      <c r="G151" s="49" t="e">
        <f t="shared" si="18"/>
        <v>#REF!</v>
      </c>
      <c r="H151" s="6" t="e">
        <f xml:space="preserve"> [2]!'CVS.US-Price'</f>
        <v>#REF!</v>
      </c>
      <c r="I151" s="6" t="e">
        <f xml:space="preserve"> [2]!'CVS.US-BestBid1'</f>
        <v>#REF!</v>
      </c>
      <c r="J151" s="6" t="e">
        <f xml:space="preserve"> [2]!'CVS.US-BestAsk1'</f>
        <v>#REF!</v>
      </c>
      <c r="K151" s="65" t="e">
        <f t="shared" ref="K151:K214" si="20">IF(ISNUMBER(H151)=TRUE,H151*F151*D151,E151*F151*D151)*$N$2</f>
        <v>#REF!</v>
      </c>
      <c r="L151" s="65" t="e">
        <f t="shared" ref="L151:L214" si="21">IF(ISNUMBER(I151)=TRUE,I151*F151*D151,E151*F151*D151)*$N$2</f>
        <v>#REF!</v>
      </c>
      <c r="M151" s="68" t="e">
        <f t="shared" ref="M151:M214" si="22">IF(ISNUMBER(J151)=TRUE,J151*F151*D151,E151*F151*D151)*$N$2</f>
        <v>#REF!</v>
      </c>
      <c r="AC151" s="444" t="s">
        <v>3035</v>
      </c>
      <c r="AD151" s="445" t="s">
        <v>782</v>
      </c>
      <c r="AE151" s="446">
        <v>0.05</v>
      </c>
      <c r="AF151" s="446">
        <v>727</v>
      </c>
    </row>
    <row r="152" spans="1:32" ht="33" thickBot="1">
      <c r="A152" s="24" t="e">
        <f t="shared" si="19"/>
        <v>#VALUE!</v>
      </c>
      <c r="B152" s="243" t="str">
        <f t="shared" si="15"/>
        <v>CVS HEALTH CORP</v>
      </c>
      <c r="C152" s="25" t="str">
        <f t="shared" si="16"/>
        <v>CVS UN</v>
      </c>
      <c r="D152" s="25">
        <v>1</v>
      </c>
      <c r="E152" s="6" t="str">
        <f xml:space="preserve"> [2]!'CVX.US-PreClose'</f>
        <v>N/A</v>
      </c>
      <c r="F152" s="78">
        <f t="shared" si="17"/>
        <v>7551</v>
      </c>
      <c r="G152" s="49" t="e">
        <f t="shared" si="18"/>
        <v>#VALUE!</v>
      </c>
      <c r="H152" s="6" t="str">
        <f xml:space="preserve"> [2]!'CVX.US-Price'</f>
        <v>N/A</v>
      </c>
      <c r="I152" s="6" t="str">
        <f xml:space="preserve"> [2]!'CVX.US-BestBid1'</f>
        <v>N/A</v>
      </c>
      <c r="J152" s="6" t="str">
        <f xml:space="preserve"> [2]!'CVX.US-BestAsk1'</f>
        <v>N/A</v>
      </c>
      <c r="K152" s="65" t="e">
        <f t="shared" si="20"/>
        <v>#VALUE!</v>
      </c>
      <c r="L152" s="65" t="e">
        <f t="shared" si="21"/>
        <v>#VALUE!</v>
      </c>
      <c r="M152" s="68" t="e">
        <f t="shared" si="22"/>
        <v>#VALUE!</v>
      </c>
      <c r="AC152" s="440" t="s">
        <v>3036</v>
      </c>
      <c r="AD152" s="441" t="s">
        <v>783</v>
      </c>
      <c r="AE152" s="442">
        <v>0.28999999999999998</v>
      </c>
      <c r="AF152" s="443">
        <v>7551</v>
      </c>
    </row>
    <row r="153" spans="1:32" ht="22.2" thickBot="1">
      <c r="A153" s="24" t="e">
        <f t="shared" si="19"/>
        <v>#REF!</v>
      </c>
      <c r="B153" s="243" t="str">
        <f t="shared" ref="B153:B216" si="23">AD153</f>
        <v>CHEVRON CORP</v>
      </c>
      <c r="C153" s="25" t="str">
        <f t="shared" ref="C153:C216" si="24">AC153</f>
        <v>CVX UN</v>
      </c>
      <c r="D153" s="25">
        <v>1</v>
      </c>
      <c r="E153" s="6" t="e">
        <f xml:space="preserve"> [2]!'CXO.US-PreClose'</f>
        <v>#REF!</v>
      </c>
      <c r="F153" s="78">
        <f t="shared" ref="F153:F216" si="25">VLOOKUP($C153,$AC$24:$AF$550,4,FALSE)</f>
        <v>11072</v>
      </c>
      <c r="G153" s="49" t="e">
        <f t="shared" ref="G153:G216" si="26">D153*E153*F153*$O$2</f>
        <v>#REF!</v>
      </c>
      <c r="H153" s="6" t="e">
        <f xml:space="preserve"> [2]!'CXO.US-Price'</f>
        <v>#REF!</v>
      </c>
      <c r="I153" s="6" t="e">
        <f xml:space="preserve"> [2]!'CXO.US-BestBid1'</f>
        <v>#REF!</v>
      </c>
      <c r="J153" s="6" t="e">
        <f xml:space="preserve"> [2]!'CXO.US-BestAsk1'</f>
        <v>#REF!</v>
      </c>
      <c r="K153" s="65" t="e">
        <f t="shared" si="20"/>
        <v>#REF!</v>
      </c>
      <c r="L153" s="65" t="e">
        <f t="shared" si="21"/>
        <v>#REF!</v>
      </c>
      <c r="M153" s="68" t="e">
        <f t="shared" si="22"/>
        <v>#REF!</v>
      </c>
      <c r="AC153" s="444" t="s">
        <v>3037</v>
      </c>
      <c r="AD153" s="445" t="s">
        <v>784</v>
      </c>
      <c r="AE153" s="446">
        <v>0.93</v>
      </c>
      <c r="AF153" s="447">
        <v>11072</v>
      </c>
    </row>
    <row r="154" spans="1:32" ht="33" thickBot="1">
      <c r="A154" s="24" t="e">
        <f t="shared" si="19"/>
        <v>#VALUE!</v>
      </c>
      <c r="B154" s="243" t="str">
        <f t="shared" si="23"/>
        <v>CONCHO RESOURCES INC</v>
      </c>
      <c r="C154" s="25" t="str">
        <f t="shared" si="24"/>
        <v>CXO UN</v>
      </c>
      <c r="D154" s="25">
        <v>1</v>
      </c>
      <c r="E154" s="6" t="str">
        <f xml:space="preserve"> [2]!'D.US-PreClose'</f>
        <v>N/A</v>
      </c>
      <c r="F154" s="78">
        <f t="shared" si="25"/>
        <v>1166</v>
      </c>
      <c r="G154" s="49" t="e">
        <f t="shared" si="26"/>
        <v>#VALUE!</v>
      </c>
      <c r="H154" s="6" t="str">
        <f xml:space="preserve"> [2]!'D.US-Price'</f>
        <v>N/A</v>
      </c>
      <c r="I154" s="6" t="str">
        <f xml:space="preserve"> [2]!'D.US-BestBid1'</f>
        <v>N/A</v>
      </c>
      <c r="J154" s="6" t="str">
        <f xml:space="preserve"> [2]!'D.US-BestAsk1'</f>
        <v>N/A</v>
      </c>
      <c r="K154" s="65" t="e">
        <f t="shared" si="20"/>
        <v>#VALUE!</v>
      </c>
      <c r="L154" s="65" t="e">
        <f t="shared" si="21"/>
        <v>#VALUE!</v>
      </c>
      <c r="M154" s="68" t="e">
        <f t="shared" si="22"/>
        <v>#VALUE!</v>
      </c>
      <c r="AC154" s="440" t="s">
        <v>3038</v>
      </c>
      <c r="AD154" s="441" t="s">
        <v>785</v>
      </c>
      <c r="AE154" s="442">
        <v>0.08</v>
      </c>
      <c r="AF154" s="443">
        <v>1166</v>
      </c>
    </row>
    <row r="155" spans="1:32" ht="33" thickBot="1">
      <c r="A155" s="24" t="e">
        <f t="shared" si="19"/>
        <v>#REF!</v>
      </c>
      <c r="B155" s="243" t="str">
        <f t="shared" si="23"/>
        <v>DOMINION ENERGY INC</v>
      </c>
      <c r="C155" s="25" t="str">
        <f t="shared" si="24"/>
        <v>D UN</v>
      </c>
      <c r="D155" s="25">
        <v>1</v>
      </c>
      <c r="E155" s="6" t="e">
        <f xml:space="preserve"> [2]!'DAL.US-PreClose'</f>
        <v>#REF!</v>
      </c>
      <c r="F155" s="78">
        <f t="shared" si="25"/>
        <v>4664</v>
      </c>
      <c r="G155" s="49" t="e">
        <f t="shared" si="26"/>
        <v>#REF!</v>
      </c>
      <c r="H155" s="6" t="e">
        <f xml:space="preserve"> [2]!'DAL.US-Price'</f>
        <v>#REF!</v>
      </c>
      <c r="I155" s="6" t="e">
        <f xml:space="preserve"> [2]!'DAL.US-BestBid1'</f>
        <v>#REF!</v>
      </c>
      <c r="J155" s="6" t="e">
        <f xml:space="preserve"> [2]!'DAL.US-BestAsk1'</f>
        <v>#REF!</v>
      </c>
      <c r="K155" s="65" t="e">
        <f t="shared" si="20"/>
        <v>#REF!</v>
      </c>
      <c r="L155" s="65" t="e">
        <f t="shared" si="21"/>
        <v>#REF!</v>
      </c>
      <c r="M155" s="68" t="e">
        <f t="shared" si="22"/>
        <v>#REF!</v>
      </c>
      <c r="AC155" s="444" t="s">
        <v>3039</v>
      </c>
      <c r="AD155" s="445" t="s">
        <v>786</v>
      </c>
      <c r="AE155" s="446">
        <v>0.24</v>
      </c>
      <c r="AF155" s="447">
        <v>4664</v>
      </c>
    </row>
    <row r="156" spans="1:32" ht="22.2" thickBot="1">
      <c r="A156" s="24" t="e">
        <f t="shared" si="19"/>
        <v>#REF!</v>
      </c>
      <c r="B156" s="243" t="str">
        <f t="shared" si="23"/>
        <v>DELTA AIR LINES INC</v>
      </c>
      <c r="C156" s="25" t="str">
        <f t="shared" si="24"/>
        <v>DAL UN</v>
      </c>
      <c r="D156" s="25">
        <v>1</v>
      </c>
      <c r="E156" s="6" t="e">
        <f xml:space="preserve"> [2]!'DE.US-PreClose'</f>
        <v>#REF!</v>
      </c>
      <c r="F156" s="78">
        <f t="shared" si="25"/>
        <v>3463</v>
      </c>
      <c r="G156" s="49" t="e">
        <f t="shared" si="26"/>
        <v>#REF!</v>
      </c>
      <c r="H156" s="6" t="e">
        <f xml:space="preserve"> [2]!'DE.US-Price'</f>
        <v>#REF!</v>
      </c>
      <c r="I156" s="6" t="e">
        <f xml:space="preserve"> [2]!'DE.US-BestBid1'</f>
        <v>#REF!</v>
      </c>
      <c r="J156" s="6" t="e">
        <f xml:space="preserve"> [2]!'DE.US-BestAsk1'</f>
        <v>#REF!</v>
      </c>
      <c r="K156" s="65" t="e">
        <f t="shared" si="20"/>
        <v>#REF!</v>
      </c>
      <c r="L156" s="65" t="e">
        <f t="shared" si="21"/>
        <v>#REF!</v>
      </c>
      <c r="M156" s="68" t="e">
        <f t="shared" si="22"/>
        <v>#REF!</v>
      </c>
      <c r="AC156" s="440" t="s">
        <v>3040</v>
      </c>
      <c r="AD156" s="441" t="s">
        <v>787</v>
      </c>
      <c r="AE156" s="442">
        <v>0.14000000000000001</v>
      </c>
      <c r="AF156" s="443">
        <v>3463</v>
      </c>
    </row>
    <row r="157" spans="1:32" ht="43.8" thickBot="1">
      <c r="A157" s="24" t="e">
        <f t="shared" si="19"/>
        <v>#REF!</v>
      </c>
      <c r="B157" s="243" t="str">
        <f t="shared" si="23"/>
        <v>DUPONT DE NEMOURS INC</v>
      </c>
      <c r="C157" s="25" t="str">
        <f t="shared" si="24"/>
        <v>DD UN</v>
      </c>
      <c r="D157" s="25">
        <v>1</v>
      </c>
      <c r="E157" s="6" t="e">
        <f xml:space="preserve"> [2]!'DFS.US-PreClose'</f>
        <v>#REF!</v>
      </c>
      <c r="F157" s="78">
        <f t="shared" si="25"/>
        <v>4352</v>
      </c>
      <c r="G157" s="49" t="e">
        <f t="shared" si="26"/>
        <v>#REF!</v>
      </c>
      <c r="H157" s="6" t="e">
        <f xml:space="preserve"> [2]!'DFS.US-Price'</f>
        <v>#REF!</v>
      </c>
      <c r="I157" s="6" t="e">
        <f xml:space="preserve"> [2]!'DFS.US-BestBid1'</f>
        <v>#REF!</v>
      </c>
      <c r="J157" s="6" t="e">
        <f xml:space="preserve"> [2]!'DFS.US-BestAsk1'</f>
        <v>#REF!</v>
      </c>
      <c r="K157" s="65" t="e">
        <f t="shared" si="20"/>
        <v>#REF!</v>
      </c>
      <c r="L157" s="65" t="e">
        <f t="shared" si="21"/>
        <v>#REF!</v>
      </c>
      <c r="M157" s="68" t="e">
        <f t="shared" si="22"/>
        <v>#REF!</v>
      </c>
      <c r="AC157" s="444" t="s">
        <v>3041</v>
      </c>
      <c r="AD157" s="445" t="s">
        <v>3042</v>
      </c>
      <c r="AE157" s="446">
        <v>0.2</v>
      </c>
      <c r="AF157" s="447">
        <v>4352</v>
      </c>
    </row>
    <row r="158" spans="1:32" ht="22.2" thickBot="1">
      <c r="A158" s="24" t="e">
        <f t="shared" si="19"/>
        <v>#REF!</v>
      </c>
      <c r="B158" s="243" t="str">
        <f t="shared" si="23"/>
        <v>DEERE &amp; CO</v>
      </c>
      <c r="C158" s="25" t="str">
        <f t="shared" si="24"/>
        <v>DE UN</v>
      </c>
      <c r="D158" s="25">
        <v>1</v>
      </c>
      <c r="E158" s="6" t="e">
        <f xml:space="preserve"> [2]!'DG.US-PreClose'</f>
        <v>#REF!</v>
      </c>
      <c r="F158" s="78">
        <f t="shared" si="25"/>
        <v>1843</v>
      </c>
      <c r="G158" s="49" t="e">
        <f t="shared" si="26"/>
        <v>#REF!</v>
      </c>
      <c r="H158" s="6" t="e">
        <f xml:space="preserve"> [2]!'DG.US-Price'</f>
        <v>#REF!</v>
      </c>
      <c r="I158" s="6" t="e">
        <f xml:space="preserve"> [2]!'DG.US-BestBid1'</f>
        <v>#REF!</v>
      </c>
      <c r="J158" s="6" t="e">
        <f xml:space="preserve"> [2]!'DG.US-BestAsk1'</f>
        <v>#REF!</v>
      </c>
      <c r="K158" s="65" t="e">
        <f t="shared" si="20"/>
        <v>#REF!</v>
      </c>
      <c r="L158" s="65" t="e">
        <f t="shared" si="21"/>
        <v>#REF!</v>
      </c>
      <c r="M158" s="68" t="e">
        <f t="shared" si="22"/>
        <v>#REF!</v>
      </c>
      <c r="AC158" s="440" t="s">
        <v>3043</v>
      </c>
      <c r="AD158" s="441" t="s">
        <v>788</v>
      </c>
      <c r="AE158" s="442">
        <v>0.2</v>
      </c>
      <c r="AF158" s="443">
        <v>1843</v>
      </c>
    </row>
    <row r="159" spans="1:32" ht="33" thickBot="1">
      <c r="A159" s="24" t="e">
        <f t="shared" si="19"/>
        <v>#REF!</v>
      </c>
      <c r="B159" s="243" t="str">
        <f t="shared" si="23"/>
        <v>DISCOVER FINANCIAL SERVICES</v>
      </c>
      <c r="C159" s="25" t="str">
        <f t="shared" si="24"/>
        <v>DFS UN</v>
      </c>
      <c r="D159" s="25">
        <v>1</v>
      </c>
      <c r="E159" s="6" t="e">
        <f xml:space="preserve"> [2]!'DGX.US-PreClose'</f>
        <v>#REF!</v>
      </c>
      <c r="F159" s="78">
        <f t="shared" si="25"/>
        <v>1882</v>
      </c>
      <c r="G159" s="49" t="e">
        <f t="shared" si="26"/>
        <v>#REF!</v>
      </c>
      <c r="H159" s="6" t="e">
        <f xml:space="preserve"> [2]!'DGX.US-Price'</f>
        <v>#REF!</v>
      </c>
      <c r="I159" s="6" t="e">
        <f xml:space="preserve"> [2]!'DGX.US-BestBid1'</f>
        <v>#REF!</v>
      </c>
      <c r="J159" s="6" t="e">
        <f xml:space="preserve"> [2]!'DGX.US-BestAsk1'</f>
        <v>#REF!</v>
      </c>
      <c r="K159" s="65" t="e">
        <f t="shared" si="20"/>
        <v>#REF!</v>
      </c>
      <c r="L159" s="65" t="e">
        <f t="shared" si="21"/>
        <v>#REF!</v>
      </c>
      <c r="M159" s="68" t="e">
        <f t="shared" si="22"/>
        <v>#REF!</v>
      </c>
      <c r="AC159" s="444" t="s">
        <v>3044</v>
      </c>
      <c r="AD159" s="445" t="s">
        <v>789</v>
      </c>
      <c r="AE159" s="446">
        <v>0.1</v>
      </c>
      <c r="AF159" s="447">
        <v>1882</v>
      </c>
    </row>
    <row r="160" spans="1:32" ht="33" thickBot="1">
      <c r="A160" s="24" t="e">
        <f t="shared" si="19"/>
        <v>#REF!</v>
      </c>
      <c r="B160" s="243" t="str">
        <f t="shared" si="23"/>
        <v>DOLLAR GENERAL CORP</v>
      </c>
      <c r="C160" s="25" t="str">
        <f t="shared" si="24"/>
        <v>DG UN</v>
      </c>
      <c r="D160" s="25">
        <v>1</v>
      </c>
      <c r="E160" s="6" t="e">
        <f xml:space="preserve"> [2]!'DHI.US-PreClose'</f>
        <v>#REF!</v>
      </c>
      <c r="F160" s="78">
        <f t="shared" si="25"/>
        <v>1501</v>
      </c>
      <c r="G160" s="49" t="e">
        <f t="shared" si="26"/>
        <v>#REF!</v>
      </c>
      <c r="H160" s="6" t="e">
        <f xml:space="preserve"> [2]!'DHI.US-Price'</f>
        <v>#REF!</v>
      </c>
      <c r="I160" s="6" t="e">
        <f xml:space="preserve"> [2]!'DHI.US-BestBid1'</f>
        <v>#REF!</v>
      </c>
      <c r="J160" s="6" t="e">
        <f xml:space="preserve"> [2]!'DHI.US-BestAsk1'</f>
        <v>#REF!</v>
      </c>
      <c r="K160" s="65" t="e">
        <f t="shared" si="20"/>
        <v>#REF!</v>
      </c>
      <c r="L160" s="65" t="e">
        <f t="shared" si="21"/>
        <v>#REF!</v>
      </c>
      <c r="M160" s="68" t="e">
        <f t="shared" si="22"/>
        <v>#REF!</v>
      </c>
      <c r="AC160" s="440" t="s">
        <v>3045</v>
      </c>
      <c r="AD160" s="441" t="s">
        <v>790</v>
      </c>
      <c r="AE160" s="442">
        <v>0.14000000000000001</v>
      </c>
      <c r="AF160" s="443">
        <v>1501</v>
      </c>
    </row>
    <row r="161" spans="1:32" ht="33" thickBot="1">
      <c r="A161" s="24" t="e">
        <f t="shared" si="19"/>
        <v>#REF!</v>
      </c>
      <c r="B161" s="243" t="str">
        <f t="shared" si="23"/>
        <v>QUEST DIAGNOSTICS INC</v>
      </c>
      <c r="C161" s="25" t="str">
        <f t="shared" si="24"/>
        <v>DGX UN</v>
      </c>
      <c r="D161" s="25">
        <v>1</v>
      </c>
      <c r="E161" s="6" t="e">
        <f xml:space="preserve"> [2]!'DHR.US-PreClose'</f>
        <v>#REF!</v>
      </c>
      <c r="F161" s="78">
        <f t="shared" si="25"/>
        <v>781</v>
      </c>
      <c r="G161" s="49" t="e">
        <f t="shared" si="26"/>
        <v>#REF!</v>
      </c>
      <c r="H161" s="6" t="e">
        <f xml:space="preserve"> [2]!'DHR.US-Price'</f>
        <v>#REF!</v>
      </c>
      <c r="I161" s="6" t="e">
        <f xml:space="preserve"> [2]!'DHR.US-BestBid1'</f>
        <v>#REF!</v>
      </c>
      <c r="J161" s="6" t="e">
        <f xml:space="preserve"> [2]!'DHR.US-BestAsk1'</f>
        <v>#REF!</v>
      </c>
      <c r="K161" s="65" t="e">
        <f t="shared" si="20"/>
        <v>#REF!</v>
      </c>
      <c r="L161" s="65" t="e">
        <f t="shared" si="21"/>
        <v>#REF!</v>
      </c>
      <c r="M161" s="68" t="e">
        <f t="shared" si="22"/>
        <v>#REF!</v>
      </c>
      <c r="AC161" s="444" t="s">
        <v>3046</v>
      </c>
      <c r="AD161" s="445" t="s">
        <v>791</v>
      </c>
      <c r="AE161" s="446">
        <v>0.05</v>
      </c>
      <c r="AF161" s="446">
        <v>781</v>
      </c>
    </row>
    <row r="162" spans="1:32" ht="33" thickBot="1">
      <c r="A162" s="24" t="e">
        <f t="shared" si="19"/>
        <v>#VALUE!</v>
      </c>
      <c r="B162" s="243" t="str">
        <f t="shared" si="23"/>
        <v>DR HORTON INC</v>
      </c>
      <c r="C162" s="25" t="str">
        <f t="shared" si="24"/>
        <v>DHI UN</v>
      </c>
      <c r="D162" s="25">
        <v>1</v>
      </c>
      <c r="E162" s="6" t="str">
        <f xml:space="preserve"> [2]!'DIS.US-PreClose'</f>
        <v>N/A</v>
      </c>
      <c r="F162" s="78">
        <f t="shared" si="25"/>
        <v>1974</v>
      </c>
      <c r="G162" s="49" t="e">
        <f t="shared" si="26"/>
        <v>#VALUE!</v>
      </c>
      <c r="H162" s="6" t="str">
        <f xml:space="preserve"> [2]!'DIS.US-Price'</f>
        <v>N/A</v>
      </c>
      <c r="I162" s="6" t="str">
        <f xml:space="preserve"> [2]!'DIS.US-BestBid1'</f>
        <v>N/A</v>
      </c>
      <c r="J162" s="6" t="str">
        <f xml:space="preserve"> [2]!'DIS.US-BestAsk1'</f>
        <v>N/A</v>
      </c>
      <c r="K162" s="65" t="e">
        <f t="shared" si="20"/>
        <v>#VALUE!</v>
      </c>
      <c r="L162" s="65" t="e">
        <f t="shared" si="21"/>
        <v>#VALUE!</v>
      </c>
      <c r="M162" s="68" t="e">
        <f t="shared" si="22"/>
        <v>#VALUE!</v>
      </c>
      <c r="AC162" s="440" t="s">
        <v>3047</v>
      </c>
      <c r="AD162" s="441" t="s">
        <v>792</v>
      </c>
      <c r="AE162" s="442">
        <v>0.06</v>
      </c>
      <c r="AF162" s="443">
        <v>1974</v>
      </c>
    </row>
    <row r="163" spans="1:32" ht="22.2" thickBot="1">
      <c r="A163" s="24" t="e">
        <f t="shared" si="19"/>
        <v>#REF!</v>
      </c>
      <c r="B163" s="243" t="str">
        <f t="shared" si="23"/>
        <v>DANAHER CORP</v>
      </c>
      <c r="C163" s="25" t="str">
        <f t="shared" si="24"/>
        <v>DHR UN</v>
      </c>
      <c r="D163" s="25">
        <v>1</v>
      </c>
      <c r="E163" s="6" t="e">
        <f xml:space="preserve"> [2]!'DISCA.US-PreClose'</f>
        <v>#REF!</v>
      </c>
      <c r="F163" s="78">
        <f t="shared" si="25"/>
        <v>3662</v>
      </c>
      <c r="G163" s="49" t="e">
        <f t="shared" si="26"/>
        <v>#REF!</v>
      </c>
      <c r="H163" s="6" t="e">
        <f xml:space="preserve"> [2]!'DISCA.US-Price'</f>
        <v>#REF!</v>
      </c>
      <c r="I163" s="6" t="e">
        <f xml:space="preserve"> [2]!'DISCA.US-BestBid1'</f>
        <v>#REF!</v>
      </c>
      <c r="J163" s="6" t="e">
        <f xml:space="preserve"> [2]!'DISCA.US-BestAsk1'</f>
        <v>#REF!</v>
      </c>
      <c r="K163" s="65" t="e">
        <f t="shared" si="20"/>
        <v>#REF!</v>
      </c>
      <c r="L163" s="65" t="e">
        <f t="shared" si="21"/>
        <v>#REF!</v>
      </c>
      <c r="M163" s="68" t="e">
        <f t="shared" si="22"/>
        <v>#REF!</v>
      </c>
      <c r="AC163" s="444" t="s">
        <v>3048</v>
      </c>
      <c r="AD163" s="445" t="s">
        <v>793</v>
      </c>
      <c r="AE163" s="446">
        <v>0.35</v>
      </c>
      <c r="AF163" s="447">
        <v>3662</v>
      </c>
    </row>
    <row r="164" spans="1:32" ht="33" thickBot="1">
      <c r="A164" s="24" t="e">
        <f t="shared" si="19"/>
        <v>#REF!</v>
      </c>
      <c r="B164" s="243" t="str">
        <f t="shared" si="23"/>
        <v>WALT DISNEY CO/THE</v>
      </c>
      <c r="C164" s="25" t="str">
        <f t="shared" si="24"/>
        <v>DIS UN</v>
      </c>
      <c r="D164" s="25">
        <v>1</v>
      </c>
      <c r="E164" s="6" t="e">
        <f xml:space="preserve"> [2]!'DISCK.US-PreClose'</f>
        <v>#REF!</v>
      </c>
      <c r="F164" s="78">
        <f t="shared" si="25"/>
        <v>10147</v>
      </c>
      <c r="G164" s="49" t="e">
        <f t="shared" si="26"/>
        <v>#REF!</v>
      </c>
      <c r="H164" s="6" t="e">
        <f xml:space="preserve"> [2]!'DISCK.US-Price'</f>
        <v>#REF!</v>
      </c>
      <c r="I164" s="6" t="e">
        <f xml:space="preserve"> [2]!'DISCK.US-BestBid1'</f>
        <v>#REF!</v>
      </c>
      <c r="J164" s="6" t="e">
        <f xml:space="preserve"> [2]!'DISCK.US-BestAsk1'</f>
        <v>#REF!</v>
      </c>
      <c r="K164" s="65" t="e">
        <f t="shared" si="20"/>
        <v>#REF!</v>
      </c>
      <c r="L164" s="65" t="e">
        <f t="shared" si="21"/>
        <v>#REF!</v>
      </c>
      <c r="M164" s="68" t="e">
        <f t="shared" si="22"/>
        <v>#REF!</v>
      </c>
      <c r="AC164" s="440" t="s">
        <v>3049</v>
      </c>
      <c r="AD164" s="441" t="s">
        <v>794</v>
      </c>
      <c r="AE164" s="442">
        <v>0.97</v>
      </c>
      <c r="AF164" s="443">
        <v>10147</v>
      </c>
    </row>
    <row r="165" spans="1:32" ht="22.2" thickBot="1">
      <c r="A165" s="24" t="e">
        <f t="shared" si="19"/>
        <v>#REF!</v>
      </c>
      <c r="B165" s="243" t="str">
        <f t="shared" si="23"/>
        <v>DISCOVERY INC - A</v>
      </c>
      <c r="C165" s="25" t="str">
        <f t="shared" si="24"/>
        <v>DISCA UQ</v>
      </c>
      <c r="D165" s="25">
        <v>1</v>
      </c>
      <c r="E165" s="6" t="e">
        <f xml:space="preserve"> [2]!'DISH.US-PreClose'</f>
        <v>#REF!</v>
      </c>
      <c r="F165" s="78">
        <f t="shared" si="25"/>
        <v>917</v>
      </c>
      <c r="G165" s="49" t="e">
        <f t="shared" si="26"/>
        <v>#REF!</v>
      </c>
      <c r="H165" s="6" t="e">
        <f xml:space="preserve"> [2]!'DISH.US-Price'</f>
        <v>#REF!</v>
      </c>
      <c r="I165" s="6" t="e">
        <f xml:space="preserve"> [2]!'DISH.US-BestBid1'</f>
        <v>#REF!</v>
      </c>
      <c r="J165" s="6" t="e">
        <f xml:space="preserve"> [2]!'DISH.US-BestAsk1'</f>
        <v>#REF!</v>
      </c>
      <c r="K165" s="65" t="e">
        <f t="shared" si="20"/>
        <v>#REF!</v>
      </c>
      <c r="L165" s="65" t="e">
        <f t="shared" si="21"/>
        <v>#REF!</v>
      </c>
      <c r="M165" s="68" t="e">
        <f t="shared" si="22"/>
        <v>#REF!</v>
      </c>
      <c r="AC165" s="444" t="s">
        <v>3050</v>
      </c>
      <c r="AD165" s="445" t="s">
        <v>3051</v>
      </c>
      <c r="AE165" s="446">
        <v>0.02</v>
      </c>
      <c r="AF165" s="446">
        <v>917</v>
      </c>
    </row>
    <row r="166" spans="1:32" ht="22.2" thickBot="1">
      <c r="A166" s="24" t="e">
        <f t="shared" si="19"/>
        <v>#REF!</v>
      </c>
      <c r="B166" s="243" t="str">
        <f t="shared" si="23"/>
        <v>DISCOVERY INC-C</v>
      </c>
      <c r="C166" s="25" t="str">
        <f t="shared" si="24"/>
        <v>DISCK UQ</v>
      </c>
      <c r="D166" s="25">
        <v>1</v>
      </c>
      <c r="E166" s="6" t="e">
        <f xml:space="preserve"> [2]!'DLPH.US-PreClose'</f>
        <v>#REF!</v>
      </c>
      <c r="F166" s="78">
        <f t="shared" si="25"/>
        <v>2096</v>
      </c>
      <c r="G166" s="49" t="e">
        <f t="shared" si="26"/>
        <v>#REF!</v>
      </c>
      <c r="H166" s="6" t="e">
        <f xml:space="preserve"> [2]!'DLPH.US-Price'</f>
        <v>#REF!</v>
      </c>
      <c r="I166" s="6" t="e">
        <f xml:space="preserve"> [2]!'DLPH.US-BestBid1'</f>
        <v>#REF!</v>
      </c>
      <c r="J166" s="6" t="e">
        <f xml:space="preserve"> [2]!'DLPH.US-BestAsk1'</f>
        <v>#REF!</v>
      </c>
      <c r="K166" s="65" t="e">
        <f t="shared" si="20"/>
        <v>#REF!</v>
      </c>
      <c r="L166" s="65" t="e">
        <f t="shared" si="21"/>
        <v>#REF!</v>
      </c>
      <c r="M166" s="68" t="e">
        <f t="shared" si="22"/>
        <v>#REF!</v>
      </c>
      <c r="AC166" s="440" t="s">
        <v>3052</v>
      </c>
      <c r="AD166" s="441" t="s">
        <v>3053</v>
      </c>
      <c r="AE166" s="442">
        <v>0.04</v>
      </c>
      <c r="AF166" s="443">
        <v>2096</v>
      </c>
    </row>
    <row r="167" spans="1:32" ht="33" thickBot="1">
      <c r="A167" s="24" t="e">
        <f t="shared" si="19"/>
        <v>#REF!</v>
      </c>
      <c r="B167" s="243" t="str">
        <f t="shared" si="23"/>
        <v>DISH NETWORK CORP-A</v>
      </c>
      <c r="C167" s="25" t="str">
        <f t="shared" si="24"/>
        <v>DISH UQ</v>
      </c>
      <c r="D167" s="25">
        <v>1</v>
      </c>
      <c r="E167" s="6" t="e">
        <f xml:space="preserve"> [2]!'DLR.US-PreClose'</f>
        <v>#REF!</v>
      </c>
      <c r="F167" s="78">
        <f t="shared" si="25"/>
        <v>1341</v>
      </c>
      <c r="G167" s="49" t="e">
        <f t="shared" si="26"/>
        <v>#REF!</v>
      </c>
      <c r="H167" s="6" t="e">
        <f xml:space="preserve"> [2]!'DLR.US-Price'</f>
        <v>#REF!</v>
      </c>
      <c r="I167" s="6" t="e">
        <f xml:space="preserve"> [2]!'DLR.US-BestBid1'</f>
        <v>#REF!</v>
      </c>
      <c r="J167" s="6" t="e">
        <f xml:space="preserve"> [2]!'DLR.US-BestAsk1'</f>
        <v>#REF!</v>
      </c>
      <c r="K167" s="65" t="e">
        <f t="shared" si="20"/>
        <v>#REF!</v>
      </c>
      <c r="L167" s="65" t="e">
        <f t="shared" si="21"/>
        <v>#REF!</v>
      </c>
      <c r="M167" s="68" t="e">
        <f t="shared" si="22"/>
        <v>#REF!</v>
      </c>
      <c r="AC167" s="444" t="s">
        <v>3054</v>
      </c>
      <c r="AD167" s="445" t="s">
        <v>795</v>
      </c>
      <c r="AE167" s="446">
        <v>0.04</v>
      </c>
      <c r="AF167" s="447">
        <v>1341</v>
      </c>
    </row>
    <row r="168" spans="1:32" ht="33" thickBot="1">
      <c r="A168" s="24" t="e">
        <f t="shared" si="19"/>
        <v>#REF!</v>
      </c>
      <c r="B168" s="243" t="str">
        <f t="shared" si="23"/>
        <v>DIGITAL REALTY TRUST INC</v>
      </c>
      <c r="C168" s="25" t="str">
        <f t="shared" si="24"/>
        <v>DLR UN</v>
      </c>
      <c r="D168" s="25">
        <v>1</v>
      </c>
      <c r="E168" s="6" t="e">
        <f xml:space="preserve"> [2]!'DLTR.US-PreClose'</f>
        <v>#REF!</v>
      </c>
      <c r="F168" s="78">
        <f t="shared" si="25"/>
        <v>1211</v>
      </c>
      <c r="G168" s="49" t="e">
        <f t="shared" si="26"/>
        <v>#REF!</v>
      </c>
      <c r="H168" s="6" t="e">
        <f xml:space="preserve"> [2]!'DLTR.US-Price'</f>
        <v>#REF!</v>
      </c>
      <c r="I168" s="6" t="e">
        <f xml:space="preserve"> [2]!'DLTR.US-BestBid1'</f>
        <v>#REF!</v>
      </c>
      <c r="J168" s="6" t="e">
        <f xml:space="preserve"> [2]!'DLTR.US-BestAsk1'</f>
        <v>#REF!</v>
      </c>
      <c r="K168" s="65" t="e">
        <f t="shared" si="20"/>
        <v>#REF!</v>
      </c>
      <c r="L168" s="65" t="e">
        <f t="shared" si="21"/>
        <v>#REF!</v>
      </c>
      <c r="M168" s="68" t="e">
        <f t="shared" si="22"/>
        <v>#REF!</v>
      </c>
      <c r="AC168" s="440" t="s">
        <v>3055</v>
      </c>
      <c r="AD168" s="441" t="s">
        <v>796</v>
      </c>
      <c r="AE168" s="442">
        <v>0.1</v>
      </c>
      <c r="AF168" s="443">
        <v>1211</v>
      </c>
    </row>
    <row r="169" spans="1:32" ht="22.2" thickBot="1">
      <c r="A169" s="24" t="e">
        <f t="shared" si="19"/>
        <v>#REF!</v>
      </c>
      <c r="B169" s="243" t="str">
        <f t="shared" si="23"/>
        <v>DOLLAR TREE INC</v>
      </c>
      <c r="C169" s="25" t="str">
        <f t="shared" si="24"/>
        <v>DLTR UQ</v>
      </c>
      <c r="D169" s="25">
        <v>1</v>
      </c>
      <c r="E169" s="6" t="e">
        <f xml:space="preserve"> [2]!'DOV.US-PreClose'</f>
        <v>#REF!</v>
      </c>
      <c r="F169" s="78">
        <f t="shared" si="25"/>
        <v>1381</v>
      </c>
      <c r="G169" s="49" t="e">
        <f t="shared" si="26"/>
        <v>#REF!</v>
      </c>
      <c r="H169" s="6" t="e">
        <f xml:space="preserve"> [2]!'DOV.US-Price'</f>
        <v>#REF!</v>
      </c>
      <c r="I169" s="6" t="e">
        <f xml:space="preserve"> [2]!'DOV.US-BestBid1'</f>
        <v>#REF!</v>
      </c>
      <c r="J169" s="6" t="e">
        <f xml:space="preserve"> [2]!'DOV.US-BestAsk1'</f>
        <v>#REF!</v>
      </c>
      <c r="K169" s="65" t="e">
        <f t="shared" si="20"/>
        <v>#REF!</v>
      </c>
      <c r="L169" s="65" t="e">
        <f t="shared" si="21"/>
        <v>#REF!</v>
      </c>
      <c r="M169" s="68" t="e">
        <f t="shared" si="22"/>
        <v>#REF!</v>
      </c>
      <c r="AC169" s="444" t="s">
        <v>3056</v>
      </c>
      <c r="AD169" s="445" t="s">
        <v>797</v>
      </c>
      <c r="AE169" s="446">
        <v>0.1</v>
      </c>
      <c r="AF169" s="447">
        <v>1381</v>
      </c>
    </row>
    <row r="170" spans="1:32" ht="22.2" thickBot="1">
      <c r="A170" s="24" t="e">
        <f t="shared" si="19"/>
        <v>#REF!</v>
      </c>
      <c r="B170" s="243" t="str">
        <f t="shared" si="23"/>
        <v>DOVER CORP</v>
      </c>
      <c r="C170" s="25" t="str">
        <f t="shared" si="24"/>
        <v>DOV UN</v>
      </c>
      <c r="D170" s="25">
        <v>1</v>
      </c>
      <c r="E170" s="6" t="e">
        <f xml:space="preserve"> [2]!'DPS.US-PreClose'</f>
        <v>#REF!</v>
      </c>
      <c r="F170" s="78">
        <f t="shared" si="25"/>
        <v>845</v>
      </c>
      <c r="G170" s="49" t="e">
        <f t="shared" si="26"/>
        <v>#REF!</v>
      </c>
      <c r="H170" s="6" t="e">
        <f xml:space="preserve"> [2]!'DPS.US-Price'</f>
        <v>#REF!</v>
      </c>
      <c r="I170" s="6" t="e">
        <f xml:space="preserve"> [2]!'DPS.US-BestBid1'</f>
        <v>#REF!</v>
      </c>
      <c r="J170" s="6" t="e">
        <f xml:space="preserve"> [2]!'DPS.US-BestAsk1'</f>
        <v>#REF!</v>
      </c>
      <c r="K170" s="65" t="e">
        <f t="shared" si="20"/>
        <v>#REF!</v>
      </c>
      <c r="L170" s="65" t="e">
        <f t="shared" si="21"/>
        <v>#REF!</v>
      </c>
      <c r="M170" s="68" t="e">
        <f t="shared" si="22"/>
        <v>#REF!</v>
      </c>
      <c r="AC170" s="440" t="s">
        <v>3057</v>
      </c>
      <c r="AD170" s="441" t="s">
        <v>798</v>
      </c>
      <c r="AE170" s="442">
        <v>0.06</v>
      </c>
      <c r="AF170" s="442">
        <v>845</v>
      </c>
    </row>
    <row r="171" spans="1:32" ht="16.8" thickBot="1">
      <c r="A171" s="24" t="e">
        <f t="shared" si="19"/>
        <v>#REF!</v>
      </c>
      <c r="B171" s="243" t="str">
        <f t="shared" si="23"/>
        <v>DOW INC</v>
      </c>
      <c r="C171" s="25" t="str">
        <f t="shared" si="24"/>
        <v>DOW UN</v>
      </c>
      <c r="D171" s="25">
        <v>1</v>
      </c>
      <c r="E171" s="6" t="e">
        <f xml:space="preserve"> [2]!'DRE.US-PreClose'</f>
        <v>#REF!</v>
      </c>
      <c r="F171" s="78">
        <f t="shared" si="25"/>
        <v>4352</v>
      </c>
      <c r="G171" s="49" t="e">
        <f t="shared" si="26"/>
        <v>#REF!</v>
      </c>
      <c r="H171" s="6" t="e">
        <f xml:space="preserve"> [2]!'DRE.US-Price'</f>
        <v>#REF!</v>
      </c>
      <c r="I171" s="6" t="e">
        <f xml:space="preserve"> [2]!'DRE.US-BestBid1'</f>
        <v>#REF!</v>
      </c>
      <c r="J171" s="6" t="e">
        <f xml:space="preserve"> [2]!'DRE.US-BestAsk1'</f>
        <v>#REF!</v>
      </c>
      <c r="K171" s="65" t="e">
        <f t="shared" si="20"/>
        <v>#REF!</v>
      </c>
      <c r="L171" s="65" t="e">
        <f t="shared" si="21"/>
        <v>#REF!</v>
      </c>
      <c r="M171" s="68" t="e">
        <f t="shared" si="22"/>
        <v>#REF!</v>
      </c>
      <c r="AC171" s="444" t="s">
        <v>3058</v>
      </c>
      <c r="AD171" s="445" t="s">
        <v>3059</v>
      </c>
      <c r="AE171" s="446">
        <v>0.14000000000000001</v>
      </c>
      <c r="AF171" s="447">
        <v>4352</v>
      </c>
    </row>
    <row r="172" spans="1:32" ht="33" thickBot="1">
      <c r="A172" s="24" t="e">
        <f t="shared" si="19"/>
        <v>#REF!</v>
      </c>
      <c r="B172" s="243" t="str">
        <f t="shared" si="23"/>
        <v>DUKE REALTY CORP</v>
      </c>
      <c r="C172" s="25" t="str">
        <f t="shared" si="24"/>
        <v>DRE UN</v>
      </c>
      <c r="D172" s="25">
        <v>1</v>
      </c>
      <c r="E172" s="6" t="e">
        <f xml:space="preserve"> [2]!'DRI.US-PreClose'</f>
        <v>#REF!</v>
      </c>
      <c r="F172" s="78">
        <f t="shared" si="25"/>
        <v>2089</v>
      </c>
      <c r="G172" s="49" t="e">
        <f t="shared" si="26"/>
        <v>#REF!</v>
      </c>
      <c r="H172" s="6" t="e">
        <f xml:space="preserve"> [2]!'DRI.US-Price'</f>
        <v>#REF!</v>
      </c>
      <c r="I172" s="6" t="e">
        <f xml:space="preserve"> [2]!'DRI.US-BestBid1'</f>
        <v>#REF!</v>
      </c>
      <c r="J172" s="6" t="e">
        <f xml:space="preserve"> [2]!'DRI.US-BestAsk1'</f>
        <v>#REF!</v>
      </c>
      <c r="K172" s="65" t="e">
        <f t="shared" si="20"/>
        <v>#REF!</v>
      </c>
      <c r="L172" s="65" t="e">
        <f t="shared" si="21"/>
        <v>#REF!</v>
      </c>
      <c r="M172" s="68" t="e">
        <f t="shared" si="22"/>
        <v>#REF!</v>
      </c>
      <c r="AC172" s="440" t="s">
        <v>3060</v>
      </c>
      <c r="AD172" s="441" t="s">
        <v>799</v>
      </c>
      <c r="AE172" s="442">
        <v>0.05</v>
      </c>
      <c r="AF172" s="443">
        <v>2089</v>
      </c>
    </row>
    <row r="173" spans="1:32" ht="33" thickBot="1">
      <c r="A173" s="24" t="e">
        <f t="shared" si="19"/>
        <v>#REF!</v>
      </c>
      <c r="B173" s="243" t="str">
        <f t="shared" si="23"/>
        <v>DARDEN RESTAURANTS INC</v>
      </c>
      <c r="C173" s="25" t="str">
        <f t="shared" si="24"/>
        <v>DRI UN</v>
      </c>
      <c r="D173" s="25">
        <v>1</v>
      </c>
      <c r="E173" s="6" t="e">
        <f xml:space="preserve"> [2]!'DTE.US-PreClose'</f>
        <v>#REF!</v>
      </c>
      <c r="F173" s="78">
        <f t="shared" si="25"/>
        <v>715</v>
      </c>
      <c r="G173" s="49" t="e">
        <f t="shared" si="26"/>
        <v>#REF!</v>
      </c>
      <c r="H173" s="6" t="e">
        <f xml:space="preserve"> [2]!'DTE.US-Price'</f>
        <v>#REF!</v>
      </c>
      <c r="I173" s="6" t="e">
        <f xml:space="preserve"> [2]!'DTE.US-BestBid1'</f>
        <v>#REF!</v>
      </c>
      <c r="J173" s="6" t="e">
        <f xml:space="preserve"> [2]!'DTE.US-BestAsk1'</f>
        <v>#REF!</v>
      </c>
      <c r="K173" s="65" t="e">
        <f t="shared" si="20"/>
        <v>#REF!</v>
      </c>
      <c r="L173" s="65" t="e">
        <f t="shared" si="21"/>
        <v>#REF!</v>
      </c>
      <c r="M173" s="68" t="e">
        <f t="shared" si="22"/>
        <v>#REF!</v>
      </c>
      <c r="AC173" s="444" t="s">
        <v>3061</v>
      </c>
      <c r="AD173" s="445" t="s">
        <v>800</v>
      </c>
      <c r="AE173" s="446">
        <v>0.06</v>
      </c>
      <c r="AF173" s="446">
        <v>715</v>
      </c>
    </row>
    <row r="174" spans="1:32" ht="33" thickBot="1">
      <c r="A174" s="24" t="e">
        <f t="shared" si="19"/>
        <v>#VALUE!</v>
      </c>
      <c r="B174" s="243" t="str">
        <f t="shared" si="23"/>
        <v>DTE ENERGY COMPANY</v>
      </c>
      <c r="C174" s="25" t="str">
        <f t="shared" si="24"/>
        <v>DTE UN</v>
      </c>
      <c r="D174" s="25">
        <v>1</v>
      </c>
      <c r="E174" s="6" t="str">
        <f xml:space="preserve"> [2]!'DUK.US-PreClose'</f>
        <v>N/A</v>
      </c>
      <c r="F174" s="78">
        <f t="shared" si="25"/>
        <v>1065</v>
      </c>
      <c r="G174" s="49" t="e">
        <f t="shared" si="26"/>
        <v>#VALUE!</v>
      </c>
      <c r="H174" s="6" t="str">
        <f xml:space="preserve"> [2]!'DUK.US-Price'</f>
        <v>N/A</v>
      </c>
      <c r="I174" s="6" t="str">
        <f xml:space="preserve"> [2]!'DUK.US-BestBid1'</f>
        <v>N/A</v>
      </c>
      <c r="J174" s="6" t="str">
        <f xml:space="preserve"> [2]!'DUK.US-BestAsk1'</f>
        <v>N/A</v>
      </c>
      <c r="K174" s="65" t="e">
        <f t="shared" si="20"/>
        <v>#VALUE!</v>
      </c>
      <c r="L174" s="65" t="e">
        <f t="shared" si="21"/>
        <v>#VALUE!</v>
      </c>
      <c r="M174" s="68" t="e">
        <f t="shared" si="22"/>
        <v>#VALUE!</v>
      </c>
      <c r="AC174" s="440" t="s">
        <v>3062</v>
      </c>
      <c r="AD174" s="441" t="s">
        <v>801</v>
      </c>
      <c r="AE174" s="442">
        <v>0.09</v>
      </c>
      <c r="AF174" s="443">
        <v>1065</v>
      </c>
    </row>
    <row r="175" spans="1:32" ht="33" thickBot="1">
      <c r="A175" s="24" t="e">
        <f t="shared" si="19"/>
        <v>#REF!</v>
      </c>
      <c r="B175" s="243" t="str">
        <f t="shared" si="23"/>
        <v>DUKE ENERGY CORP</v>
      </c>
      <c r="C175" s="25" t="str">
        <f t="shared" si="24"/>
        <v>DUK UN</v>
      </c>
      <c r="D175" s="25">
        <v>1</v>
      </c>
      <c r="E175" s="6" t="e">
        <f xml:space="preserve"> [2]!'DVA.US-PreClose'</f>
        <v>#REF!</v>
      </c>
      <c r="F175" s="78">
        <f t="shared" si="25"/>
        <v>4232</v>
      </c>
      <c r="G175" s="49" t="e">
        <f t="shared" si="26"/>
        <v>#REF!</v>
      </c>
      <c r="H175" s="6" t="e">
        <f xml:space="preserve"> [2]!'DVA.US-Price'</f>
        <v>#REF!</v>
      </c>
      <c r="I175" s="6" t="e">
        <f xml:space="preserve"> [2]!'DVA.US-BestBid1'</f>
        <v>#REF!</v>
      </c>
      <c r="J175" s="6" t="e">
        <f xml:space="preserve"> [2]!'DVA.US-BestAsk1'</f>
        <v>#REF!</v>
      </c>
      <c r="K175" s="65" t="e">
        <f t="shared" si="20"/>
        <v>#REF!</v>
      </c>
      <c r="L175" s="65" t="e">
        <f t="shared" si="21"/>
        <v>#REF!</v>
      </c>
      <c r="M175" s="68" t="e">
        <f t="shared" si="22"/>
        <v>#REF!</v>
      </c>
      <c r="AC175" s="444" t="s">
        <v>3063</v>
      </c>
      <c r="AD175" s="445" t="s">
        <v>802</v>
      </c>
      <c r="AE175" s="446">
        <v>0.25</v>
      </c>
      <c r="AF175" s="447">
        <v>4232</v>
      </c>
    </row>
    <row r="176" spans="1:32" ht="16.8" thickBot="1">
      <c r="A176" s="24" t="e">
        <f t="shared" si="19"/>
        <v>#REF!</v>
      </c>
      <c r="B176" s="243" t="str">
        <f t="shared" si="23"/>
        <v>DAVITA INC</v>
      </c>
      <c r="C176" s="25" t="str">
        <f t="shared" si="24"/>
        <v>DVA UN</v>
      </c>
      <c r="D176" s="25">
        <v>1</v>
      </c>
      <c r="E176" s="6" t="e">
        <f xml:space="preserve"> [2]!'DVN.US-PreClose'</f>
        <v>#REF!</v>
      </c>
      <c r="F176" s="78">
        <f t="shared" si="25"/>
        <v>735</v>
      </c>
      <c r="G176" s="49" t="e">
        <f t="shared" si="26"/>
        <v>#REF!</v>
      </c>
      <c r="H176" s="6" t="e">
        <f xml:space="preserve"> [2]!'DVN.US-Price'</f>
        <v>#REF!</v>
      </c>
      <c r="I176" s="6" t="e">
        <f xml:space="preserve"> [2]!'DVN.US-BestBid1'</f>
        <v>#REF!</v>
      </c>
      <c r="J176" s="6" t="e">
        <f xml:space="preserve"> [2]!'DVN.US-BestAsk1'</f>
        <v>#REF!</v>
      </c>
      <c r="K176" s="65" t="e">
        <f t="shared" si="20"/>
        <v>#REF!</v>
      </c>
      <c r="L176" s="65" t="e">
        <f t="shared" si="21"/>
        <v>#REF!</v>
      </c>
      <c r="M176" s="68" t="e">
        <f t="shared" si="22"/>
        <v>#REF!</v>
      </c>
      <c r="AC176" s="440" t="s">
        <v>3064</v>
      </c>
      <c r="AD176" s="441" t="s">
        <v>803</v>
      </c>
      <c r="AE176" s="442">
        <v>0.03</v>
      </c>
      <c r="AF176" s="442">
        <v>735</v>
      </c>
    </row>
    <row r="177" spans="1:32" ht="33" thickBot="1">
      <c r="A177" s="24" t="e">
        <f t="shared" si="19"/>
        <v>#VALUE!</v>
      </c>
      <c r="B177" s="243" t="str">
        <f t="shared" si="23"/>
        <v>DEVON ENERGY CORP</v>
      </c>
      <c r="C177" s="25" t="str">
        <f t="shared" si="24"/>
        <v>DVN UN</v>
      </c>
      <c r="D177" s="25">
        <v>1</v>
      </c>
      <c r="E177" s="6" t="str">
        <f xml:space="preserve"> [2]!'DWDP.US-PreClose'</f>
        <v>--</v>
      </c>
      <c r="F177" s="78">
        <f t="shared" si="25"/>
        <v>2413</v>
      </c>
      <c r="G177" s="49" t="e">
        <f t="shared" si="26"/>
        <v>#VALUE!</v>
      </c>
      <c r="H177" s="6" t="str">
        <f xml:space="preserve"> [2]!'DWDP.US-Price'</f>
        <v>--</v>
      </c>
      <c r="I177" s="6" t="str">
        <f xml:space="preserve"> [2]!'DWDP.US-BestBid1'</f>
        <v>--</v>
      </c>
      <c r="J177" s="6" t="str">
        <f xml:space="preserve"> [2]!'DWDP.US-BestAsk1'</f>
        <v>--</v>
      </c>
      <c r="K177" s="65" t="e">
        <f t="shared" si="20"/>
        <v>#VALUE!</v>
      </c>
      <c r="L177" s="65" t="e">
        <f t="shared" si="21"/>
        <v>#VALUE!</v>
      </c>
      <c r="M177" s="68" t="e">
        <f t="shared" si="22"/>
        <v>#VALUE!</v>
      </c>
      <c r="AC177" s="444" t="s">
        <v>3065</v>
      </c>
      <c r="AD177" s="445" t="s">
        <v>804</v>
      </c>
      <c r="AE177" s="446">
        <v>0.05</v>
      </c>
      <c r="AF177" s="447">
        <v>2413</v>
      </c>
    </row>
    <row r="178" spans="1:32" ht="33" thickBot="1">
      <c r="A178" s="24" t="e">
        <f t="shared" si="19"/>
        <v>#REF!</v>
      </c>
      <c r="B178" s="243" t="str">
        <f t="shared" si="23"/>
        <v>DXC TECHNOLOGY CO</v>
      </c>
      <c r="C178" s="25" t="str">
        <f t="shared" si="24"/>
        <v>DXC UN</v>
      </c>
      <c r="D178" s="25">
        <v>1</v>
      </c>
      <c r="E178" s="6" t="e">
        <f xml:space="preserve"> [2]!'DXC.US-PreClose'</f>
        <v>#REF!</v>
      </c>
      <c r="F178" s="78">
        <f t="shared" si="25"/>
        <v>1559</v>
      </c>
      <c r="G178" s="49" t="e">
        <f t="shared" si="26"/>
        <v>#REF!</v>
      </c>
      <c r="H178" s="6" t="e">
        <f xml:space="preserve"> [2]!'DXC.US-Price'</f>
        <v>#REF!</v>
      </c>
      <c r="I178" s="6" t="e">
        <f xml:space="preserve"> [2]!'DXC.US-BestBid1'</f>
        <v>#REF!</v>
      </c>
      <c r="J178" s="6" t="e">
        <f xml:space="preserve"> [2]!'DXC.US-BestAsk1'</f>
        <v>#REF!</v>
      </c>
      <c r="K178" s="65" t="e">
        <f t="shared" si="20"/>
        <v>#REF!</v>
      </c>
      <c r="L178" s="65" t="e">
        <f t="shared" si="21"/>
        <v>#REF!</v>
      </c>
      <c r="M178" s="68" t="e">
        <f t="shared" si="22"/>
        <v>#REF!</v>
      </c>
      <c r="AC178" s="440" t="s">
        <v>3066</v>
      </c>
      <c r="AD178" s="441" t="s">
        <v>805</v>
      </c>
      <c r="AE178" s="442">
        <v>0.06</v>
      </c>
      <c r="AF178" s="443">
        <v>1559</v>
      </c>
    </row>
    <row r="179" spans="1:32" ht="22.2" thickBot="1">
      <c r="A179" s="24" t="e">
        <f t="shared" si="19"/>
        <v>#REF!</v>
      </c>
      <c r="B179" s="243" t="str">
        <f t="shared" si="23"/>
        <v>ELECTRONIC ARTS INC</v>
      </c>
      <c r="C179" s="25" t="str">
        <f t="shared" si="24"/>
        <v>EA UQ</v>
      </c>
      <c r="D179" s="25">
        <v>1</v>
      </c>
      <c r="E179" s="6" t="e">
        <f xml:space="preserve"> [2]!'EA.US-PreClose'</f>
        <v>#REF!</v>
      </c>
      <c r="F179" s="78">
        <f t="shared" si="25"/>
        <v>1724</v>
      </c>
      <c r="G179" s="49" t="e">
        <f t="shared" si="26"/>
        <v>#REF!</v>
      </c>
      <c r="H179" s="6" t="e">
        <f xml:space="preserve"> [2]!'EA.US-Price'</f>
        <v>#REF!</v>
      </c>
      <c r="I179" s="6" t="e">
        <f xml:space="preserve"> [2]!'EA.US-BestBid1'</f>
        <v>#REF!</v>
      </c>
      <c r="J179" s="6" t="e">
        <f xml:space="preserve"> [2]!'EA.US-BestAsk1'</f>
        <v>#REF!</v>
      </c>
      <c r="K179" s="65" t="e">
        <f t="shared" si="20"/>
        <v>#REF!</v>
      </c>
      <c r="L179" s="65" t="e">
        <f t="shared" si="21"/>
        <v>#REF!</v>
      </c>
      <c r="M179" s="68" t="e">
        <f t="shared" si="22"/>
        <v>#REF!</v>
      </c>
      <c r="AC179" s="444" t="s">
        <v>3067</v>
      </c>
      <c r="AD179" s="445" t="s">
        <v>806</v>
      </c>
      <c r="AE179" s="446">
        <v>0.11</v>
      </c>
      <c r="AF179" s="447">
        <v>1724</v>
      </c>
    </row>
    <row r="180" spans="1:32" ht="16.8" thickBot="1">
      <c r="A180" s="24" t="e">
        <f t="shared" si="19"/>
        <v>#REF!</v>
      </c>
      <c r="B180" s="243" t="str">
        <f t="shared" si="23"/>
        <v>EBAY INC</v>
      </c>
      <c r="C180" s="25" t="str">
        <f t="shared" si="24"/>
        <v>EBAY UQ</v>
      </c>
      <c r="D180" s="25">
        <v>1</v>
      </c>
      <c r="E180" s="6" t="e">
        <f xml:space="preserve"> [2]!'EBAY.US-PreClose'</f>
        <v>#REF!</v>
      </c>
      <c r="F180" s="78">
        <f t="shared" si="25"/>
        <v>4762</v>
      </c>
      <c r="G180" s="49" t="e">
        <f t="shared" si="26"/>
        <v>#REF!</v>
      </c>
      <c r="H180" s="6" t="e">
        <f xml:space="preserve"> [2]!'EBAY.US-Price'</f>
        <v>#REF!</v>
      </c>
      <c r="I180" s="6" t="e">
        <f xml:space="preserve"> [2]!'EBAY.US-BestBid1'</f>
        <v>#REF!</v>
      </c>
      <c r="J180" s="6" t="e">
        <f xml:space="preserve"> [2]!'EBAY.US-BestAsk1'</f>
        <v>#REF!</v>
      </c>
      <c r="K180" s="65" t="e">
        <f t="shared" si="20"/>
        <v>#REF!</v>
      </c>
      <c r="L180" s="65" t="e">
        <f t="shared" si="21"/>
        <v>#REF!</v>
      </c>
      <c r="M180" s="68" t="e">
        <f t="shared" si="22"/>
        <v>#REF!</v>
      </c>
      <c r="AC180" s="440" t="s">
        <v>3068</v>
      </c>
      <c r="AD180" s="441" t="s">
        <v>807</v>
      </c>
      <c r="AE180" s="442">
        <v>0.13</v>
      </c>
      <c r="AF180" s="443">
        <v>4762</v>
      </c>
    </row>
    <row r="181" spans="1:32" ht="22.2" thickBot="1">
      <c r="A181" s="24" t="e">
        <f t="shared" si="19"/>
        <v>#REF!</v>
      </c>
      <c r="B181" s="243" t="str">
        <f t="shared" si="23"/>
        <v>ECOLAB INC</v>
      </c>
      <c r="C181" s="25" t="str">
        <f t="shared" si="24"/>
        <v>ECL UN</v>
      </c>
      <c r="D181" s="25">
        <v>1</v>
      </c>
      <c r="E181" s="6" t="e">
        <f xml:space="preserve"> [2]!'ECL.US-PreClose'</f>
        <v>#REF!</v>
      </c>
      <c r="F181" s="78">
        <f t="shared" si="25"/>
        <v>1474</v>
      </c>
      <c r="G181" s="49" t="e">
        <f t="shared" si="26"/>
        <v>#REF!</v>
      </c>
      <c r="H181" s="6" t="e">
        <f xml:space="preserve"> [2]!'ECL.US-Price'</f>
        <v>#REF!</v>
      </c>
      <c r="I181" s="6" t="e">
        <f xml:space="preserve"> [2]!'ECL.US-BestBid1'</f>
        <v>#REF!</v>
      </c>
      <c r="J181" s="6" t="e">
        <f xml:space="preserve"> [2]!'ECL.US-BestAsk1'</f>
        <v>#REF!</v>
      </c>
      <c r="K181" s="65" t="e">
        <f t="shared" si="20"/>
        <v>#REF!</v>
      </c>
      <c r="L181" s="65" t="e">
        <f t="shared" si="21"/>
        <v>#REF!</v>
      </c>
      <c r="M181" s="68" t="e">
        <f t="shared" si="22"/>
        <v>#REF!</v>
      </c>
      <c r="AC181" s="444" t="s">
        <v>3069</v>
      </c>
      <c r="AD181" s="445" t="s">
        <v>808</v>
      </c>
      <c r="AE181" s="446">
        <v>0.2</v>
      </c>
      <c r="AF181" s="447">
        <v>1474</v>
      </c>
    </row>
    <row r="182" spans="1:32" ht="43.8" thickBot="1">
      <c r="A182" s="24" t="e">
        <f t="shared" si="19"/>
        <v>#REF!</v>
      </c>
      <c r="B182" s="243" t="str">
        <f t="shared" si="23"/>
        <v>CONSOLIDATED EDISON INC</v>
      </c>
      <c r="C182" s="25" t="str">
        <f t="shared" si="24"/>
        <v>ED UN</v>
      </c>
      <c r="D182" s="25">
        <v>1</v>
      </c>
      <c r="E182" s="6" t="e">
        <f xml:space="preserve"> [2]!'ED.US-PreClose'</f>
        <v>#REF!</v>
      </c>
      <c r="F182" s="78">
        <f t="shared" si="25"/>
        <v>1901</v>
      </c>
      <c r="G182" s="49" t="e">
        <f t="shared" si="26"/>
        <v>#REF!</v>
      </c>
      <c r="H182" s="6" t="e">
        <f xml:space="preserve"> [2]!'ED.US-Price'</f>
        <v>#REF!</v>
      </c>
      <c r="I182" s="6" t="e">
        <f xml:space="preserve"> [2]!'ED.US-BestBid1'</f>
        <v>#REF!</v>
      </c>
      <c r="J182" s="6" t="e">
        <f xml:space="preserve"> [2]!'ED.US-BestAsk1'</f>
        <v>#REF!</v>
      </c>
      <c r="K182" s="65" t="e">
        <f t="shared" si="20"/>
        <v>#REF!</v>
      </c>
      <c r="L182" s="65" t="e">
        <f t="shared" si="21"/>
        <v>#REF!</v>
      </c>
      <c r="M182" s="68" t="e">
        <f t="shared" si="22"/>
        <v>#REF!</v>
      </c>
      <c r="AC182" s="440" t="s">
        <v>3070</v>
      </c>
      <c r="AD182" s="441" t="s">
        <v>809</v>
      </c>
      <c r="AE182" s="442">
        <v>0.11</v>
      </c>
      <c r="AF182" s="443">
        <v>1901</v>
      </c>
    </row>
    <row r="183" spans="1:32" ht="22.2" thickBot="1">
      <c r="A183" s="24" t="e">
        <f t="shared" si="19"/>
        <v>#REF!</v>
      </c>
      <c r="B183" s="243" t="str">
        <f t="shared" si="23"/>
        <v>EQUIFAX INC</v>
      </c>
      <c r="C183" s="25" t="str">
        <f t="shared" si="24"/>
        <v>EFX UN</v>
      </c>
      <c r="D183" s="25">
        <v>1</v>
      </c>
      <c r="E183" s="6" t="e">
        <f xml:space="preserve"> [2]!'EFX.US-PreClose'</f>
        <v>#REF!</v>
      </c>
      <c r="F183" s="78">
        <f t="shared" si="25"/>
        <v>702</v>
      </c>
      <c r="G183" s="49" t="e">
        <f t="shared" si="26"/>
        <v>#REF!</v>
      </c>
      <c r="H183" s="6" t="e">
        <f xml:space="preserve"> [2]!'EFX.US-Price'</f>
        <v>#REF!</v>
      </c>
      <c r="I183" s="6" t="e">
        <f xml:space="preserve"> [2]!'EFX.US-BestBid1'</f>
        <v>#REF!</v>
      </c>
      <c r="J183" s="6" t="e">
        <f xml:space="preserve"> [2]!'EFX.US-BestAsk1'</f>
        <v>#REF!</v>
      </c>
      <c r="K183" s="65" t="e">
        <f t="shared" si="20"/>
        <v>#REF!</v>
      </c>
      <c r="L183" s="65" t="e">
        <f t="shared" si="21"/>
        <v>#REF!</v>
      </c>
      <c r="M183" s="68" t="e">
        <f t="shared" si="22"/>
        <v>#REF!</v>
      </c>
      <c r="AC183" s="444" t="s">
        <v>3071</v>
      </c>
      <c r="AD183" s="445" t="s">
        <v>810</v>
      </c>
      <c r="AE183" s="446">
        <v>0.06</v>
      </c>
      <c r="AF183" s="446">
        <v>702</v>
      </c>
    </row>
    <row r="184" spans="1:32" ht="33" thickBot="1">
      <c r="A184" s="24" t="e">
        <f t="shared" si="19"/>
        <v>#REF!</v>
      </c>
      <c r="B184" s="243" t="str">
        <f t="shared" si="23"/>
        <v>EDISON INTERNATIONAL</v>
      </c>
      <c r="C184" s="25" t="str">
        <f t="shared" si="24"/>
        <v>EIX UN</v>
      </c>
      <c r="D184" s="25">
        <v>1</v>
      </c>
      <c r="E184" s="6" t="e">
        <f xml:space="preserve"> [2]!'EIX.US-PreClose'</f>
        <v>#REF!</v>
      </c>
      <c r="F184" s="78">
        <f t="shared" si="25"/>
        <v>1894</v>
      </c>
      <c r="G184" s="49" t="e">
        <f t="shared" si="26"/>
        <v>#REF!</v>
      </c>
      <c r="H184" s="6" t="e">
        <f xml:space="preserve"> [2]!'EIX.US-Price'</f>
        <v>#REF!</v>
      </c>
      <c r="I184" s="6" t="e">
        <f xml:space="preserve"> [2]!'EIX.US-BestBid1'</f>
        <v>#REF!</v>
      </c>
      <c r="J184" s="6" t="e">
        <f xml:space="preserve"> [2]!'EIX.US-BestAsk1'</f>
        <v>#REF!</v>
      </c>
      <c r="K184" s="65" t="e">
        <f t="shared" si="20"/>
        <v>#REF!</v>
      </c>
      <c r="L184" s="65" t="e">
        <f t="shared" si="21"/>
        <v>#REF!</v>
      </c>
      <c r="M184" s="68" t="e">
        <f t="shared" si="22"/>
        <v>#REF!</v>
      </c>
      <c r="AC184" s="440" t="s">
        <v>3072</v>
      </c>
      <c r="AD184" s="441" t="s">
        <v>811</v>
      </c>
      <c r="AE184" s="442">
        <v>0.09</v>
      </c>
      <c r="AF184" s="443">
        <v>1894</v>
      </c>
    </row>
    <row r="185" spans="1:32" ht="43.8" thickBot="1">
      <c r="A185" s="24" t="e">
        <f t="shared" si="19"/>
        <v>#REF!</v>
      </c>
      <c r="B185" s="243" t="str">
        <f t="shared" si="23"/>
        <v>ESTEE LAUDER COMPANIES-CL A</v>
      </c>
      <c r="C185" s="25" t="str">
        <f t="shared" si="24"/>
        <v>EL UN</v>
      </c>
      <c r="D185" s="25">
        <v>1</v>
      </c>
      <c r="E185" s="6" t="e">
        <f xml:space="preserve"> [2]!'EL.US-PreClose'</f>
        <v>#REF!</v>
      </c>
      <c r="F185" s="78">
        <f t="shared" si="25"/>
        <v>1275</v>
      </c>
      <c r="G185" s="49" t="e">
        <f t="shared" si="26"/>
        <v>#REF!</v>
      </c>
      <c r="H185" s="6" t="e">
        <f xml:space="preserve"> [2]!'EL.US-Price'</f>
        <v>#REF!</v>
      </c>
      <c r="I185" s="6" t="e">
        <f xml:space="preserve"> [2]!'EL.US-BestBid1'</f>
        <v>#REF!</v>
      </c>
      <c r="J185" s="6" t="e">
        <f xml:space="preserve"> [2]!'EL.US-BestAsk1'</f>
        <v>#REF!</v>
      </c>
      <c r="K185" s="65" t="e">
        <f t="shared" si="20"/>
        <v>#REF!</v>
      </c>
      <c r="L185" s="65" t="e">
        <f t="shared" si="21"/>
        <v>#REF!</v>
      </c>
      <c r="M185" s="68" t="e">
        <f t="shared" si="22"/>
        <v>#REF!</v>
      </c>
      <c r="AC185" s="444" t="s">
        <v>3073</v>
      </c>
      <c r="AD185" s="445" t="s">
        <v>812</v>
      </c>
      <c r="AE185" s="446">
        <v>0.16</v>
      </c>
      <c r="AF185" s="447">
        <v>1275</v>
      </c>
    </row>
    <row r="186" spans="1:32" ht="33" thickBot="1">
      <c r="A186" s="24" t="e">
        <f t="shared" si="19"/>
        <v>#REF!</v>
      </c>
      <c r="B186" s="243" t="str">
        <f t="shared" si="23"/>
        <v>EASTMAN CHEMICAL CO</v>
      </c>
      <c r="C186" s="25" t="str">
        <f t="shared" si="24"/>
        <v>EMN UN</v>
      </c>
      <c r="D186" s="25">
        <v>1</v>
      </c>
      <c r="E186" s="6" t="e">
        <f xml:space="preserve"> [2]!'EMN.US-PreClose'</f>
        <v>#REF!</v>
      </c>
      <c r="F186" s="78">
        <f t="shared" si="25"/>
        <v>805</v>
      </c>
      <c r="G186" s="49" t="e">
        <f t="shared" si="26"/>
        <v>#REF!</v>
      </c>
      <c r="H186" s="6" t="e">
        <f xml:space="preserve"> [2]!'EMN.US-Price'</f>
        <v>#REF!</v>
      </c>
      <c r="I186" s="6" t="e">
        <f xml:space="preserve"> [2]!'EMN.US-BestBid1'</f>
        <v>#REF!</v>
      </c>
      <c r="J186" s="6" t="e">
        <f xml:space="preserve"> [2]!'EMN.US-BestAsk1'</f>
        <v>#REF!</v>
      </c>
      <c r="K186" s="65" t="e">
        <f t="shared" si="20"/>
        <v>#REF!</v>
      </c>
      <c r="L186" s="65" t="e">
        <f t="shared" si="21"/>
        <v>#REF!</v>
      </c>
      <c r="M186" s="68" t="e">
        <f t="shared" si="22"/>
        <v>#REF!</v>
      </c>
      <c r="AC186" s="440" t="s">
        <v>3074</v>
      </c>
      <c r="AD186" s="441" t="s">
        <v>813</v>
      </c>
      <c r="AE186" s="442">
        <v>0.04</v>
      </c>
      <c r="AF186" s="442">
        <v>805</v>
      </c>
    </row>
    <row r="187" spans="1:32" ht="33" thickBot="1">
      <c r="A187" s="24" t="e">
        <f t="shared" si="19"/>
        <v>#VALUE!</v>
      </c>
      <c r="B187" s="243" t="str">
        <f t="shared" si="23"/>
        <v>EMERSON ELECTRIC CO</v>
      </c>
      <c r="C187" s="25" t="str">
        <f t="shared" si="24"/>
        <v>EMR UN</v>
      </c>
      <c r="D187" s="25">
        <v>1</v>
      </c>
      <c r="E187" s="6" t="str">
        <f xml:space="preserve"> [2]!'EMR.US-PreClose'</f>
        <v>N/A</v>
      </c>
      <c r="F187" s="78">
        <f t="shared" si="25"/>
        <v>3572</v>
      </c>
      <c r="G187" s="49" t="e">
        <f t="shared" si="26"/>
        <v>#VALUE!</v>
      </c>
      <c r="H187" s="6" t="str">
        <f xml:space="preserve"> [2]!'EMR.US-Price'</f>
        <v>N/A</v>
      </c>
      <c r="I187" s="6" t="str">
        <f xml:space="preserve"> [2]!'EMR.US-BestBid1'</f>
        <v>N/A</v>
      </c>
      <c r="J187" s="6" t="str">
        <f xml:space="preserve"> [2]!'EMR.US-BestAsk1'</f>
        <v>N/A</v>
      </c>
      <c r="K187" s="65" t="e">
        <f t="shared" si="20"/>
        <v>#VALUE!</v>
      </c>
      <c r="L187" s="65" t="e">
        <f t="shared" si="21"/>
        <v>#VALUE!</v>
      </c>
      <c r="M187" s="68" t="e">
        <f t="shared" si="22"/>
        <v>#VALUE!</v>
      </c>
      <c r="AC187" s="444" t="s">
        <v>3075</v>
      </c>
      <c r="AD187" s="445" t="s">
        <v>814</v>
      </c>
      <c r="AE187" s="446">
        <v>0.15</v>
      </c>
      <c r="AF187" s="447">
        <v>3572</v>
      </c>
    </row>
    <row r="188" spans="1:32" ht="33" thickBot="1">
      <c r="A188" s="24" t="e">
        <f t="shared" si="19"/>
        <v>#REF!</v>
      </c>
      <c r="B188" s="243" t="str">
        <f t="shared" si="23"/>
        <v>EOG RESOURCES INC</v>
      </c>
      <c r="C188" s="25" t="str">
        <f t="shared" si="24"/>
        <v>EOG UN</v>
      </c>
      <c r="D188" s="25">
        <v>1</v>
      </c>
      <c r="E188" s="6" t="e">
        <f xml:space="preserve"> [2]!'EOG.US-PreClose'</f>
        <v>#REF!</v>
      </c>
      <c r="F188" s="78">
        <f t="shared" si="25"/>
        <v>3373</v>
      </c>
      <c r="G188" s="49" t="e">
        <f t="shared" si="26"/>
        <v>#REF!</v>
      </c>
      <c r="H188" s="6" t="e">
        <f xml:space="preserve"> [2]!'EOG.US-Price'</f>
        <v>#REF!</v>
      </c>
      <c r="I188" s="6" t="e">
        <f xml:space="preserve"> [2]!'EOG.US-BestBid1'</f>
        <v>#REF!</v>
      </c>
      <c r="J188" s="6" t="e">
        <f xml:space="preserve"> [2]!'EOG.US-BestAsk1'</f>
        <v>#REF!</v>
      </c>
      <c r="K188" s="65" t="e">
        <f t="shared" si="20"/>
        <v>#REF!</v>
      </c>
      <c r="L188" s="65" t="e">
        <f t="shared" si="21"/>
        <v>#REF!</v>
      </c>
      <c r="M188" s="68" t="e">
        <f t="shared" si="22"/>
        <v>#REF!</v>
      </c>
      <c r="AC188" s="440" t="s">
        <v>3076</v>
      </c>
      <c r="AD188" s="441" t="s">
        <v>815</v>
      </c>
      <c r="AE188" s="442">
        <v>0.2</v>
      </c>
      <c r="AF188" s="443">
        <v>3373</v>
      </c>
    </row>
    <row r="189" spans="1:32" ht="22.2" thickBot="1">
      <c r="A189" s="24" t="e">
        <f t="shared" si="19"/>
        <v>#REF!</v>
      </c>
      <c r="B189" s="243" t="str">
        <f t="shared" si="23"/>
        <v>EQUINIX INC</v>
      </c>
      <c r="C189" s="25" t="str">
        <f t="shared" si="24"/>
        <v>EQIX UQ</v>
      </c>
      <c r="D189" s="25">
        <v>1</v>
      </c>
      <c r="E189" s="6" t="e">
        <f xml:space="preserve"> [2]!'EQIX.US-PreClose'</f>
        <v>#REF!</v>
      </c>
      <c r="F189" s="78">
        <f t="shared" si="25"/>
        <v>489</v>
      </c>
      <c r="G189" s="49" t="e">
        <f t="shared" si="26"/>
        <v>#REF!</v>
      </c>
      <c r="H189" s="6" t="e">
        <f xml:space="preserve"> [2]!'EQIX.US-Price'</f>
        <v>#REF!</v>
      </c>
      <c r="I189" s="6" t="e">
        <f xml:space="preserve"> [2]!'EQIX.US-BestBid1'</f>
        <v>#REF!</v>
      </c>
      <c r="J189" s="6" t="e">
        <f xml:space="preserve"> [2]!'EQIX.US-BestAsk1'</f>
        <v>#REF!</v>
      </c>
      <c r="K189" s="65" t="e">
        <f t="shared" si="20"/>
        <v>#REF!</v>
      </c>
      <c r="L189" s="65" t="e">
        <f t="shared" si="21"/>
        <v>#REF!</v>
      </c>
      <c r="M189" s="68" t="e">
        <f t="shared" si="22"/>
        <v>#REF!</v>
      </c>
      <c r="AC189" s="444" t="s">
        <v>3077</v>
      </c>
      <c r="AD189" s="445" t="s">
        <v>816</v>
      </c>
      <c r="AE189" s="446">
        <v>0.17</v>
      </c>
      <c r="AF189" s="446">
        <v>489</v>
      </c>
    </row>
    <row r="190" spans="1:32" ht="33" thickBot="1">
      <c r="A190" s="24" t="e">
        <f t="shared" si="19"/>
        <v>#REF!</v>
      </c>
      <c r="B190" s="243" t="str">
        <f t="shared" si="23"/>
        <v>EQUITY RESIDENTIAL</v>
      </c>
      <c r="C190" s="25" t="str">
        <f t="shared" si="24"/>
        <v>EQR UN</v>
      </c>
      <c r="D190" s="25">
        <v>1</v>
      </c>
      <c r="E190" s="6" t="e">
        <f xml:space="preserve"> [2]!'EQR.US-PreClose'</f>
        <v>#REF!</v>
      </c>
      <c r="F190" s="78">
        <f t="shared" si="25"/>
        <v>2153</v>
      </c>
      <c r="G190" s="49" t="e">
        <f t="shared" si="26"/>
        <v>#REF!</v>
      </c>
      <c r="H190" s="6" t="e">
        <f xml:space="preserve"> [2]!'EQR.US-Price'</f>
        <v>#REF!</v>
      </c>
      <c r="I190" s="6" t="e">
        <f xml:space="preserve"> [2]!'EQR.US-BestBid1'</f>
        <v>#REF!</v>
      </c>
      <c r="J190" s="6" t="e">
        <f xml:space="preserve"> [2]!'EQR.US-BestAsk1'</f>
        <v>#REF!</v>
      </c>
      <c r="K190" s="65" t="e">
        <f t="shared" si="20"/>
        <v>#REF!</v>
      </c>
      <c r="L190" s="65" t="e">
        <f t="shared" si="21"/>
        <v>#REF!</v>
      </c>
      <c r="M190" s="68" t="e">
        <f t="shared" si="22"/>
        <v>#REF!</v>
      </c>
      <c r="AC190" s="440" t="s">
        <v>3078</v>
      </c>
      <c r="AD190" s="441" t="s">
        <v>817</v>
      </c>
      <c r="AE190" s="442">
        <v>0.11</v>
      </c>
      <c r="AF190" s="443">
        <v>2153</v>
      </c>
    </row>
    <row r="191" spans="1:32" ht="22.2" thickBot="1">
      <c r="A191" s="24" t="e">
        <f t="shared" si="19"/>
        <v>#REF!</v>
      </c>
      <c r="B191" s="243" t="str">
        <f t="shared" si="23"/>
        <v>EVERSOURCE ENERGY</v>
      </c>
      <c r="C191" s="25" t="str">
        <f t="shared" si="24"/>
        <v>ES UN</v>
      </c>
      <c r="D191" s="25">
        <v>1</v>
      </c>
      <c r="E191" s="6" t="e">
        <f xml:space="preserve"> [2]!'EQT.US-PreClose'</f>
        <v>#REF!</v>
      </c>
      <c r="F191" s="78">
        <f t="shared" si="25"/>
        <v>1866</v>
      </c>
      <c r="G191" s="49" t="e">
        <f t="shared" si="26"/>
        <v>#REF!</v>
      </c>
      <c r="H191" s="6" t="e">
        <f xml:space="preserve"> [2]!'EQT.US-Price'</f>
        <v>#REF!</v>
      </c>
      <c r="I191" s="6" t="e">
        <f xml:space="preserve"> [2]!'EQT.US-BestBid1'</f>
        <v>#REF!</v>
      </c>
      <c r="J191" s="6" t="e">
        <f xml:space="preserve"> [2]!'EQT.US-BestAsk1'</f>
        <v>#REF!</v>
      </c>
      <c r="K191" s="65" t="e">
        <f t="shared" si="20"/>
        <v>#REF!</v>
      </c>
      <c r="L191" s="65" t="e">
        <f t="shared" si="21"/>
        <v>#REF!</v>
      </c>
      <c r="M191" s="68" t="e">
        <f t="shared" si="22"/>
        <v>#REF!</v>
      </c>
      <c r="AC191" s="444" t="s">
        <v>3079</v>
      </c>
      <c r="AD191" s="445" t="s">
        <v>818</v>
      </c>
      <c r="AE191" s="446">
        <v>0.1</v>
      </c>
      <c r="AF191" s="447">
        <v>1866</v>
      </c>
    </row>
    <row r="192" spans="1:32" ht="33" thickBot="1">
      <c r="A192" s="24" t="e">
        <f t="shared" si="19"/>
        <v>#REF!</v>
      </c>
      <c r="B192" s="243" t="str">
        <f t="shared" si="23"/>
        <v>ESSEX PROPERTY TRUST INC</v>
      </c>
      <c r="C192" s="25" t="str">
        <f t="shared" si="24"/>
        <v>ESS UN</v>
      </c>
      <c r="D192" s="25">
        <v>1</v>
      </c>
      <c r="E192" s="6" t="e">
        <f xml:space="preserve"> [2]!'ES.US-PreClose'</f>
        <v>#REF!</v>
      </c>
      <c r="F192" s="78">
        <f t="shared" si="25"/>
        <v>382</v>
      </c>
      <c r="G192" s="49" t="e">
        <f t="shared" si="26"/>
        <v>#REF!</v>
      </c>
      <c r="H192" s="6" t="e">
        <f xml:space="preserve"> [2]!'ES.US-Price'</f>
        <v>#REF!</v>
      </c>
      <c r="I192" s="6" t="e">
        <f xml:space="preserve"> [2]!'ES.US-BestBid1'</f>
        <v>#REF!</v>
      </c>
      <c r="J192" s="6" t="e">
        <f xml:space="preserve"> [2]!'ES.US-BestAsk1'</f>
        <v>#REF!</v>
      </c>
      <c r="K192" s="65" t="e">
        <f t="shared" si="20"/>
        <v>#REF!</v>
      </c>
      <c r="L192" s="65" t="e">
        <f t="shared" si="21"/>
        <v>#REF!</v>
      </c>
      <c r="M192" s="68" t="e">
        <f t="shared" si="22"/>
        <v>#REF!</v>
      </c>
      <c r="AC192" s="440" t="s">
        <v>3080</v>
      </c>
      <c r="AD192" s="441" t="s">
        <v>819</v>
      </c>
      <c r="AE192" s="442">
        <v>0.08</v>
      </c>
      <c r="AF192" s="442">
        <v>382</v>
      </c>
    </row>
    <row r="193" spans="1:32" ht="33" thickBot="1">
      <c r="A193" s="24" t="e">
        <f t="shared" si="19"/>
        <v>#REF!</v>
      </c>
      <c r="B193" s="243" t="str">
        <f t="shared" si="23"/>
        <v>E*TRADE FINANCIAL CORP</v>
      </c>
      <c r="C193" s="25" t="str">
        <f t="shared" si="24"/>
        <v>ETFC UQ</v>
      </c>
      <c r="D193" s="25">
        <v>1</v>
      </c>
      <c r="E193" s="6" t="e">
        <f xml:space="preserve"> [2]!'ESRX.US-PreClose'</f>
        <v>#REF!</v>
      </c>
      <c r="F193" s="78">
        <f t="shared" si="25"/>
        <v>1422</v>
      </c>
      <c r="G193" s="49" t="e">
        <f t="shared" si="26"/>
        <v>#REF!</v>
      </c>
      <c r="H193" s="6" t="e">
        <f xml:space="preserve"> [2]!'ESRX.US-Price'</f>
        <v>#REF!</v>
      </c>
      <c r="I193" s="6" t="e">
        <f xml:space="preserve"> [2]!'ESRX.US-BestBid1'</f>
        <v>#REF!</v>
      </c>
      <c r="J193" s="6" t="e">
        <f xml:space="preserve"> [2]!'ESRX.US-BestAsk1'</f>
        <v>#REF!</v>
      </c>
      <c r="K193" s="65" t="e">
        <f t="shared" si="20"/>
        <v>#REF!</v>
      </c>
      <c r="L193" s="65" t="e">
        <f t="shared" si="21"/>
        <v>#REF!</v>
      </c>
      <c r="M193" s="68" t="e">
        <f t="shared" si="22"/>
        <v>#REF!</v>
      </c>
      <c r="AC193" s="444" t="s">
        <v>3081</v>
      </c>
      <c r="AD193" s="445" t="s">
        <v>820</v>
      </c>
      <c r="AE193" s="446">
        <v>0.04</v>
      </c>
      <c r="AF193" s="447">
        <v>1422</v>
      </c>
    </row>
    <row r="194" spans="1:32" ht="22.2" thickBot="1">
      <c r="A194" s="24" t="e">
        <f t="shared" si="19"/>
        <v>#REF!</v>
      </c>
      <c r="B194" s="243" t="str">
        <f t="shared" si="23"/>
        <v>EATON CORP PLC</v>
      </c>
      <c r="C194" s="25" t="str">
        <f t="shared" si="24"/>
        <v>ETN UN</v>
      </c>
      <c r="D194" s="25">
        <v>1</v>
      </c>
      <c r="E194" s="6" t="e">
        <f xml:space="preserve"> [2]!'ESS.US-PreClose'</f>
        <v>#REF!</v>
      </c>
      <c r="F194" s="78">
        <f t="shared" si="25"/>
        <v>2459</v>
      </c>
      <c r="G194" s="49" t="e">
        <f t="shared" si="26"/>
        <v>#REF!</v>
      </c>
      <c r="H194" s="6" t="e">
        <f xml:space="preserve"> [2]!'ESS.US-Price'</f>
        <v>#REF!</v>
      </c>
      <c r="I194" s="6" t="e">
        <f xml:space="preserve"> [2]!'ESS.US-BestBid1'</f>
        <v>#REF!</v>
      </c>
      <c r="J194" s="6" t="e">
        <f xml:space="preserve"> [2]!'ESS.US-BestAsk1'</f>
        <v>#REF!</v>
      </c>
      <c r="K194" s="65" t="e">
        <f t="shared" si="20"/>
        <v>#REF!</v>
      </c>
      <c r="L194" s="65" t="e">
        <f t="shared" si="21"/>
        <v>#REF!</v>
      </c>
      <c r="M194" s="68" t="e">
        <f t="shared" si="22"/>
        <v>#REF!</v>
      </c>
      <c r="AC194" s="440" t="s">
        <v>3082</v>
      </c>
      <c r="AD194" s="441" t="s">
        <v>821</v>
      </c>
      <c r="AE194" s="442">
        <v>0.13</v>
      </c>
      <c r="AF194" s="443">
        <v>2459</v>
      </c>
    </row>
    <row r="195" spans="1:32" ht="22.2" thickBot="1">
      <c r="A195" s="24" t="e">
        <f t="shared" si="19"/>
        <v>#REF!</v>
      </c>
      <c r="B195" s="243" t="str">
        <f t="shared" si="23"/>
        <v>ENTERGY CORP</v>
      </c>
      <c r="C195" s="25" t="str">
        <f t="shared" si="24"/>
        <v>ETR UN</v>
      </c>
      <c r="D195" s="25">
        <v>1</v>
      </c>
      <c r="E195" s="6" t="e">
        <f xml:space="preserve"> [2]!'ETFC.US-PreClose'</f>
        <v>#REF!</v>
      </c>
      <c r="F195" s="78">
        <f t="shared" si="25"/>
        <v>1104</v>
      </c>
      <c r="G195" s="49" t="e">
        <f t="shared" si="26"/>
        <v>#REF!</v>
      </c>
      <c r="H195" s="6" t="e">
        <f xml:space="preserve"> [2]!'ETFC.US-Price'</f>
        <v>#REF!</v>
      </c>
      <c r="I195" s="6" t="e">
        <f xml:space="preserve"> [2]!'ETFC.US-BestBid1'</f>
        <v>#REF!</v>
      </c>
      <c r="J195" s="6" t="e">
        <f xml:space="preserve"> [2]!'ETFC.US-BestAsk1'</f>
        <v>#REF!</v>
      </c>
      <c r="K195" s="65" t="e">
        <f t="shared" si="20"/>
        <v>#REF!</v>
      </c>
      <c r="L195" s="65" t="e">
        <f t="shared" si="21"/>
        <v>#REF!</v>
      </c>
      <c r="M195" s="68" t="e">
        <f t="shared" si="22"/>
        <v>#REF!</v>
      </c>
      <c r="AC195" s="444" t="s">
        <v>3083</v>
      </c>
      <c r="AD195" s="445" t="s">
        <v>822</v>
      </c>
      <c r="AE195" s="446">
        <v>0.08</v>
      </c>
      <c r="AF195" s="447">
        <v>1104</v>
      </c>
    </row>
    <row r="196" spans="1:32" ht="22.2" thickBot="1">
      <c r="A196" s="24" t="e">
        <f t="shared" si="19"/>
        <v>#VALUE!</v>
      </c>
      <c r="B196" s="243" t="str">
        <f t="shared" si="23"/>
        <v>EVERGY INC</v>
      </c>
      <c r="C196" s="25" t="str">
        <f t="shared" si="24"/>
        <v>EVRG UN</v>
      </c>
      <c r="D196" s="25">
        <v>1</v>
      </c>
      <c r="E196" s="6" t="str">
        <f xml:space="preserve"> [2]!'ETN.US-PreClose'</f>
        <v>N/A</v>
      </c>
      <c r="F196" s="78">
        <f t="shared" si="25"/>
        <v>1419</v>
      </c>
      <c r="G196" s="49" t="e">
        <f t="shared" si="26"/>
        <v>#VALUE!</v>
      </c>
      <c r="H196" s="6" t="str">
        <f xml:space="preserve"> [2]!'ETN.US-Price'</f>
        <v>N/A</v>
      </c>
      <c r="I196" s="6" t="str">
        <f xml:space="preserve"> [2]!'ETN.US-BestBid1'</f>
        <v>N/A</v>
      </c>
      <c r="J196" s="6" t="str">
        <f xml:space="preserve"> [2]!'ETN.US-BestAsk1'</f>
        <v>N/A</v>
      </c>
      <c r="K196" s="65" t="e">
        <f t="shared" si="20"/>
        <v>#VALUE!</v>
      </c>
      <c r="L196" s="65" t="e">
        <f t="shared" si="21"/>
        <v>#VALUE!</v>
      </c>
      <c r="M196" s="68" t="e">
        <f t="shared" si="22"/>
        <v>#VALUE!</v>
      </c>
      <c r="AC196" s="440" t="s">
        <v>3084</v>
      </c>
      <c r="AD196" s="441" t="s">
        <v>3085</v>
      </c>
      <c r="AE196" s="442">
        <v>0.06</v>
      </c>
      <c r="AF196" s="443">
        <v>1419</v>
      </c>
    </row>
    <row r="197" spans="1:32" ht="33" thickBot="1">
      <c r="A197" s="24" t="e">
        <f t="shared" si="19"/>
        <v>#VALUE!</v>
      </c>
      <c r="B197" s="243" t="str">
        <f t="shared" si="23"/>
        <v>EDWARDS LIFESCIENCES CORP</v>
      </c>
      <c r="C197" s="25" t="str">
        <f t="shared" si="24"/>
        <v>EW UN</v>
      </c>
      <c r="D197" s="25">
        <v>1</v>
      </c>
      <c r="E197" s="6" t="str">
        <f xml:space="preserve"> [2]!'ETR.US-PreClose'</f>
        <v>N/A</v>
      </c>
      <c r="F197" s="78">
        <f t="shared" si="25"/>
        <v>1212</v>
      </c>
      <c r="G197" s="49" t="e">
        <f t="shared" si="26"/>
        <v>#VALUE!</v>
      </c>
      <c r="H197" s="6" t="str">
        <f xml:space="preserve"> [2]!'ETR.US-Price'</f>
        <v>N/A</v>
      </c>
      <c r="I197" s="6" t="str">
        <f xml:space="preserve"> [2]!'ETR.US-BestBid1'</f>
        <v>N/A</v>
      </c>
      <c r="J197" s="6" t="str">
        <f xml:space="preserve"> [2]!'ETR.US-BestAsk1'</f>
        <v>N/A</v>
      </c>
      <c r="K197" s="65" t="e">
        <f t="shared" si="20"/>
        <v>#VALUE!</v>
      </c>
      <c r="L197" s="65" t="e">
        <f t="shared" si="21"/>
        <v>#VALUE!</v>
      </c>
      <c r="M197" s="68" t="e">
        <f t="shared" si="22"/>
        <v>#VALUE!</v>
      </c>
      <c r="AC197" s="444" t="s">
        <v>3086</v>
      </c>
      <c r="AD197" s="445" t="s">
        <v>823</v>
      </c>
      <c r="AE197" s="446">
        <v>0.16</v>
      </c>
      <c r="AF197" s="447">
        <v>1212</v>
      </c>
    </row>
    <row r="198" spans="1:32" ht="22.2" thickBot="1">
      <c r="A198" s="24" t="e">
        <f t="shared" si="19"/>
        <v>#REF!</v>
      </c>
      <c r="B198" s="243" t="str">
        <f t="shared" si="23"/>
        <v>EXELON CORP</v>
      </c>
      <c r="C198" s="25" t="str">
        <f t="shared" si="24"/>
        <v>EXC UN</v>
      </c>
      <c r="D198" s="25">
        <v>1</v>
      </c>
      <c r="E198" s="6" t="e">
        <f xml:space="preserve"> [2]!'EVHC.US-PreClose'</f>
        <v>#REF!</v>
      </c>
      <c r="F198" s="78">
        <f t="shared" si="25"/>
        <v>5644</v>
      </c>
      <c r="G198" s="49" t="e">
        <f t="shared" si="26"/>
        <v>#REF!</v>
      </c>
      <c r="H198" s="6" t="e">
        <f xml:space="preserve"> [2]!'EVHC.US-Price'</f>
        <v>#REF!</v>
      </c>
      <c r="I198" s="6" t="e">
        <f xml:space="preserve"> [2]!'EVHC.US-BestBid1'</f>
        <v>#REF!</v>
      </c>
      <c r="J198" s="6" t="e">
        <f xml:space="preserve"> [2]!'EVHC.US-BestAsk1'</f>
        <v>#REF!</v>
      </c>
      <c r="K198" s="65" t="e">
        <f t="shared" si="20"/>
        <v>#REF!</v>
      </c>
      <c r="L198" s="65" t="e">
        <f t="shared" si="21"/>
        <v>#REF!</v>
      </c>
      <c r="M198" s="68" t="e">
        <f t="shared" si="22"/>
        <v>#REF!</v>
      </c>
      <c r="AC198" s="440" t="s">
        <v>3087</v>
      </c>
      <c r="AD198" s="441" t="s">
        <v>824</v>
      </c>
      <c r="AE198" s="442">
        <v>0.19</v>
      </c>
      <c r="AF198" s="443">
        <v>5644</v>
      </c>
    </row>
    <row r="199" spans="1:32" ht="33" thickBot="1">
      <c r="A199" s="24" t="e">
        <f t="shared" si="19"/>
        <v>#REF!</v>
      </c>
      <c r="B199" s="243" t="str">
        <f t="shared" si="23"/>
        <v>EXPEDITORS INTL WASH INC</v>
      </c>
      <c r="C199" s="25" t="str">
        <f t="shared" si="24"/>
        <v>EXPD UQ</v>
      </c>
      <c r="D199" s="25">
        <v>1</v>
      </c>
      <c r="E199" s="6" t="e">
        <f xml:space="preserve"> [2]!'EW.US-PreClose'</f>
        <v>#REF!</v>
      </c>
      <c r="F199" s="78">
        <f t="shared" si="25"/>
        <v>1000</v>
      </c>
      <c r="G199" s="49" t="e">
        <f t="shared" si="26"/>
        <v>#REF!</v>
      </c>
      <c r="H199" s="6" t="e">
        <f xml:space="preserve"> [2]!'EW.US-Price'</f>
        <v>#REF!</v>
      </c>
      <c r="I199" s="6" t="e">
        <f xml:space="preserve"> [2]!'EW.US-BestBid1'</f>
        <v>#REF!</v>
      </c>
      <c r="J199" s="6" t="e">
        <f xml:space="preserve"> [2]!'EW.US-BestAsk1'</f>
        <v>#REF!</v>
      </c>
      <c r="K199" s="65" t="e">
        <f t="shared" si="20"/>
        <v>#REF!</v>
      </c>
      <c r="L199" s="65" t="e">
        <f t="shared" si="21"/>
        <v>#REF!</v>
      </c>
      <c r="M199" s="68" t="e">
        <f t="shared" si="22"/>
        <v>#REF!</v>
      </c>
      <c r="AC199" s="444" t="s">
        <v>3088</v>
      </c>
      <c r="AD199" s="445" t="s">
        <v>825</v>
      </c>
      <c r="AE199" s="446">
        <v>0.05</v>
      </c>
      <c r="AF199" s="447">
        <v>1000</v>
      </c>
    </row>
    <row r="200" spans="1:32" ht="22.2" thickBot="1">
      <c r="A200" s="24" t="e">
        <f t="shared" si="19"/>
        <v>#VALUE!</v>
      </c>
      <c r="B200" s="243" t="str">
        <f t="shared" si="23"/>
        <v>EXPEDIA GROUP INC</v>
      </c>
      <c r="C200" s="25" t="str">
        <f t="shared" si="24"/>
        <v>EXPE UQ</v>
      </c>
      <c r="D200" s="25">
        <v>1</v>
      </c>
      <c r="E200" s="6" t="str">
        <f xml:space="preserve"> [2]!'EXC.US-PreClose'</f>
        <v>N/A</v>
      </c>
      <c r="F200" s="78">
        <f t="shared" si="25"/>
        <v>688</v>
      </c>
      <c r="G200" s="49" t="e">
        <f t="shared" si="26"/>
        <v>#VALUE!</v>
      </c>
      <c r="H200" s="6" t="str">
        <f xml:space="preserve"> [2]!'EXC.US-Price'</f>
        <v>N/A</v>
      </c>
      <c r="I200" s="6" t="str">
        <f xml:space="preserve"> [2]!'EXC.US-BestBid1'</f>
        <v>N/A</v>
      </c>
      <c r="J200" s="6" t="str">
        <f xml:space="preserve"> [2]!'EXC.US-BestAsk1'</f>
        <v>N/A</v>
      </c>
      <c r="K200" s="65" t="e">
        <f t="shared" si="20"/>
        <v>#VALUE!</v>
      </c>
      <c r="L200" s="65" t="e">
        <f t="shared" si="21"/>
        <v>#VALUE!</v>
      </c>
      <c r="M200" s="68" t="e">
        <f t="shared" si="22"/>
        <v>#VALUE!</v>
      </c>
      <c r="AC200" s="440" t="s">
        <v>3089</v>
      </c>
      <c r="AD200" s="441" t="s">
        <v>3090</v>
      </c>
      <c r="AE200" s="442">
        <v>0.06</v>
      </c>
      <c r="AF200" s="442">
        <v>688</v>
      </c>
    </row>
    <row r="201" spans="1:32" ht="43.8" thickBot="1">
      <c r="A201" s="24" t="e">
        <f t="shared" si="19"/>
        <v>#REF!</v>
      </c>
      <c r="B201" s="243" t="str">
        <f t="shared" si="23"/>
        <v>EXTRA SPACE STORAGE INC</v>
      </c>
      <c r="C201" s="25" t="str">
        <f t="shared" si="24"/>
        <v>EXR UN</v>
      </c>
      <c r="D201" s="25">
        <v>1</v>
      </c>
      <c r="E201" s="6" t="e">
        <f xml:space="preserve"> [2]!'EXPD.US-PreClose'</f>
        <v>#REF!</v>
      </c>
      <c r="F201" s="78">
        <f t="shared" si="25"/>
        <v>741</v>
      </c>
      <c r="G201" s="49" t="e">
        <f t="shared" si="26"/>
        <v>#REF!</v>
      </c>
      <c r="H201" s="6" t="e">
        <f xml:space="preserve"> [2]!'EXPD.US-Price'</f>
        <v>#REF!</v>
      </c>
      <c r="I201" s="6" t="e">
        <f xml:space="preserve"> [2]!'EXPD.US-BestBid1'</f>
        <v>#REF!</v>
      </c>
      <c r="J201" s="6" t="e">
        <f xml:space="preserve"> [2]!'EXPD.US-BestAsk1'</f>
        <v>#REF!</v>
      </c>
      <c r="K201" s="65" t="e">
        <f t="shared" si="20"/>
        <v>#REF!</v>
      </c>
      <c r="L201" s="65" t="e">
        <f t="shared" si="21"/>
        <v>#REF!</v>
      </c>
      <c r="M201" s="68" t="e">
        <f t="shared" si="22"/>
        <v>#REF!</v>
      </c>
      <c r="AC201" s="444" t="s">
        <v>3091</v>
      </c>
      <c r="AD201" s="445" t="s">
        <v>826</v>
      </c>
      <c r="AE201" s="446">
        <v>0.05</v>
      </c>
      <c r="AF201" s="446">
        <v>741</v>
      </c>
    </row>
    <row r="202" spans="1:32" ht="22.2" thickBot="1">
      <c r="A202" s="24" t="e">
        <f t="shared" si="19"/>
        <v>#REF!</v>
      </c>
      <c r="B202" s="243" t="str">
        <f t="shared" si="23"/>
        <v>FORD MOTOR CO</v>
      </c>
      <c r="C202" s="25" t="str">
        <f t="shared" si="24"/>
        <v>F UN</v>
      </c>
      <c r="D202" s="25">
        <v>1</v>
      </c>
      <c r="E202" s="6" t="e">
        <f xml:space="preserve"> [2]!'EXPE.US-PreClose'</f>
        <v>#REF!</v>
      </c>
      <c r="F202" s="78">
        <f t="shared" si="25"/>
        <v>22777</v>
      </c>
      <c r="G202" s="49" t="e">
        <f t="shared" si="26"/>
        <v>#REF!</v>
      </c>
      <c r="H202" s="6" t="e">
        <f xml:space="preserve"> [2]!'EXPE.US-Price'</f>
        <v>#REF!</v>
      </c>
      <c r="I202" s="6" t="e">
        <f xml:space="preserve"> [2]!'EXPE.US-BestBid1'</f>
        <v>#REF!</v>
      </c>
      <c r="J202" s="6" t="e">
        <f xml:space="preserve"> [2]!'EXPE.US-BestAsk1'</f>
        <v>#REF!</v>
      </c>
      <c r="K202" s="65" t="e">
        <f t="shared" si="20"/>
        <v>#REF!</v>
      </c>
      <c r="L202" s="65" t="e">
        <f t="shared" si="21"/>
        <v>#REF!</v>
      </c>
      <c r="M202" s="68" t="e">
        <f t="shared" si="22"/>
        <v>#REF!</v>
      </c>
      <c r="AC202" s="440" t="s">
        <v>3092</v>
      </c>
      <c r="AD202" s="441" t="s">
        <v>827</v>
      </c>
      <c r="AE202" s="442">
        <v>0.16</v>
      </c>
      <c r="AF202" s="443">
        <v>22777</v>
      </c>
    </row>
    <row r="203" spans="1:32" ht="43.8" thickBot="1">
      <c r="A203" s="24" t="e">
        <f t="shared" si="19"/>
        <v>#VALUE!</v>
      </c>
      <c r="B203" s="243" t="str">
        <f t="shared" si="23"/>
        <v>DIAMONDBACK ENERGY INC</v>
      </c>
      <c r="C203" s="25" t="str">
        <f t="shared" si="24"/>
        <v>FANG UQ</v>
      </c>
      <c r="D203" s="25">
        <v>1</v>
      </c>
      <c r="E203" s="6" t="str">
        <f xml:space="preserve"> [2]!'EXR.US-PreClose'</f>
        <v>N/A</v>
      </c>
      <c r="F203" s="78">
        <f t="shared" si="25"/>
        <v>900</v>
      </c>
      <c r="G203" s="49" t="e">
        <f t="shared" si="26"/>
        <v>#VALUE!</v>
      </c>
      <c r="H203" s="6" t="str">
        <f xml:space="preserve"> [2]!'EXR.US-Price'</f>
        <v>N/A</v>
      </c>
      <c r="I203" s="6" t="str">
        <f xml:space="preserve"> [2]!'EXR.US-BestBid1'</f>
        <v>N/A</v>
      </c>
      <c r="J203" s="6" t="str">
        <f xml:space="preserve"> [2]!'EXR.US-BestAsk1'</f>
        <v>N/A</v>
      </c>
      <c r="K203" s="65" t="e">
        <f t="shared" si="20"/>
        <v>#VALUE!</v>
      </c>
      <c r="L203" s="65" t="e">
        <f t="shared" si="21"/>
        <v>#VALUE!</v>
      </c>
      <c r="M203" s="68" t="e">
        <f t="shared" si="22"/>
        <v>#VALUE!</v>
      </c>
      <c r="AC203" s="444" t="s">
        <v>3093</v>
      </c>
      <c r="AD203" s="445" t="s">
        <v>3094</v>
      </c>
      <c r="AE203" s="446">
        <v>7.0000000000000007E-2</v>
      </c>
      <c r="AF203" s="446">
        <v>900</v>
      </c>
    </row>
    <row r="204" spans="1:32" ht="22.2" thickBot="1">
      <c r="A204" s="24" t="e">
        <f t="shared" si="19"/>
        <v>#VALUE!</v>
      </c>
      <c r="B204" s="243" t="str">
        <f t="shared" si="23"/>
        <v>FASTENAL CO</v>
      </c>
      <c r="C204" s="25" t="str">
        <f t="shared" si="24"/>
        <v>FAST UQ</v>
      </c>
      <c r="D204" s="25">
        <v>1</v>
      </c>
      <c r="E204" s="6" t="str">
        <f xml:space="preserve"> [2]!'F.US-PreClose'</f>
        <v>N/A</v>
      </c>
      <c r="F204" s="78">
        <f t="shared" si="25"/>
        <v>3327</v>
      </c>
      <c r="G204" s="49" t="e">
        <f t="shared" si="26"/>
        <v>#VALUE!</v>
      </c>
      <c r="H204" s="6" t="str">
        <f xml:space="preserve"> [2]!'F.US-Price'</f>
        <v>N/A</v>
      </c>
      <c r="I204" s="6" t="str">
        <f xml:space="preserve"> [2]!'F.US-BestBid1'</f>
        <v>N/A</v>
      </c>
      <c r="J204" s="6" t="str">
        <f xml:space="preserve"> [2]!'F.US-BestAsk1'</f>
        <v>N/A</v>
      </c>
      <c r="K204" s="65" t="e">
        <f t="shared" si="20"/>
        <v>#VALUE!</v>
      </c>
      <c r="L204" s="65" t="e">
        <f t="shared" si="21"/>
        <v>#VALUE!</v>
      </c>
      <c r="M204" s="68" t="e">
        <f t="shared" si="22"/>
        <v>#VALUE!</v>
      </c>
      <c r="AC204" s="440" t="s">
        <v>3095</v>
      </c>
      <c r="AD204" s="441" t="s">
        <v>828</v>
      </c>
      <c r="AE204" s="442">
        <v>7.0000000000000007E-2</v>
      </c>
      <c r="AF204" s="443">
        <v>3327</v>
      </c>
    </row>
    <row r="205" spans="1:32" ht="33" thickBot="1">
      <c r="A205" s="24" t="e">
        <f t="shared" si="19"/>
        <v>#REF!</v>
      </c>
      <c r="B205" s="243" t="str">
        <f t="shared" si="23"/>
        <v>FACEBOOK INC-CLASS A</v>
      </c>
      <c r="C205" s="25" t="str">
        <f t="shared" si="24"/>
        <v>FB UQ</v>
      </c>
      <c r="D205" s="25">
        <v>1</v>
      </c>
      <c r="E205" s="6" t="e">
        <f xml:space="preserve"> [2]!'FAST.US-PreClose'</f>
        <v>#REF!</v>
      </c>
      <c r="F205" s="78">
        <f t="shared" si="25"/>
        <v>13965</v>
      </c>
      <c r="G205" s="49" t="e">
        <f t="shared" si="26"/>
        <v>#REF!</v>
      </c>
      <c r="H205" s="6" t="e">
        <f xml:space="preserve"> [2]!'FAST.US-Price'</f>
        <v>#REF!</v>
      </c>
      <c r="I205" s="6" t="e">
        <f xml:space="preserve"> [2]!'FAST.US-BestBid1'</f>
        <v>#REF!</v>
      </c>
      <c r="J205" s="6" t="e">
        <f xml:space="preserve"> [2]!'FAST.US-BestAsk1'</f>
        <v>#REF!</v>
      </c>
      <c r="K205" s="65" t="e">
        <f t="shared" si="20"/>
        <v>#REF!</v>
      </c>
      <c r="L205" s="65" t="e">
        <f t="shared" si="21"/>
        <v>#REF!</v>
      </c>
      <c r="M205" s="68" t="e">
        <f t="shared" si="22"/>
        <v>#REF!</v>
      </c>
      <c r="AC205" s="444" t="s">
        <v>3096</v>
      </c>
      <c r="AD205" s="445" t="s">
        <v>3097</v>
      </c>
      <c r="AE205" s="446">
        <v>1.88</v>
      </c>
      <c r="AF205" s="447">
        <v>13965</v>
      </c>
    </row>
    <row r="206" spans="1:32" ht="43.8" thickBot="1">
      <c r="A206" s="24" t="e">
        <f t="shared" si="19"/>
        <v>#REF!</v>
      </c>
      <c r="B206" s="243" t="str">
        <f t="shared" si="23"/>
        <v>FORTUNE BRANDS HOME &amp; SECURI</v>
      </c>
      <c r="C206" s="25" t="str">
        <f t="shared" si="24"/>
        <v>FBHS UN</v>
      </c>
      <c r="D206" s="25">
        <v>1</v>
      </c>
      <c r="E206" s="6" t="e">
        <f xml:space="preserve"> [2]!'FB.US-PreClose'</f>
        <v>#REF!</v>
      </c>
      <c r="F206" s="78">
        <f t="shared" si="25"/>
        <v>813</v>
      </c>
      <c r="G206" s="49" t="e">
        <f t="shared" si="26"/>
        <v>#REF!</v>
      </c>
      <c r="H206" s="6" t="e">
        <f xml:space="preserve"> [2]!'FB.US-Price'</f>
        <v>#REF!</v>
      </c>
      <c r="I206" s="6" t="e">
        <f xml:space="preserve"> [2]!'FB.US-BestBid1'</f>
        <v>#REF!</v>
      </c>
      <c r="J206" s="6" t="e">
        <f xml:space="preserve"> [2]!'FB.US-BestAsk1'</f>
        <v>#REF!</v>
      </c>
      <c r="K206" s="65" t="e">
        <f t="shared" si="20"/>
        <v>#REF!</v>
      </c>
      <c r="L206" s="65" t="e">
        <f t="shared" si="21"/>
        <v>#REF!</v>
      </c>
      <c r="M206" s="68" t="e">
        <f t="shared" si="22"/>
        <v>#REF!</v>
      </c>
      <c r="AC206" s="440" t="s">
        <v>3098</v>
      </c>
      <c r="AD206" s="441" t="s">
        <v>829</v>
      </c>
      <c r="AE206" s="442">
        <v>0.03</v>
      </c>
      <c r="AF206" s="442">
        <v>813</v>
      </c>
    </row>
    <row r="207" spans="1:32" ht="33" thickBot="1">
      <c r="A207" s="24" t="e">
        <f t="shared" si="19"/>
        <v>#REF!</v>
      </c>
      <c r="B207" s="243" t="str">
        <f t="shared" si="23"/>
        <v>FREEPORT-MCMORAN INC</v>
      </c>
      <c r="C207" s="25" t="str">
        <f t="shared" si="24"/>
        <v>FCX UN</v>
      </c>
      <c r="D207" s="25">
        <v>1</v>
      </c>
      <c r="E207" s="6" t="e">
        <f xml:space="preserve"> [2]!'FBHS.US-PreClose'</f>
        <v>#REF!</v>
      </c>
      <c r="F207" s="78">
        <f t="shared" si="25"/>
        <v>8432</v>
      </c>
      <c r="G207" s="49" t="e">
        <f t="shared" si="26"/>
        <v>#REF!</v>
      </c>
      <c r="H207" s="6" t="e">
        <f xml:space="preserve"> [2]!'FBHS.US-Price'</f>
        <v>#REF!</v>
      </c>
      <c r="I207" s="6" t="e">
        <f xml:space="preserve"> [2]!'FBHS.US-BestBid1'</f>
        <v>#REF!</v>
      </c>
      <c r="J207" s="6" t="e">
        <f xml:space="preserve"> [2]!'FBHS.US-BestAsk1'</f>
        <v>#REF!</v>
      </c>
      <c r="K207" s="65" t="e">
        <f t="shared" si="20"/>
        <v>#REF!</v>
      </c>
      <c r="L207" s="65" t="e">
        <f t="shared" si="21"/>
        <v>#REF!</v>
      </c>
      <c r="M207" s="68" t="e">
        <f t="shared" si="22"/>
        <v>#REF!</v>
      </c>
      <c r="AC207" s="444" t="s">
        <v>3099</v>
      </c>
      <c r="AD207" s="445" t="s">
        <v>830</v>
      </c>
      <c r="AE207" s="446">
        <v>0.06</v>
      </c>
      <c r="AF207" s="447">
        <v>8432</v>
      </c>
    </row>
    <row r="208" spans="1:32" ht="22.2" thickBot="1">
      <c r="A208" s="24" t="e">
        <f t="shared" si="19"/>
        <v>#REF!</v>
      </c>
      <c r="B208" s="243" t="str">
        <f t="shared" si="23"/>
        <v>FEDEX CORP</v>
      </c>
      <c r="C208" s="25" t="str">
        <f t="shared" si="24"/>
        <v>FDX UN</v>
      </c>
      <c r="D208" s="25">
        <v>1</v>
      </c>
      <c r="E208" s="6" t="e">
        <f xml:space="preserve"> [2]!'FCX.US-PreClose'</f>
        <v>#REF!</v>
      </c>
      <c r="F208" s="78">
        <f t="shared" si="25"/>
        <v>1393</v>
      </c>
      <c r="G208" s="49" t="e">
        <f t="shared" si="26"/>
        <v>#REF!</v>
      </c>
      <c r="H208" s="6" t="e">
        <f xml:space="preserve"> [2]!'FCX.US-Price'</f>
        <v>#REF!</v>
      </c>
      <c r="I208" s="6" t="e">
        <f xml:space="preserve"> [2]!'FCX.US-BestBid1'</f>
        <v>#REF!</v>
      </c>
      <c r="J208" s="6" t="e">
        <f xml:space="preserve"> [2]!'FCX.US-BestAsk1'</f>
        <v>#REF!</v>
      </c>
      <c r="K208" s="65" t="e">
        <f t="shared" si="20"/>
        <v>#REF!</v>
      </c>
      <c r="L208" s="65" t="e">
        <f t="shared" si="21"/>
        <v>#REF!</v>
      </c>
      <c r="M208" s="68" t="e">
        <f t="shared" si="22"/>
        <v>#REF!</v>
      </c>
      <c r="AC208" s="440" t="s">
        <v>3100</v>
      </c>
      <c r="AD208" s="441" t="s">
        <v>831</v>
      </c>
      <c r="AE208" s="442">
        <v>0.15</v>
      </c>
      <c r="AF208" s="443">
        <v>1393</v>
      </c>
    </row>
    <row r="209" spans="1:32" ht="22.2" thickBot="1">
      <c r="A209" s="24" t="e">
        <f t="shared" si="19"/>
        <v>#REF!</v>
      </c>
      <c r="B209" s="243" t="str">
        <f t="shared" si="23"/>
        <v>FIRSTENERGY CORP</v>
      </c>
      <c r="C209" s="25" t="str">
        <f t="shared" si="24"/>
        <v>FE UN</v>
      </c>
      <c r="D209" s="25">
        <v>1</v>
      </c>
      <c r="E209" s="6" t="e">
        <f xml:space="preserve"> [2]!'FDX.US-PreClose'</f>
        <v>#REF!</v>
      </c>
      <c r="F209" s="78">
        <f t="shared" si="25"/>
        <v>2935</v>
      </c>
      <c r="G209" s="49" t="e">
        <f t="shared" si="26"/>
        <v>#REF!</v>
      </c>
      <c r="H209" s="6" t="e">
        <f xml:space="preserve"> [2]!'FDX.US-Price'</f>
        <v>#REF!</v>
      </c>
      <c r="I209" s="6" t="e">
        <f xml:space="preserve"> [2]!'FDX.US-BestBid1'</f>
        <v>#REF!</v>
      </c>
      <c r="J209" s="6" t="e">
        <f xml:space="preserve"> [2]!'FDX.US-BestAsk1'</f>
        <v>#REF!</v>
      </c>
      <c r="K209" s="65" t="e">
        <f t="shared" si="20"/>
        <v>#REF!</v>
      </c>
      <c r="L209" s="65" t="e">
        <f t="shared" si="21"/>
        <v>#REF!</v>
      </c>
      <c r="M209" s="68" t="e">
        <f t="shared" si="22"/>
        <v>#REF!</v>
      </c>
      <c r="AC209" s="444" t="s">
        <v>3101</v>
      </c>
      <c r="AD209" s="445" t="s">
        <v>832</v>
      </c>
      <c r="AE209" s="446">
        <v>0.09</v>
      </c>
      <c r="AF209" s="447">
        <v>2935</v>
      </c>
    </row>
    <row r="210" spans="1:32" ht="33" thickBot="1">
      <c r="A210" s="24" t="e">
        <f t="shared" si="19"/>
        <v>#VALUE!</v>
      </c>
      <c r="B210" s="243" t="str">
        <f t="shared" si="23"/>
        <v>F5 NETWORKS INC</v>
      </c>
      <c r="C210" s="25" t="str">
        <f t="shared" si="24"/>
        <v>FFIV UQ</v>
      </c>
      <c r="D210" s="25">
        <v>1</v>
      </c>
      <c r="E210" s="6" t="str">
        <f xml:space="preserve"> [2]!'FE.US-PreClose'</f>
        <v>N/A</v>
      </c>
      <c r="F210" s="78">
        <f t="shared" si="25"/>
        <v>347</v>
      </c>
      <c r="G210" s="49" t="e">
        <f t="shared" si="26"/>
        <v>#VALUE!</v>
      </c>
      <c r="H210" s="6" t="str">
        <f xml:space="preserve"> [2]!'FE.US-Price'</f>
        <v>N/A</v>
      </c>
      <c r="I210" s="6" t="str">
        <f xml:space="preserve"> [2]!'FE.US-BestBid1'</f>
        <v>N/A</v>
      </c>
      <c r="J210" s="6" t="str">
        <f xml:space="preserve"> [2]!'FE.US-BestAsk1'</f>
        <v>N/A</v>
      </c>
      <c r="K210" s="65" t="e">
        <f t="shared" si="20"/>
        <v>#VALUE!</v>
      </c>
      <c r="L210" s="65" t="e">
        <f t="shared" si="21"/>
        <v>#VALUE!</v>
      </c>
      <c r="M210" s="68" t="e">
        <f t="shared" si="22"/>
        <v>#VALUE!</v>
      </c>
      <c r="AC210" s="440" t="s">
        <v>3102</v>
      </c>
      <c r="AD210" s="441" t="s">
        <v>833</v>
      </c>
      <c r="AE210" s="442">
        <v>0.03</v>
      </c>
      <c r="AF210" s="442">
        <v>347</v>
      </c>
    </row>
    <row r="211" spans="1:32" ht="33" thickBot="1">
      <c r="A211" s="24" t="e">
        <f t="shared" si="19"/>
        <v>#REF!</v>
      </c>
      <c r="B211" s="243" t="str">
        <f t="shared" si="23"/>
        <v>FIDELITY NATIONAL INFO SERV</v>
      </c>
      <c r="C211" s="25" t="str">
        <f t="shared" si="24"/>
        <v>FIS UN</v>
      </c>
      <c r="D211" s="25">
        <v>1</v>
      </c>
      <c r="E211" s="6" t="e">
        <f xml:space="preserve"> [2]!'FFIV.US-PreClose'</f>
        <v>#REF!</v>
      </c>
      <c r="F211" s="78">
        <f t="shared" si="25"/>
        <v>1882</v>
      </c>
      <c r="G211" s="49" t="e">
        <f t="shared" si="26"/>
        <v>#REF!</v>
      </c>
      <c r="H211" s="6" t="e">
        <f xml:space="preserve"> [2]!'FFIV.US-Price'</f>
        <v>#REF!</v>
      </c>
      <c r="I211" s="6" t="e">
        <f xml:space="preserve"> [2]!'FFIV.US-BestBid1'</f>
        <v>#REF!</v>
      </c>
      <c r="J211" s="6" t="e">
        <f xml:space="preserve"> [2]!'FFIV.US-BestAsk1'</f>
        <v>#REF!</v>
      </c>
      <c r="K211" s="65" t="e">
        <f t="shared" si="20"/>
        <v>#REF!</v>
      </c>
      <c r="L211" s="65" t="e">
        <f t="shared" si="21"/>
        <v>#REF!</v>
      </c>
      <c r="M211" s="68" t="e">
        <f t="shared" si="22"/>
        <v>#REF!</v>
      </c>
      <c r="AC211" s="444" t="s">
        <v>3103</v>
      </c>
      <c r="AD211" s="445" t="s">
        <v>834</v>
      </c>
      <c r="AE211" s="446">
        <v>0.16</v>
      </c>
      <c r="AF211" s="447">
        <v>1882</v>
      </c>
    </row>
    <row r="212" spans="1:32" ht="16.8" thickBot="1">
      <c r="A212" s="24" t="e">
        <f t="shared" si="19"/>
        <v>#REF!</v>
      </c>
      <c r="B212" s="243" t="str">
        <f t="shared" si="23"/>
        <v>FISERV INC</v>
      </c>
      <c r="C212" s="25" t="str">
        <f t="shared" si="24"/>
        <v>FISV UQ</v>
      </c>
      <c r="D212" s="25">
        <v>1</v>
      </c>
      <c r="E212" s="6" t="e">
        <f xml:space="preserve"> [2]!'FIS.US-PreClose'</f>
        <v>#REF!</v>
      </c>
      <c r="F212" s="78">
        <f t="shared" si="25"/>
        <v>2281</v>
      </c>
      <c r="G212" s="49" t="e">
        <f t="shared" si="26"/>
        <v>#REF!</v>
      </c>
      <c r="H212" s="6" t="e">
        <f xml:space="preserve"> [2]!'FIS.US-Price'</f>
        <v>#REF!</v>
      </c>
      <c r="I212" s="6" t="e">
        <f xml:space="preserve"> [2]!'FIS.US-BestBid1'</f>
        <v>#REF!</v>
      </c>
      <c r="J212" s="6" t="e">
        <f xml:space="preserve"> [2]!'FIS.US-BestAsk1'</f>
        <v>#REF!</v>
      </c>
      <c r="K212" s="65" t="e">
        <f t="shared" si="20"/>
        <v>#REF!</v>
      </c>
      <c r="L212" s="65" t="e">
        <f t="shared" si="21"/>
        <v>#REF!</v>
      </c>
      <c r="M212" s="68" t="e">
        <f t="shared" si="22"/>
        <v>#REF!</v>
      </c>
      <c r="AC212" s="440" t="s">
        <v>3104</v>
      </c>
      <c r="AD212" s="441" t="s">
        <v>835</v>
      </c>
      <c r="AE212" s="442">
        <v>0.14000000000000001</v>
      </c>
      <c r="AF212" s="443">
        <v>2281</v>
      </c>
    </row>
    <row r="213" spans="1:32" ht="33" thickBot="1">
      <c r="A213" s="24" t="e">
        <f t="shared" si="19"/>
        <v>#REF!</v>
      </c>
      <c r="B213" s="243" t="str">
        <f t="shared" si="23"/>
        <v>FIFTH THIRD BANCORP</v>
      </c>
      <c r="C213" s="25" t="str">
        <f t="shared" si="24"/>
        <v>FITB UQ</v>
      </c>
      <c r="D213" s="25">
        <v>1</v>
      </c>
      <c r="E213" s="6" t="e">
        <f xml:space="preserve"> [2]!'FISV.US-PreClose'</f>
        <v>#REF!</v>
      </c>
      <c r="F213" s="78">
        <f t="shared" si="25"/>
        <v>4227</v>
      </c>
      <c r="G213" s="49" t="e">
        <f t="shared" si="26"/>
        <v>#REF!</v>
      </c>
      <c r="H213" s="6" t="e">
        <f xml:space="preserve"> [2]!'FISV.US-Price'</f>
        <v>#REF!</v>
      </c>
      <c r="I213" s="6" t="e">
        <f xml:space="preserve"> [2]!'FISV.US-BestBid1'</f>
        <v>#REF!</v>
      </c>
      <c r="J213" s="6" t="e">
        <f xml:space="preserve"> [2]!'FISV.US-BestAsk1'</f>
        <v>#REF!</v>
      </c>
      <c r="K213" s="65" t="e">
        <f t="shared" si="20"/>
        <v>#REF!</v>
      </c>
      <c r="L213" s="65" t="e">
        <f t="shared" si="21"/>
        <v>#REF!</v>
      </c>
      <c r="M213" s="68" t="e">
        <f t="shared" si="22"/>
        <v>#REF!</v>
      </c>
      <c r="AC213" s="444" t="s">
        <v>3105</v>
      </c>
      <c r="AD213" s="445" t="s">
        <v>836</v>
      </c>
      <c r="AE213" s="446">
        <v>0.08</v>
      </c>
      <c r="AF213" s="447">
        <v>4227</v>
      </c>
    </row>
    <row r="214" spans="1:32" ht="33" thickBot="1">
      <c r="A214" s="24" t="e">
        <f t="shared" si="19"/>
        <v>#REF!</v>
      </c>
      <c r="B214" s="243" t="str">
        <f t="shared" si="23"/>
        <v>FOOT LOCKER INC</v>
      </c>
      <c r="C214" s="25" t="str">
        <f t="shared" si="24"/>
        <v>FL UN</v>
      </c>
      <c r="D214" s="25">
        <v>1</v>
      </c>
      <c r="E214" s="6" t="e">
        <f xml:space="preserve"> [2]!'FITB.US-PreClose'</f>
        <v>#REF!</v>
      </c>
      <c r="F214" s="78">
        <f t="shared" si="25"/>
        <v>653</v>
      </c>
      <c r="G214" s="49" t="e">
        <f t="shared" si="26"/>
        <v>#REF!</v>
      </c>
      <c r="H214" s="6" t="e">
        <f xml:space="preserve"> [2]!'FITB.US-Price'</f>
        <v>#REF!</v>
      </c>
      <c r="I214" s="6" t="e">
        <f xml:space="preserve"> [2]!'FITB.US-BestBid1'</f>
        <v>#REF!</v>
      </c>
      <c r="J214" s="6" t="e">
        <f xml:space="preserve"> [2]!'FITB.US-BestAsk1'</f>
        <v>#REF!</v>
      </c>
      <c r="K214" s="65" t="e">
        <f t="shared" si="20"/>
        <v>#REF!</v>
      </c>
      <c r="L214" s="65" t="e">
        <f t="shared" si="21"/>
        <v>#REF!</v>
      </c>
      <c r="M214" s="68" t="e">
        <f t="shared" si="22"/>
        <v>#REF!</v>
      </c>
      <c r="AC214" s="440" t="s">
        <v>3106</v>
      </c>
      <c r="AD214" s="441" t="s">
        <v>837</v>
      </c>
      <c r="AE214" s="442">
        <v>0.02</v>
      </c>
      <c r="AF214" s="442">
        <v>653</v>
      </c>
    </row>
    <row r="215" spans="1:32" ht="33" thickBot="1">
      <c r="A215" s="24" t="e">
        <f t="shared" ref="A215:A278" si="27">G215/$C$6</f>
        <v>#REF!</v>
      </c>
      <c r="B215" s="243" t="str">
        <f t="shared" si="23"/>
        <v>FLIR SYSTEMS INC</v>
      </c>
      <c r="C215" s="25" t="str">
        <f t="shared" si="24"/>
        <v>FLIR UQ</v>
      </c>
      <c r="D215" s="25">
        <v>1</v>
      </c>
      <c r="E215" s="6" t="e">
        <f xml:space="preserve"> [2]!'FL.US-PreClose'</f>
        <v>#REF!</v>
      </c>
      <c r="F215" s="78">
        <f t="shared" si="25"/>
        <v>787</v>
      </c>
      <c r="G215" s="49" t="e">
        <f t="shared" si="26"/>
        <v>#REF!</v>
      </c>
      <c r="H215" s="6" t="e">
        <f xml:space="preserve"> [2]!'FL.US-Price'</f>
        <v>#REF!</v>
      </c>
      <c r="I215" s="6" t="e">
        <f xml:space="preserve"> [2]!'FL.US-BestBid1'</f>
        <v>#REF!</v>
      </c>
      <c r="J215" s="6" t="e">
        <f xml:space="preserve"> [2]!'FL.US-BestAsk1'</f>
        <v>#REF!</v>
      </c>
      <c r="K215" s="65" t="e">
        <f t="shared" ref="K215:K278" si="28">IF(ISNUMBER(H215)=TRUE,H215*F215*D215,E215*F215*D215)*$N$2</f>
        <v>#REF!</v>
      </c>
      <c r="L215" s="65" t="e">
        <f t="shared" ref="L215:L278" si="29">IF(ISNUMBER(I215)=TRUE,I215*F215*D215,E215*F215*D215)*$N$2</f>
        <v>#REF!</v>
      </c>
      <c r="M215" s="68" t="e">
        <f t="shared" ref="M215:M278" si="30">IF(ISNUMBER(J215)=TRUE,J215*F215*D215,E215*F215*D215)*$N$2</f>
        <v>#REF!</v>
      </c>
      <c r="AC215" s="444" t="s">
        <v>3107</v>
      </c>
      <c r="AD215" s="445" t="s">
        <v>838</v>
      </c>
      <c r="AE215" s="446">
        <v>0.03</v>
      </c>
      <c r="AF215" s="446">
        <v>787</v>
      </c>
    </row>
    <row r="216" spans="1:32" ht="22.2" thickBot="1">
      <c r="A216" s="24" t="e">
        <f t="shared" si="27"/>
        <v>#REF!</v>
      </c>
      <c r="B216" s="243" t="str">
        <f t="shared" si="23"/>
        <v>FLOWSERVE CORP</v>
      </c>
      <c r="C216" s="25" t="str">
        <f t="shared" si="24"/>
        <v>FLS UN</v>
      </c>
      <c r="D216" s="25">
        <v>1</v>
      </c>
      <c r="E216" s="6" t="e">
        <f xml:space="preserve"> [2]!'FLIR.US-PreClose'</f>
        <v>#REF!</v>
      </c>
      <c r="F216" s="78">
        <f t="shared" si="25"/>
        <v>762</v>
      </c>
      <c r="G216" s="49" t="e">
        <f t="shared" si="26"/>
        <v>#REF!</v>
      </c>
      <c r="H216" s="6" t="e">
        <f xml:space="preserve"> [2]!'FLIR.US-Price'</f>
        <v>#REF!</v>
      </c>
      <c r="I216" s="6" t="e">
        <f xml:space="preserve"> [2]!'FLIR.US-BestBid1'</f>
        <v>#REF!</v>
      </c>
      <c r="J216" s="6" t="e">
        <f xml:space="preserve"> [2]!'FLIR.US-BestAsk1'</f>
        <v>#REF!</v>
      </c>
      <c r="K216" s="65" t="e">
        <f t="shared" si="28"/>
        <v>#REF!</v>
      </c>
      <c r="L216" s="65" t="e">
        <f t="shared" si="29"/>
        <v>#REF!</v>
      </c>
      <c r="M216" s="68" t="e">
        <f t="shared" si="30"/>
        <v>#REF!</v>
      </c>
      <c r="AC216" s="440" t="s">
        <v>3108</v>
      </c>
      <c r="AD216" s="441" t="s">
        <v>839</v>
      </c>
      <c r="AE216" s="442">
        <v>0.03</v>
      </c>
      <c r="AF216" s="442">
        <v>762</v>
      </c>
    </row>
    <row r="217" spans="1:32" ht="33" thickBot="1">
      <c r="A217" s="24" t="e">
        <f t="shared" si="27"/>
        <v>#REF!</v>
      </c>
      <c r="B217" s="243" t="str">
        <f t="shared" ref="B217:B280" si="31">AD217</f>
        <v>FLEETCOR TECHNOLOGIES INC</v>
      </c>
      <c r="C217" s="25" t="str">
        <f t="shared" ref="C217:C280" si="32">AC217</f>
        <v>FLT UN</v>
      </c>
      <c r="D217" s="25">
        <v>1</v>
      </c>
      <c r="E217" s="6" t="e">
        <f xml:space="preserve"> [2]!'FLR.US-PreClose'</f>
        <v>#REF!</v>
      </c>
      <c r="F217" s="78">
        <f t="shared" ref="F217:F280" si="33">VLOOKUP($C217,$AC$24:$AF$550,4,FALSE)</f>
        <v>501</v>
      </c>
      <c r="G217" s="49" t="e">
        <f t="shared" ref="G217:G280" si="34">D217*E217*F217*$O$2</f>
        <v>#REF!</v>
      </c>
      <c r="H217" s="6" t="e">
        <f xml:space="preserve"> [2]!'FLR.US-Price'</f>
        <v>#REF!</v>
      </c>
      <c r="I217" s="6" t="e">
        <f xml:space="preserve"> [2]!'FLR.US-BestBid1'</f>
        <v>#REF!</v>
      </c>
      <c r="J217" s="6" t="e">
        <f xml:space="preserve"> [2]!'FLR.US-BestAsk1'</f>
        <v>#REF!</v>
      </c>
      <c r="K217" s="65" t="e">
        <f t="shared" si="28"/>
        <v>#REF!</v>
      </c>
      <c r="L217" s="65" t="e">
        <f t="shared" si="29"/>
        <v>#REF!</v>
      </c>
      <c r="M217" s="68" t="e">
        <f t="shared" si="30"/>
        <v>#REF!</v>
      </c>
      <c r="AC217" s="444" t="s">
        <v>3109</v>
      </c>
      <c r="AD217" s="445" t="s">
        <v>3110</v>
      </c>
      <c r="AE217" s="446">
        <v>0.1</v>
      </c>
      <c r="AF217" s="446">
        <v>501</v>
      </c>
    </row>
    <row r="218" spans="1:32" ht="16.8" thickBot="1">
      <c r="A218" s="24" t="e">
        <f t="shared" si="27"/>
        <v>#REF!</v>
      </c>
      <c r="B218" s="243" t="str">
        <f t="shared" si="31"/>
        <v>FMC CORP</v>
      </c>
      <c r="C218" s="25" t="str">
        <f t="shared" si="32"/>
        <v>FMC UN</v>
      </c>
      <c r="D218" s="25">
        <v>1</v>
      </c>
      <c r="E218" s="6" t="e">
        <f xml:space="preserve"> [2]!'FLS.US-PreClose'</f>
        <v>#REF!</v>
      </c>
      <c r="F218" s="78">
        <f t="shared" si="33"/>
        <v>765</v>
      </c>
      <c r="G218" s="49" t="e">
        <f t="shared" si="34"/>
        <v>#REF!</v>
      </c>
      <c r="H218" s="6" t="e">
        <f xml:space="preserve"> [2]!'FLS.US-Price'</f>
        <v>#REF!</v>
      </c>
      <c r="I218" s="6" t="e">
        <f xml:space="preserve"> [2]!'FLS.US-BestBid1'</f>
        <v>#REF!</v>
      </c>
      <c r="J218" s="6" t="e">
        <f xml:space="preserve"> [2]!'FLS.US-BestAsk1'</f>
        <v>#REF!</v>
      </c>
      <c r="K218" s="65" t="e">
        <f t="shared" si="28"/>
        <v>#REF!</v>
      </c>
      <c r="L218" s="65" t="e">
        <f t="shared" si="29"/>
        <v>#REF!</v>
      </c>
      <c r="M218" s="68" t="e">
        <f t="shared" si="30"/>
        <v>#REF!</v>
      </c>
      <c r="AC218" s="440" t="s">
        <v>3111</v>
      </c>
      <c r="AD218" s="441" t="s">
        <v>840</v>
      </c>
      <c r="AE218" s="442">
        <v>0.04</v>
      </c>
      <c r="AF218" s="442">
        <v>765</v>
      </c>
    </row>
    <row r="219" spans="1:32" ht="22.2" thickBot="1">
      <c r="A219" s="24" t="e">
        <f t="shared" si="27"/>
        <v>#REF!</v>
      </c>
      <c r="B219" s="243" t="str">
        <f t="shared" si="31"/>
        <v>FOX CORP - CLASS B</v>
      </c>
      <c r="C219" s="25" t="str">
        <f t="shared" si="32"/>
        <v>FOX UQ</v>
      </c>
      <c r="D219" s="25">
        <v>1</v>
      </c>
      <c r="E219" s="6" t="e">
        <f xml:space="preserve"> [2]!'FMC.US-PreClose'</f>
        <v>#REF!</v>
      </c>
      <c r="F219" s="78">
        <f t="shared" si="33"/>
        <v>944</v>
      </c>
      <c r="G219" s="49" t="e">
        <f t="shared" si="34"/>
        <v>#REF!</v>
      </c>
      <c r="H219" s="6" t="e">
        <f xml:space="preserve"> [2]!'FMC.US-Price'</f>
        <v>#REF!</v>
      </c>
      <c r="I219" s="6" t="e">
        <f xml:space="preserve"> [2]!'FMC.US-BestBid1'</f>
        <v>#REF!</v>
      </c>
      <c r="J219" s="6" t="e">
        <f xml:space="preserve"> [2]!'FMC.US-BestAsk1'</f>
        <v>#REF!</v>
      </c>
      <c r="K219" s="65" t="e">
        <f t="shared" si="28"/>
        <v>#REF!</v>
      </c>
      <c r="L219" s="65" t="e">
        <f t="shared" si="29"/>
        <v>#REF!</v>
      </c>
      <c r="M219" s="68" t="e">
        <f t="shared" si="30"/>
        <v>#REF!</v>
      </c>
      <c r="AC219" s="444" t="s">
        <v>3112</v>
      </c>
      <c r="AD219" s="445" t="s">
        <v>3113</v>
      </c>
      <c r="AE219" s="446">
        <v>0.02</v>
      </c>
      <c r="AF219" s="446">
        <v>944</v>
      </c>
    </row>
    <row r="220" spans="1:32" ht="22.2" thickBot="1">
      <c r="A220" s="24" t="e">
        <f t="shared" si="27"/>
        <v>#REF!</v>
      </c>
      <c r="B220" s="243" t="str">
        <f t="shared" si="31"/>
        <v>FOX CORP - CLASS A</v>
      </c>
      <c r="C220" s="25" t="str">
        <f t="shared" si="32"/>
        <v>FOXA UQ</v>
      </c>
      <c r="D220" s="25">
        <v>1</v>
      </c>
      <c r="E220" s="6" t="e">
        <f xml:space="preserve"> [2]!'FOX.US-PreClose'</f>
        <v>#REF!</v>
      </c>
      <c r="F220" s="78">
        <f t="shared" si="33"/>
        <v>2060</v>
      </c>
      <c r="G220" s="49" t="e">
        <f t="shared" si="34"/>
        <v>#REF!</v>
      </c>
      <c r="H220" s="6" t="e">
        <f xml:space="preserve"> [2]!'FOX.US-Price'</f>
        <v>#REF!</v>
      </c>
      <c r="I220" s="6" t="e">
        <f xml:space="preserve"> [2]!'FOX.US-BestBid1'</f>
        <v>#REF!</v>
      </c>
      <c r="J220" s="6" t="e">
        <f xml:space="preserve"> [2]!'FOX.US-BestAsk1'</f>
        <v>#REF!</v>
      </c>
      <c r="K220" s="65" t="e">
        <f t="shared" si="28"/>
        <v>#REF!</v>
      </c>
      <c r="L220" s="65" t="e">
        <f t="shared" si="29"/>
        <v>#REF!</v>
      </c>
      <c r="M220" s="68" t="e">
        <f t="shared" si="30"/>
        <v>#REF!</v>
      </c>
      <c r="AC220" s="440" t="s">
        <v>3114</v>
      </c>
      <c r="AD220" s="441" t="s">
        <v>3115</v>
      </c>
      <c r="AE220" s="442">
        <v>0.05</v>
      </c>
      <c r="AF220" s="443">
        <v>2060</v>
      </c>
    </row>
    <row r="221" spans="1:32" ht="33" thickBot="1">
      <c r="A221" s="24" t="e">
        <f t="shared" si="27"/>
        <v>#REF!</v>
      </c>
      <c r="B221" s="243" t="str">
        <f t="shared" si="31"/>
        <v>FIRST REPUBLIC BANK/CA</v>
      </c>
      <c r="C221" s="25" t="str">
        <f t="shared" si="32"/>
        <v>FRC UN</v>
      </c>
      <c r="D221" s="25">
        <v>1</v>
      </c>
      <c r="E221" s="6" t="e">
        <f xml:space="preserve"> [2]!'FOXA.US-PreClose'</f>
        <v>#REF!</v>
      </c>
      <c r="F221" s="78">
        <f t="shared" si="33"/>
        <v>958</v>
      </c>
      <c r="G221" s="49" t="e">
        <f t="shared" si="34"/>
        <v>#REF!</v>
      </c>
      <c r="H221" s="6" t="e">
        <f xml:space="preserve"> [2]!'FOXA.US-Price'</f>
        <v>#REF!</v>
      </c>
      <c r="I221" s="6" t="e">
        <f xml:space="preserve"> [2]!'FOXA.US-BestBid1'</f>
        <v>#REF!</v>
      </c>
      <c r="J221" s="6" t="e">
        <f xml:space="preserve"> [2]!'FOXA.US-BestAsk1'</f>
        <v>#REF!</v>
      </c>
      <c r="K221" s="65" t="e">
        <f t="shared" si="28"/>
        <v>#REF!</v>
      </c>
      <c r="L221" s="65" t="e">
        <f t="shared" si="29"/>
        <v>#REF!</v>
      </c>
      <c r="M221" s="68" t="e">
        <f t="shared" si="30"/>
        <v>#REF!</v>
      </c>
      <c r="AC221" s="444" t="s">
        <v>3116</v>
      </c>
      <c r="AD221" s="445" t="s">
        <v>3117</v>
      </c>
      <c r="AE221" s="446">
        <v>0.06</v>
      </c>
      <c r="AF221" s="446">
        <v>958</v>
      </c>
    </row>
    <row r="222" spans="1:32" ht="43.8" thickBot="1">
      <c r="A222" s="24" t="e">
        <f t="shared" si="27"/>
        <v>#REF!</v>
      </c>
      <c r="B222" s="243" t="str">
        <f t="shared" si="31"/>
        <v>FEDERAL REALTY INVS TRUST</v>
      </c>
      <c r="C222" s="25" t="str">
        <f t="shared" si="32"/>
        <v>FRT UN</v>
      </c>
      <c r="D222" s="25">
        <v>1</v>
      </c>
      <c r="E222" s="6" t="e">
        <f xml:space="preserve"> [2]!'FRT.US-PreClose'</f>
        <v>#REF!</v>
      </c>
      <c r="F222" s="78">
        <f t="shared" si="33"/>
        <v>435</v>
      </c>
      <c r="G222" s="49" t="e">
        <f t="shared" si="34"/>
        <v>#REF!</v>
      </c>
      <c r="H222" s="6" t="e">
        <f xml:space="preserve"> [2]!'FRT.US-Price'</f>
        <v>#REF!</v>
      </c>
      <c r="I222" s="6" t="e">
        <f xml:space="preserve"> [2]!'FRT.US-BestBid1'</f>
        <v>#REF!</v>
      </c>
      <c r="J222" s="6" t="e">
        <f xml:space="preserve"> [2]!'FRT.US-BestAsk1'</f>
        <v>#REF!</v>
      </c>
      <c r="K222" s="65" t="e">
        <f t="shared" si="28"/>
        <v>#REF!</v>
      </c>
      <c r="L222" s="65" t="e">
        <f t="shared" si="29"/>
        <v>#REF!</v>
      </c>
      <c r="M222" s="68" t="e">
        <f t="shared" si="30"/>
        <v>#REF!</v>
      </c>
      <c r="AC222" s="440" t="s">
        <v>3118</v>
      </c>
      <c r="AD222" s="441" t="s">
        <v>841</v>
      </c>
      <c r="AE222" s="442">
        <v>0.04</v>
      </c>
      <c r="AF222" s="442">
        <v>435</v>
      </c>
    </row>
    <row r="223" spans="1:32" ht="22.2" thickBot="1">
      <c r="A223" s="24" t="e">
        <f t="shared" si="27"/>
        <v>#REF!</v>
      </c>
      <c r="B223" s="243" t="str">
        <f t="shared" si="31"/>
        <v>TECHNIPFMC PLC</v>
      </c>
      <c r="C223" s="25" t="str">
        <f t="shared" si="32"/>
        <v>FTI UN</v>
      </c>
      <c r="D223" s="25">
        <v>1</v>
      </c>
      <c r="E223" s="6" t="e">
        <f xml:space="preserve"> [2]!'FTI.US-PreClose'</f>
        <v>#REF!</v>
      </c>
      <c r="F223" s="78">
        <f t="shared" si="33"/>
        <v>2448</v>
      </c>
      <c r="G223" s="49" t="e">
        <f t="shared" si="34"/>
        <v>#REF!</v>
      </c>
      <c r="H223" s="6" t="e">
        <f xml:space="preserve"> [2]!'FTI.US-Price'</f>
        <v>#REF!</v>
      </c>
      <c r="I223" s="6" t="e">
        <f xml:space="preserve"> [2]!'FTI.US-BestBid1'</f>
        <v>#REF!</v>
      </c>
      <c r="J223" s="6" t="e">
        <f xml:space="preserve"> [2]!'FTI.US-BestAsk1'</f>
        <v>#REF!</v>
      </c>
      <c r="K223" s="65" t="e">
        <f t="shared" si="28"/>
        <v>#REF!</v>
      </c>
      <c r="L223" s="65" t="e">
        <f t="shared" si="29"/>
        <v>#REF!</v>
      </c>
      <c r="M223" s="68" t="e">
        <f t="shared" si="30"/>
        <v>#REF!</v>
      </c>
      <c r="AC223" s="444" t="s">
        <v>3119</v>
      </c>
      <c r="AD223" s="445" t="s">
        <v>842</v>
      </c>
      <c r="AE223" s="446">
        <v>0.04</v>
      </c>
      <c r="AF223" s="447">
        <v>2448</v>
      </c>
    </row>
    <row r="224" spans="1:32" ht="22.2" thickBot="1">
      <c r="A224" s="24" t="e">
        <f t="shared" si="27"/>
        <v>#REF!</v>
      </c>
      <c r="B224" s="243" t="str">
        <f t="shared" si="31"/>
        <v>FORTINET INC</v>
      </c>
      <c r="C224" s="25" t="str">
        <f t="shared" si="32"/>
        <v>FTNT UQ</v>
      </c>
      <c r="D224" s="25">
        <v>1</v>
      </c>
      <c r="E224" s="6" t="e">
        <f xml:space="preserve"> [2]!'FTV.US-PreClose'</f>
        <v>#REF!</v>
      </c>
      <c r="F224" s="78">
        <f t="shared" si="33"/>
        <v>844</v>
      </c>
      <c r="G224" s="49" t="e">
        <f t="shared" si="34"/>
        <v>#REF!</v>
      </c>
      <c r="H224" s="6" t="e">
        <f xml:space="preserve"> [2]!'FTV.US-Price'</f>
        <v>#REF!</v>
      </c>
      <c r="I224" s="6" t="e">
        <f xml:space="preserve"> [2]!'FTV.US-BestBid1'</f>
        <v>#REF!</v>
      </c>
      <c r="J224" s="6" t="e">
        <f xml:space="preserve"> [2]!'FTV.US-BestAsk1'</f>
        <v>#REF!</v>
      </c>
      <c r="K224" s="65" t="e">
        <f t="shared" si="28"/>
        <v>#REF!</v>
      </c>
      <c r="L224" s="65" t="e">
        <f t="shared" si="29"/>
        <v>#REF!</v>
      </c>
      <c r="M224" s="68" t="e">
        <f t="shared" si="30"/>
        <v>#REF!</v>
      </c>
      <c r="AC224" s="440" t="s">
        <v>3120</v>
      </c>
      <c r="AD224" s="441" t="s">
        <v>3121</v>
      </c>
      <c r="AE224" s="442">
        <v>0.05</v>
      </c>
      <c r="AF224" s="442">
        <v>844</v>
      </c>
    </row>
    <row r="225" spans="1:32" ht="22.2" thickBot="1">
      <c r="A225" s="24" t="e">
        <f t="shared" si="27"/>
        <v>#REF!</v>
      </c>
      <c r="B225" s="243" t="str">
        <f t="shared" si="31"/>
        <v>FORTIVE CORP</v>
      </c>
      <c r="C225" s="25" t="str">
        <f t="shared" si="32"/>
        <v>FTV UN</v>
      </c>
      <c r="D225" s="25">
        <v>1</v>
      </c>
      <c r="E225" s="6" t="e">
        <f xml:space="preserve"> [2]!'GD.US-PreClose'</f>
        <v>#REF!</v>
      </c>
      <c r="F225" s="78">
        <f t="shared" si="33"/>
        <v>1714</v>
      </c>
      <c r="G225" s="49" t="e">
        <f t="shared" si="34"/>
        <v>#REF!</v>
      </c>
      <c r="H225" s="6" t="e">
        <f xml:space="preserve"> [2]!'GD.US-Price'</f>
        <v>#REF!</v>
      </c>
      <c r="I225" s="6" t="e">
        <f xml:space="preserve"> [2]!'GD.US-BestBid1'</f>
        <v>#REF!</v>
      </c>
      <c r="J225" s="6" t="e">
        <f xml:space="preserve"> [2]!'GD.US-BestAsk1'</f>
        <v>#REF!</v>
      </c>
      <c r="K225" s="65" t="e">
        <f t="shared" si="28"/>
        <v>#REF!</v>
      </c>
      <c r="L225" s="65" t="e">
        <f t="shared" si="29"/>
        <v>#REF!</v>
      </c>
      <c r="M225" s="68" t="e">
        <f t="shared" si="30"/>
        <v>#REF!</v>
      </c>
      <c r="AC225" s="444" t="s">
        <v>3122</v>
      </c>
      <c r="AD225" s="445" t="s">
        <v>843</v>
      </c>
      <c r="AE225" s="446">
        <v>0.09</v>
      </c>
      <c r="AF225" s="447">
        <v>1714</v>
      </c>
    </row>
    <row r="226" spans="1:32" ht="33" thickBot="1">
      <c r="A226" s="24" t="e">
        <f t="shared" si="27"/>
        <v>#VALUE!</v>
      </c>
      <c r="B226" s="243" t="str">
        <f t="shared" si="31"/>
        <v>GENERAL DYNAMICS CORP</v>
      </c>
      <c r="C226" s="25" t="str">
        <f t="shared" si="32"/>
        <v>GD UN</v>
      </c>
      <c r="D226" s="25">
        <v>1</v>
      </c>
      <c r="E226" s="6" t="str">
        <f xml:space="preserve"> [2]!'GE.US-PreClose'</f>
        <v>N/A</v>
      </c>
      <c r="F226" s="78">
        <f t="shared" si="33"/>
        <v>1578</v>
      </c>
      <c r="G226" s="49" t="e">
        <f t="shared" si="34"/>
        <v>#VALUE!</v>
      </c>
      <c r="H226" s="6" t="str">
        <f xml:space="preserve"> [2]!'GE.US-Price'</f>
        <v>N/A</v>
      </c>
      <c r="I226" s="6" t="str">
        <f xml:space="preserve"> [2]!'GE.US-BestBid1'</f>
        <v>N/A</v>
      </c>
      <c r="J226" s="6" t="str">
        <f xml:space="preserve"> [2]!'GE.US-BestAsk1'</f>
        <v>N/A</v>
      </c>
      <c r="K226" s="65" t="e">
        <f t="shared" si="28"/>
        <v>#VALUE!</v>
      </c>
      <c r="L226" s="65" t="e">
        <f t="shared" si="29"/>
        <v>#VALUE!</v>
      </c>
      <c r="M226" s="68" t="e">
        <f t="shared" si="30"/>
        <v>#VALUE!</v>
      </c>
      <c r="AC226" s="440" t="s">
        <v>3123</v>
      </c>
      <c r="AD226" s="441" t="s">
        <v>844</v>
      </c>
      <c r="AE226" s="442">
        <v>0.19</v>
      </c>
      <c r="AF226" s="443">
        <v>1578</v>
      </c>
    </row>
    <row r="227" spans="1:32" ht="33" thickBot="1">
      <c r="A227" s="24" t="e">
        <f t="shared" si="27"/>
        <v>#REF!</v>
      </c>
      <c r="B227" s="243" t="str">
        <f t="shared" si="31"/>
        <v>GENERAL ELECTRIC CO</v>
      </c>
      <c r="C227" s="25" t="str">
        <f t="shared" si="32"/>
        <v>GE UN</v>
      </c>
      <c r="D227" s="25">
        <v>1</v>
      </c>
      <c r="E227" s="6" t="e">
        <f xml:space="preserve"> [2]!'GGP.US-PreClose'</f>
        <v>#REF!</v>
      </c>
      <c r="F227" s="78">
        <f t="shared" si="33"/>
        <v>50689</v>
      </c>
      <c r="G227" s="49" t="e">
        <f t="shared" si="34"/>
        <v>#REF!</v>
      </c>
      <c r="H227" s="6" t="e">
        <f xml:space="preserve"> [2]!'GGP.US-Price'</f>
        <v>#REF!</v>
      </c>
      <c r="I227" s="6" t="e">
        <f xml:space="preserve"> [2]!'GGP.US-BestBid1'</f>
        <v>#REF!</v>
      </c>
      <c r="J227" s="6" t="e">
        <f xml:space="preserve"> [2]!'GGP.US-BestAsk1'</f>
        <v>#REF!</v>
      </c>
      <c r="K227" s="65" t="e">
        <f t="shared" si="28"/>
        <v>#REF!</v>
      </c>
      <c r="L227" s="65" t="e">
        <f t="shared" si="29"/>
        <v>#REF!</v>
      </c>
      <c r="M227" s="68" t="e">
        <f t="shared" si="30"/>
        <v>#REF!</v>
      </c>
      <c r="AC227" s="444" t="s">
        <v>3124</v>
      </c>
      <c r="AD227" s="445" t="s">
        <v>845</v>
      </c>
      <c r="AE227" s="446">
        <v>0.34</v>
      </c>
      <c r="AF227" s="447">
        <v>50689</v>
      </c>
    </row>
    <row r="228" spans="1:32" ht="33" thickBot="1">
      <c r="A228" s="24" t="e">
        <f t="shared" si="27"/>
        <v>#REF!</v>
      </c>
      <c r="B228" s="243" t="str">
        <f t="shared" si="31"/>
        <v>GILEAD SCIENCES INC</v>
      </c>
      <c r="C228" s="25" t="str">
        <f t="shared" si="32"/>
        <v>GILD UQ</v>
      </c>
      <c r="D228" s="25">
        <v>1</v>
      </c>
      <c r="E228" s="6" t="e">
        <f xml:space="preserve"> [2]!'GILD.US-PreClose'</f>
        <v>#REF!</v>
      </c>
      <c r="F228" s="78">
        <f t="shared" si="33"/>
        <v>7391</v>
      </c>
      <c r="G228" s="49" t="e">
        <f t="shared" si="34"/>
        <v>#REF!</v>
      </c>
      <c r="H228" s="6" t="e">
        <f xml:space="preserve"> [2]!'GILD.US-Price'</f>
        <v>#REF!</v>
      </c>
      <c r="I228" s="6" t="e">
        <f xml:space="preserve"> [2]!'GILD.US-BestBid1'</f>
        <v>#REF!</v>
      </c>
      <c r="J228" s="6" t="e">
        <f xml:space="preserve"> [2]!'GILD.US-BestAsk1'</f>
        <v>#REF!</v>
      </c>
      <c r="K228" s="65" t="e">
        <f t="shared" si="28"/>
        <v>#REF!</v>
      </c>
      <c r="L228" s="65" t="e">
        <f t="shared" si="29"/>
        <v>#REF!</v>
      </c>
      <c r="M228" s="68" t="e">
        <f t="shared" si="30"/>
        <v>#REF!</v>
      </c>
      <c r="AC228" s="440" t="s">
        <v>3125</v>
      </c>
      <c r="AD228" s="441" t="s">
        <v>846</v>
      </c>
      <c r="AE228" s="442">
        <v>0.33</v>
      </c>
      <c r="AF228" s="443">
        <v>7391</v>
      </c>
    </row>
    <row r="229" spans="1:32" ht="22.2" thickBot="1">
      <c r="A229" s="24" t="e">
        <f t="shared" si="27"/>
        <v>#VALUE!</v>
      </c>
      <c r="B229" s="243" t="str">
        <f t="shared" si="31"/>
        <v>GENERAL MILLS INC</v>
      </c>
      <c r="C229" s="25" t="str">
        <f t="shared" si="32"/>
        <v>GIS UN</v>
      </c>
      <c r="D229" s="25">
        <v>1</v>
      </c>
      <c r="E229" s="6" t="str">
        <f xml:space="preserve"> [2]!'GIS.US-PreClose'</f>
        <v>N/A</v>
      </c>
      <c r="F229" s="78">
        <f t="shared" si="33"/>
        <v>3480</v>
      </c>
      <c r="G229" s="49" t="e">
        <f t="shared" si="34"/>
        <v>#VALUE!</v>
      </c>
      <c r="H229" s="6" t="str">
        <f xml:space="preserve"> [2]!'GIS.US-Price'</f>
        <v>N/A</v>
      </c>
      <c r="I229" s="6" t="str">
        <f xml:space="preserve"> [2]!'GIS.US-BestBid1'</f>
        <v>N/A</v>
      </c>
      <c r="J229" s="6" t="str">
        <f xml:space="preserve"> [2]!'GIS.US-BestAsk1'</f>
        <v>N/A</v>
      </c>
      <c r="K229" s="65" t="e">
        <f t="shared" si="28"/>
        <v>#VALUE!</v>
      </c>
      <c r="L229" s="65" t="e">
        <f t="shared" si="29"/>
        <v>#VALUE!</v>
      </c>
      <c r="M229" s="68" t="e">
        <f t="shared" si="30"/>
        <v>#VALUE!</v>
      </c>
      <c r="AC229" s="444" t="s">
        <v>3126</v>
      </c>
      <c r="AD229" s="445" t="s">
        <v>847</v>
      </c>
      <c r="AE229" s="446">
        <v>0.12</v>
      </c>
      <c r="AF229" s="447">
        <v>3480</v>
      </c>
    </row>
    <row r="230" spans="1:32" ht="22.2" thickBot="1">
      <c r="A230" s="24" t="e">
        <f t="shared" si="27"/>
        <v>#REF!</v>
      </c>
      <c r="B230" s="243" t="str">
        <f t="shared" si="31"/>
        <v>CORNING INC</v>
      </c>
      <c r="C230" s="25" t="str">
        <f t="shared" si="32"/>
        <v>GLW UN</v>
      </c>
      <c r="D230" s="25">
        <v>1</v>
      </c>
      <c r="E230" s="6" t="e">
        <f xml:space="preserve"> [2]!'GLW.US-PreClose'</f>
        <v>#REF!</v>
      </c>
      <c r="F230" s="78">
        <f t="shared" si="33"/>
        <v>4561</v>
      </c>
      <c r="G230" s="49" t="e">
        <f t="shared" si="34"/>
        <v>#REF!</v>
      </c>
      <c r="H230" s="6" t="e">
        <f xml:space="preserve"> [2]!'GLW.US-Price'</f>
        <v>#REF!</v>
      </c>
      <c r="I230" s="6" t="e">
        <f xml:space="preserve"> [2]!'GLW.US-BestBid1'</f>
        <v>#REF!</v>
      </c>
      <c r="J230" s="6" t="e">
        <f xml:space="preserve"> [2]!'GLW.US-BestAsk1'</f>
        <v>#REF!</v>
      </c>
      <c r="K230" s="65" t="e">
        <f t="shared" si="28"/>
        <v>#REF!</v>
      </c>
      <c r="L230" s="65" t="e">
        <f t="shared" si="29"/>
        <v>#REF!</v>
      </c>
      <c r="M230" s="68" t="e">
        <f t="shared" si="30"/>
        <v>#REF!</v>
      </c>
      <c r="AC230" s="440" t="s">
        <v>3127</v>
      </c>
      <c r="AD230" s="441" t="s">
        <v>848</v>
      </c>
      <c r="AE230" s="442">
        <v>0.1</v>
      </c>
      <c r="AF230" s="443">
        <v>4561</v>
      </c>
    </row>
    <row r="231" spans="1:32" ht="33" thickBot="1">
      <c r="A231" s="24" t="e">
        <f t="shared" si="27"/>
        <v>#REF!</v>
      </c>
      <c r="B231" s="243" t="str">
        <f t="shared" si="31"/>
        <v>GENERAL MOTORS CO</v>
      </c>
      <c r="C231" s="25" t="str">
        <f t="shared" si="32"/>
        <v>GM UN</v>
      </c>
      <c r="D231" s="25">
        <v>1</v>
      </c>
      <c r="E231" s="6" t="e">
        <f xml:space="preserve"> [2]!'GM.US-PreClose'</f>
        <v>#REF!</v>
      </c>
      <c r="F231" s="78">
        <f t="shared" si="33"/>
        <v>7667</v>
      </c>
      <c r="G231" s="49" t="e">
        <f t="shared" si="34"/>
        <v>#REF!</v>
      </c>
      <c r="H231" s="6" t="e">
        <f xml:space="preserve"> [2]!'GM.US-Price'</f>
        <v>#REF!</v>
      </c>
      <c r="I231" s="6" t="e">
        <f xml:space="preserve"> [2]!'GM.US-BestBid1'</f>
        <v>#REF!</v>
      </c>
      <c r="J231" s="6" t="e">
        <f xml:space="preserve"> [2]!'GM.US-BestAsk1'</f>
        <v>#REF!</v>
      </c>
      <c r="K231" s="65" t="e">
        <f t="shared" si="28"/>
        <v>#REF!</v>
      </c>
      <c r="L231" s="65" t="e">
        <f t="shared" si="29"/>
        <v>#REF!</v>
      </c>
      <c r="M231" s="68" t="e">
        <f t="shared" si="30"/>
        <v>#REF!</v>
      </c>
      <c r="AC231" s="444" t="s">
        <v>3128</v>
      </c>
      <c r="AD231" s="445" t="s">
        <v>849</v>
      </c>
      <c r="AE231" s="446">
        <v>0.2</v>
      </c>
      <c r="AF231" s="447">
        <v>7667</v>
      </c>
    </row>
    <row r="232" spans="1:32" ht="22.2" thickBot="1">
      <c r="A232" s="24" t="e">
        <f t="shared" si="27"/>
        <v>#REF!</v>
      </c>
      <c r="B232" s="243" t="str">
        <f t="shared" si="31"/>
        <v>ALPHABET INC-CL C</v>
      </c>
      <c r="C232" s="25" t="str">
        <f t="shared" si="32"/>
        <v>GOOG UQ</v>
      </c>
      <c r="D232" s="25">
        <v>1</v>
      </c>
      <c r="E232" s="6" t="e">
        <f xml:space="preserve"> [2]!'GOOG.US-PreClose'</f>
        <v>#REF!</v>
      </c>
      <c r="F232" s="78">
        <f t="shared" si="33"/>
        <v>1781</v>
      </c>
      <c r="G232" s="49" t="e">
        <f t="shared" si="34"/>
        <v>#REF!</v>
      </c>
      <c r="H232" s="6" t="e">
        <f xml:space="preserve"> [2]!'GOOG.US-Price'</f>
        <v>#REF!</v>
      </c>
      <c r="I232" s="6" t="e">
        <f xml:space="preserve"> [2]!'GOOG.US-BestBid1'</f>
        <v>#REF!</v>
      </c>
      <c r="J232" s="6" t="e">
        <f xml:space="preserve"> [2]!'GOOG.US-BestAsk1'</f>
        <v>#REF!</v>
      </c>
      <c r="K232" s="65" t="e">
        <f t="shared" si="28"/>
        <v>#REF!</v>
      </c>
      <c r="L232" s="65" t="e">
        <f t="shared" si="29"/>
        <v>#REF!</v>
      </c>
      <c r="M232" s="68" t="e">
        <f t="shared" si="30"/>
        <v>#REF!</v>
      </c>
      <c r="AC232" s="440" t="s">
        <v>3129</v>
      </c>
      <c r="AD232" s="441" t="s">
        <v>850</v>
      </c>
      <c r="AE232" s="442">
        <v>1.36</v>
      </c>
      <c r="AF232" s="443">
        <v>1781</v>
      </c>
    </row>
    <row r="233" spans="1:32" ht="22.2" thickBot="1">
      <c r="A233" s="24" t="e">
        <f t="shared" si="27"/>
        <v>#REF!</v>
      </c>
      <c r="B233" s="243" t="str">
        <f t="shared" si="31"/>
        <v>ALPHABET INC-CL A</v>
      </c>
      <c r="C233" s="25" t="str">
        <f t="shared" si="32"/>
        <v>GOOGL UQ</v>
      </c>
      <c r="D233" s="25">
        <v>1</v>
      </c>
      <c r="E233" s="6" t="e">
        <f xml:space="preserve"> [2]!'GOOGL.US-PreClose'</f>
        <v>#REF!</v>
      </c>
      <c r="F233" s="78">
        <f t="shared" si="33"/>
        <v>1740</v>
      </c>
      <c r="G233" s="49" t="e">
        <f t="shared" si="34"/>
        <v>#REF!</v>
      </c>
      <c r="H233" s="6" t="e">
        <f xml:space="preserve"> [2]!'GOOGL.US-Price'</f>
        <v>#REF!</v>
      </c>
      <c r="I233" s="6" t="e">
        <f xml:space="preserve"> [2]!'GOOGL.US-BestBid1'</f>
        <v>#REF!</v>
      </c>
      <c r="J233" s="6" t="e">
        <f xml:space="preserve"> [2]!'GOOGL.US-BestAsk1'</f>
        <v>#REF!</v>
      </c>
      <c r="K233" s="65" t="e">
        <f t="shared" si="28"/>
        <v>#REF!</v>
      </c>
      <c r="L233" s="65" t="e">
        <f t="shared" si="29"/>
        <v>#REF!</v>
      </c>
      <c r="M233" s="68" t="e">
        <f t="shared" si="30"/>
        <v>#REF!</v>
      </c>
      <c r="AC233" s="444" t="s">
        <v>3130</v>
      </c>
      <c r="AD233" s="445" t="s">
        <v>851</v>
      </c>
      <c r="AE233" s="446">
        <v>1.33</v>
      </c>
      <c r="AF233" s="447">
        <v>1740</v>
      </c>
    </row>
    <row r="234" spans="1:32" ht="22.2" thickBot="1">
      <c r="A234" s="24" t="e">
        <f t="shared" si="27"/>
        <v>#REF!</v>
      </c>
      <c r="B234" s="243" t="str">
        <f t="shared" si="31"/>
        <v>GENUINE PARTS CO</v>
      </c>
      <c r="C234" s="25" t="str">
        <f t="shared" si="32"/>
        <v>GPC UN</v>
      </c>
      <c r="D234" s="25">
        <v>1</v>
      </c>
      <c r="E234" s="6" t="e">
        <f xml:space="preserve"> [2]!'GPC.US-PreClose'</f>
        <v>#REF!</v>
      </c>
      <c r="F234" s="78">
        <f t="shared" si="33"/>
        <v>849</v>
      </c>
      <c r="G234" s="49" t="e">
        <f t="shared" si="34"/>
        <v>#REF!</v>
      </c>
      <c r="H234" s="6" t="e">
        <f xml:space="preserve"> [2]!'GPC.US-Price'</f>
        <v>#REF!</v>
      </c>
      <c r="I234" s="6" t="e">
        <f xml:space="preserve"> [2]!'GPC.US-BestBid1'</f>
        <v>#REF!</v>
      </c>
      <c r="J234" s="6" t="e">
        <f xml:space="preserve"> [2]!'GPC.US-BestAsk1'</f>
        <v>#REF!</v>
      </c>
      <c r="K234" s="65" t="e">
        <f t="shared" si="28"/>
        <v>#REF!</v>
      </c>
      <c r="L234" s="65" t="e">
        <f t="shared" si="29"/>
        <v>#REF!</v>
      </c>
      <c r="M234" s="68" t="e">
        <f t="shared" si="30"/>
        <v>#REF!</v>
      </c>
      <c r="AC234" s="440" t="s">
        <v>3131</v>
      </c>
      <c r="AD234" s="441" t="s">
        <v>852</v>
      </c>
      <c r="AE234" s="442">
        <v>0.06</v>
      </c>
      <c r="AF234" s="442">
        <v>849</v>
      </c>
    </row>
    <row r="235" spans="1:32" ht="33" thickBot="1">
      <c r="A235" s="24" t="e">
        <f t="shared" si="27"/>
        <v>#REF!</v>
      </c>
      <c r="B235" s="243" t="str">
        <f t="shared" si="31"/>
        <v>GLOBAL PAYMENTS INC</v>
      </c>
      <c r="C235" s="25" t="str">
        <f t="shared" si="32"/>
        <v>GPN UN</v>
      </c>
      <c r="D235" s="25">
        <v>1</v>
      </c>
      <c r="E235" s="6" t="e">
        <f xml:space="preserve"> [2]!'GPN.US-PreClose'</f>
        <v>#REF!</v>
      </c>
      <c r="F235" s="78">
        <f t="shared" si="33"/>
        <v>911</v>
      </c>
      <c r="G235" s="49" t="e">
        <f t="shared" si="34"/>
        <v>#REF!</v>
      </c>
      <c r="H235" s="6" t="e">
        <f xml:space="preserve"> [2]!'GPN.US-Price'</f>
        <v>#REF!</v>
      </c>
      <c r="I235" s="6" t="e">
        <f xml:space="preserve"> [2]!'GPN.US-BestBid1'</f>
        <v>#REF!</v>
      </c>
      <c r="J235" s="6" t="e">
        <f xml:space="preserve"> [2]!'GPN.US-BestAsk1'</f>
        <v>#REF!</v>
      </c>
      <c r="K235" s="65" t="e">
        <f t="shared" si="28"/>
        <v>#REF!</v>
      </c>
      <c r="L235" s="65" t="e">
        <f t="shared" si="29"/>
        <v>#REF!</v>
      </c>
      <c r="M235" s="68" t="e">
        <f t="shared" si="30"/>
        <v>#REF!</v>
      </c>
      <c r="AC235" s="444" t="s">
        <v>3132</v>
      </c>
      <c r="AD235" s="445" t="s">
        <v>853</v>
      </c>
      <c r="AE235" s="446">
        <v>0.1</v>
      </c>
      <c r="AF235" s="446">
        <v>911</v>
      </c>
    </row>
    <row r="236" spans="1:32" ht="22.2" thickBot="1">
      <c r="A236" s="24" t="e">
        <f t="shared" si="27"/>
        <v>#REF!</v>
      </c>
      <c r="B236" s="243" t="str">
        <f t="shared" si="31"/>
        <v>GAP INC/THE</v>
      </c>
      <c r="C236" s="25" t="str">
        <f t="shared" si="32"/>
        <v>GPS UN</v>
      </c>
      <c r="D236" s="25">
        <v>1</v>
      </c>
      <c r="E236" s="6" t="e">
        <f xml:space="preserve"> [2]!'GPS.US-PreClose'</f>
        <v>#REF!</v>
      </c>
      <c r="F236" s="78">
        <f t="shared" si="33"/>
        <v>1230</v>
      </c>
      <c r="G236" s="49" t="e">
        <f t="shared" si="34"/>
        <v>#REF!</v>
      </c>
      <c r="H236" s="6" t="e">
        <f xml:space="preserve"> [2]!'GPS.US-Price'</f>
        <v>#REF!</v>
      </c>
      <c r="I236" s="6" t="e">
        <f xml:space="preserve"> [2]!'GPS.US-BestBid1'</f>
        <v>#REF!</v>
      </c>
      <c r="J236" s="6" t="e">
        <f xml:space="preserve"> [2]!'GPS.US-BestAsk1'</f>
        <v>#REF!</v>
      </c>
      <c r="K236" s="65" t="e">
        <f t="shared" si="28"/>
        <v>#REF!</v>
      </c>
      <c r="L236" s="65" t="e">
        <f t="shared" si="29"/>
        <v>#REF!</v>
      </c>
      <c r="M236" s="68" t="e">
        <f t="shared" si="30"/>
        <v>#REF!</v>
      </c>
      <c r="AC236" s="440" t="s">
        <v>3133</v>
      </c>
      <c r="AD236" s="441" t="s">
        <v>854</v>
      </c>
      <c r="AE236" s="442">
        <v>0.01</v>
      </c>
      <c r="AF236" s="443">
        <v>1230</v>
      </c>
    </row>
    <row r="237" spans="1:32" ht="22.2" thickBot="1">
      <c r="A237" s="24" t="e">
        <f t="shared" si="27"/>
        <v>#REF!</v>
      </c>
      <c r="B237" s="243" t="str">
        <f t="shared" si="31"/>
        <v>GARMIN LTD</v>
      </c>
      <c r="C237" s="25" t="str">
        <f t="shared" si="32"/>
        <v>GRMN UQ</v>
      </c>
      <c r="D237" s="25">
        <v>1</v>
      </c>
      <c r="E237" s="6" t="e">
        <f xml:space="preserve"> [2]!'GRMN.US-PreClose'</f>
        <v>#REF!</v>
      </c>
      <c r="F237" s="78">
        <f t="shared" si="33"/>
        <v>705</v>
      </c>
      <c r="G237" s="49" t="e">
        <f t="shared" si="34"/>
        <v>#REF!</v>
      </c>
      <c r="H237" s="6" t="e">
        <f xml:space="preserve"> [2]!'GRMN.US-Price'</f>
        <v>#REF!</v>
      </c>
      <c r="I237" s="6" t="e">
        <f xml:space="preserve"> [2]!'GRMN.US-BestBid1'</f>
        <v>#REF!</v>
      </c>
      <c r="J237" s="6" t="e">
        <f xml:space="preserve"> [2]!'GRMN.US-BestAsk1'</f>
        <v>#REF!</v>
      </c>
      <c r="K237" s="65" t="e">
        <f t="shared" si="28"/>
        <v>#REF!</v>
      </c>
      <c r="L237" s="65" t="e">
        <f t="shared" si="29"/>
        <v>#REF!</v>
      </c>
      <c r="M237" s="68" t="e">
        <f t="shared" si="30"/>
        <v>#REF!</v>
      </c>
      <c r="AC237" s="444" t="s">
        <v>3134</v>
      </c>
      <c r="AD237" s="445" t="s">
        <v>855</v>
      </c>
      <c r="AE237" s="446">
        <v>0.04</v>
      </c>
      <c r="AF237" s="446">
        <v>705</v>
      </c>
    </row>
    <row r="238" spans="1:32" ht="33" thickBot="1">
      <c r="A238" s="24" t="e">
        <f t="shared" si="27"/>
        <v>#VALUE!</v>
      </c>
      <c r="B238" s="243" t="str">
        <f t="shared" si="31"/>
        <v>GOLDMAN SACHS GROUP INC</v>
      </c>
      <c r="C238" s="25" t="str">
        <f t="shared" si="32"/>
        <v>GS UN</v>
      </c>
      <c r="D238" s="25">
        <v>1</v>
      </c>
      <c r="E238" s="6" t="str">
        <f xml:space="preserve"> [2]!'GS.US-PreClose'</f>
        <v>N/A</v>
      </c>
      <c r="F238" s="78">
        <f t="shared" si="33"/>
        <v>1978</v>
      </c>
      <c r="G238" s="49" t="e">
        <f t="shared" si="34"/>
        <v>#VALUE!</v>
      </c>
      <c r="H238" s="6" t="str">
        <f xml:space="preserve"> [2]!'GS.US-Price'</f>
        <v>N/A</v>
      </c>
      <c r="I238" s="6" t="str">
        <f xml:space="preserve"> [2]!'GS.US-BestBid1'</f>
        <v>N/A</v>
      </c>
      <c r="J238" s="6" t="str">
        <f xml:space="preserve"> [2]!'GS.US-BestAsk1'</f>
        <v>N/A</v>
      </c>
      <c r="K238" s="65" t="e">
        <f t="shared" si="28"/>
        <v>#VALUE!</v>
      </c>
      <c r="L238" s="65" t="e">
        <f t="shared" si="29"/>
        <v>#VALUE!</v>
      </c>
      <c r="M238" s="68" t="e">
        <f t="shared" si="30"/>
        <v>#VALUE!</v>
      </c>
      <c r="AC238" s="440" t="s">
        <v>3135</v>
      </c>
      <c r="AD238" s="441" t="s">
        <v>856</v>
      </c>
      <c r="AE238" s="442">
        <v>0.28000000000000003</v>
      </c>
      <c r="AF238" s="443">
        <v>1978</v>
      </c>
    </row>
    <row r="239" spans="1:32" ht="33" thickBot="1">
      <c r="A239" s="24" t="e">
        <f t="shared" si="27"/>
        <v>#REF!</v>
      </c>
      <c r="B239" s="243" t="str">
        <f t="shared" si="31"/>
        <v>WW GRAINGER INC</v>
      </c>
      <c r="C239" s="25" t="str">
        <f t="shared" si="32"/>
        <v>GWW UN</v>
      </c>
      <c r="D239" s="25">
        <v>1</v>
      </c>
      <c r="E239" s="6" t="e">
        <f xml:space="preserve"> [2]!'GT.US-PreClose'</f>
        <v>#REF!</v>
      </c>
      <c r="F239" s="78">
        <f t="shared" si="33"/>
        <v>261</v>
      </c>
      <c r="G239" s="49" t="e">
        <f t="shared" si="34"/>
        <v>#REF!</v>
      </c>
      <c r="H239" s="6" t="e">
        <f xml:space="preserve"> [2]!'GT.US-Price'</f>
        <v>#REF!</v>
      </c>
      <c r="I239" s="6" t="e">
        <f xml:space="preserve"> [2]!'GT.US-BestBid1'</f>
        <v>#REF!</v>
      </c>
      <c r="J239" s="6" t="e">
        <f xml:space="preserve"> [2]!'GT.US-BestAsk1'</f>
        <v>#REF!</v>
      </c>
      <c r="K239" s="65" t="e">
        <f t="shared" si="28"/>
        <v>#REF!</v>
      </c>
      <c r="L239" s="65" t="e">
        <f t="shared" si="29"/>
        <v>#REF!</v>
      </c>
      <c r="M239" s="68" t="e">
        <f t="shared" si="30"/>
        <v>#REF!</v>
      </c>
      <c r="AC239" s="444" t="s">
        <v>3136</v>
      </c>
      <c r="AD239" s="445" t="s">
        <v>857</v>
      </c>
      <c r="AE239" s="446">
        <v>0.05</v>
      </c>
      <c r="AF239" s="446">
        <v>261</v>
      </c>
    </row>
    <row r="240" spans="1:32" ht="22.2" thickBot="1">
      <c r="A240" s="24" t="e">
        <f t="shared" si="27"/>
        <v>#REF!</v>
      </c>
      <c r="B240" s="243" t="str">
        <f t="shared" si="31"/>
        <v>HALLIBURTON CO</v>
      </c>
      <c r="C240" s="25" t="str">
        <f t="shared" si="32"/>
        <v>HAL UN</v>
      </c>
      <c r="D240" s="25">
        <v>1</v>
      </c>
      <c r="E240" s="6" t="e">
        <f xml:space="preserve"> [2]!'GWW.US-PreClose'</f>
        <v>#REF!</v>
      </c>
      <c r="F240" s="78">
        <f t="shared" si="33"/>
        <v>5080</v>
      </c>
      <c r="G240" s="49" t="e">
        <f t="shared" si="34"/>
        <v>#REF!</v>
      </c>
      <c r="H240" s="6" t="e">
        <f xml:space="preserve"> [2]!'GWW.US-Price'</f>
        <v>#REF!</v>
      </c>
      <c r="I240" s="6" t="e">
        <f xml:space="preserve"> [2]!'GWW.US-BestBid1'</f>
        <v>#REF!</v>
      </c>
      <c r="J240" s="6" t="e">
        <f xml:space="preserve"> [2]!'GWW.US-BestAsk1'</f>
        <v>#REF!</v>
      </c>
      <c r="K240" s="65" t="e">
        <f t="shared" si="28"/>
        <v>#REF!</v>
      </c>
      <c r="L240" s="65" t="e">
        <f t="shared" si="29"/>
        <v>#REF!</v>
      </c>
      <c r="M240" s="68" t="e">
        <f t="shared" si="30"/>
        <v>#REF!</v>
      </c>
      <c r="AC240" s="440" t="s">
        <v>3137</v>
      </c>
      <c r="AD240" s="441" t="s">
        <v>858</v>
      </c>
      <c r="AE240" s="442">
        <v>0.08</v>
      </c>
      <c r="AF240" s="443">
        <v>5080</v>
      </c>
    </row>
    <row r="241" spans="1:32" ht="22.2" thickBot="1">
      <c r="A241" s="24" t="e">
        <f t="shared" si="27"/>
        <v>#REF!</v>
      </c>
      <c r="B241" s="243" t="str">
        <f t="shared" si="31"/>
        <v>HASBRO INC</v>
      </c>
      <c r="C241" s="25" t="str">
        <f t="shared" si="32"/>
        <v>HAS UQ</v>
      </c>
      <c r="D241" s="25">
        <v>1</v>
      </c>
      <c r="E241" s="6" t="e">
        <f xml:space="preserve"> [2]!'HAL.US-PreClose'</f>
        <v>#REF!</v>
      </c>
      <c r="F241" s="78">
        <f t="shared" si="33"/>
        <v>673</v>
      </c>
      <c r="G241" s="49" t="e">
        <f t="shared" si="34"/>
        <v>#REF!</v>
      </c>
      <c r="H241" s="6" t="e">
        <f xml:space="preserve"> [2]!'HAL.US-Price'</f>
        <v>#REF!</v>
      </c>
      <c r="I241" s="6" t="e">
        <f xml:space="preserve"> [2]!'HAL.US-BestBid1'</f>
        <v>#REF!</v>
      </c>
      <c r="J241" s="6" t="e">
        <f xml:space="preserve"> [2]!'HAL.US-BestAsk1'</f>
        <v>#REF!</v>
      </c>
      <c r="K241" s="65" t="e">
        <f t="shared" si="28"/>
        <v>#REF!</v>
      </c>
      <c r="L241" s="65" t="e">
        <f t="shared" si="29"/>
        <v>#REF!</v>
      </c>
      <c r="M241" s="68" t="e">
        <f t="shared" si="30"/>
        <v>#REF!</v>
      </c>
      <c r="AC241" s="444" t="s">
        <v>3138</v>
      </c>
      <c r="AD241" s="445" t="s">
        <v>859</v>
      </c>
      <c r="AE241" s="446">
        <v>0.05</v>
      </c>
      <c r="AF241" s="446">
        <v>673</v>
      </c>
    </row>
    <row r="242" spans="1:32" ht="43.8" thickBot="1">
      <c r="A242" s="24" t="e">
        <f t="shared" si="27"/>
        <v>#REF!</v>
      </c>
      <c r="B242" s="243" t="str">
        <f t="shared" si="31"/>
        <v>HUNTINGTON BANCSHARES INC</v>
      </c>
      <c r="C242" s="25" t="str">
        <f t="shared" si="32"/>
        <v>HBAN UQ</v>
      </c>
      <c r="D242" s="25">
        <v>1</v>
      </c>
      <c r="E242" s="6" t="e">
        <f xml:space="preserve"> [2]!'HAS.US-PreClose'</f>
        <v>#REF!</v>
      </c>
      <c r="F242" s="78">
        <f t="shared" si="33"/>
        <v>6082</v>
      </c>
      <c r="G242" s="49" t="e">
        <f t="shared" si="34"/>
        <v>#REF!</v>
      </c>
      <c r="H242" s="6" t="e">
        <f xml:space="preserve"> [2]!'HAS.US-Price'</f>
        <v>#REF!</v>
      </c>
      <c r="I242" s="6" t="e">
        <f xml:space="preserve"> [2]!'HAS.US-BestBid1'</f>
        <v>#REF!</v>
      </c>
      <c r="J242" s="6" t="e">
        <f xml:space="preserve"> [2]!'HAS.US-BestAsk1'</f>
        <v>#REF!</v>
      </c>
      <c r="K242" s="65" t="e">
        <f t="shared" si="28"/>
        <v>#REF!</v>
      </c>
      <c r="L242" s="65" t="e">
        <f t="shared" si="29"/>
        <v>#REF!</v>
      </c>
      <c r="M242" s="68" t="e">
        <f t="shared" si="30"/>
        <v>#REF!</v>
      </c>
      <c r="AC242" s="440" t="s">
        <v>3139</v>
      </c>
      <c r="AD242" s="441" t="s">
        <v>860</v>
      </c>
      <c r="AE242" s="442">
        <v>0.06</v>
      </c>
      <c r="AF242" s="443">
        <v>6082</v>
      </c>
    </row>
    <row r="243" spans="1:32" ht="22.2" thickBot="1">
      <c r="A243" s="24" t="e">
        <f t="shared" si="27"/>
        <v>#REF!</v>
      </c>
      <c r="B243" s="243" t="str">
        <f t="shared" si="31"/>
        <v>HANESBRANDS INC</v>
      </c>
      <c r="C243" s="25" t="str">
        <f t="shared" si="32"/>
        <v>HBI UN</v>
      </c>
      <c r="D243" s="25">
        <v>1</v>
      </c>
      <c r="E243" s="6" t="e">
        <f xml:space="preserve"> [2]!'HBAN.US-PreClose'</f>
        <v>#REF!</v>
      </c>
      <c r="F243" s="78">
        <f t="shared" si="33"/>
        <v>2101</v>
      </c>
      <c r="G243" s="49" t="e">
        <f t="shared" si="34"/>
        <v>#REF!</v>
      </c>
      <c r="H243" s="6" t="e">
        <f xml:space="preserve"> [2]!'HBAN.US-Price'</f>
        <v>#REF!</v>
      </c>
      <c r="I243" s="6" t="e">
        <f xml:space="preserve"> [2]!'HBAN.US-BestBid1'</f>
        <v>#REF!</v>
      </c>
      <c r="J243" s="6" t="e">
        <f xml:space="preserve"> [2]!'HBAN.US-BestAsk1'</f>
        <v>#REF!</v>
      </c>
      <c r="K243" s="65" t="e">
        <f t="shared" si="28"/>
        <v>#REF!</v>
      </c>
      <c r="L243" s="65" t="e">
        <f t="shared" si="29"/>
        <v>#REF!</v>
      </c>
      <c r="M243" s="68" t="e">
        <f t="shared" si="30"/>
        <v>#REF!</v>
      </c>
      <c r="AC243" s="444" t="s">
        <v>3140</v>
      </c>
      <c r="AD243" s="445" t="s">
        <v>861</v>
      </c>
      <c r="AE243" s="446">
        <v>0.02</v>
      </c>
      <c r="AF243" s="447">
        <v>2101</v>
      </c>
    </row>
    <row r="244" spans="1:32" ht="33" thickBot="1">
      <c r="A244" s="24" t="e">
        <f t="shared" si="27"/>
        <v>#REF!</v>
      </c>
      <c r="B244" s="243" t="str">
        <f t="shared" si="31"/>
        <v>HCA HEALTHCARE INC</v>
      </c>
      <c r="C244" s="25" t="str">
        <f t="shared" si="32"/>
        <v>HCA UN</v>
      </c>
      <c r="D244" s="25">
        <v>1</v>
      </c>
      <c r="E244" s="6" t="e">
        <f xml:space="preserve"> [2]!'HBI.US-PreClose'</f>
        <v>#REF!</v>
      </c>
      <c r="F244" s="78">
        <f t="shared" si="33"/>
        <v>1552</v>
      </c>
      <c r="G244" s="49" t="e">
        <f t="shared" si="34"/>
        <v>#REF!</v>
      </c>
      <c r="H244" s="6" t="e">
        <f xml:space="preserve"> [2]!'HBI.US-Price'</f>
        <v>#REF!</v>
      </c>
      <c r="I244" s="6" t="e">
        <f xml:space="preserve"> [2]!'HBI.US-BestBid1'</f>
        <v>#REF!</v>
      </c>
      <c r="J244" s="6" t="e">
        <f xml:space="preserve"> [2]!'HBI.US-BestAsk1'</f>
        <v>#REF!</v>
      </c>
      <c r="K244" s="65" t="e">
        <f t="shared" si="28"/>
        <v>#REF!</v>
      </c>
      <c r="L244" s="65" t="e">
        <f t="shared" si="29"/>
        <v>#REF!</v>
      </c>
      <c r="M244" s="68" t="e">
        <f t="shared" si="30"/>
        <v>#REF!</v>
      </c>
      <c r="AC244" s="440" t="s">
        <v>3141</v>
      </c>
      <c r="AD244" s="441" t="s">
        <v>862</v>
      </c>
      <c r="AE244" s="442">
        <v>0.14000000000000001</v>
      </c>
      <c r="AF244" s="443">
        <v>1552</v>
      </c>
    </row>
    <row r="245" spans="1:32" ht="16.8" thickBot="1">
      <c r="A245" s="24" t="e">
        <f t="shared" si="27"/>
        <v>#REF!</v>
      </c>
      <c r="B245" s="243" t="str">
        <f t="shared" si="31"/>
        <v>HCP INC</v>
      </c>
      <c r="C245" s="25" t="str">
        <f t="shared" si="32"/>
        <v>HCP UN</v>
      </c>
      <c r="D245" s="25">
        <v>1</v>
      </c>
      <c r="E245" s="6" t="e">
        <f xml:space="preserve"> [2]!'HCA.US-PreClose'</f>
        <v>#REF!</v>
      </c>
      <c r="F245" s="78">
        <f t="shared" si="33"/>
        <v>2778</v>
      </c>
      <c r="G245" s="49" t="e">
        <f t="shared" si="34"/>
        <v>#REF!</v>
      </c>
      <c r="H245" s="6" t="e">
        <f xml:space="preserve"> [2]!'HCA.US-Price'</f>
        <v>#REF!</v>
      </c>
      <c r="I245" s="6" t="e">
        <f xml:space="preserve"> [2]!'HCA.US-BestBid1'</f>
        <v>#REF!</v>
      </c>
      <c r="J245" s="6" t="e">
        <f xml:space="preserve"> [2]!'HCA.US-BestAsk1'</f>
        <v>#REF!</v>
      </c>
      <c r="K245" s="65" t="e">
        <f t="shared" si="28"/>
        <v>#REF!</v>
      </c>
      <c r="L245" s="65" t="e">
        <f t="shared" si="29"/>
        <v>#REF!</v>
      </c>
      <c r="M245" s="68" t="e">
        <f t="shared" si="30"/>
        <v>#REF!</v>
      </c>
      <c r="AC245" s="444" t="s">
        <v>3142</v>
      </c>
      <c r="AD245" s="445" t="s">
        <v>864</v>
      </c>
      <c r="AE245" s="446">
        <v>0.06</v>
      </c>
      <c r="AF245" s="447">
        <v>2778</v>
      </c>
    </row>
    <row r="246" spans="1:32" ht="22.2" thickBot="1">
      <c r="A246" s="24">
        <f t="shared" si="27"/>
        <v>2.4973789832203851E-3</v>
      </c>
      <c r="B246" s="243" t="str">
        <f t="shared" si="31"/>
        <v>HOME DEPOT INC</v>
      </c>
      <c r="C246" s="25" t="str">
        <f t="shared" si="32"/>
        <v>HD UN</v>
      </c>
      <c r="D246" s="25">
        <v>1</v>
      </c>
      <c r="E246" s="6">
        <f xml:space="preserve"> [2]!'HCN.US-PreClose'</f>
        <v>60.17</v>
      </c>
      <c r="F246" s="78">
        <f t="shared" si="33"/>
        <v>6395</v>
      </c>
      <c r="G246" s="49">
        <f t="shared" si="34"/>
        <v>11601332.5725</v>
      </c>
      <c r="H246" s="6">
        <f xml:space="preserve"> [2]!'HCN.US-Price'</f>
        <v>59.16</v>
      </c>
      <c r="I246" s="6" t="str">
        <f xml:space="preserve"> [2]!'HCN.US-BestBid1'</f>
        <v>--</v>
      </c>
      <c r="J246" s="6" t="str">
        <f xml:space="preserve"> [2]!'HCN.US-BestAsk1'</f>
        <v>--</v>
      </c>
      <c r="K246" s="65" t="e">
        <f t="shared" si="28"/>
        <v>#REF!</v>
      </c>
      <c r="L246" s="65" t="e">
        <f t="shared" si="29"/>
        <v>#REF!</v>
      </c>
      <c r="M246" s="68" t="e">
        <f t="shared" si="30"/>
        <v>#REF!</v>
      </c>
      <c r="AC246" s="440" t="s">
        <v>3143</v>
      </c>
      <c r="AD246" s="441" t="s">
        <v>865</v>
      </c>
      <c r="AE246" s="442">
        <v>0.91</v>
      </c>
      <c r="AF246" s="443">
        <v>6395</v>
      </c>
    </row>
    <row r="247" spans="1:32" ht="16.8" thickBot="1">
      <c r="A247" s="24" t="e">
        <f t="shared" si="27"/>
        <v>#VALUE!</v>
      </c>
      <c r="B247" s="243" t="str">
        <f t="shared" si="31"/>
        <v>HESS CORP</v>
      </c>
      <c r="C247" s="25" t="str">
        <f t="shared" si="32"/>
        <v>HES UN</v>
      </c>
      <c r="D247" s="25">
        <v>1</v>
      </c>
      <c r="E247" s="6" t="str">
        <f xml:space="preserve"> [2]!'HCP.US-PreClose'</f>
        <v>N/A</v>
      </c>
      <c r="F247" s="78">
        <f t="shared" si="33"/>
        <v>1482</v>
      </c>
      <c r="G247" s="49" t="e">
        <f t="shared" si="34"/>
        <v>#VALUE!</v>
      </c>
      <c r="H247" s="6" t="str">
        <f xml:space="preserve"> [2]!'HCP.US-Price'</f>
        <v>N/A</v>
      </c>
      <c r="I247" s="6" t="str">
        <f xml:space="preserve"> [2]!'HCP.US-BestBid1'</f>
        <v>N/A</v>
      </c>
      <c r="J247" s="6" t="str">
        <f xml:space="preserve"> [2]!'HCP.US-BestAsk1'</f>
        <v>N/A</v>
      </c>
      <c r="K247" s="65" t="e">
        <f t="shared" si="28"/>
        <v>#VALUE!</v>
      </c>
      <c r="L247" s="65" t="e">
        <f t="shared" si="29"/>
        <v>#VALUE!</v>
      </c>
      <c r="M247" s="68" t="e">
        <f t="shared" si="30"/>
        <v>#VALUE!</v>
      </c>
      <c r="AC247" s="444" t="s">
        <v>3144</v>
      </c>
      <c r="AD247" s="445" t="s">
        <v>866</v>
      </c>
      <c r="AE247" s="446">
        <v>0.06</v>
      </c>
      <c r="AF247" s="447">
        <v>1482</v>
      </c>
    </row>
    <row r="248" spans="1:32" ht="33" thickBot="1">
      <c r="A248" s="24" t="e">
        <f t="shared" si="27"/>
        <v>#VALUE!</v>
      </c>
      <c r="B248" s="243" t="str">
        <f t="shared" si="31"/>
        <v>HOLLYFRONTIER CORP</v>
      </c>
      <c r="C248" s="25" t="str">
        <f t="shared" si="32"/>
        <v>HFC UN</v>
      </c>
      <c r="D248" s="25">
        <v>1</v>
      </c>
      <c r="E248" s="6" t="str">
        <f xml:space="preserve"> [2]!'HD.US-PreClose'</f>
        <v>N/A</v>
      </c>
      <c r="F248" s="78">
        <f t="shared" si="33"/>
        <v>913</v>
      </c>
      <c r="G248" s="49" t="e">
        <f t="shared" si="34"/>
        <v>#VALUE!</v>
      </c>
      <c r="H248" s="6" t="str">
        <f xml:space="preserve"> [2]!'HD.US-Price'</f>
        <v>N/A</v>
      </c>
      <c r="I248" s="6" t="str">
        <f xml:space="preserve"> [2]!'HD.US-BestBid1'</f>
        <v>N/A</v>
      </c>
      <c r="J248" s="6" t="str">
        <f xml:space="preserve"> [2]!'HD.US-BestAsk1'</f>
        <v>N/A</v>
      </c>
      <c r="K248" s="65" t="e">
        <f t="shared" si="28"/>
        <v>#VALUE!</v>
      </c>
      <c r="L248" s="65" t="e">
        <f t="shared" si="29"/>
        <v>#VALUE!</v>
      </c>
      <c r="M248" s="68" t="e">
        <f t="shared" si="30"/>
        <v>#VALUE!</v>
      </c>
      <c r="AC248" s="440" t="s">
        <v>3145</v>
      </c>
      <c r="AD248" s="441" t="s">
        <v>3146</v>
      </c>
      <c r="AE248" s="442">
        <v>0.03</v>
      </c>
      <c r="AF248" s="442">
        <v>913</v>
      </c>
    </row>
    <row r="249" spans="1:32" ht="33" thickBot="1">
      <c r="A249" s="24" t="e">
        <f t="shared" si="27"/>
        <v>#REF!</v>
      </c>
      <c r="B249" s="243" t="str">
        <f t="shared" si="31"/>
        <v>HARTFORD FINANCIAL SVCS GRP</v>
      </c>
      <c r="C249" s="25" t="str">
        <f t="shared" si="32"/>
        <v>HIG UN</v>
      </c>
      <c r="D249" s="25">
        <v>1</v>
      </c>
      <c r="E249" s="6" t="e">
        <f xml:space="preserve"> [2]!'HES.US-PreClose'</f>
        <v>#REF!</v>
      </c>
      <c r="F249" s="78">
        <f t="shared" si="33"/>
        <v>2101</v>
      </c>
      <c r="G249" s="49" t="e">
        <f t="shared" si="34"/>
        <v>#REF!</v>
      </c>
      <c r="H249" s="6" t="e">
        <f xml:space="preserve"> [2]!'HES.US-Price'</f>
        <v>#REF!</v>
      </c>
      <c r="I249" s="6" t="e">
        <f xml:space="preserve"> [2]!'HES.US-BestBid1'</f>
        <v>#REF!</v>
      </c>
      <c r="J249" s="6" t="e">
        <f xml:space="preserve"> [2]!'HES.US-BestAsk1'</f>
        <v>#REF!</v>
      </c>
      <c r="K249" s="65" t="e">
        <f t="shared" si="28"/>
        <v>#REF!</v>
      </c>
      <c r="L249" s="65" t="e">
        <f t="shared" si="29"/>
        <v>#REF!</v>
      </c>
      <c r="M249" s="68" t="e">
        <f t="shared" si="30"/>
        <v>#REF!</v>
      </c>
      <c r="AC249" s="444" t="s">
        <v>3147</v>
      </c>
      <c r="AD249" s="445" t="s">
        <v>867</v>
      </c>
      <c r="AE249" s="446">
        <v>0.08</v>
      </c>
      <c r="AF249" s="447">
        <v>2101</v>
      </c>
    </row>
    <row r="250" spans="1:32" ht="43.8" thickBot="1">
      <c r="A250" s="24" t="e">
        <f t="shared" si="27"/>
        <v>#REF!</v>
      </c>
      <c r="B250" s="243" t="str">
        <f t="shared" si="31"/>
        <v>HUNTINGTON INGALLS INDUSTRIE</v>
      </c>
      <c r="C250" s="25" t="str">
        <f t="shared" si="32"/>
        <v>HII UN</v>
      </c>
      <c r="D250" s="25">
        <v>1</v>
      </c>
      <c r="E250" s="6" t="e">
        <f xml:space="preserve"> [2]!'HIG.US-PreClose'</f>
        <v>#REF!</v>
      </c>
      <c r="F250" s="78">
        <f t="shared" si="33"/>
        <v>242</v>
      </c>
      <c r="G250" s="49" t="e">
        <f t="shared" si="34"/>
        <v>#REF!</v>
      </c>
      <c r="H250" s="6" t="e">
        <f xml:space="preserve"> [2]!'HIG.US-Price'</f>
        <v>#REF!</v>
      </c>
      <c r="I250" s="6" t="e">
        <f xml:space="preserve"> [2]!'HIG.US-BestBid1'</f>
        <v>#REF!</v>
      </c>
      <c r="J250" s="6" t="e">
        <f xml:space="preserve"> [2]!'HIG.US-BestAsk1'</f>
        <v>#REF!</v>
      </c>
      <c r="K250" s="65" t="e">
        <f t="shared" si="28"/>
        <v>#REF!</v>
      </c>
      <c r="L250" s="65" t="e">
        <f t="shared" si="29"/>
        <v>#REF!</v>
      </c>
      <c r="M250" s="68" t="e">
        <f t="shared" si="30"/>
        <v>#REF!</v>
      </c>
      <c r="AC250" s="440" t="s">
        <v>3148</v>
      </c>
      <c r="AD250" s="441" t="s">
        <v>3149</v>
      </c>
      <c r="AE250" s="442">
        <v>0.04</v>
      </c>
      <c r="AF250" s="442">
        <v>242</v>
      </c>
    </row>
    <row r="251" spans="1:32" ht="54.6" thickBot="1">
      <c r="A251" s="24" t="e">
        <f t="shared" si="27"/>
        <v>#REF!</v>
      </c>
      <c r="B251" s="243" t="str">
        <f t="shared" si="31"/>
        <v>HILTON WORLDWIDE HOLDINGS IN</v>
      </c>
      <c r="C251" s="25" t="str">
        <f t="shared" si="32"/>
        <v>HLT UN</v>
      </c>
      <c r="D251" s="25">
        <v>1</v>
      </c>
      <c r="E251" s="6" t="e">
        <f xml:space="preserve"> [2]!'HLT.US-PreClose'</f>
        <v>#REF!</v>
      </c>
      <c r="F251" s="78">
        <f t="shared" si="33"/>
        <v>1692</v>
      </c>
      <c r="G251" s="49" t="e">
        <f t="shared" si="34"/>
        <v>#REF!</v>
      </c>
      <c r="H251" s="6" t="e">
        <f xml:space="preserve"> [2]!'HLT.US-Price'</f>
        <v>#REF!</v>
      </c>
      <c r="I251" s="6" t="e">
        <f xml:space="preserve"> [2]!'HLT.US-BestBid1'</f>
        <v>#REF!</v>
      </c>
      <c r="J251" s="6" t="e">
        <f xml:space="preserve"> [2]!'HLT.US-BestAsk1'</f>
        <v>#REF!</v>
      </c>
      <c r="K251" s="65" t="e">
        <f t="shared" si="28"/>
        <v>#REF!</v>
      </c>
      <c r="L251" s="65" t="e">
        <f t="shared" si="29"/>
        <v>#REF!</v>
      </c>
      <c r="M251" s="68" t="e">
        <f t="shared" si="30"/>
        <v>#REF!</v>
      </c>
      <c r="AC251" s="444" t="s">
        <v>3150</v>
      </c>
      <c r="AD251" s="445" t="s">
        <v>868</v>
      </c>
      <c r="AE251" s="446">
        <v>0.11</v>
      </c>
      <c r="AF251" s="447">
        <v>1692</v>
      </c>
    </row>
    <row r="252" spans="1:32" ht="33" thickBot="1">
      <c r="A252" s="24" t="e">
        <f t="shared" si="27"/>
        <v>#REF!</v>
      </c>
      <c r="B252" s="243" t="str">
        <f t="shared" si="31"/>
        <v>HARLEY-DAVIDSON INC</v>
      </c>
      <c r="C252" s="25" t="str">
        <f t="shared" si="32"/>
        <v>HOG UN</v>
      </c>
      <c r="D252" s="25">
        <v>1</v>
      </c>
      <c r="E252" s="6" t="e">
        <f xml:space="preserve"> [2]!'HOG.US-PreClose'</f>
        <v>#REF!</v>
      </c>
      <c r="F252" s="78">
        <f t="shared" si="33"/>
        <v>925</v>
      </c>
      <c r="G252" s="49" t="e">
        <f t="shared" si="34"/>
        <v>#REF!</v>
      </c>
      <c r="H252" s="6" t="e">
        <f xml:space="preserve"> [2]!'HOG.US-Price'</f>
        <v>#REF!</v>
      </c>
      <c r="I252" s="6" t="e">
        <f xml:space="preserve"> [2]!'HOG.US-BestBid1'</f>
        <v>#REF!</v>
      </c>
      <c r="J252" s="6" t="e">
        <f xml:space="preserve"> [2]!'HOG.US-BestAsk1'</f>
        <v>#REF!</v>
      </c>
      <c r="K252" s="65" t="e">
        <f t="shared" si="28"/>
        <v>#REF!</v>
      </c>
      <c r="L252" s="65" t="e">
        <f t="shared" si="29"/>
        <v>#REF!</v>
      </c>
      <c r="M252" s="68" t="e">
        <f t="shared" si="30"/>
        <v>#REF!</v>
      </c>
      <c r="AC252" s="440" t="s">
        <v>3151</v>
      </c>
      <c r="AD252" s="441" t="s">
        <v>869</v>
      </c>
      <c r="AE252" s="442">
        <v>0.02</v>
      </c>
      <c r="AF252" s="442">
        <v>925</v>
      </c>
    </row>
    <row r="253" spans="1:32" ht="22.2" thickBot="1">
      <c r="A253" s="24" t="e">
        <f t="shared" si="27"/>
        <v>#REF!</v>
      </c>
      <c r="B253" s="243" t="str">
        <f t="shared" si="31"/>
        <v>HOLOGIC INC</v>
      </c>
      <c r="C253" s="25" t="str">
        <f t="shared" si="32"/>
        <v>HOLX UQ</v>
      </c>
      <c r="D253" s="25">
        <v>1</v>
      </c>
      <c r="E253" s="6" t="e">
        <f xml:space="preserve"> [2]!'HOLX.US-PreClose'</f>
        <v>#REF!</v>
      </c>
      <c r="F253" s="78">
        <f t="shared" si="33"/>
        <v>1558</v>
      </c>
      <c r="G253" s="49" t="e">
        <f t="shared" si="34"/>
        <v>#REF!</v>
      </c>
      <c r="H253" s="6" t="e">
        <f xml:space="preserve"> [2]!'HOLX.US-Price'</f>
        <v>#REF!</v>
      </c>
      <c r="I253" s="6" t="e">
        <f xml:space="preserve"> [2]!'HOLX.US-BestBid1'</f>
        <v>#REF!</v>
      </c>
      <c r="J253" s="6" t="e">
        <f xml:space="preserve"> [2]!'HOLX.US-BestAsk1'</f>
        <v>#REF!</v>
      </c>
      <c r="K253" s="65" t="e">
        <f t="shared" si="28"/>
        <v>#REF!</v>
      </c>
      <c r="L253" s="65" t="e">
        <f t="shared" si="29"/>
        <v>#REF!</v>
      </c>
      <c r="M253" s="68" t="e">
        <f t="shared" si="30"/>
        <v>#REF!</v>
      </c>
      <c r="AC253" s="444" t="s">
        <v>3152</v>
      </c>
      <c r="AD253" s="445" t="s">
        <v>870</v>
      </c>
      <c r="AE253" s="446">
        <v>0.05</v>
      </c>
      <c r="AF253" s="447">
        <v>1558</v>
      </c>
    </row>
    <row r="254" spans="1:32" ht="43.8" thickBot="1">
      <c r="A254" s="24" t="e">
        <f t="shared" si="27"/>
        <v>#REF!</v>
      </c>
      <c r="B254" s="243" t="str">
        <f t="shared" si="31"/>
        <v>HONEYWELL INTERNATIONAL INC</v>
      </c>
      <c r="C254" s="25" t="str">
        <f t="shared" si="32"/>
        <v>HON UN</v>
      </c>
      <c r="D254" s="25">
        <v>1</v>
      </c>
      <c r="E254" s="6" t="e">
        <f xml:space="preserve"> [2]!'HON.US-PreClose'</f>
        <v>#REF!</v>
      </c>
      <c r="F254" s="78">
        <f t="shared" si="33"/>
        <v>4230</v>
      </c>
      <c r="G254" s="49" t="e">
        <f t="shared" si="34"/>
        <v>#REF!</v>
      </c>
      <c r="H254" s="6" t="e">
        <f xml:space="preserve"> [2]!'HON.US-Price'</f>
        <v>#REF!</v>
      </c>
      <c r="I254" s="6" t="e">
        <f xml:space="preserve"> [2]!'HON.US-BestBid1'</f>
        <v>#REF!</v>
      </c>
      <c r="J254" s="6" t="e">
        <f xml:space="preserve"> [2]!'HON.US-BestAsk1'</f>
        <v>#REF!</v>
      </c>
      <c r="K254" s="65" t="e">
        <f t="shared" si="28"/>
        <v>#REF!</v>
      </c>
      <c r="L254" s="65" t="e">
        <f t="shared" si="29"/>
        <v>#REF!</v>
      </c>
      <c r="M254" s="68" t="e">
        <f t="shared" si="30"/>
        <v>#REF!</v>
      </c>
      <c r="AC254" s="440" t="s">
        <v>3153</v>
      </c>
      <c r="AD254" s="441" t="s">
        <v>871</v>
      </c>
      <c r="AE254" s="442">
        <v>0.49</v>
      </c>
      <c r="AF254" s="443">
        <v>4230</v>
      </c>
    </row>
    <row r="255" spans="1:32" ht="22.2" thickBot="1">
      <c r="A255" s="24" t="e">
        <f t="shared" si="27"/>
        <v>#REF!</v>
      </c>
      <c r="B255" s="243" t="str">
        <f t="shared" si="31"/>
        <v>HELMERICH &amp; PAYNE</v>
      </c>
      <c r="C255" s="25" t="str">
        <f t="shared" si="32"/>
        <v>HP UN</v>
      </c>
      <c r="D255" s="25">
        <v>1</v>
      </c>
      <c r="E255" s="6" t="e">
        <f xml:space="preserve"> [2]!'HP.US-PreClose'</f>
        <v>#REF!</v>
      </c>
      <c r="F255" s="78">
        <f t="shared" si="33"/>
        <v>642</v>
      </c>
      <c r="G255" s="49" t="e">
        <f t="shared" si="34"/>
        <v>#REF!</v>
      </c>
      <c r="H255" s="6" t="e">
        <f xml:space="preserve"> [2]!'HP.US-Price'</f>
        <v>#REF!</v>
      </c>
      <c r="I255" s="6" t="e">
        <f xml:space="preserve"> [2]!'HP.US-BestBid1'</f>
        <v>#REF!</v>
      </c>
      <c r="J255" s="6" t="e">
        <f xml:space="preserve"> [2]!'HP.US-BestAsk1'</f>
        <v>#REF!</v>
      </c>
      <c r="K255" s="65" t="e">
        <f t="shared" si="28"/>
        <v>#REF!</v>
      </c>
      <c r="L255" s="65" t="e">
        <f t="shared" si="29"/>
        <v>#REF!</v>
      </c>
      <c r="M255" s="68" t="e">
        <f t="shared" si="30"/>
        <v>#REF!</v>
      </c>
      <c r="AC255" s="444" t="s">
        <v>3154</v>
      </c>
      <c r="AD255" s="445" t="s">
        <v>872</v>
      </c>
      <c r="AE255" s="446">
        <v>0.02</v>
      </c>
      <c r="AF255" s="446">
        <v>642</v>
      </c>
    </row>
    <row r="256" spans="1:32" ht="43.8" thickBot="1">
      <c r="A256" s="24" t="e">
        <f t="shared" si="27"/>
        <v>#REF!</v>
      </c>
      <c r="B256" s="243" t="str">
        <f t="shared" si="31"/>
        <v>HEWLETT PACKARD ENTERPRISE</v>
      </c>
      <c r="C256" s="25" t="str">
        <f t="shared" si="32"/>
        <v>HPE UN</v>
      </c>
      <c r="D256" s="25">
        <v>1</v>
      </c>
      <c r="E256" s="6" t="e">
        <f xml:space="preserve"> [2]!'HPE.US-PreClose'</f>
        <v>#REF!</v>
      </c>
      <c r="F256" s="78">
        <f t="shared" si="33"/>
        <v>7784</v>
      </c>
      <c r="G256" s="49" t="e">
        <f t="shared" si="34"/>
        <v>#REF!</v>
      </c>
      <c r="H256" s="6" t="e">
        <f xml:space="preserve"> [2]!'HPE.US-Price'</f>
        <v>#REF!</v>
      </c>
      <c r="I256" s="6" t="e">
        <f xml:space="preserve"> [2]!'HPE.US-BestBid1'</f>
        <v>#REF!</v>
      </c>
      <c r="J256" s="6" t="e">
        <f xml:space="preserve"> [2]!'HPE.US-BestAsk1'</f>
        <v>#REF!</v>
      </c>
      <c r="K256" s="65" t="e">
        <f t="shared" si="28"/>
        <v>#REF!</v>
      </c>
      <c r="L256" s="65" t="e">
        <f t="shared" si="29"/>
        <v>#REF!</v>
      </c>
      <c r="M256" s="68" t="e">
        <f t="shared" si="30"/>
        <v>#REF!</v>
      </c>
      <c r="AC256" s="440" t="s">
        <v>3155</v>
      </c>
      <c r="AD256" s="441" t="s">
        <v>3156</v>
      </c>
      <c r="AE256" s="442">
        <v>0.08</v>
      </c>
      <c r="AF256" s="443">
        <v>7784</v>
      </c>
    </row>
    <row r="257" spans="1:32" ht="16.8" thickBot="1">
      <c r="A257" s="24" t="e">
        <f t="shared" si="27"/>
        <v>#VALUE!</v>
      </c>
      <c r="B257" s="243" t="str">
        <f t="shared" si="31"/>
        <v>HP INC</v>
      </c>
      <c r="C257" s="25" t="str">
        <f t="shared" si="32"/>
        <v>HPQ UN</v>
      </c>
      <c r="D257" s="25">
        <v>1</v>
      </c>
      <c r="E257" s="6" t="str">
        <f xml:space="preserve"> [2]!'HPQ.US-PreClose'</f>
        <v>N/A</v>
      </c>
      <c r="F257" s="78">
        <f t="shared" si="33"/>
        <v>8755</v>
      </c>
      <c r="G257" s="49" t="e">
        <f t="shared" si="34"/>
        <v>#VALUE!</v>
      </c>
      <c r="H257" s="6" t="str">
        <f xml:space="preserve"> [2]!'HPQ.US-Price'</f>
        <v>N/A</v>
      </c>
      <c r="I257" s="6" t="str">
        <f xml:space="preserve"> [2]!'HPQ.US-BestBid1'</f>
        <v>N/A</v>
      </c>
      <c r="J257" s="6" t="str">
        <f xml:space="preserve"> [2]!'HPQ.US-BestAsk1'</f>
        <v>N/A</v>
      </c>
      <c r="K257" s="65" t="e">
        <f t="shared" si="28"/>
        <v>#VALUE!</v>
      </c>
      <c r="L257" s="65" t="e">
        <f t="shared" si="29"/>
        <v>#VALUE!</v>
      </c>
      <c r="M257" s="68" t="e">
        <f t="shared" si="30"/>
        <v>#VALUE!</v>
      </c>
      <c r="AC257" s="444" t="s">
        <v>3157</v>
      </c>
      <c r="AD257" s="445" t="s">
        <v>873</v>
      </c>
      <c r="AE257" s="446">
        <v>0.12</v>
      </c>
      <c r="AF257" s="447">
        <v>8755</v>
      </c>
    </row>
    <row r="258" spans="1:32" ht="22.2" thickBot="1">
      <c r="A258" s="24" t="e">
        <f t="shared" si="27"/>
        <v>#REF!</v>
      </c>
      <c r="B258" s="243" t="str">
        <f t="shared" si="31"/>
        <v>H&amp;R BLOCK INC</v>
      </c>
      <c r="C258" s="25" t="str">
        <f t="shared" si="32"/>
        <v>HRB UN</v>
      </c>
      <c r="D258" s="25">
        <v>1</v>
      </c>
      <c r="E258" s="6" t="e">
        <f xml:space="preserve"> [2]!'HRB.US-PreClose'</f>
        <v>#REF!</v>
      </c>
      <c r="F258" s="78">
        <f t="shared" si="33"/>
        <v>1182</v>
      </c>
      <c r="G258" s="49" t="e">
        <f t="shared" si="34"/>
        <v>#REF!</v>
      </c>
      <c r="H258" s="6" t="e">
        <f xml:space="preserve"> [2]!'HRB.US-Price'</f>
        <v>#REF!</v>
      </c>
      <c r="I258" s="6" t="e">
        <f xml:space="preserve"> [2]!'HRB.US-BestBid1'</f>
        <v>#REF!</v>
      </c>
      <c r="J258" s="6" t="e">
        <f xml:space="preserve"> [2]!'HRB.US-BestAsk1'</f>
        <v>#REF!</v>
      </c>
      <c r="K258" s="65" t="e">
        <f t="shared" si="28"/>
        <v>#REF!</v>
      </c>
      <c r="L258" s="65" t="e">
        <f t="shared" si="29"/>
        <v>#REF!</v>
      </c>
      <c r="M258" s="68" t="e">
        <f t="shared" si="30"/>
        <v>#REF!</v>
      </c>
      <c r="AC258" s="440" t="s">
        <v>3158</v>
      </c>
      <c r="AD258" s="441" t="s">
        <v>874</v>
      </c>
      <c r="AE258" s="442">
        <v>0.02</v>
      </c>
      <c r="AF258" s="443">
        <v>1182</v>
      </c>
    </row>
    <row r="259" spans="1:32" ht="33" thickBot="1">
      <c r="A259" s="24" t="e">
        <f t="shared" si="27"/>
        <v>#REF!</v>
      </c>
      <c r="B259" s="243" t="str">
        <f t="shared" si="31"/>
        <v>HORMEL FOODS CORP</v>
      </c>
      <c r="C259" s="25" t="str">
        <f t="shared" si="32"/>
        <v>HRL UN</v>
      </c>
      <c r="D259" s="25">
        <v>1</v>
      </c>
      <c r="E259" s="6" t="e">
        <f xml:space="preserve"> [2]!'HRL.US-PreClose'</f>
        <v>#REF!</v>
      </c>
      <c r="F259" s="78">
        <f t="shared" si="33"/>
        <v>1583</v>
      </c>
      <c r="G259" s="49" t="e">
        <f t="shared" si="34"/>
        <v>#REF!</v>
      </c>
      <c r="H259" s="6" t="e">
        <f xml:space="preserve"> [2]!'HRL.US-Price'</f>
        <v>#REF!</v>
      </c>
      <c r="I259" s="6" t="e">
        <f xml:space="preserve"> [2]!'HRL.US-BestBid1'</f>
        <v>#REF!</v>
      </c>
      <c r="J259" s="6" t="e">
        <f xml:space="preserve"> [2]!'HRL.US-BestAsk1'</f>
        <v>#REF!</v>
      </c>
      <c r="K259" s="65" t="e">
        <f t="shared" si="28"/>
        <v>#REF!</v>
      </c>
      <c r="L259" s="65" t="e">
        <f t="shared" si="29"/>
        <v>#REF!</v>
      </c>
      <c r="M259" s="68" t="e">
        <f t="shared" si="30"/>
        <v>#REF!</v>
      </c>
      <c r="AC259" s="444" t="s">
        <v>3159</v>
      </c>
      <c r="AD259" s="445" t="s">
        <v>875</v>
      </c>
      <c r="AE259" s="446">
        <v>0.04</v>
      </c>
      <c r="AF259" s="447">
        <v>1583</v>
      </c>
    </row>
    <row r="260" spans="1:32" ht="22.2" thickBot="1">
      <c r="A260" s="24" t="e">
        <f t="shared" si="27"/>
        <v>#REF!</v>
      </c>
      <c r="B260" s="243" t="str">
        <f t="shared" si="31"/>
        <v>HENRY SCHEIN INC</v>
      </c>
      <c r="C260" s="25" t="str">
        <f t="shared" si="32"/>
        <v>HSIC UQ</v>
      </c>
      <c r="D260" s="25">
        <v>1</v>
      </c>
      <c r="E260" s="6" t="e">
        <f xml:space="preserve"> [2]!'HRS.US-PreClose'</f>
        <v>#REF!</v>
      </c>
      <c r="F260" s="78">
        <f t="shared" si="33"/>
        <v>866</v>
      </c>
      <c r="G260" s="49" t="e">
        <f t="shared" si="34"/>
        <v>#REF!</v>
      </c>
      <c r="H260" s="6" t="e">
        <f xml:space="preserve"> [2]!'HRS.US-Price'</f>
        <v>#REF!</v>
      </c>
      <c r="I260" s="6" t="e">
        <f xml:space="preserve"> [2]!'HRS.US-BestBid1'</f>
        <v>#REF!</v>
      </c>
      <c r="J260" s="6" t="e">
        <f xml:space="preserve"> [2]!'HRS.US-BestAsk1'</f>
        <v>#REF!</v>
      </c>
      <c r="K260" s="65" t="e">
        <f t="shared" si="28"/>
        <v>#REF!</v>
      </c>
      <c r="L260" s="65" t="e">
        <f t="shared" si="29"/>
        <v>#REF!</v>
      </c>
      <c r="M260" s="68" t="e">
        <f t="shared" si="30"/>
        <v>#REF!</v>
      </c>
      <c r="AC260" s="440" t="s">
        <v>3160</v>
      </c>
      <c r="AD260" s="441" t="s">
        <v>876</v>
      </c>
      <c r="AE260" s="442">
        <v>0.04</v>
      </c>
      <c r="AF260" s="442">
        <v>866</v>
      </c>
    </row>
    <row r="261" spans="1:32" ht="43.8" thickBot="1">
      <c r="A261" s="24" t="e">
        <f t="shared" si="27"/>
        <v>#REF!</v>
      </c>
      <c r="B261" s="243" t="str">
        <f t="shared" si="31"/>
        <v>HOST HOTELS &amp; RESORTS INC</v>
      </c>
      <c r="C261" s="25" t="str">
        <f t="shared" si="32"/>
        <v>HST UN</v>
      </c>
      <c r="D261" s="25">
        <v>1</v>
      </c>
      <c r="E261" s="6" t="e">
        <f xml:space="preserve"> [2]!'HSIC.US-PreClose'</f>
        <v>#REF!</v>
      </c>
      <c r="F261" s="78">
        <f t="shared" si="33"/>
        <v>4306</v>
      </c>
      <c r="G261" s="49" t="e">
        <f t="shared" si="34"/>
        <v>#REF!</v>
      </c>
      <c r="H261" s="6" t="e">
        <f xml:space="preserve"> [2]!'HSIC.US-Price'</f>
        <v>#REF!</v>
      </c>
      <c r="I261" s="6" t="e">
        <f xml:space="preserve"> [2]!'HSIC.US-BestBid1'</f>
        <v>#REF!</v>
      </c>
      <c r="J261" s="6" t="e">
        <f xml:space="preserve"> [2]!'HSIC.US-BestAsk1'</f>
        <v>#REF!</v>
      </c>
      <c r="K261" s="65" t="e">
        <f t="shared" si="28"/>
        <v>#REF!</v>
      </c>
      <c r="L261" s="65" t="e">
        <f t="shared" si="29"/>
        <v>#REF!</v>
      </c>
      <c r="M261" s="68" t="e">
        <f t="shared" si="30"/>
        <v>#REF!</v>
      </c>
      <c r="AC261" s="444" t="s">
        <v>3161</v>
      </c>
      <c r="AD261" s="445" t="s">
        <v>877</v>
      </c>
      <c r="AE261" s="446">
        <v>0.05</v>
      </c>
      <c r="AF261" s="447">
        <v>4306</v>
      </c>
    </row>
    <row r="262" spans="1:32" ht="22.2" thickBot="1">
      <c r="A262" s="24" t="e">
        <f t="shared" si="27"/>
        <v>#VALUE!</v>
      </c>
      <c r="B262" s="243" t="str">
        <f t="shared" si="31"/>
        <v>HERSHEY CO/THE</v>
      </c>
      <c r="C262" s="25" t="str">
        <f t="shared" si="32"/>
        <v>HSY UN</v>
      </c>
      <c r="D262" s="25">
        <v>1</v>
      </c>
      <c r="E262" s="6" t="str">
        <f xml:space="preserve"> [2]!'HST.US-PreClose'</f>
        <v>N/A</v>
      </c>
      <c r="F262" s="78">
        <f t="shared" si="33"/>
        <v>810</v>
      </c>
      <c r="G262" s="49" t="e">
        <f t="shared" si="34"/>
        <v>#VALUE!</v>
      </c>
      <c r="H262" s="6" t="str">
        <f xml:space="preserve"> [2]!'HST.US-Price'</f>
        <v>N/A</v>
      </c>
      <c r="I262" s="6" t="str">
        <f xml:space="preserve"> [2]!'HST.US-BestBid1'</f>
        <v>N/A</v>
      </c>
      <c r="J262" s="6" t="str">
        <f xml:space="preserve"> [2]!'HST.US-BestAsk1'</f>
        <v>N/A</v>
      </c>
      <c r="K262" s="65" t="e">
        <f t="shared" si="28"/>
        <v>#VALUE!</v>
      </c>
      <c r="L262" s="65" t="e">
        <f t="shared" si="29"/>
        <v>#VALUE!</v>
      </c>
      <c r="M262" s="68" t="e">
        <f t="shared" si="30"/>
        <v>#VALUE!</v>
      </c>
      <c r="AC262" s="440" t="s">
        <v>3162</v>
      </c>
      <c r="AD262" s="441" t="s">
        <v>878</v>
      </c>
      <c r="AE262" s="442">
        <v>7.0000000000000007E-2</v>
      </c>
      <c r="AF262" s="442">
        <v>810</v>
      </c>
    </row>
    <row r="263" spans="1:32" ht="22.2" thickBot="1">
      <c r="A263" s="24" t="e">
        <f t="shared" si="27"/>
        <v>#REF!</v>
      </c>
      <c r="B263" s="243" t="str">
        <f t="shared" si="31"/>
        <v>HUMANA INC</v>
      </c>
      <c r="C263" s="25" t="str">
        <f t="shared" si="32"/>
        <v>HUM UN</v>
      </c>
      <c r="D263" s="25">
        <v>1</v>
      </c>
      <c r="E263" s="6" t="e">
        <f xml:space="preserve"> [2]!'HSY.US-PreClose'</f>
        <v>#REF!</v>
      </c>
      <c r="F263" s="78">
        <f t="shared" si="33"/>
        <v>785</v>
      </c>
      <c r="G263" s="49" t="e">
        <f t="shared" si="34"/>
        <v>#REF!</v>
      </c>
      <c r="H263" s="6" t="e">
        <f xml:space="preserve"> [2]!'HSY.US-Price'</f>
        <v>#REF!</v>
      </c>
      <c r="I263" s="6" t="e">
        <f xml:space="preserve"> [2]!'HSY.US-BestBid1'</f>
        <v>#REF!</v>
      </c>
      <c r="J263" s="6" t="e">
        <f xml:space="preserve"> [2]!'HSY.US-BestAsk1'</f>
        <v>#REF!</v>
      </c>
      <c r="K263" s="65" t="e">
        <f t="shared" si="28"/>
        <v>#REF!</v>
      </c>
      <c r="L263" s="65" t="e">
        <f t="shared" si="29"/>
        <v>#REF!</v>
      </c>
      <c r="M263" s="68" t="e">
        <f t="shared" si="30"/>
        <v>#REF!</v>
      </c>
      <c r="AC263" s="444" t="s">
        <v>3163</v>
      </c>
      <c r="AD263" s="445" t="s">
        <v>879</v>
      </c>
      <c r="AE263" s="446">
        <v>0.15</v>
      </c>
      <c r="AF263" s="446">
        <v>785</v>
      </c>
    </row>
    <row r="264" spans="1:32" ht="43.8" thickBot="1">
      <c r="A264" s="24" t="e">
        <f t="shared" si="27"/>
        <v>#REF!</v>
      </c>
      <c r="B264" s="243" t="str">
        <f t="shared" si="31"/>
        <v>INTL BUSINESS MACHINES CORP</v>
      </c>
      <c r="C264" s="25" t="str">
        <f t="shared" si="32"/>
        <v>IBM UN</v>
      </c>
      <c r="D264" s="25">
        <v>1</v>
      </c>
      <c r="E264" s="6" t="e">
        <f xml:space="preserve"> [2]!'HUM.US-PreClose'</f>
        <v>#REF!</v>
      </c>
      <c r="F264" s="78">
        <f t="shared" si="33"/>
        <v>5154</v>
      </c>
      <c r="G264" s="49" t="e">
        <f t="shared" si="34"/>
        <v>#REF!</v>
      </c>
      <c r="H264" s="6" t="e">
        <f xml:space="preserve"> [2]!'HUM.US-Price'</f>
        <v>#REF!</v>
      </c>
      <c r="I264" s="6" t="e">
        <f xml:space="preserve"> [2]!'HUM.US-BestBid1'</f>
        <v>#REF!</v>
      </c>
      <c r="J264" s="6" t="e">
        <f xml:space="preserve"> [2]!'HUM.US-BestAsk1'</f>
        <v>#REF!</v>
      </c>
      <c r="K264" s="65" t="e">
        <f t="shared" si="28"/>
        <v>#REF!</v>
      </c>
      <c r="L264" s="65" t="e">
        <f t="shared" si="29"/>
        <v>#REF!</v>
      </c>
      <c r="M264" s="68" t="e">
        <f t="shared" si="30"/>
        <v>#REF!</v>
      </c>
      <c r="AC264" s="440" t="s">
        <v>3164</v>
      </c>
      <c r="AD264" s="441" t="s">
        <v>880</v>
      </c>
      <c r="AE264" s="442">
        <v>0.49</v>
      </c>
      <c r="AF264" s="443">
        <v>5154</v>
      </c>
    </row>
    <row r="265" spans="1:32" ht="43.8" thickBot="1">
      <c r="A265" s="24" t="e">
        <f t="shared" si="27"/>
        <v>#VALUE!</v>
      </c>
      <c r="B265" s="243" t="str">
        <f t="shared" si="31"/>
        <v>INTERCONTINENTAL EXCHANGE IN</v>
      </c>
      <c r="C265" s="25" t="str">
        <f t="shared" si="32"/>
        <v>ICE UN</v>
      </c>
      <c r="D265" s="25">
        <v>1</v>
      </c>
      <c r="E265" s="6" t="str">
        <f xml:space="preserve"> [2]!'IBM.US-PreClose'</f>
        <v>N/A</v>
      </c>
      <c r="F265" s="78">
        <f t="shared" si="33"/>
        <v>3277</v>
      </c>
      <c r="G265" s="49" t="e">
        <f t="shared" si="34"/>
        <v>#VALUE!</v>
      </c>
      <c r="H265" s="6" t="str">
        <f xml:space="preserve"> [2]!'IBM.US-Price'</f>
        <v>N/A</v>
      </c>
      <c r="I265" s="6" t="str">
        <f xml:space="preserve"> [2]!'IBM.US-BestBid1'</f>
        <v>N/A</v>
      </c>
      <c r="J265" s="6" t="str">
        <f xml:space="preserve"> [2]!'IBM.US-BestAsk1'</f>
        <v>N/A</v>
      </c>
      <c r="K265" s="65" t="e">
        <f t="shared" si="28"/>
        <v>#VALUE!</v>
      </c>
      <c r="L265" s="65" t="e">
        <f t="shared" si="29"/>
        <v>#VALUE!</v>
      </c>
      <c r="M265" s="68" t="e">
        <f t="shared" si="30"/>
        <v>#VALUE!</v>
      </c>
      <c r="AC265" s="444" t="s">
        <v>3165</v>
      </c>
      <c r="AD265" s="445" t="s">
        <v>881</v>
      </c>
      <c r="AE265" s="446">
        <v>0.2</v>
      </c>
      <c r="AF265" s="447">
        <v>3277</v>
      </c>
    </row>
    <row r="266" spans="1:32" ht="33" thickBot="1">
      <c r="A266" s="24" t="e">
        <f t="shared" si="27"/>
        <v>#REF!</v>
      </c>
      <c r="B266" s="243" t="str">
        <f t="shared" si="31"/>
        <v>IDEXX LABORATORIES INC</v>
      </c>
      <c r="C266" s="25" t="str">
        <f t="shared" si="32"/>
        <v>IDXX UQ</v>
      </c>
      <c r="D266" s="25">
        <v>1</v>
      </c>
      <c r="E266" s="6" t="e">
        <f xml:space="preserve"> [2]!'ICE.US-PreClose'</f>
        <v>#REF!</v>
      </c>
      <c r="F266" s="78">
        <f t="shared" si="33"/>
        <v>500</v>
      </c>
      <c r="G266" s="49" t="e">
        <f t="shared" si="34"/>
        <v>#REF!</v>
      </c>
      <c r="H266" s="6" t="e">
        <f xml:space="preserve"> [2]!'ICE.US-Price'</f>
        <v>#REF!</v>
      </c>
      <c r="I266" s="6" t="e">
        <f xml:space="preserve"> [2]!'ICE.US-BestBid1'</f>
        <v>#REF!</v>
      </c>
      <c r="J266" s="6" t="e">
        <f xml:space="preserve"> [2]!'ICE.US-BestAsk1'</f>
        <v>#REF!</v>
      </c>
      <c r="K266" s="65" t="e">
        <f t="shared" si="28"/>
        <v>#REF!</v>
      </c>
      <c r="L266" s="65" t="e">
        <f t="shared" si="29"/>
        <v>#REF!</v>
      </c>
      <c r="M266" s="68" t="e">
        <f t="shared" si="30"/>
        <v>#REF!</v>
      </c>
      <c r="AC266" s="440" t="s">
        <v>3166</v>
      </c>
      <c r="AD266" s="441" t="s">
        <v>882</v>
      </c>
      <c r="AE266" s="442">
        <v>0.1</v>
      </c>
      <c r="AF266" s="442">
        <v>500</v>
      </c>
    </row>
    <row r="267" spans="1:32" ht="43.8" thickBot="1">
      <c r="A267" s="24" t="e">
        <f t="shared" si="27"/>
        <v>#REF!</v>
      </c>
      <c r="B267" s="243" t="str">
        <f t="shared" si="31"/>
        <v>INTL FLAVORS &amp; FRAGRANCES</v>
      </c>
      <c r="C267" s="25" t="str">
        <f t="shared" si="32"/>
        <v>IFF UN</v>
      </c>
      <c r="D267" s="25">
        <v>1</v>
      </c>
      <c r="E267" s="6" t="e">
        <f xml:space="preserve"> [2]!'IDXX.US-PreClose'</f>
        <v>#REF!</v>
      </c>
      <c r="F267" s="78">
        <f t="shared" si="33"/>
        <v>589</v>
      </c>
      <c r="G267" s="49" t="e">
        <f t="shared" si="34"/>
        <v>#REF!</v>
      </c>
      <c r="H267" s="6" t="e">
        <f xml:space="preserve"> [2]!'IDXX.US-Price'</f>
        <v>#REF!</v>
      </c>
      <c r="I267" s="6" t="e">
        <f xml:space="preserve"> [2]!'IDXX.US-BestBid1'</f>
        <v>#REF!</v>
      </c>
      <c r="J267" s="6" t="e">
        <f xml:space="preserve"> [2]!'IDXX.US-BestAsk1'</f>
        <v>#REF!</v>
      </c>
      <c r="K267" s="65" t="e">
        <f t="shared" si="28"/>
        <v>#REF!</v>
      </c>
      <c r="L267" s="65" t="e">
        <f t="shared" si="29"/>
        <v>#REF!</v>
      </c>
      <c r="M267" s="68" t="e">
        <f t="shared" si="30"/>
        <v>#REF!</v>
      </c>
      <c r="AC267" s="444" t="s">
        <v>3167</v>
      </c>
      <c r="AD267" s="445" t="s">
        <v>883</v>
      </c>
      <c r="AE267" s="446">
        <v>0.06</v>
      </c>
      <c r="AF267" s="446">
        <v>589</v>
      </c>
    </row>
    <row r="268" spans="1:32" ht="22.2" thickBot="1">
      <c r="A268" s="24" t="e">
        <f t="shared" si="27"/>
        <v>#REF!</v>
      </c>
      <c r="B268" s="243" t="str">
        <f t="shared" si="31"/>
        <v>ILLUMINA INC</v>
      </c>
      <c r="C268" s="25" t="str">
        <f t="shared" si="32"/>
        <v>ILMN UQ</v>
      </c>
      <c r="D268" s="25">
        <v>1</v>
      </c>
      <c r="E268" s="6" t="e">
        <f xml:space="preserve"> [2]!'IFF.US-PreClose'</f>
        <v>#REF!</v>
      </c>
      <c r="F268" s="78">
        <f t="shared" si="33"/>
        <v>854</v>
      </c>
      <c r="G268" s="49" t="e">
        <f t="shared" si="34"/>
        <v>#REF!</v>
      </c>
      <c r="H268" s="6" t="e">
        <f xml:space="preserve"> [2]!'IFF.US-Price'</f>
        <v>#REF!</v>
      </c>
      <c r="I268" s="6" t="e">
        <f xml:space="preserve"> [2]!'IFF.US-BestBid1'</f>
        <v>#REF!</v>
      </c>
      <c r="J268" s="6" t="e">
        <f xml:space="preserve"> [2]!'IFF.US-BestAsk1'</f>
        <v>#REF!</v>
      </c>
      <c r="K268" s="65" t="e">
        <f t="shared" si="28"/>
        <v>#REF!</v>
      </c>
      <c r="L268" s="65" t="e">
        <f t="shared" si="29"/>
        <v>#REF!</v>
      </c>
      <c r="M268" s="68" t="e">
        <f t="shared" si="30"/>
        <v>#REF!</v>
      </c>
      <c r="AC268" s="440" t="s">
        <v>3168</v>
      </c>
      <c r="AD268" s="441" t="s">
        <v>884</v>
      </c>
      <c r="AE268" s="442">
        <v>0.21</v>
      </c>
      <c r="AF268" s="442">
        <v>854</v>
      </c>
    </row>
    <row r="269" spans="1:32" ht="22.2" thickBot="1">
      <c r="A269" s="24" t="e">
        <f t="shared" si="27"/>
        <v>#REF!</v>
      </c>
      <c r="B269" s="243" t="str">
        <f t="shared" si="31"/>
        <v>INCYTE CORP</v>
      </c>
      <c r="C269" s="25" t="str">
        <f t="shared" si="32"/>
        <v>INCY UQ</v>
      </c>
      <c r="D269" s="25">
        <v>1</v>
      </c>
      <c r="E269" s="6" t="e">
        <f xml:space="preserve"> [2]!'ILMN.US-PreClose'</f>
        <v>#REF!</v>
      </c>
      <c r="F269" s="78">
        <f t="shared" si="33"/>
        <v>1035</v>
      </c>
      <c r="G269" s="49" t="e">
        <f t="shared" si="34"/>
        <v>#REF!</v>
      </c>
      <c r="H269" s="6" t="e">
        <f xml:space="preserve"> [2]!'ILMN.US-Price'</f>
        <v>#REF!</v>
      </c>
      <c r="I269" s="6" t="e">
        <f xml:space="preserve"> [2]!'ILMN.US-BestBid1'</f>
        <v>#REF!</v>
      </c>
      <c r="J269" s="6" t="e">
        <f xml:space="preserve"> [2]!'ILMN.US-BestAsk1'</f>
        <v>#REF!</v>
      </c>
      <c r="K269" s="65" t="e">
        <f t="shared" si="28"/>
        <v>#REF!</v>
      </c>
      <c r="L269" s="65" t="e">
        <f t="shared" si="29"/>
        <v>#REF!</v>
      </c>
      <c r="M269" s="68" t="e">
        <f t="shared" si="30"/>
        <v>#REF!</v>
      </c>
      <c r="AC269" s="444" t="s">
        <v>3169</v>
      </c>
      <c r="AD269" s="445" t="s">
        <v>885</v>
      </c>
      <c r="AE269" s="446">
        <v>0.06</v>
      </c>
      <c r="AF269" s="447">
        <v>1035</v>
      </c>
    </row>
    <row r="270" spans="1:32" ht="22.2" thickBot="1">
      <c r="A270" s="24" t="e">
        <f t="shared" si="27"/>
        <v>#REF!</v>
      </c>
      <c r="B270" s="243" t="str">
        <f t="shared" si="31"/>
        <v>IHS MARKIT LTD</v>
      </c>
      <c r="C270" s="25" t="str">
        <f t="shared" si="32"/>
        <v>INFO UN</v>
      </c>
      <c r="D270" s="25">
        <v>1</v>
      </c>
      <c r="E270" s="6" t="e">
        <f xml:space="preserve"> [2]!'INCY.US-PreClose'</f>
        <v>#REF!</v>
      </c>
      <c r="F270" s="78">
        <f t="shared" si="33"/>
        <v>1306</v>
      </c>
      <c r="G270" s="49" t="e">
        <f t="shared" si="34"/>
        <v>#REF!</v>
      </c>
      <c r="H270" s="6" t="e">
        <f xml:space="preserve"> [2]!'INCY.US-Price'</f>
        <v>#REF!</v>
      </c>
      <c r="I270" s="6" t="e">
        <f xml:space="preserve"> [2]!'INCY.US-BestBid1'</f>
        <v>#REF!</v>
      </c>
      <c r="J270" s="6" t="e">
        <f xml:space="preserve"> [2]!'INCY.US-BestAsk1'</f>
        <v>#REF!</v>
      </c>
      <c r="K270" s="65" t="e">
        <f t="shared" si="28"/>
        <v>#REF!</v>
      </c>
      <c r="L270" s="65" t="e">
        <f t="shared" si="29"/>
        <v>#REF!</v>
      </c>
      <c r="M270" s="68" t="e">
        <f t="shared" si="30"/>
        <v>#REF!</v>
      </c>
      <c r="AC270" s="440" t="s">
        <v>3170</v>
      </c>
      <c r="AD270" s="441" t="s">
        <v>886</v>
      </c>
      <c r="AE270" s="442">
        <v>0.06</v>
      </c>
      <c r="AF270" s="443">
        <v>1306</v>
      </c>
    </row>
    <row r="271" spans="1:32" ht="22.2" thickBot="1">
      <c r="A271" s="24" t="e">
        <f t="shared" si="27"/>
        <v>#REF!</v>
      </c>
      <c r="B271" s="243" t="str">
        <f t="shared" si="31"/>
        <v>INTEL CORP</v>
      </c>
      <c r="C271" s="25" t="str">
        <f t="shared" si="32"/>
        <v>INTC UQ</v>
      </c>
      <c r="D271" s="25">
        <v>1</v>
      </c>
      <c r="E271" s="6" t="e">
        <f xml:space="preserve"> [2]!'INFO.US-PreClose'</f>
        <v>#REF!</v>
      </c>
      <c r="F271" s="78">
        <f t="shared" si="33"/>
        <v>26022</v>
      </c>
      <c r="G271" s="49" t="e">
        <f t="shared" si="34"/>
        <v>#REF!</v>
      </c>
      <c r="H271" s="6" t="e">
        <f xml:space="preserve"> [2]!'INFO.US-Price'</f>
        <v>#REF!</v>
      </c>
      <c r="I271" s="6" t="e">
        <f xml:space="preserve"> [2]!'INFO.US-BestBid1'</f>
        <v>#REF!</v>
      </c>
      <c r="J271" s="6" t="e">
        <f xml:space="preserve"> [2]!'INFO.US-BestAsk1'</f>
        <v>#REF!</v>
      </c>
      <c r="K271" s="65" t="e">
        <f t="shared" si="28"/>
        <v>#REF!</v>
      </c>
      <c r="L271" s="65" t="e">
        <f t="shared" si="29"/>
        <v>#REF!</v>
      </c>
      <c r="M271" s="68" t="e">
        <f t="shared" si="30"/>
        <v>#REF!</v>
      </c>
      <c r="AC271" s="444" t="s">
        <v>3171</v>
      </c>
      <c r="AD271" s="445" t="s">
        <v>887</v>
      </c>
      <c r="AE271" s="446">
        <v>0.84</v>
      </c>
      <c r="AF271" s="447">
        <v>26022</v>
      </c>
    </row>
    <row r="272" spans="1:32" ht="16.8" thickBot="1">
      <c r="A272" s="24" t="e">
        <f t="shared" si="27"/>
        <v>#REF!</v>
      </c>
      <c r="B272" s="243" t="str">
        <f t="shared" si="31"/>
        <v>INTUIT INC</v>
      </c>
      <c r="C272" s="25" t="str">
        <f t="shared" si="32"/>
        <v>INTU UQ</v>
      </c>
      <c r="D272" s="25">
        <v>1</v>
      </c>
      <c r="E272" s="6" t="e">
        <f xml:space="preserve"> [2]!'INTC.US-PreClose'</f>
        <v>#REF!</v>
      </c>
      <c r="F272" s="78">
        <f t="shared" si="33"/>
        <v>1507</v>
      </c>
      <c r="G272" s="49" t="e">
        <f t="shared" si="34"/>
        <v>#REF!</v>
      </c>
      <c r="H272" s="6" t="e">
        <f xml:space="preserve"> [2]!'INTC.US-Price'</f>
        <v>#REF!</v>
      </c>
      <c r="I272" s="6" t="e">
        <f xml:space="preserve"> [2]!'INTC.US-BestBid1'</f>
        <v>#REF!</v>
      </c>
      <c r="J272" s="6" t="e">
        <f xml:space="preserve"> [2]!'INTC.US-BestAsk1'</f>
        <v>#REF!</v>
      </c>
      <c r="K272" s="65" t="e">
        <f t="shared" si="28"/>
        <v>#REF!</v>
      </c>
      <c r="L272" s="65" t="e">
        <f t="shared" si="29"/>
        <v>#REF!</v>
      </c>
      <c r="M272" s="68" t="e">
        <f t="shared" si="30"/>
        <v>#REF!</v>
      </c>
      <c r="AC272" s="440" t="s">
        <v>3172</v>
      </c>
      <c r="AD272" s="441" t="s">
        <v>888</v>
      </c>
      <c r="AE272" s="442">
        <v>0.28000000000000003</v>
      </c>
      <c r="AF272" s="443">
        <v>1507</v>
      </c>
    </row>
    <row r="273" spans="1:32" ht="33" thickBot="1">
      <c r="A273" s="24" t="e">
        <f t="shared" si="27"/>
        <v>#REF!</v>
      </c>
      <c r="B273" s="243" t="str">
        <f t="shared" si="31"/>
        <v>INTERNATIONAL PAPER CO</v>
      </c>
      <c r="C273" s="25" t="str">
        <f t="shared" si="32"/>
        <v>IP UN</v>
      </c>
      <c r="D273" s="25">
        <v>1</v>
      </c>
      <c r="E273" s="6" t="e">
        <f xml:space="preserve"> [2]!'INTU.US-PreClose'</f>
        <v>#REF!</v>
      </c>
      <c r="F273" s="78">
        <f t="shared" si="33"/>
        <v>2309</v>
      </c>
      <c r="G273" s="49" t="e">
        <f t="shared" si="34"/>
        <v>#REF!</v>
      </c>
      <c r="H273" s="6" t="e">
        <f xml:space="preserve"> [2]!'INTU.US-Price'</f>
        <v>#REF!</v>
      </c>
      <c r="I273" s="6" t="e">
        <f xml:space="preserve"> [2]!'INTU.US-BestBid1'</f>
        <v>#REF!</v>
      </c>
      <c r="J273" s="6" t="e">
        <f xml:space="preserve"> [2]!'INTU.US-BestAsk1'</f>
        <v>#REF!</v>
      </c>
      <c r="K273" s="65" t="e">
        <f t="shared" si="28"/>
        <v>#REF!</v>
      </c>
      <c r="L273" s="65" t="e">
        <f t="shared" si="29"/>
        <v>#REF!</v>
      </c>
      <c r="M273" s="68" t="e">
        <f t="shared" si="30"/>
        <v>#REF!</v>
      </c>
      <c r="AC273" s="444" t="s">
        <v>3173</v>
      </c>
      <c r="AD273" s="445" t="s">
        <v>889</v>
      </c>
      <c r="AE273" s="446">
        <v>7.0000000000000007E-2</v>
      </c>
      <c r="AF273" s="447">
        <v>2309</v>
      </c>
    </row>
    <row r="274" spans="1:32" ht="33" thickBot="1">
      <c r="A274" s="24" t="e">
        <f t="shared" si="27"/>
        <v>#VALUE!</v>
      </c>
      <c r="B274" s="243" t="str">
        <f t="shared" si="31"/>
        <v>INTERPUBLIC GROUP OF COS INC</v>
      </c>
      <c r="C274" s="25" t="str">
        <f t="shared" si="32"/>
        <v>IPG UN</v>
      </c>
      <c r="D274" s="25">
        <v>1</v>
      </c>
      <c r="E274" s="6" t="str">
        <f xml:space="preserve"> [2]!'IP.US-PreClose'</f>
        <v>N/A</v>
      </c>
      <c r="F274" s="78">
        <f t="shared" si="33"/>
        <v>2250</v>
      </c>
      <c r="G274" s="49" t="e">
        <f t="shared" si="34"/>
        <v>#VALUE!</v>
      </c>
      <c r="H274" s="6" t="str">
        <f xml:space="preserve"> [2]!'IP.US-Price'</f>
        <v>N/A</v>
      </c>
      <c r="I274" s="6" t="str">
        <f xml:space="preserve"> [2]!'IP.US-BestBid1'</f>
        <v>N/A</v>
      </c>
      <c r="J274" s="6" t="str">
        <f xml:space="preserve"> [2]!'IP.US-BestAsk1'</f>
        <v>N/A</v>
      </c>
      <c r="K274" s="65" t="e">
        <f t="shared" si="28"/>
        <v>#VALUE!</v>
      </c>
      <c r="L274" s="65" t="e">
        <f t="shared" si="29"/>
        <v>#VALUE!</v>
      </c>
      <c r="M274" s="68" t="e">
        <f t="shared" si="30"/>
        <v>#VALUE!</v>
      </c>
      <c r="AC274" s="440" t="s">
        <v>3174</v>
      </c>
      <c r="AD274" s="441" t="s">
        <v>890</v>
      </c>
      <c r="AE274" s="442">
        <v>0.03</v>
      </c>
      <c r="AF274" s="443">
        <v>2250</v>
      </c>
    </row>
    <row r="275" spans="1:32" ht="33" thickBot="1">
      <c r="A275" s="24" t="e">
        <f t="shared" si="27"/>
        <v>#REF!</v>
      </c>
      <c r="B275" s="243" t="str">
        <f t="shared" si="31"/>
        <v>IPG PHOTONICS CORP</v>
      </c>
      <c r="C275" s="25" t="str">
        <f t="shared" si="32"/>
        <v>IPGP UQ</v>
      </c>
      <c r="D275" s="25">
        <v>1</v>
      </c>
      <c r="E275" s="6" t="e">
        <f xml:space="preserve"> [2]!'IPG.US-PreClose'</f>
        <v>#REF!</v>
      </c>
      <c r="F275" s="78">
        <f t="shared" si="33"/>
        <v>207</v>
      </c>
      <c r="G275" s="49" t="e">
        <f t="shared" si="34"/>
        <v>#REF!</v>
      </c>
      <c r="H275" s="6" t="e">
        <f xml:space="preserve"> [2]!'IPG.US-Price'</f>
        <v>#REF!</v>
      </c>
      <c r="I275" s="6" t="e">
        <f xml:space="preserve"> [2]!'IPG.US-BestBid1'</f>
        <v>#REF!</v>
      </c>
      <c r="J275" s="6" t="e">
        <f xml:space="preserve"> [2]!'IPG.US-BestAsk1'</f>
        <v>#REF!</v>
      </c>
      <c r="K275" s="65" t="e">
        <f t="shared" si="28"/>
        <v>#REF!</v>
      </c>
      <c r="L275" s="65" t="e">
        <f t="shared" si="29"/>
        <v>#REF!</v>
      </c>
      <c r="M275" s="68" t="e">
        <f t="shared" si="30"/>
        <v>#REF!</v>
      </c>
      <c r="AC275" s="444" t="s">
        <v>3175</v>
      </c>
      <c r="AD275" s="445" t="s">
        <v>3176</v>
      </c>
      <c r="AE275" s="446">
        <v>0.02</v>
      </c>
      <c r="AF275" s="446">
        <v>207</v>
      </c>
    </row>
    <row r="276" spans="1:32" ht="33" thickBot="1">
      <c r="A276" s="24" t="e">
        <f t="shared" si="27"/>
        <v>#REF!</v>
      </c>
      <c r="B276" s="243" t="str">
        <f t="shared" si="31"/>
        <v>IQVIA HOLDINGS INC</v>
      </c>
      <c r="C276" s="25" t="str">
        <f t="shared" si="32"/>
        <v>IQV UN</v>
      </c>
      <c r="D276" s="25">
        <v>1</v>
      </c>
      <c r="E276" s="6" t="e">
        <f xml:space="preserve"> [2]!'IR.US-PreClose'</f>
        <v>#REF!</v>
      </c>
      <c r="F276" s="78">
        <f t="shared" si="33"/>
        <v>917</v>
      </c>
      <c r="G276" s="49" t="e">
        <f t="shared" si="34"/>
        <v>#REF!</v>
      </c>
      <c r="H276" s="6" t="e">
        <f xml:space="preserve"> [2]!'IR.US-Price'</f>
        <v>#REF!</v>
      </c>
      <c r="I276" s="6" t="e">
        <f xml:space="preserve"> [2]!'IR.US-BestBid1'</f>
        <v>#REF!</v>
      </c>
      <c r="J276" s="6" t="e">
        <f xml:space="preserve"> [2]!'IR.US-BestAsk1'</f>
        <v>#REF!</v>
      </c>
      <c r="K276" s="65" t="e">
        <f t="shared" si="28"/>
        <v>#REF!</v>
      </c>
      <c r="L276" s="65" t="e">
        <f t="shared" si="29"/>
        <v>#REF!</v>
      </c>
      <c r="M276" s="68" t="e">
        <f t="shared" si="30"/>
        <v>#REF!</v>
      </c>
      <c r="AC276" s="440" t="s">
        <v>3177</v>
      </c>
      <c r="AD276" s="441" t="s">
        <v>3178</v>
      </c>
      <c r="AE276" s="442">
        <v>0.1</v>
      </c>
      <c r="AF276" s="442">
        <v>917</v>
      </c>
    </row>
    <row r="277" spans="1:32" ht="22.2" thickBot="1">
      <c r="A277" s="24" t="e">
        <f t="shared" si="27"/>
        <v>#VALUE!</v>
      </c>
      <c r="B277" s="243" t="str">
        <f t="shared" si="31"/>
        <v>INGERSOLL-RAND PLC</v>
      </c>
      <c r="C277" s="25" t="str">
        <f t="shared" si="32"/>
        <v>IR UN</v>
      </c>
      <c r="D277" s="25">
        <v>1</v>
      </c>
      <c r="E277" s="6" t="str">
        <f xml:space="preserve"> [2]!'IRM.US-PreClose'</f>
        <v>N/A</v>
      </c>
      <c r="F277" s="78">
        <f t="shared" si="33"/>
        <v>1402</v>
      </c>
      <c r="G277" s="49" t="e">
        <f t="shared" si="34"/>
        <v>#VALUE!</v>
      </c>
      <c r="H277" s="6" t="str">
        <f xml:space="preserve"> [2]!'IRM.US-Price'</f>
        <v>N/A</v>
      </c>
      <c r="I277" s="6" t="str">
        <f xml:space="preserve"> [2]!'IRM.US-BestBid1'</f>
        <v>N/A</v>
      </c>
      <c r="J277" s="6" t="str">
        <f xml:space="preserve"> [2]!'IRM.US-BestAsk1'</f>
        <v>N/A</v>
      </c>
      <c r="K277" s="65" t="e">
        <f t="shared" si="28"/>
        <v>#VALUE!</v>
      </c>
      <c r="L277" s="65" t="e">
        <f t="shared" si="29"/>
        <v>#VALUE!</v>
      </c>
      <c r="M277" s="68" t="e">
        <f t="shared" si="30"/>
        <v>#VALUE!</v>
      </c>
      <c r="AC277" s="444" t="s">
        <v>3179</v>
      </c>
      <c r="AD277" s="445" t="s">
        <v>891</v>
      </c>
      <c r="AE277" s="446">
        <v>0.12</v>
      </c>
      <c r="AF277" s="447">
        <v>1402</v>
      </c>
    </row>
    <row r="278" spans="1:32" ht="33" thickBot="1">
      <c r="A278" s="24" t="e">
        <f t="shared" si="27"/>
        <v>#REF!</v>
      </c>
      <c r="B278" s="243" t="str">
        <f t="shared" si="31"/>
        <v>IRON MOUNTAIN INC</v>
      </c>
      <c r="C278" s="25" t="str">
        <f t="shared" si="32"/>
        <v>IRM UN</v>
      </c>
      <c r="D278" s="25">
        <v>1</v>
      </c>
      <c r="E278" s="6" t="e">
        <f xml:space="preserve"> [2]!'ISRG.US-PreClose'</f>
        <v>#REF!</v>
      </c>
      <c r="F278" s="78">
        <f t="shared" si="33"/>
        <v>1667</v>
      </c>
      <c r="G278" s="49" t="e">
        <f t="shared" si="34"/>
        <v>#REF!</v>
      </c>
      <c r="H278" s="6" t="e">
        <f xml:space="preserve"> [2]!'ISRG.US-Price'</f>
        <v>#REF!</v>
      </c>
      <c r="I278" s="6" t="e">
        <f xml:space="preserve"> [2]!'ISRG.US-BestBid1'</f>
        <v>#REF!</v>
      </c>
      <c r="J278" s="6" t="e">
        <f xml:space="preserve"> [2]!'ISRG.US-BestAsk1'</f>
        <v>#REF!</v>
      </c>
      <c r="K278" s="65" t="e">
        <f t="shared" si="28"/>
        <v>#REF!</v>
      </c>
      <c r="L278" s="65" t="e">
        <f t="shared" si="29"/>
        <v>#REF!</v>
      </c>
      <c r="M278" s="68" t="e">
        <f t="shared" si="30"/>
        <v>#REF!</v>
      </c>
      <c r="AC278" s="440" t="s">
        <v>3180</v>
      </c>
      <c r="AD278" s="441" t="s">
        <v>892</v>
      </c>
      <c r="AE278" s="442">
        <v>0.03</v>
      </c>
      <c r="AF278" s="443">
        <v>1667</v>
      </c>
    </row>
    <row r="279" spans="1:32" ht="33" thickBot="1">
      <c r="A279" s="24" t="e">
        <f t="shared" ref="A279:A342" si="35">G279/$C$6</f>
        <v>#REF!</v>
      </c>
      <c r="B279" s="243" t="str">
        <f t="shared" si="31"/>
        <v>INTUITIVE SURGICAL INC</v>
      </c>
      <c r="C279" s="25" t="str">
        <f t="shared" si="32"/>
        <v>ISRG UQ</v>
      </c>
      <c r="D279" s="25">
        <v>1</v>
      </c>
      <c r="E279" s="6" t="e">
        <f xml:space="preserve"> [2]!'IT.US-PreClose'</f>
        <v>#REF!</v>
      </c>
      <c r="F279" s="78">
        <f t="shared" si="33"/>
        <v>671</v>
      </c>
      <c r="G279" s="49" t="e">
        <f t="shared" si="34"/>
        <v>#REF!</v>
      </c>
      <c r="H279" s="6" t="e">
        <f xml:space="preserve"> [2]!'IT.US-Price'</f>
        <v>#REF!</v>
      </c>
      <c r="I279" s="6" t="e">
        <f xml:space="preserve"> [2]!'IT.US-BestBid1'</f>
        <v>#REF!</v>
      </c>
      <c r="J279" s="6" t="e">
        <f xml:space="preserve"> [2]!'IT.US-BestAsk1'</f>
        <v>#REF!</v>
      </c>
      <c r="K279" s="65" t="e">
        <f t="shared" ref="K279:K342" si="36">IF(ISNUMBER(H279)=TRUE,H279*F279*D279,E279*F279*D279)*$N$2</f>
        <v>#REF!</v>
      </c>
      <c r="L279" s="65" t="e">
        <f t="shared" ref="L279:L342" si="37">IF(ISNUMBER(I279)=TRUE,I279*F279*D279,E279*F279*D279)*$N$2</f>
        <v>#REF!</v>
      </c>
      <c r="M279" s="68" t="e">
        <f t="shared" ref="M279:M342" si="38">IF(ISNUMBER(J279)=TRUE,J279*F279*D279,E279*F279*D279)*$N$2</f>
        <v>#REF!</v>
      </c>
      <c r="AC279" s="444" t="s">
        <v>3181</v>
      </c>
      <c r="AD279" s="445" t="s">
        <v>893</v>
      </c>
      <c r="AE279" s="446">
        <v>0.24</v>
      </c>
      <c r="AF279" s="446">
        <v>671</v>
      </c>
    </row>
    <row r="280" spans="1:32" ht="22.2" thickBot="1">
      <c r="A280" s="24" t="e">
        <f t="shared" si="35"/>
        <v>#REF!</v>
      </c>
      <c r="B280" s="243" t="str">
        <f t="shared" si="31"/>
        <v>GARTNER INC</v>
      </c>
      <c r="C280" s="25" t="str">
        <f t="shared" si="32"/>
        <v>IT UN</v>
      </c>
      <c r="D280" s="25">
        <v>1</v>
      </c>
      <c r="E280" s="6" t="e">
        <f xml:space="preserve"> [2]!'ITW.US-PreClose'</f>
        <v>#REF!</v>
      </c>
      <c r="F280" s="78">
        <f t="shared" si="33"/>
        <v>524</v>
      </c>
      <c r="G280" s="49" t="e">
        <f t="shared" si="34"/>
        <v>#REF!</v>
      </c>
      <c r="H280" s="6" t="e">
        <f xml:space="preserve"> [2]!'ITW.US-Price'</f>
        <v>#REF!</v>
      </c>
      <c r="I280" s="6" t="e">
        <f xml:space="preserve"> [2]!'ITW.US-BestBid1'</f>
        <v>#REF!</v>
      </c>
      <c r="J280" s="6" t="e">
        <f xml:space="preserve"> [2]!'ITW.US-BestAsk1'</f>
        <v>#REF!</v>
      </c>
      <c r="K280" s="65" t="e">
        <f t="shared" si="36"/>
        <v>#REF!</v>
      </c>
      <c r="L280" s="65" t="e">
        <f t="shared" si="37"/>
        <v>#REF!</v>
      </c>
      <c r="M280" s="68" t="e">
        <f t="shared" si="38"/>
        <v>#REF!</v>
      </c>
      <c r="AC280" s="440" t="s">
        <v>3182</v>
      </c>
      <c r="AD280" s="441" t="s">
        <v>894</v>
      </c>
      <c r="AE280" s="442">
        <v>0.06</v>
      </c>
      <c r="AF280" s="442">
        <v>524</v>
      </c>
    </row>
    <row r="281" spans="1:32" ht="33" thickBot="1">
      <c r="A281" s="24" t="e">
        <f t="shared" si="35"/>
        <v>#VALUE!</v>
      </c>
      <c r="B281" s="243" t="str">
        <f t="shared" ref="B281:B344" si="39">AD281</f>
        <v>ILLINOIS TOOL WORKS</v>
      </c>
      <c r="C281" s="25" t="str">
        <f t="shared" ref="C281:C344" si="40">AC281</f>
        <v>ITW UN</v>
      </c>
      <c r="D281" s="25">
        <v>1</v>
      </c>
      <c r="E281" s="6" t="str">
        <f xml:space="preserve"> [2]!'IVZ.US-PreClose'</f>
        <v>N/A</v>
      </c>
      <c r="F281" s="78">
        <f t="shared" ref="F281:F344" si="41">VLOOKUP($C281,$AC$24:$AF$550,4,FALSE)</f>
        <v>1742</v>
      </c>
      <c r="G281" s="49" t="e">
        <f t="shared" ref="G281:G344" si="42">D281*E281*F281*$O$2</f>
        <v>#VALUE!</v>
      </c>
      <c r="H281" s="6" t="str">
        <f xml:space="preserve"> [2]!'IVZ.US-Price'</f>
        <v>N/A</v>
      </c>
      <c r="I281" s="6" t="str">
        <f xml:space="preserve"> [2]!'IVZ.US-BestBid1'</f>
        <v>N/A</v>
      </c>
      <c r="J281" s="6" t="str">
        <f xml:space="preserve"> [2]!'IVZ.US-BestAsk1'</f>
        <v>N/A</v>
      </c>
      <c r="K281" s="65" t="e">
        <f t="shared" si="36"/>
        <v>#VALUE!</v>
      </c>
      <c r="L281" s="65" t="e">
        <f t="shared" si="37"/>
        <v>#VALUE!</v>
      </c>
      <c r="M281" s="68" t="e">
        <f t="shared" si="38"/>
        <v>#VALUE!</v>
      </c>
      <c r="AC281" s="444" t="s">
        <v>3183</v>
      </c>
      <c r="AD281" s="445" t="s">
        <v>895</v>
      </c>
      <c r="AE281" s="446">
        <v>0.17</v>
      </c>
      <c r="AF281" s="447">
        <v>1742</v>
      </c>
    </row>
    <row r="282" spans="1:32" ht="22.2" thickBot="1">
      <c r="A282" s="24" t="e">
        <f t="shared" si="35"/>
        <v>#REF!</v>
      </c>
      <c r="B282" s="243" t="str">
        <f t="shared" si="39"/>
        <v>INVESCO LTD</v>
      </c>
      <c r="C282" s="25" t="str">
        <f t="shared" si="40"/>
        <v>IVZ UN</v>
      </c>
      <c r="D282" s="25">
        <v>1</v>
      </c>
      <c r="E282" s="6" t="e">
        <f xml:space="preserve"> [2]!'JBHT.US-PreClose'</f>
        <v>#REF!</v>
      </c>
      <c r="F282" s="78">
        <f t="shared" si="41"/>
        <v>2328</v>
      </c>
      <c r="G282" s="49" t="e">
        <f t="shared" si="42"/>
        <v>#REF!</v>
      </c>
      <c r="H282" s="6" t="e">
        <f xml:space="preserve"> [2]!'JBHT.US-Price'</f>
        <v>#REF!</v>
      </c>
      <c r="I282" s="6" t="e">
        <f xml:space="preserve"> [2]!'JBHT.US-BestBid1'</f>
        <v>#REF!</v>
      </c>
      <c r="J282" s="6" t="e">
        <f xml:space="preserve"> [2]!'JBHT.US-BestAsk1'</f>
        <v>#REF!</v>
      </c>
      <c r="K282" s="65" t="e">
        <f t="shared" si="36"/>
        <v>#REF!</v>
      </c>
      <c r="L282" s="65" t="e">
        <f t="shared" si="37"/>
        <v>#REF!</v>
      </c>
      <c r="M282" s="68" t="e">
        <f t="shared" si="38"/>
        <v>#REF!</v>
      </c>
      <c r="AC282" s="440" t="s">
        <v>3184</v>
      </c>
      <c r="AD282" s="441" t="s">
        <v>896</v>
      </c>
      <c r="AE282" s="442">
        <v>0.03</v>
      </c>
      <c r="AF282" s="443">
        <v>2328</v>
      </c>
    </row>
    <row r="283" spans="1:32" ht="33" thickBot="1">
      <c r="A283" s="24" t="e">
        <f t="shared" si="35"/>
        <v>#REF!</v>
      </c>
      <c r="B283" s="243" t="str">
        <f t="shared" si="39"/>
        <v>HUNT (JB) TRANSPRT SVCS INC</v>
      </c>
      <c r="C283" s="25" t="str">
        <f t="shared" si="40"/>
        <v>JBHT UQ</v>
      </c>
      <c r="D283" s="25">
        <v>1</v>
      </c>
      <c r="E283" s="6" t="e">
        <f xml:space="preserve"> [2]!'JCI.US-PreClose'</f>
        <v>#REF!</v>
      </c>
      <c r="F283" s="78">
        <f t="shared" si="41"/>
        <v>506</v>
      </c>
      <c r="G283" s="49" t="e">
        <f t="shared" si="42"/>
        <v>#REF!</v>
      </c>
      <c r="H283" s="6" t="e">
        <f xml:space="preserve"> [2]!'JCI.US-Price'</f>
        <v>#REF!</v>
      </c>
      <c r="I283" s="6" t="e">
        <f xml:space="preserve"> [2]!'JCI.US-BestBid1'</f>
        <v>#REF!</v>
      </c>
      <c r="J283" s="6" t="e">
        <f xml:space="preserve"> [2]!'JCI.US-BestAsk1'</f>
        <v>#REF!</v>
      </c>
      <c r="K283" s="65" t="e">
        <f t="shared" si="36"/>
        <v>#REF!</v>
      </c>
      <c r="L283" s="65" t="e">
        <f t="shared" si="37"/>
        <v>#REF!</v>
      </c>
      <c r="M283" s="68" t="e">
        <f t="shared" si="38"/>
        <v>#REF!</v>
      </c>
      <c r="AC283" s="444" t="s">
        <v>3185</v>
      </c>
      <c r="AD283" s="445" t="s">
        <v>897</v>
      </c>
      <c r="AE283" s="446">
        <v>0.03</v>
      </c>
      <c r="AF283" s="446">
        <v>506</v>
      </c>
    </row>
    <row r="284" spans="1:32" ht="43.8" thickBot="1">
      <c r="A284" s="24" t="e">
        <f t="shared" si="35"/>
        <v>#REF!</v>
      </c>
      <c r="B284" s="243" t="str">
        <f t="shared" si="39"/>
        <v>JOHNSON CONTROLS INTERNATION</v>
      </c>
      <c r="C284" s="25" t="str">
        <f t="shared" si="40"/>
        <v>JCI UN</v>
      </c>
      <c r="D284" s="25">
        <v>1</v>
      </c>
      <c r="E284" s="6" t="e">
        <f xml:space="preserve"> [2]!'JEC.US-PreClose'</f>
        <v>#REF!</v>
      </c>
      <c r="F284" s="78">
        <f t="shared" si="41"/>
        <v>4625</v>
      </c>
      <c r="G284" s="49" t="e">
        <f t="shared" si="42"/>
        <v>#REF!</v>
      </c>
      <c r="H284" s="6" t="e">
        <f xml:space="preserve"> [2]!'JEC.US-Price'</f>
        <v>#REF!</v>
      </c>
      <c r="I284" s="6" t="e">
        <f xml:space="preserve"> [2]!'JEC.US-BestBid1'</f>
        <v>#REF!</v>
      </c>
      <c r="J284" s="6" t="e">
        <f xml:space="preserve"> [2]!'JEC.US-BestAsk1'</f>
        <v>#REF!</v>
      </c>
      <c r="K284" s="65" t="e">
        <f t="shared" si="36"/>
        <v>#REF!</v>
      </c>
      <c r="L284" s="65" t="e">
        <f t="shared" si="37"/>
        <v>#REF!</v>
      </c>
      <c r="M284" s="68" t="e">
        <f t="shared" si="38"/>
        <v>#REF!</v>
      </c>
      <c r="AC284" s="440" t="s">
        <v>3186</v>
      </c>
      <c r="AD284" s="441" t="s">
        <v>898</v>
      </c>
      <c r="AE284" s="442">
        <v>0.13</v>
      </c>
      <c r="AF284" s="443">
        <v>4625</v>
      </c>
    </row>
    <row r="285" spans="1:32" ht="43.8" thickBot="1">
      <c r="A285" s="24" t="e">
        <f t="shared" si="35"/>
        <v>#VALUE!</v>
      </c>
      <c r="B285" s="243" t="str">
        <f t="shared" si="39"/>
        <v>JACOBS ENGINEERING GROUP INC</v>
      </c>
      <c r="C285" s="25" t="str">
        <f t="shared" si="40"/>
        <v>JEC UN</v>
      </c>
      <c r="D285" s="25">
        <v>1</v>
      </c>
      <c r="E285" s="6" t="str">
        <f xml:space="preserve"> [2]!'JNJ.US-PreClose'</f>
        <v>N/A</v>
      </c>
      <c r="F285" s="78">
        <f t="shared" si="41"/>
        <v>667</v>
      </c>
      <c r="G285" s="49" t="e">
        <f t="shared" si="42"/>
        <v>#VALUE!</v>
      </c>
      <c r="H285" s="6" t="str">
        <f xml:space="preserve"> [2]!'JNJ.US-Price'</f>
        <v>N/A</v>
      </c>
      <c r="I285" s="6" t="str">
        <f xml:space="preserve"> [2]!'JNJ.US-BestBid1'</f>
        <v>N/A</v>
      </c>
      <c r="J285" s="6" t="str">
        <f xml:space="preserve"> [2]!'JNJ.US-BestAsk1'</f>
        <v>N/A</v>
      </c>
      <c r="K285" s="65" t="e">
        <f t="shared" si="36"/>
        <v>#VALUE!</v>
      </c>
      <c r="L285" s="65" t="e">
        <f t="shared" si="37"/>
        <v>#VALUE!</v>
      </c>
      <c r="M285" s="68" t="e">
        <f t="shared" si="38"/>
        <v>#VALUE!</v>
      </c>
      <c r="AC285" s="444" t="s">
        <v>3187</v>
      </c>
      <c r="AD285" s="445" t="s">
        <v>899</v>
      </c>
      <c r="AE285" s="446">
        <v>0.04</v>
      </c>
      <c r="AF285" s="446">
        <v>667</v>
      </c>
    </row>
    <row r="286" spans="1:32" ht="33" thickBot="1">
      <c r="A286" s="24" t="e">
        <f t="shared" si="35"/>
        <v>#REF!</v>
      </c>
      <c r="B286" s="243" t="str">
        <f t="shared" si="39"/>
        <v>JEFFERIES FINANCIAL GROUP IN</v>
      </c>
      <c r="C286" s="25" t="str">
        <f t="shared" si="40"/>
        <v>JEF UN</v>
      </c>
      <c r="D286" s="25">
        <v>1</v>
      </c>
      <c r="E286" s="6" t="e">
        <f xml:space="preserve"> [2]!'JNPR.US-PreClose'</f>
        <v>#REF!</v>
      </c>
      <c r="F286" s="78">
        <f t="shared" si="41"/>
        <v>1473</v>
      </c>
      <c r="G286" s="49" t="e">
        <f t="shared" si="42"/>
        <v>#REF!</v>
      </c>
      <c r="H286" s="6" t="e">
        <f xml:space="preserve"> [2]!'JNPR.US-Price'</f>
        <v>#REF!</v>
      </c>
      <c r="I286" s="6" t="e">
        <f xml:space="preserve"> [2]!'JNPR.US-BestBid1'</f>
        <v>#REF!</v>
      </c>
      <c r="J286" s="6" t="e">
        <f xml:space="preserve"> [2]!'JNPR.US-BestAsk1'</f>
        <v>#REF!</v>
      </c>
      <c r="K286" s="65" t="e">
        <f t="shared" si="36"/>
        <v>#REF!</v>
      </c>
      <c r="L286" s="65" t="e">
        <f t="shared" si="37"/>
        <v>#REF!</v>
      </c>
      <c r="M286" s="68" t="e">
        <f t="shared" si="38"/>
        <v>#REF!</v>
      </c>
      <c r="AC286" s="440" t="s">
        <v>3188</v>
      </c>
      <c r="AD286" s="441" t="s">
        <v>3189</v>
      </c>
      <c r="AE286" s="442">
        <v>0.02</v>
      </c>
      <c r="AF286" s="443">
        <v>1473</v>
      </c>
    </row>
    <row r="287" spans="1:32" ht="43.8" thickBot="1">
      <c r="A287" s="24" t="e">
        <f t="shared" si="35"/>
        <v>#VALUE!</v>
      </c>
      <c r="B287" s="243" t="str">
        <f t="shared" si="39"/>
        <v>JACK HENRY &amp; ASSOCIATES INC</v>
      </c>
      <c r="C287" s="25" t="str">
        <f t="shared" si="40"/>
        <v>JKHY UQ</v>
      </c>
      <c r="D287" s="25">
        <v>1</v>
      </c>
      <c r="E287" s="6" t="str">
        <f xml:space="preserve"> [2]!'JPM.US-PreClose'</f>
        <v>N/A</v>
      </c>
      <c r="F287" s="78">
        <f t="shared" si="41"/>
        <v>449</v>
      </c>
      <c r="G287" s="49" t="e">
        <f t="shared" si="42"/>
        <v>#VALUE!</v>
      </c>
      <c r="H287" s="6" t="str">
        <f xml:space="preserve"> [2]!'JPM.US-Price'</f>
        <v>N/A</v>
      </c>
      <c r="I287" s="6" t="str">
        <f xml:space="preserve"> [2]!'JPM.US-BestBid1'</f>
        <v>N/A</v>
      </c>
      <c r="J287" s="6" t="str">
        <f xml:space="preserve"> [2]!'JPM.US-BestAsk1'</f>
        <v>N/A</v>
      </c>
      <c r="K287" s="65" t="e">
        <f t="shared" si="36"/>
        <v>#VALUE!</v>
      </c>
      <c r="L287" s="65" t="e">
        <f t="shared" si="37"/>
        <v>#VALUE!</v>
      </c>
      <c r="M287" s="68" t="e">
        <f t="shared" si="38"/>
        <v>#VALUE!</v>
      </c>
      <c r="AC287" s="444" t="s">
        <v>3190</v>
      </c>
      <c r="AD287" s="445" t="s">
        <v>3191</v>
      </c>
      <c r="AE287" s="446">
        <v>0.04</v>
      </c>
      <c r="AF287" s="446">
        <v>449</v>
      </c>
    </row>
    <row r="288" spans="1:32" ht="33" thickBot="1">
      <c r="A288" s="24" t="e">
        <f t="shared" si="35"/>
        <v>#REF!</v>
      </c>
      <c r="B288" s="243" t="str">
        <f t="shared" si="39"/>
        <v>JOHNSON &amp; JOHNSON</v>
      </c>
      <c r="C288" s="25" t="str">
        <f t="shared" si="40"/>
        <v>JNJ UN</v>
      </c>
      <c r="D288" s="25">
        <v>1</v>
      </c>
      <c r="E288" s="6" t="e">
        <f xml:space="preserve"> [2]!'JWN.US-PreClose'</f>
        <v>#REF!</v>
      </c>
      <c r="F288" s="78">
        <f t="shared" si="41"/>
        <v>15432</v>
      </c>
      <c r="G288" s="49" t="e">
        <f t="shared" si="42"/>
        <v>#REF!</v>
      </c>
      <c r="H288" s="6" t="e">
        <f xml:space="preserve"> [2]!'JWN.US-Price'</f>
        <v>#REF!</v>
      </c>
      <c r="I288" s="6" t="e">
        <f xml:space="preserve"> [2]!'JWN.US-BestBid1'</f>
        <v>#REF!</v>
      </c>
      <c r="J288" s="6" t="e">
        <f xml:space="preserve"> [2]!'JWN.US-BestAsk1'</f>
        <v>#REF!</v>
      </c>
      <c r="K288" s="65" t="e">
        <f t="shared" si="36"/>
        <v>#REF!</v>
      </c>
      <c r="L288" s="65" t="e">
        <f t="shared" si="37"/>
        <v>#REF!</v>
      </c>
      <c r="M288" s="68" t="e">
        <f t="shared" si="38"/>
        <v>#REF!</v>
      </c>
      <c r="AC288" s="440" t="s">
        <v>3192</v>
      </c>
      <c r="AD288" s="441" t="s">
        <v>900</v>
      </c>
      <c r="AE288" s="442">
        <v>1.44</v>
      </c>
      <c r="AF288" s="443">
        <v>15432</v>
      </c>
    </row>
    <row r="289" spans="1:32" ht="33" thickBot="1">
      <c r="A289" s="24" t="e">
        <f t="shared" si="35"/>
        <v>#VALUE!</v>
      </c>
      <c r="B289" s="243" t="str">
        <f t="shared" si="39"/>
        <v>JUNIPER NETWORKS INC</v>
      </c>
      <c r="C289" s="25" t="str">
        <f t="shared" si="40"/>
        <v>JNPR UN</v>
      </c>
      <c r="D289" s="25">
        <v>1</v>
      </c>
      <c r="E289" s="6" t="str">
        <f xml:space="preserve"> [2]!'K.US-PreClose'</f>
        <v>N/A</v>
      </c>
      <c r="F289" s="78">
        <f t="shared" si="41"/>
        <v>2001</v>
      </c>
      <c r="G289" s="49" t="e">
        <f t="shared" si="42"/>
        <v>#VALUE!</v>
      </c>
      <c r="H289" s="6" t="str">
        <f xml:space="preserve"> [2]!'K.US-Price'</f>
        <v>N/A</v>
      </c>
      <c r="I289" s="6" t="str">
        <f xml:space="preserve"> [2]!'K.US-BestBid1'</f>
        <v>N/A</v>
      </c>
      <c r="J289" s="6" t="str">
        <f xml:space="preserve"> [2]!'K.US-BestAsk1'</f>
        <v>N/A</v>
      </c>
      <c r="K289" s="65" t="e">
        <f t="shared" si="36"/>
        <v>#VALUE!</v>
      </c>
      <c r="L289" s="65" t="e">
        <f t="shared" si="37"/>
        <v>#VALUE!</v>
      </c>
      <c r="M289" s="68" t="e">
        <f t="shared" si="38"/>
        <v>#VALUE!</v>
      </c>
      <c r="AC289" s="444" t="s">
        <v>3193</v>
      </c>
      <c r="AD289" s="445" t="s">
        <v>901</v>
      </c>
      <c r="AE289" s="446">
        <v>0.04</v>
      </c>
      <c r="AF289" s="447">
        <v>2001</v>
      </c>
    </row>
    <row r="290" spans="1:32" ht="33" thickBot="1">
      <c r="A290" s="24" t="e">
        <f t="shared" si="35"/>
        <v>#REF!</v>
      </c>
      <c r="B290" s="243" t="str">
        <f t="shared" si="39"/>
        <v>JPMORGAN CHASE &amp; CO</v>
      </c>
      <c r="C290" s="25" t="str">
        <f t="shared" si="40"/>
        <v>JPM UN</v>
      </c>
      <c r="D290" s="25">
        <v>1</v>
      </c>
      <c r="E290" s="6" t="e">
        <f xml:space="preserve"> [2]!'KEY.US-PreClose'</f>
        <v>#REF!</v>
      </c>
      <c r="F290" s="78">
        <f t="shared" si="41"/>
        <v>18855</v>
      </c>
      <c r="G290" s="49" t="e">
        <f t="shared" si="42"/>
        <v>#REF!</v>
      </c>
      <c r="H290" s="6" t="e">
        <f xml:space="preserve"> [2]!'KEY.US-Price'</f>
        <v>#REF!</v>
      </c>
      <c r="I290" s="6" t="e">
        <f xml:space="preserve"> [2]!'KEY.US-BestBid1'</f>
        <v>#REF!</v>
      </c>
      <c r="J290" s="6" t="e">
        <f xml:space="preserve"> [2]!'KEY.US-BestAsk1'</f>
        <v>#REF!</v>
      </c>
      <c r="K290" s="65" t="e">
        <f t="shared" si="36"/>
        <v>#REF!</v>
      </c>
      <c r="L290" s="65" t="e">
        <f t="shared" si="37"/>
        <v>#REF!</v>
      </c>
      <c r="M290" s="68" t="e">
        <f t="shared" si="38"/>
        <v>#REF!</v>
      </c>
      <c r="AC290" s="440" t="s">
        <v>3194</v>
      </c>
      <c r="AD290" s="441" t="s">
        <v>902</v>
      </c>
      <c r="AE290" s="442">
        <v>1.44</v>
      </c>
      <c r="AF290" s="443">
        <v>18855</v>
      </c>
    </row>
    <row r="291" spans="1:32" ht="22.2" thickBot="1">
      <c r="A291" s="24" t="e">
        <f t="shared" si="35"/>
        <v>#REF!</v>
      </c>
      <c r="B291" s="243" t="str">
        <f t="shared" si="39"/>
        <v>NORDSTROM INC</v>
      </c>
      <c r="C291" s="25" t="str">
        <f t="shared" si="40"/>
        <v>JWN UN</v>
      </c>
      <c r="D291" s="25">
        <v>1</v>
      </c>
      <c r="E291" s="6" t="e">
        <f xml:space="preserve"> [2]!'KHC.US-PreClose'</f>
        <v>#REF!</v>
      </c>
      <c r="F291" s="78">
        <f t="shared" si="41"/>
        <v>611</v>
      </c>
      <c r="G291" s="49" t="e">
        <f t="shared" si="42"/>
        <v>#REF!</v>
      </c>
      <c r="H291" s="6" t="e">
        <f xml:space="preserve"> [2]!'KHC.US-Price'</f>
        <v>#REF!</v>
      </c>
      <c r="I291" s="6" t="e">
        <f xml:space="preserve"> [2]!'KHC.US-BestBid1'</f>
        <v>#REF!</v>
      </c>
      <c r="J291" s="6" t="e">
        <f xml:space="preserve"> [2]!'KHC.US-BestAsk1'</f>
        <v>#REF!</v>
      </c>
      <c r="K291" s="65" t="e">
        <f t="shared" si="36"/>
        <v>#REF!</v>
      </c>
      <c r="L291" s="65" t="e">
        <f t="shared" si="37"/>
        <v>#REF!</v>
      </c>
      <c r="M291" s="68" t="e">
        <f t="shared" si="38"/>
        <v>#REF!</v>
      </c>
      <c r="AC291" s="444" t="s">
        <v>3195</v>
      </c>
      <c r="AD291" s="445" t="s">
        <v>903</v>
      </c>
      <c r="AE291" s="446">
        <v>0.01</v>
      </c>
      <c r="AF291" s="446">
        <v>611</v>
      </c>
    </row>
    <row r="292" spans="1:32" ht="22.2" thickBot="1">
      <c r="A292" s="24" t="e">
        <f t="shared" si="35"/>
        <v>#VALUE!</v>
      </c>
      <c r="B292" s="243" t="str">
        <f t="shared" si="39"/>
        <v>KELLOGG CO</v>
      </c>
      <c r="C292" s="25" t="str">
        <f t="shared" si="40"/>
        <v>K UN</v>
      </c>
      <c r="D292" s="25">
        <v>1</v>
      </c>
      <c r="E292" s="6" t="str">
        <f xml:space="preserve"> [2]!'KIM.US-PreClose'</f>
        <v>N/A</v>
      </c>
      <c r="F292" s="78">
        <f t="shared" si="41"/>
        <v>1445</v>
      </c>
      <c r="G292" s="49" t="e">
        <f t="shared" si="42"/>
        <v>#VALUE!</v>
      </c>
      <c r="H292" s="6" t="str">
        <f xml:space="preserve"> [2]!'KIM.US-Price'</f>
        <v>N/A</v>
      </c>
      <c r="I292" s="6" t="str">
        <f xml:space="preserve"> [2]!'KIM.US-BestBid1'</f>
        <v>N/A</v>
      </c>
      <c r="J292" s="6" t="str">
        <f xml:space="preserve"> [2]!'KIM.US-BestAsk1'</f>
        <v>N/A</v>
      </c>
      <c r="K292" s="65" t="e">
        <f t="shared" si="36"/>
        <v>#VALUE!</v>
      </c>
      <c r="L292" s="65" t="e">
        <f t="shared" si="37"/>
        <v>#VALUE!</v>
      </c>
      <c r="M292" s="68" t="e">
        <f t="shared" si="38"/>
        <v>#VALUE!</v>
      </c>
      <c r="AC292" s="440" t="s">
        <v>3196</v>
      </c>
      <c r="AD292" s="441" t="s">
        <v>904</v>
      </c>
      <c r="AE292" s="442">
        <v>0.05</v>
      </c>
      <c r="AF292" s="443">
        <v>1445</v>
      </c>
    </row>
    <row r="293" spans="1:32" ht="16.8" thickBot="1">
      <c r="A293" s="24" t="e">
        <f t="shared" si="35"/>
        <v>#REF!</v>
      </c>
      <c r="B293" s="243" t="str">
        <f t="shared" si="39"/>
        <v>KEYCORP</v>
      </c>
      <c r="C293" s="25" t="str">
        <f t="shared" si="40"/>
        <v>KEY UN</v>
      </c>
      <c r="D293" s="25">
        <v>1</v>
      </c>
      <c r="E293" s="6" t="e">
        <f xml:space="preserve"> [2]!'KLAC.US-PreClose'</f>
        <v>#REF!</v>
      </c>
      <c r="F293" s="78">
        <f t="shared" si="41"/>
        <v>5861</v>
      </c>
      <c r="G293" s="49" t="e">
        <f t="shared" si="42"/>
        <v>#REF!</v>
      </c>
      <c r="H293" s="6" t="e">
        <f xml:space="preserve"> [2]!'KLAC.US-Price'</f>
        <v>#REF!</v>
      </c>
      <c r="I293" s="6" t="e">
        <f xml:space="preserve"> [2]!'KLAC.US-BestBid1'</f>
        <v>#REF!</v>
      </c>
      <c r="J293" s="6" t="e">
        <f xml:space="preserve"> [2]!'KLAC.US-BestAsk1'</f>
        <v>#REF!</v>
      </c>
      <c r="K293" s="65" t="e">
        <f t="shared" si="36"/>
        <v>#REF!</v>
      </c>
      <c r="L293" s="65" t="e">
        <f t="shared" si="37"/>
        <v>#REF!</v>
      </c>
      <c r="M293" s="68" t="e">
        <f t="shared" si="38"/>
        <v>#REF!</v>
      </c>
      <c r="AC293" s="444" t="s">
        <v>3197</v>
      </c>
      <c r="AD293" s="445" t="s">
        <v>905</v>
      </c>
      <c r="AE293" s="446">
        <v>7.0000000000000007E-2</v>
      </c>
      <c r="AF293" s="447">
        <v>5861</v>
      </c>
    </row>
    <row r="294" spans="1:32" ht="33" thickBot="1">
      <c r="A294" s="24" t="e">
        <f t="shared" si="35"/>
        <v>#REF!</v>
      </c>
      <c r="B294" s="243" t="str">
        <f t="shared" si="39"/>
        <v>KEYSIGHT TECHNOLOGIES IN</v>
      </c>
      <c r="C294" s="25" t="str">
        <f t="shared" si="40"/>
        <v>KEYS UN</v>
      </c>
      <c r="D294" s="25">
        <v>1</v>
      </c>
      <c r="E294" s="6" t="e">
        <f xml:space="preserve"> [2]!'KMB.US-PreClose'</f>
        <v>#REF!</v>
      </c>
      <c r="F294" s="78">
        <f t="shared" si="41"/>
        <v>1094</v>
      </c>
      <c r="G294" s="49" t="e">
        <f t="shared" si="42"/>
        <v>#REF!</v>
      </c>
      <c r="H294" s="6" t="e">
        <f xml:space="preserve"> [2]!'KMB.US-Price'</f>
        <v>#REF!</v>
      </c>
      <c r="I294" s="6" t="e">
        <f xml:space="preserve"> [2]!'KMB.US-BestBid1'</f>
        <v>#REF!</v>
      </c>
      <c r="J294" s="6" t="e">
        <f xml:space="preserve"> [2]!'KMB.US-BestAsk1'</f>
        <v>#REF!</v>
      </c>
      <c r="K294" s="65" t="e">
        <f t="shared" si="36"/>
        <v>#REF!</v>
      </c>
      <c r="L294" s="65" t="e">
        <f t="shared" si="37"/>
        <v>#REF!</v>
      </c>
      <c r="M294" s="68" t="e">
        <f t="shared" si="38"/>
        <v>#REF!</v>
      </c>
      <c r="AC294" s="440" t="s">
        <v>3198</v>
      </c>
      <c r="AD294" s="441" t="s">
        <v>3199</v>
      </c>
      <c r="AE294" s="442">
        <v>7.0000000000000007E-2</v>
      </c>
      <c r="AF294" s="443">
        <v>1094</v>
      </c>
    </row>
    <row r="295" spans="1:32" ht="33" thickBot="1">
      <c r="A295" s="24" t="e">
        <f t="shared" si="35"/>
        <v>#REF!</v>
      </c>
      <c r="B295" s="243" t="str">
        <f t="shared" si="39"/>
        <v>KRAFT HEINZ CO/THE</v>
      </c>
      <c r="C295" s="25" t="str">
        <f t="shared" si="40"/>
        <v>KHC UQ</v>
      </c>
      <c r="D295" s="25">
        <v>1</v>
      </c>
      <c r="E295" s="6" t="e">
        <f xml:space="preserve"> [2]!'KMI.US-PreClose'</f>
        <v>#REF!</v>
      </c>
      <c r="F295" s="78">
        <f t="shared" si="41"/>
        <v>3616</v>
      </c>
      <c r="G295" s="49" t="e">
        <f t="shared" si="42"/>
        <v>#REF!</v>
      </c>
      <c r="H295" s="6" t="e">
        <f xml:space="preserve"> [2]!'KMI.US-Price'</f>
        <v>#REF!</v>
      </c>
      <c r="I295" s="6" t="e">
        <f xml:space="preserve"> [2]!'KMI.US-BestBid1'</f>
        <v>#REF!</v>
      </c>
      <c r="J295" s="6" t="e">
        <f xml:space="preserve"> [2]!'KMI.US-BestAsk1'</f>
        <v>#REF!</v>
      </c>
      <c r="K295" s="65" t="e">
        <f t="shared" si="36"/>
        <v>#REF!</v>
      </c>
      <c r="L295" s="65" t="e">
        <f t="shared" si="37"/>
        <v>#REF!</v>
      </c>
      <c r="M295" s="68" t="e">
        <f t="shared" si="38"/>
        <v>#REF!</v>
      </c>
      <c r="AC295" s="444" t="s">
        <v>3200</v>
      </c>
      <c r="AD295" s="445" t="s">
        <v>906</v>
      </c>
      <c r="AE295" s="446">
        <v>7.0000000000000007E-2</v>
      </c>
      <c r="AF295" s="447">
        <v>3616</v>
      </c>
    </row>
    <row r="296" spans="1:32" ht="33" thickBot="1">
      <c r="A296" s="24" t="e">
        <f t="shared" si="35"/>
        <v>#REF!</v>
      </c>
      <c r="B296" s="243" t="str">
        <f t="shared" si="39"/>
        <v>KIMCO REALTY CORP</v>
      </c>
      <c r="C296" s="25" t="str">
        <f t="shared" si="40"/>
        <v>KIM UN</v>
      </c>
      <c r="D296" s="25">
        <v>1</v>
      </c>
      <c r="E296" s="6" t="e">
        <f xml:space="preserve"> [2]!'KMX.US-PreClose'</f>
        <v>#REF!</v>
      </c>
      <c r="F296" s="78">
        <f t="shared" si="41"/>
        <v>2453</v>
      </c>
      <c r="G296" s="49" t="e">
        <f t="shared" si="42"/>
        <v>#REF!</v>
      </c>
      <c r="H296" s="6" t="e">
        <f xml:space="preserve"> [2]!'KMX.US-Price'</f>
        <v>#REF!</v>
      </c>
      <c r="I296" s="6" t="e">
        <f xml:space="preserve"> [2]!'KMX.US-BestBid1'</f>
        <v>#REF!</v>
      </c>
      <c r="J296" s="6" t="e">
        <f xml:space="preserve"> [2]!'KMX.US-BestAsk1'</f>
        <v>#REF!</v>
      </c>
      <c r="K296" s="65" t="e">
        <f t="shared" si="36"/>
        <v>#REF!</v>
      </c>
      <c r="L296" s="65" t="e">
        <f t="shared" si="37"/>
        <v>#REF!</v>
      </c>
      <c r="M296" s="68" t="e">
        <f t="shared" si="38"/>
        <v>#REF!</v>
      </c>
      <c r="AC296" s="440" t="s">
        <v>3201</v>
      </c>
      <c r="AD296" s="441" t="s">
        <v>907</v>
      </c>
      <c r="AE296" s="442">
        <v>0.03</v>
      </c>
      <c r="AF296" s="443">
        <v>2453</v>
      </c>
    </row>
    <row r="297" spans="1:32" ht="33" thickBot="1">
      <c r="A297" s="24" t="e">
        <f t="shared" si="35"/>
        <v>#VALUE!</v>
      </c>
      <c r="B297" s="243" t="str">
        <f t="shared" si="39"/>
        <v>KLA-TENCOR CORP</v>
      </c>
      <c r="C297" s="25" t="str">
        <f t="shared" si="40"/>
        <v>KLAC UQ</v>
      </c>
      <c r="D297" s="25">
        <v>1</v>
      </c>
      <c r="E297" s="6" t="str">
        <f xml:space="preserve"> [2]!'KO.US-PreClose'</f>
        <v>N/A</v>
      </c>
      <c r="F297" s="78">
        <f t="shared" si="41"/>
        <v>939</v>
      </c>
      <c r="G297" s="49" t="e">
        <f t="shared" si="42"/>
        <v>#VALUE!</v>
      </c>
      <c r="H297" s="6" t="str">
        <f xml:space="preserve"> [2]!'KO.US-Price'</f>
        <v>N/A</v>
      </c>
      <c r="I297" s="6" t="str">
        <f xml:space="preserve"> [2]!'KO.US-BestBid1'</f>
        <v>N/A</v>
      </c>
      <c r="J297" s="6" t="str">
        <f xml:space="preserve"> [2]!'KO.US-BestAsk1'</f>
        <v>N/A</v>
      </c>
      <c r="K297" s="65" t="e">
        <f t="shared" si="36"/>
        <v>#VALUE!</v>
      </c>
      <c r="L297" s="65" t="e">
        <f t="shared" si="37"/>
        <v>#VALUE!</v>
      </c>
      <c r="M297" s="68" t="e">
        <f t="shared" si="38"/>
        <v>#VALUE!</v>
      </c>
      <c r="AC297" s="444" t="s">
        <v>3202</v>
      </c>
      <c r="AD297" s="445" t="s">
        <v>908</v>
      </c>
      <c r="AE297" s="446">
        <v>0.08</v>
      </c>
      <c r="AF297" s="446">
        <v>939</v>
      </c>
    </row>
    <row r="298" spans="1:32" ht="33" thickBot="1">
      <c r="A298" s="24" t="e">
        <f t="shared" si="35"/>
        <v>#REF!</v>
      </c>
      <c r="B298" s="243" t="str">
        <f t="shared" si="39"/>
        <v>KIMBERLY-CLARK CORP</v>
      </c>
      <c r="C298" s="25" t="str">
        <f t="shared" si="40"/>
        <v>KMB UN</v>
      </c>
      <c r="D298" s="25">
        <v>1</v>
      </c>
      <c r="E298" s="6" t="e">
        <f xml:space="preserve"> [2]!'KORS.US-PreClose'</f>
        <v>#REF!</v>
      </c>
      <c r="F298" s="78">
        <f t="shared" si="41"/>
        <v>1998</v>
      </c>
      <c r="G298" s="49" t="e">
        <f t="shared" si="42"/>
        <v>#REF!</v>
      </c>
      <c r="H298" s="6" t="e">
        <f xml:space="preserve"> [2]!'KORS.US-Price'</f>
        <v>#REF!</v>
      </c>
      <c r="I298" s="6" t="e">
        <f xml:space="preserve"> [2]!'KORS.US-BestBid1'</f>
        <v>#REF!</v>
      </c>
      <c r="J298" s="6" t="e">
        <f xml:space="preserve"> [2]!'KORS.US-BestAsk1'</f>
        <v>#REF!</v>
      </c>
      <c r="K298" s="65" t="e">
        <f t="shared" si="36"/>
        <v>#REF!</v>
      </c>
      <c r="L298" s="65" t="e">
        <f t="shared" si="37"/>
        <v>#REF!</v>
      </c>
      <c r="M298" s="68" t="e">
        <f t="shared" si="38"/>
        <v>#REF!</v>
      </c>
      <c r="AC298" s="440" t="s">
        <v>3203</v>
      </c>
      <c r="AD298" s="441" t="s">
        <v>909</v>
      </c>
      <c r="AE298" s="442">
        <v>0.18</v>
      </c>
      <c r="AF298" s="443">
        <v>1998</v>
      </c>
    </row>
    <row r="299" spans="1:32" ht="33" thickBot="1">
      <c r="A299" s="24" t="e">
        <f t="shared" si="35"/>
        <v>#REF!</v>
      </c>
      <c r="B299" s="243" t="str">
        <f t="shared" si="39"/>
        <v>KINDER MORGAN INC</v>
      </c>
      <c r="C299" s="25" t="str">
        <f t="shared" si="40"/>
        <v>KMI UN</v>
      </c>
      <c r="D299" s="25">
        <v>1</v>
      </c>
      <c r="E299" s="6" t="e">
        <f xml:space="preserve"> [2]!'KR.US-PreClose'</f>
        <v>#REF!</v>
      </c>
      <c r="F299" s="78">
        <f t="shared" si="41"/>
        <v>11316</v>
      </c>
      <c r="G299" s="49" t="e">
        <f t="shared" si="42"/>
        <v>#REF!</v>
      </c>
      <c r="H299" s="6" t="e">
        <f xml:space="preserve"> [2]!'KR.US-Price'</f>
        <v>#REF!</v>
      </c>
      <c r="I299" s="6" t="e">
        <f xml:space="preserve"> [2]!'KR.US-BestBid1'</f>
        <v>#REF!</v>
      </c>
      <c r="J299" s="6" t="e">
        <f xml:space="preserve"> [2]!'KR.US-BestAsk1'</f>
        <v>#REF!</v>
      </c>
      <c r="K299" s="65" t="e">
        <f t="shared" si="36"/>
        <v>#REF!</v>
      </c>
      <c r="L299" s="65" t="e">
        <f t="shared" si="37"/>
        <v>#REF!</v>
      </c>
      <c r="M299" s="68" t="e">
        <f t="shared" si="38"/>
        <v>#REF!</v>
      </c>
      <c r="AC299" s="444" t="s">
        <v>3204</v>
      </c>
      <c r="AD299" s="445" t="s">
        <v>910</v>
      </c>
      <c r="AE299" s="446">
        <v>0.16</v>
      </c>
      <c r="AF299" s="447">
        <v>11316</v>
      </c>
    </row>
    <row r="300" spans="1:32" ht="22.2" thickBot="1">
      <c r="A300" s="24" t="e">
        <f t="shared" si="35"/>
        <v>#REF!</v>
      </c>
      <c r="B300" s="243" t="str">
        <f t="shared" si="39"/>
        <v>CARMAX INC</v>
      </c>
      <c r="C300" s="25" t="str">
        <f t="shared" si="40"/>
        <v>KMX UN</v>
      </c>
      <c r="D300" s="25">
        <v>1</v>
      </c>
      <c r="E300" s="6" t="e">
        <f xml:space="preserve"> [2]!'KSS.US-PreClose'</f>
        <v>#REF!</v>
      </c>
      <c r="F300" s="78">
        <f t="shared" si="41"/>
        <v>966</v>
      </c>
      <c r="G300" s="49" t="e">
        <f t="shared" si="42"/>
        <v>#REF!</v>
      </c>
      <c r="H300" s="6" t="e">
        <f xml:space="preserve"> [2]!'KSS.US-Price'</f>
        <v>#REF!</v>
      </c>
      <c r="I300" s="6" t="e">
        <f xml:space="preserve"> [2]!'KSS.US-BestBid1'</f>
        <v>#REF!</v>
      </c>
      <c r="J300" s="6" t="e">
        <f xml:space="preserve"> [2]!'KSS.US-BestAsk1'</f>
        <v>#REF!</v>
      </c>
      <c r="K300" s="65" t="e">
        <f t="shared" si="36"/>
        <v>#REF!</v>
      </c>
      <c r="L300" s="65" t="e">
        <f t="shared" si="37"/>
        <v>#REF!</v>
      </c>
      <c r="M300" s="68" t="e">
        <f t="shared" si="38"/>
        <v>#REF!</v>
      </c>
      <c r="AC300" s="440" t="s">
        <v>3205</v>
      </c>
      <c r="AD300" s="441" t="s">
        <v>911</v>
      </c>
      <c r="AE300" s="442">
        <v>0.06</v>
      </c>
      <c r="AF300" s="442">
        <v>966</v>
      </c>
    </row>
    <row r="301" spans="1:32" ht="33" thickBot="1">
      <c r="A301" s="24" t="e">
        <f t="shared" si="35"/>
        <v>#REF!</v>
      </c>
      <c r="B301" s="243" t="str">
        <f t="shared" si="39"/>
        <v>COCA-COLA CO/THE</v>
      </c>
      <c r="C301" s="25" t="str">
        <f t="shared" si="40"/>
        <v>KO UN</v>
      </c>
      <c r="D301" s="25">
        <v>1</v>
      </c>
      <c r="E301" s="6" t="e">
        <f xml:space="preserve"> [2]!'KSU.US-PreClose'</f>
        <v>#REF!</v>
      </c>
      <c r="F301" s="78">
        <f t="shared" si="41"/>
        <v>22317</v>
      </c>
      <c r="G301" s="49" t="e">
        <f t="shared" si="42"/>
        <v>#REF!</v>
      </c>
      <c r="H301" s="6" t="e">
        <f xml:space="preserve"> [2]!'KSU.US-Price'</f>
        <v>#REF!</v>
      </c>
      <c r="I301" s="6" t="e">
        <f xml:space="preserve"> [2]!'KSU.US-BestBid1'</f>
        <v>#REF!</v>
      </c>
      <c r="J301" s="6" t="e">
        <f xml:space="preserve"> [2]!'KSU.US-BestAsk1'</f>
        <v>#REF!</v>
      </c>
      <c r="K301" s="65" t="e">
        <f t="shared" si="36"/>
        <v>#REF!</v>
      </c>
      <c r="L301" s="65" t="e">
        <f t="shared" si="37"/>
        <v>#REF!</v>
      </c>
      <c r="M301" s="68" t="e">
        <f t="shared" si="38"/>
        <v>#REF!</v>
      </c>
      <c r="AC301" s="444" t="s">
        <v>3206</v>
      </c>
      <c r="AD301" s="445" t="s">
        <v>912</v>
      </c>
      <c r="AE301" s="446">
        <v>0.78</v>
      </c>
      <c r="AF301" s="447">
        <v>22317</v>
      </c>
    </row>
    <row r="302" spans="1:32" ht="22.2" thickBot="1">
      <c r="A302" s="24" t="e">
        <f t="shared" si="35"/>
        <v>#REF!</v>
      </c>
      <c r="B302" s="243" t="str">
        <f t="shared" si="39"/>
        <v>KROGER CO</v>
      </c>
      <c r="C302" s="25" t="str">
        <f t="shared" si="40"/>
        <v>KR UN</v>
      </c>
      <c r="D302" s="25">
        <v>1</v>
      </c>
      <c r="E302" s="6" t="e">
        <f xml:space="preserve"> [2]!'L.US-PreClose'</f>
        <v>#REF!</v>
      </c>
      <c r="F302" s="78">
        <f t="shared" si="41"/>
        <v>4689</v>
      </c>
      <c r="G302" s="49" t="e">
        <f t="shared" si="42"/>
        <v>#REF!</v>
      </c>
      <c r="H302" s="6" t="e">
        <f xml:space="preserve"> [2]!'L.US-Price'</f>
        <v>#REF!</v>
      </c>
      <c r="I302" s="6" t="e">
        <f xml:space="preserve"> [2]!'L.US-BestBid1'</f>
        <v>#REF!</v>
      </c>
      <c r="J302" s="6" t="e">
        <f xml:space="preserve"> [2]!'L.US-BestAsk1'</f>
        <v>#REF!</v>
      </c>
      <c r="K302" s="65" t="e">
        <f t="shared" si="36"/>
        <v>#REF!</v>
      </c>
      <c r="L302" s="65" t="e">
        <f t="shared" si="37"/>
        <v>#REF!</v>
      </c>
      <c r="M302" s="68" t="e">
        <f t="shared" si="38"/>
        <v>#REF!</v>
      </c>
      <c r="AC302" s="440" t="s">
        <v>3207</v>
      </c>
      <c r="AD302" s="441" t="s">
        <v>913</v>
      </c>
      <c r="AE302" s="442">
        <v>7.0000000000000007E-2</v>
      </c>
      <c r="AF302" s="443">
        <v>4689</v>
      </c>
    </row>
    <row r="303" spans="1:32" ht="22.2" thickBot="1">
      <c r="A303" s="24" t="e">
        <f t="shared" si="35"/>
        <v>#REF!</v>
      </c>
      <c r="B303" s="243" t="str">
        <f t="shared" si="39"/>
        <v>KOHLS CORP</v>
      </c>
      <c r="C303" s="25" t="str">
        <f t="shared" si="40"/>
        <v>KSS UN</v>
      </c>
      <c r="D303" s="25">
        <v>1</v>
      </c>
      <c r="E303" s="6" t="e">
        <f xml:space="preserve"> [2]!'LB.US-PreClose'</f>
        <v>#REF!</v>
      </c>
      <c r="F303" s="78">
        <f t="shared" si="41"/>
        <v>942</v>
      </c>
      <c r="G303" s="49" t="e">
        <f t="shared" si="42"/>
        <v>#REF!</v>
      </c>
      <c r="H303" s="6" t="e">
        <f xml:space="preserve"> [2]!'LB.US-Price'</f>
        <v>#REF!</v>
      </c>
      <c r="I303" s="6" t="e">
        <f xml:space="preserve"> [2]!'LB.US-BestBid1'</f>
        <v>#REF!</v>
      </c>
      <c r="J303" s="6" t="e">
        <f xml:space="preserve"> [2]!'LB.US-BestAsk1'</f>
        <v>#REF!</v>
      </c>
      <c r="K303" s="65" t="e">
        <f t="shared" si="36"/>
        <v>#REF!</v>
      </c>
      <c r="L303" s="65" t="e">
        <f t="shared" si="37"/>
        <v>#REF!</v>
      </c>
      <c r="M303" s="68" t="e">
        <f t="shared" si="38"/>
        <v>#REF!</v>
      </c>
      <c r="AC303" s="444" t="s">
        <v>3208</v>
      </c>
      <c r="AD303" s="445" t="s">
        <v>914</v>
      </c>
      <c r="AE303" s="446">
        <v>0.03</v>
      </c>
      <c r="AF303" s="446">
        <v>942</v>
      </c>
    </row>
    <row r="304" spans="1:32" ht="33" thickBot="1">
      <c r="A304" s="24" t="e">
        <f t="shared" si="35"/>
        <v>#REF!</v>
      </c>
      <c r="B304" s="243" t="str">
        <f t="shared" si="39"/>
        <v>KANSAS CITY SOUTHERN</v>
      </c>
      <c r="C304" s="25" t="str">
        <f t="shared" si="40"/>
        <v>KSU UN</v>
      </c>
      <c r="D304" s="25">
        <v>1</v>
      </c>
      <c r="E304" s="6" t="e">
        <f xml:space="preserve"> [2]!'LEG.US-PreClose'</f>
        <v>#REF!</v>
      </c>
      <c r="F304" s="78">
        <f t="shared" si="41"/>
        <v>585</v>
      </c>
      <c r="G304" s="49" t="e">
        <f t="shared" si="42"/>
        <v>#REF!</v>
      </c>
      <c r="H304" s="6" t="e">
        <f xml:space="preserve"> [2]!'LEG.US-Price'</f>
        <v>#REF!</v>
      </c>
      <c r="I304" s="6" t="e">
        <f xml:space="preserve"> [2]!'LEG.US-BestBid1'</f>
        <v>#REF!</v>
      </c>
      <c r="J304" s="6" t="e">
        <f xml:space="preserve"> [2]!'LEG.US-BestAsk1'</f>
        <v>#REF!</v>
      </c>
      <c r="K304" s="65" t="e">
        <f t="shared" si="36"/>
        <v>#REF!</v>
      </c>
      <c r="L304" s="65" t="e">
        <f t="shared" si="37"/>
        <v>#REF!</v>
      </c>
      <c r="M304" s="68" t="e">
        <f t="shared" si="38"/>
        <v>#REF!</v>
      </c>
      <c r="AC304" s="440" t="s">
        <v>3209</v>
      </c>
      <c r="AD304" s="441" t="s">
        <v>915</v>
      </c>
      <c r="AE304" s="442">
        <v>0.05</v>
      </c>
      <c r="AF304" s="442">
        <v>585</v>
      </c>
    </row>
    <row r="305" spans="1:32" ht="22.2" thickBot="1">
      <c r="A305" s="24" t="e">
        <f t="shared" si="35"/>
        <v>#REF!</v>
      </c>
      <c r="B305" s="243" t="str">
        <f t="shared" si="39"/>
        <v>LOEWS CORP</v>
      </c>
      <c r="C305" s="25" t="str">
        <f t="shared" si="40"/>
        <v>L UN</v>
      </c>
      <c r="D305" s="25">
        <v>1</v>
      </c>
      <c r="E305" s="6" t="e">
        <f xml:space="preserve"> [2]!'LEN.US-PreClose'</f>
        <v>#REF!</v>
      </c>
      <c r="F305" s="78">
        <f t="shared" si="41"/>
        <v>1559</v>
      </c>
      <c r="G305" s="49" t="e">
        <f t="shared" si="42"/>
        <v>#REF!</v>
      </c>
      <c r="H305" s="6" t="e">
        <f xml:space="preserve"> [2]!'LEN.US-Price'</f>
        <v>#REF!</v>
      </c>
      <c r="I305" s="6" t="e">
        <f xml:space="preserve"> [2]!'LEN.US-BestBid1'</f>
        <v>#REF!</v>
      </c>
      <c r="J305" s="6" t="e">
        <f xml:space="preserve"> [2]!'LEN.US-BestAsk1'</f>
        <v>#REF!</v>
      </c>
      <c r="K305" s="65" t="e">
        <f t="shared" si="36"/>
        <v>#REF!</v>
      </c>
      <c r="L305" s="65" t="e">
        <f t="shared" si="37"/>
        <v>#REF!</v>
      </c>
      <c r="M305" s="68" t="e">
        <f t="shared" si="38"/>
        <v>#REF!</v>
      </c>
      <c r="AC305" s="444" t="s">
        <v>3210</v>
      </c>
      <c r="AD305" s="445" t="s">
        <v>916</v>
      </c>
      <c r="AE305" s="446">
        <v>0.06</v>
      </c>
      <c r="AF305" s="447">
        <v>1559</v>
      </c>
    </row>
    <row r="306" spans="1:32" ht="22.2" thickBot="1">
      <c r="A306" s="24" t="e">
        <f t="shared" si="35"/>
        <v>#REF!</v>
      </c>
      <c r="B306" s="243" t="str">
        <f t="shared" si="39"/>
        <v>L BRANDS INC</v>
      </c>
      <c r="C306" s="25" t="str">
        <f t="shared" si="40"/>
        <v>LB UN</v>
      </c>
      <c r="D306" s="25">
        <v>1</v>
      </c>
      <c r="E306" s="6" t="e">
        <f xml:space="preserve"> [2]!'LH.US-PreClose'</f>
        <v>#REF!</v>
      </c>
      <c r="F306" s="78">
        <f t="shared" si="41"/>
        <v>1333</v>
      </c>
      <c r="G306" s="49" t="e">
        <f t="shared" si="42"/>
        <v>#REF!</v>
      </c>
      <c r="H306" s="6" t="e">
        <f xml:space="preserve"> [2]!'LH.US-Price'</f>
        <v>#REF!</v>
      </c>
      <c r="I306" s="6" t="e">
        <f xml:space="preserve"> [2]!'LH.US-BestBid1'</f>
        <v>#REF!</v>
      </c>
      <c r="J306" s="6" t="e">
        <f xml:space="preserve"> [2]!'LH.US-BestAsk1'</f>
        <v>#REF!</v>
      </c>
      <c r="K306" s="65" t="e">
        <f t="shared" si="36"/>
        <v>#REF!</v>
      </c>
      <c r="L306" s="65" t="e">
        <f t="shared" si="37"/>
        <v>#REF!</v>
      </c>
      <c r="M306" s="68" t="e">
        <f t="shared" si="38"/>
        <v>#REF!</v>
      </c>
      <c r="AC306" s="440" t="s">
        <v>3211</v>
      </c>
      <c r="AD306" s="441" t="s">
        <v>917</v>
      </c>
      <c r="AE306" s="442">
        <v>0.02</v>
      </c>
      <c r="AF306" s="443">
        <v>1333</v>
      </c>
    </row>
    <row r="307" spans="1:32" ht="22.2" thickBot="1">
      <c r="A307" s="24" t="e">
        <f t="shared" si="35"/>
        <v>#REF!</v>
      </c>
      <c r="B307" s="243" t="str">
        <f t="shared" si="39"/>
        <v>LEGGETT &amp; PLATT INC</v>
      </c>
      <c r="C307" s="25" t="str">
        <f t="shared" si="40"/>
        <v>LEG UN</v>
      </c>
      <c r="D307" s="25">
        <v>1</v>
      </c>
      <c r="E307" s="6" t="e">
        <f xml:space="preserve"> [2]!'LKQ.US-PreClose'</f>
        <v>#REF!</v>
      </c>
      <c r="F307" s="78">
        <f t="shared" si="41"/>
        <v>763</v>
      </c>
      <c r="G307" s="49" t="e">
        <f t="shared" si="42"/>
        <v>#REF!</v>
      </c>
      <c r="H307" s="6" t="e">
        <f xml:space="preserve"> [2]!'LKQ.US-Price'</f>
        <v>#REF!</v>
      </c>
      <c r="I307" s="6" t="e">
        <f xml:space="preserve"> [2]!'LKQ.US-BestBid1'</f>
        <v>#REF!</v>
      </c>
      <c r="J307" s="6" t="e">
        <f xml:space="preserve"> [2]!'LKQ.US-BestAsk1'</f>
        <v>#REF!</v>
      </c>
      <c r="K307" s="65" t="e">
        <f t="shared" si="36"/>
        <v>#REF!</v>
      </c>
      <c r="L307" s="65" t="e">
        <f t="shared" si="37"/>
        <v>#REF!</v>
      </c>
      <c r="M307" s="68" t="e">
        <f t="shared" si="38"/>
        <v>#REF!</v>
      </c>
      <c r="AC307" s="444" t="s">
        <v>3212</v>
      </c>
      <c r="AD307" s="445" t="s">
        <v>918</v>
      </c>
      <c r="AE307" s="446">
        <v>0.02</v>
      </c>
      <c r="AF307" s="446">
        <v>763</v>
      </c>
    </row>
    <row r="308" spans="1:32" ht="22.2" thickBot="1">
      <c r="A308" s="24" t="e">
        <f t="shared" si="35"/>
        <v>#REF!</v>
      </c>
      <c r="B308" s="243" t="str">
        <f t="shared" si="39"/>
        <v>LENNAR CORP-A</v>
      </c>
      <c r="C308" s="25" t="str">
        <f t="shared" si="40"/>
        <v>LEN UN</v>
      </c>
      <c r="D308" s="25">
        <v>1</v>
      </c>
      <c r="E308" s="6" t="e">
        <f xml:space="preserve"> [2]!'LLL.US-PreClose'</f>
        <v>#REF!</v>
      </c>
      <c r="F308" s="78">
        <f t="shared" si="41"/>
        <v>1659</v>
      </c>
      <c r="G308" s="49" t="e">
        <f t="shared" si="42"/>
        <v>#REF!</v>
      </c>
      <c r="H308" s="6" t="e">
        <f xml:space="preserve"> [2]!'LLL.US-Price'</f>
        <v>#REF!</v>
      </c>
      <c r="I308" s="6" t="e">
        <f xml:space="preserve"> [2]!'LLL.US-BestBid1'</f>
        <v>#REF!</v>
      </c>
      <c r="J308" s="6" t="e">
        <f xml:space="preserve"> [2]!'LLL.US-BestAsk1'</f>
        <v>#REF!</v>
      </c>
      <c r="K308" s="65" t="e">
        <f t="shared" si="36"/>
        <v>#REF!</v>
      </c>
      <c r="L308" s="65" t="e">
        <f t="shared" si="37"/>
        <v>#REF!</v>
      </c>
      <c r="M308" s="68" t="e">
        <f t="shared" si="38"/>
        <v>#REF!</v>
      </c>
      <c r="AC308" s="440" t="s">
        <v>3213</v>
      </c>
      <c r="AD308" s="441" t="s">
        <v>919</v>
      </c>
      <c r="AE308" s="442">
        <v>0.05</v>
      </c>
      <c r="AF308" s="443">
        <v>1659</v>
      </c>
    </row>
    <row r="309" spans="1:32" ht="43.8" thickBot="1">
      <c r="A309" s="24" t="e">
        <f t="shared" si="35"/>
        <v>#REF!</v>
      </c>
      <c r="B309" s="243" t="str">
        <f t="shared" si="39"/>
        <v>LABORATORY CRP OF AMER HLDGS</v>
      </c>
      <c r="C309" s="25" t="str">
        <f t="shared" si="40"/>
        <v>LH UN</v>
      </c>
      <c r="D309" s="25">
        <v>1</v>
      </c>
      <c r="E309" s="6" t="e">
        <f xml:space="preserve"> [2]!'LLY.US-PreClose'</f>
        <v>#REF!</v>
      </c>
      <c r="F309" s="78">
        <f t="shared" si="41"/>
        <v>573</v>
      </c>
      <c r="G309" s="49" t="e">
        <f t="shared" si="42"/>
        <v>#REF!</v>
      </c>
      <c r="H309" s="6" t="e">
        <f xml:space="preserve"> [2]!'LLY.US-Price'</f>
        <v>#REF!</v>
      </c>
      <c r="I309" s="6" t="e">
        <f xml:space="preserve"> [2]!'LLY.US-BestBid1'</f>
        <v>#REF!</v>
      </c>
      <c r="J309" s="6" t="e">
        <f xml:space="preserve"> [2]!'LLY.US-BestAsk1'</f>
        <v>#REF!</v>
      </c>
      <c r="K309" s="65" t="e">
        <f t="shared" si="36"/>
        <v>#REF!</v>
      </c>
      <c r="L309" s="65" t="e">
        <f t="shared" si="37"/>
        <v>#REF!</v>
      </c>
      <c r="M309" s="68" t="e">
        <f t="shared" si="38"/>
        <v>#REF!</v>
      </c>
      <c r="AC309" s="444" t="s">
        <v>3214</v>
      </c>
      <c r="AD309" s="445" t="s">
        <v>920</v>
      </c>
      <c r="AE309" s="446">
        <v>7.0000000000000007E-2</v>
      </c>
      <c r="AF309" s="446">
        <v>573</v>
      </c>
    </row>
    <row r="310" spans="1:32" ht="33" thickBot="1">
      <c r="A310" s="24" t="e">
        <f t="shared" si="35"/>
        <v>#REF!</v>
      </c>
      <c r="B310" s="243" t="str">
        <f t="shared" si="39"/>
        <v>L3HARRIS TECHNOLOGIES INC</v>
      </c>
      <c r="C310" s="25" t="str">
        <f t="shared" si="40"/>
        <v>LHX UN</v>
      </c>
      <c r="D310" s="25">
        <v>1</v>
      </c>
      <c r="E310" s="6" t="e">
        <f xml:space="preserve"> [2]!'LMT.US-PreClose'</f>
        <v>#REF!</v>
      </c>
      <c r="F310" s="78">
        <f t="shared" si="41"/>
        <v>699</v>
      </c>
      <c r="G310" s="49" t="e">
        <f t="shared" si="42"/>
        <v>#REF!</v>
      </c>
      <c r="H310" s="6" t="e">
        <f xml:space="preserve"> [2]!'LMT.US-Price'</f>
        <v>#REF!</v>
      </c>
      <c r="I310" s="6" t="e">
        <f xml:space="preserve"> [2]!'LMT.US-BestBid1'</f>
        <v>#REF!</v>
      </c>
      <c r="J310" s="6" t="e">
        <f xml:space="preserve"> [2]!'LMT.US-BestAsk1'</f>
        <v>#REF!</v>
      </c>
      <c r="K310" s="65" t="e">
        <f t="shared" si="36"/>
        <v>#REF!</v>
      </c>
      <c r="L310" s="65" t="e">
        <f t="shared" si="37"/>
        <v>#REF!</v>
      </c>
      <c r="M310" s="68" t="e">
        <f t="shared" si="38"/>
        <v>#REF!</v>
      </c>
      <c r="AC310" s="440" t="s">
        <v>3215</v>
      </c>
      <c r="AD310" s="441" t="s">
        <v>3216</v>
      </c>
      <c r="AE310" s="442">
        <v>0.09</v>
      </c>
      <c r="AF310" s="442">
        <v>699</v>
      </c>
    </row>
    <row r="311" spans="1:32" ht="16.8" thickBot="1">
      <c r="A311" s="24" t="e">
        <f t="shared" si="35"/>
        <v>#REF!</v>
      </c>
      <c r="B311" s="243" t="str">
        <f t="shared" si="39"/>
        <v>LINDE PLC</v>
      </c>
      <c r="C311" s="25" t="str">
        <f t="shared" si="40"/>
        <v>LIN UN</v>
      </c>
      <c r="D311" s="25">
        <v>1</v>
      </c>
      <c r="E311" s="6" t="e">
        <f xml:space="preserve"> [2]!'LNC.US-PreClose'</f>
        <v>#REF!</v>
      </c>
      <c r="F311" s="78">
        <f t="shared" si="41"/>
        <v>3155</v>
      </c>
      <c r="G311" s="49" t="e">
        <f t="shared" si="42"/>
        <v>#REF!</v>
      </c>
      <c r="H311" s="6" t="e">
        <f xml:space="preserve"> [2]!'LNC.US-Price'</f>
        <v>#REF!</v>
      </c>
      <c r="I311" s="6" t="e">
        <f xml:space="preserve"> [2]!'LNC.US-BestBid1'</f>
        <v>#REF!</v>
      </c>
      <c r="J311" s="6" t="e">
        <f xml:space="preserve"> [2]!'LNC.US-BestAsk1'</f>
        <v>#REF!</v>
      </c>
      <c r="K311" s="65" t="e">
        <f t="shared" si="36"/>
        <v>#REF!</v>
      </c>
      <c r="L311" s="65" t="e">
        <f t="shared" si="37"/>
        <v>#REF!</v>
      </c>
      <c r="M311" s="68" t="e">
        <f t="shared" si="38"/>
        <v>#REF!</v>
      </c>
      <c r="AC311" s="444" t="s">
        <v>3217</v>
      </c>
      <c r="AD311" s="445" t="s">
        <v>3218</v>
      </c>
      <c r="AE311" s="446">
        <v>0.43</v>
      </c>
      <c r="AF311" s="447">
        <v>3155</v>
      </c>
    </row>
    <row r="312" spans="1:32" ht="16.8" thickBot="1">
      <c r="A312" s="24" t="e">
        <f t="shared" si="35"/>
        <v>#REF!</v>
      </c>
      <c r="B312" s="243" t="str">
        <f t="shared" si="39"/>
        <v>LKQ CORP</v>
      </c>
      <c r="C312" s="25" t="str">
        <f t="shared" si="40"/>
        <v>LKQ UQ</v>
      </c>
      <c r="D312" s="25">
        <v>1</v>
      </c>
      <c r="E312" s="6" t="e">
        <f xml:space="preserve"> [2]!'LNT.US-PreClose'</f>
        <v>#REF!</v>
      </c>
      <c r="F312" s="78">
        <f t="shared" si="41"/>
        <v>1825</v>
      </c>
      <c r="G312" s="49" t="e">
        <f t="shared" si="42"/>
        <v>#REF!</v>
      </c>
      <c r="H312" s="6" t="e">
        <f xml:space="preserve"> [2]!'LNT.US-Price'</f>
        <v>#REF!</v>
      </c>
      <c r="I312" s="6" t="e">
        <f xml:space="preserve"> [2]!'LNT.US-BestBid1'</f>
        <v>#REF!</v>
      </c>
      <c r="J312" s="6" t="e">
        <f xml:space="preserve"> [2]!'LNT.US-BestAsk1'</f>
        <v>#REF!</v>
      </c>
      <c r="K312" s="65" t="e">
        <f t="shared" si="36"/>
        <v>#REF!</v>
      </c>
      <c r="L312" s="65" t="e">
        <f t="shared" si="37"/>
        <v>#REF!</v>
      </c>
      <c r="M312" s="68" t="e">
        <f t="shared" si="38"/>
        <v>#REF!</v>
      </c>
      <c r="AC312" s="440" t="s">
        <v>3219</v>
      </c>
      <c r="AD312" s="441" t="s">
        <v>921</v>
      </c>
      <c r="AE312" s="442">
        <v>0.03</v>
      </c>
      <c r="AF312" s="443">
        <v>1825</v>
      </c>
    </row>
    <row r="313" spans="1:32" ht="22.2" thickBot="1">
      <c r="A313" s="24" t="e">
        <f t="shared" si="35"/>
        <v>#REF!</v>
      </c>
      <c r="B313" s="243" t="str">
        <f t="shared" si="39"/>
        <v>ELI LILLY &amp; CO</v>
      </c>
      <c r="C313" s="25" t="str">
        <f t="shared" si="40"/>
        <v>LLY UN</v>
      </c>
      <c r="D313" s="25">
        <v>1</v>
      </c>
      <c r="E313" s="6" t="e">
        <f xml:space="preserve"> [2]!'LOW.US-PreClose'</f>
        <v>#REF!</v>
      </c>
      <c r="F313" s="78">
        <f t="shared" si="41"/>
        <v>5022</v>
      </c>
      <c r="G313" s="49" t="e">
        <f t="shared" si="42"/>
        <v>#REF!</v>
      </c>
      <c r="H313" s="6" t="e">
        <f xml:space="preserve"> [2]!'LOW.US-Price'</f>
        <v>#REF!</v>
      </c>
      <c r="I313" s="6" t="e">
        <f xml:space="preserve"> [2]!'LOW.US-BestBid1'</f>
        <v>#REF!</v>
      </c>
      <c r="J313" s="6" t="e">
        <f xml:space="preserve"> [2]!'LOW.US-BestAsk1'</f>
        <v>#REF!</v>
      </c>
      <c r="K313" s="65" t="e">
        <f t="shared" si="36"/>
        <v>#REF!</v>
      </c>
      <c r="L313" s="65" t="e">
        <f t="shared" si="37"/>
        <v>#REF!</v>
      </c>
      <c r="M313" s="68" t="e">
        <f t="shared" si="38"/>
        <v>#REF!</v>
      </c>
      <c r="AC313" s="444" t="s">
        <v>3220</v>
      </c>
      <c r="AD313" s="445" t="s">
        <v>922</v>
      </c>
      <c r="AE313" s="446">
        <v>0.37</v>
      </c>
      <c r="AF313" s="447">
        <v>5022</v>
      </c>
    </row>
    <row r="314" spans="1:32" ht="33" thickBot="1">
      <c r="A314" s="24" t="e">
        <f t="shared" si="35"/>
        <v>#REF!</v>
      </c>
      <c r="B314" s="243" t="str">
        <f t="shared" si="39"/>
        <v>LOCKHEED MARTIN CORP</v>
      </c>
      <c r="C314" s="25" t="str">
        <f t="shared" si="40"/>
        <v>LMT UN</v>
      </c>
      <c r="D314" s="25">
        <v>1</v>
      </c>
      <c r="E314" s="6" t="e">
        <f xml:space="preserve"> [2]!'LRCX.US-PreClose'</f>
        <v>#REF!</v>
      </c>
      <c r="F314" s="78">
        <f t="shared" si="41"/>
        <v>1429</v>
      </c>
      <c r="G314" s="49" t="e">
        <f t="shared" si="42"/>
        <v>#REF!</v>
      </c>
      <c r="H314" s="6" t="e">
        <f xml:space="preserve"> [2]!'LRCX.US-Price'</f>
        <v>#REF!</v>
      </c>
      <c r="I314" s="6" t="e">
        <f xml:space="preserve"> [2]!'LRCX.US-BestBid1'</f>
        <v>#REF!</v>
      </c>
      <c r="J314" s="6" t="e">
        <f xml:space="preserve"> [2]!'LRCX.US-BestAsk1'</f>
        <v>#REF!</v>
      </c>
      <c r="K314" s="65" t="e">
        <f t="shared" si="36"/>
        <v>#REF!</v>
      </c>
      <c r="L314" s="65" t="e">
        <f t="shared" si="37"/>
        <v>#REF!</v>
      </c>
      <c r="M314" s="68" t="e">
        <f t="shared" si="38"/>
        <v>#REF!</v>
      </c>
      <c r="AC314" s="440" t="s">
        <v>3221</v>
      </c>
      <c r="AD314" s="441" t="s">
        <v>923</v>
      </c>
      <c r="AE314" s="442">
        <v>0.35</v>
      </c>
      <c r="AF314" s="443">
        <v>1429</v>
      </c>
    </row>
    <row r="315" spans="1:32" ht="33" thickBot="1">
      <c r="A315" s="24" t="e">
        <f t="shared" si="35"/>
        <v>#REF!</v>
      </c>
      <c r="B315" s="243" t="str">
        <f t="shared" si="39"/>
        <v>LINCOLN NATIONAL CORP</v>
      </c>
      <c r="C315" s="25" t="str">
        <f t="shared" si="40"/>
        <v>LNC UN</v>
      </c>
      <c r="D315" s="25">
        <v>1</v>
      </c>
      <c r="E315" s="6" t="e">
        <f xml:space="preserve"> [2]!'LUK.US-PreClose'</f>
        <v>#REF!</v>
      </c>
      <c r="F315" s="78">
        <f t="shared" si="41"/>
        <v>1176</v>
      </c>
      <c r="G315" s="49" t="e">
        <f t="shared" si="42"/>
        <v>#REF!</v>
      </c>
      <c r="H315" s="6" t="e">
        <f xml:space="preserve"> [2]!'LUK.US-Price'</f>
        <v>#REF!</v>
      </c>
      <c r="I315" s="6" t="e">
        <f xml:space="preserve"> [2]!'LUK.US-BestBid1'</f>
        <v>#REF!</v>
      </c>
      <c r="J315" s="6" t="e">
        <f xml:space="preserve"> [2]!'LUK.US-BestAsk1'</f>
        <v>#REF!</v>
      </c>
      <c r="K315" s="65" t="e">
        <f t="shared" si="36"/>
        <v>#REF!</v>
      </c>
      <c r="L315" s="65" t="e">
        <f t="shared" si="37"/>
        <v>#REF!</v>
      </c>
      <c r="M315" s="68" t="e">
        <f t="shared" si="38"/>
        <v>#REF!</v>
      </c>
      <c r="AC315" s="444" t="s">
        <v>3222</v>
      </c>
      <c r="AD315" s="445" t="s">
        <v>924</v>
      </c>
      <c r="AE315" s="446">
        <v>0.05</v>
      </c>
      <c r="AF315" s="447">
        <v>1176</v>
      </c>
    </row>
    <row r="316" spans="1:32" ht="33" thickBot="1">
      <c r="A316" s="24" t="e">
        <f t="shared" si="35"/>
        <v>#REF!</v>
      </c>
      <c r="B316" s="243" t="str">
        <f t="shared" si="39"/>
        <v>ALLIANT ENERGY CORP</v>
      </c>
      <c r="C316" s="25" t="str">
        <f t="shared" si="40"/>
        <v>LNT UQ</v>
      </c>
      <c r="D316" s="25">
        <v>1</v>
      </c>
      <c r="E316" s="6" t="e">
        <f xml:space="preserve"> [2]!'LUV.US-PreClose'</f>
        <v>#REF!</v>
      </c>
      <c r="F316" s="78">
        <f t="shared" si="41"/>
        <v>1373</v>
      </c>
      <c r="G316" s="49" t="e">
        <f t="shared" si="42"/>
        <v>#REF!</v>
      </c>
      <c r="H316" s="6" t="e">
        <f xml:space="preserve"> [2]!'LUV.US-Price'</f>
        <v>#REF!</v>
      </c>
      <c r="I316" s="6" t="e">
        <f xml:space="preserve"> [2]!'LUV.US-BestBid1'</f>
        <v>#REF!</v>
      </c>
      <c r="J316" s="6" t="e">
        <f xml:space="preserve"> [2]!'LUV.US-BestAsk1'</f>
        <v>#REF!</v>
      </c>
      <c r="K316" s="65" t="e">
        <f t="shared" si="36"/>
        <v>#REF!</v>
      </c>
      <c r="L316" s="65" t="e">
        <f t="shared" si="37"/>
        <v>#REF!</v>
      </c>
      <c r="M316" s="68" t="e">
        <f t="shared" si="38"/>
        <v>#REF!</v>
      </c>
      <c r="AC316" s="440" t="s">
        <v>3223</v>
      </c>
      <c r="AD316" s="441" t="s">
        <v>925</v>
      </c>
      <c r="AE316" s="442">
        <v>0.05</v>
      </c>
      <c r="AF316" s="443">
        <v>1373</v>
      </c>
    </row>
    <row r="317" spans="1:32" ht="22.2" thickBot="1">
      <c r="A317" s="24" t="e">
        <f t="shared" si="35"/>
        <v>#REF!</v>
      </c>
      <c r="B317" s="243" t="str">
        <f t="shared" si="39"/>
        <v>LOWE`S COS INC</v>
      </c>
      <c r="C317" s="25" t="str">
        <f t="shared" si="40"/>
        <v>LOW UN</v>
      </c>
      <c r="D317" s="25">
        <v>1</v>
      </c>
      <c r="E317" s="6" t="e">
        <f xml:space="preserve"> [2]!'LVLT.US-PreClose'</f>
        <v>#REF!</v>
      </c>
      <c r="F317" s="78">
        <f t="shared" si="41"/>
        <v>4551</v>
      </c>
      <c r="G317" s="49" t="e">
        <f t="shared" si="42"/>
        <v>#REF!</v>
      </c>
      <c r="H317" s="6" t="e">
        <f xml:space="preserve"> [2]!'LVLT.US-Price'</f>
        <v>#REF!</v>
      </c>
      <c r="I317" s="6" t="e">
        <f xml:space="preserve"> [2]!'LVLT.US-BestBid1'</f>
        <v>#REF!</v>
      </c>
      <c r="J317" s="6" t="e">
        <f xml:space="preserve"> [2]!'LVLT.US-BestAsk1'</f>
        <v>#REF!</v>
      </c>
      <c r="K317" s="65" t="e">
        <f t="shared" si="36"/>
        <v>#REF!</v>
      </c>
      <c r="L317" s="65" t="e">
        <f t="shared" si="37"/>
        <v>#REF!</v>
      </c>
      <c r="M317" s="68" t="e">
        <f t="shared" si="38"/>
        <v>#REF!</v>
      </c>
      <c r="AC317" s="444" t="s">
        <v>3224</v>
      </c>
      <c r="AD317" s="445" t="s">
        <v>926</v>
      </c>
      <c r="AE317" s="446">
        <v>0.32</v>
      </c>
      <c r="AF317" s="447">
        <v>4551</v>
      </c>
    </row>
    <row r="318" spans="1:32" ht="33" thickBot="1">
      <c r="A318" s="24" t="e">
        <f t="shared" si="35"/>
        <v>#REF!</v>
      </c>
      <c r="B318" s="243" t="str">
        <f t="shared" si="39"/>
        <v>LAM RESEARCH CORP</v>
      </c>
      <c r="C318" s="25" t="str">
        <f t="shared" si="40"/>
        <v>LRCX UQ</v>
      </c>
      <c r="D318" s="25">
        <v>1</v>
      </c>
      <c r="E318" s="6" t="e">
        <f xml:space="preserve"> [2]!'LYB.US-PreClose'</f>
        <v>#REF!</v>
      </c>
      <c r="F318" s="78">
        <f t="shared" si="41"/>
        <v>871</v>
      </c>
      <c r="G318" s="49" t="e">
        <f t="shared" si="42"/>
        <v>#REF!</v>
      </c>
      <c r="H318" s="6" t="e">
        <f xml:space="preserve"> [2]!'LYB.US-Price'</f>
        <v>#REF!</v>
      </c>
      <c r="I318" s="6" t="e">
        <f xml:space="preserve"> [2]!'LYB.US-BestBid1'</f>
        <v>#REF!</v>
      </c>
      <c r="J318" s="6" t="e">
        <f xml:space="preserve"> [2]!'LYB.US-BestAsk1'</f>
        <v>#REF!</v>
      </c>
      <c r="K318" s="65" t="e">
        <f t="shared" si="36"/>
        <v>#REF!</v>
      </c>
      <c r="L318" s="65" t="e">
        <f t="shared" si="37"/>
        <v>#REF!</v>
      </c>
      <c r="M318" s="68" t="e">
        <f t="shared" si="38"/>
        <v>#REF!</v>
      </c>
      <c r="AC318" s="440" t="s">
        <v>3225</v>
      </c>
      <c r="AD318" s="441" t="s">
        <v>927</v>
      </c>
      <c r="AE318" s="442">
        <v>0.11</v>
      </c>
      <c r="AF318" s="442">
        <v>871</v>
      </c>
    </row>
    <row r="319" spans="1:32" ht="33" thickBot="1">
      <c r="A319" s="24" t="e">
        <f t="shared" si="35"/>
        <v>#REF!</v>
      </c>
      <c r="B319" s="243" t="str">
        <f t="shared" si="39"/>
        <v>SOUTHWEST AIRLINES CO</v>
      </c>
      <c r="C319" s="25" t="str">
        <f t="shared" si="40"/>
        <v>LUV UN</v>
      </c>
      <c r="D319" s="25">
        <v>1</v>
      </c>
      <c r="E319" s="6" t="e">
        <f xml:space="preserve"> [2]!'M.US-PreClose'</f>
        <v>#REF!</v>
      </c>
      <c r="F319" s="78">
        <f t="shared" si="41"/>
        <v>2841</v>
      </c>
      <c r="G319" s="49" t="e">
        <f t="shared" si="42"/>
        <v>#REF!</v>
      </c>
      <c r="H319" s="6" t="e">
        <f xml:space="preserve"> [2]!'M.US-Price'</f>
        <v>#REF!</v>
      </c>
      <c r="I319" s="6" t="e">
        <f xml:space="preserve"> [2]!'M.US-BestBid1'</f>
        <v>#REF!</v>
      </c>
      <c r="J319" s="6" t="e">
        <f xml:space="preserve"> [2]!'M.US-BestAsk1'</f>
        <v>#REF!</v>
      </c>
      <c r="K319" s="65" t="e">
        <f t="shared" si="36"/>
        <v>#REF!</v>
      </c>
      <c r="L319" s="65" t="e">
        <f t="shared" si="37"/>
        <v>#REF!</v>
      </c>
      <c r="M319" s="68" t="e">
        <f t="shared" si="38"/>
        <v>#REF!</v>
      </c>
      <c r="AC319" s="444" t="s">
        <v>3226</v>
      </c>
      <c r="AD319" s="445" t="s">
        <v>928</v>
      </c>
      <c r="AE319" s="446">
        <v>0.1</v>
      </c>
      <c r="AF319" s="447">
        <v>2841</v>
      </c>
    </row>
    <row r="320" spans="1:32" ht="43.8" thickBot="1">
      <c r="A320" s="24" t="e">
        <f t="shared" si="35"/>
        <v>#REF!</v>
      </c>
      <c r="B320" s="243" t="str">
        <f t="shared" si="39"/>
        <v>LAMB WESTON HOLDINGS INC</v>
      </c>
      <c r="C320" s="25" t="str">
        <f t="shared" si="40"/>
        <v>LW UN</v>
      </c>
      <c r="D320" s="25">
        <v>1</v>
      </c>
      <c r="E320" s="6" t="e">
        <f xml:space="preserve"> [2]!'MA.US-PreClose'</f>
        <v>#REF!</v>
      </c>
      <c r="F320" s="78">
        <f t="shared" si="41"/>
        <v>850</v>
      </c>
      <c r="G320" s="49" t="e">
        <f t="shared" si="42"/>
        <v>#REF!</v>
      </c>
      <c r="H320" s="6" t="e">
        <f xml:space="preserve"> [2]!'MA.US-Price'</f>
        <v>#REF!</v>
      </c>
      <c r="I320" s="6" t="e">
        <f xml:space="preserve"> [2]!'MA.US-BestBid1'</f>
        <v>#REF!</v>
      </c>
      <c r="J320" s="6" t="e">
        <f xml:space="preserve"> [2]!'MA.US-BestAsk1'</f>
        <v>#REF!</v>
      </c>
      <c r="K320" s="65" t="e">
        <f t="shared" si="36"/>
        <v>#REF!</v>
      </c>
      <c r="L320" s="65" t="e">
        <f t="shared" si="37"/>
        <v>#REF!</v>
      </c>
      <c r="M320" s="68" t="e">
        <f t="shared" si="38"/>
        <v>#REF!</v>
      </c>
      <c r="AC320" s="440" t="s">
        <v>3227</v>
      </c>
      <c r="AD320" s="441" t="s">
        <v>3228</v>
      </c>
      <c r="AE320" s="442">
        <v>0.04</v>
      </c>
      <c r="AF320" s="442">
        <v>850</v>
      </c>
    </row>
    <row r="321" spans="1:32" ht="33" thickBot="1">
      <c r="A321" s="24" t="e">
        <f t="shared" si="35"/>
        <v>#REF!</v>
      </c>
      <c r="B321" s="243" t="str">
        <f t="shared" si="39"/>
        <v>LYONDELLBASELL INDU-CL A</v>
      </c>
      <c r="C321" s="25" t="str">
        <f t="shared" si="40"/>
        <v>LYB UN</v>
      </c>
      <c r="D321" s="25">
        <v>1</v>
      </c>
      <c r="E321" s="6" t="e">
        <f xml:space="preserve"> [2]!'MAA.US-PreClose'</f>
        <v>#REF!</v>
      </c>
      <c r="F321" s="78">
        <f t="shared" si="41"/>
        <v>1765</v>
      </c>
      <c r="G321" s="49" t="e">
        <f t="shared" si="42"/>
        <v>#REF!</v>
      </c>
      <c r="H321" s="6" t="e">
        <f xml:space="preserve"> [2]!'MAA.US-Price'</f>
        <v>#REF!</v>
      </c>
      <c r="I321" s="6" t="e">
        <f xml:space="preserve"> [2]!'MAA.US-BestBid1'</f>
        <v>#REF!</v>
      </c>
      <c r="J321" s="6" t="e">
        <f xml:space="preserve"> [2]!'MAA.US-BestAsk1'</f>
        <v>#REF!</v>
      </c>
      <c r="K321" s="65" t="e">
        <f t="shared" si="36"/>
        <v>#REF!</v>
      </c>
      <c r="L321" s="65" t="e">
        <f t="shared" si="37"/>
        <v>#REF!</v>
      </c>
      <c r="M321" s="68" t="e">
        <f t="shared" si="38"/>
        <v>#REF!</v>
      </c>
      <c r="AC321" s="444" t="s">
        <v>3229</v>
      </c>
      <c r="AD321" s="445" t="s">
        <v>929</v>
      </c>
      <c r="AE321" s="446">
        <v>0.1</v>
      </c>
      <c r="AF321" s="447">
        <v>1765</v>
      </c>
    </row>
    <row r="322" spans="1:32" ht="22.2" thickBot="1">
      <c r="A322" s="24" t="e">
        <f t="shared" si="35"/>
        <v>#VALUE!</v>
      </c>
      <c r="B322" s="243" t="str">
        <f t="shared" si="39"/>
        <v>MACY`S INC</v>
      </c>
      <c r="C322" s="25" t="str">
        <f t="shared" si="40"/>
        <v>M UN</v>
      </c>
      <c r="D322" s="25">
        <v>1</v>
      </c>
      <c r="E322" s="6" t="str">
        <f xml:space="preserve"> [2]!'MAC.US-PreClose'</f>
        <v>N/A</v>
      </c>
      <c r="F322" s="78">
        <f t="shared" si="41"/>
        <v>1795</v>
      </c>
      <c r="G322" s="49" t="e">
        <f t="shared" si="42"/>
        <v>#VALUE!</v>
      </c>
      <c r="H322" s="6" t="str">
        <f xml:space="preserve"> [2]!'MAC.US-Price'</f>
        <v>N/A</v>
      </c>
      <c r="I322" s="6" t="str">
        <f xml:space="preserve"> [2]!'MAC.US-BestBid1'</f>
        <v>N/A</v>
      </c>
      <c r="J322" s="6" t="str">
        <f xml:space="preserve"> [2]!'MAC.US-BestAsk1'</f>
        <v>N/A</v>
      </c>
      <c r="K322" s="65" t="e">
        <f t="shared" si="36"/>
        <v>#VALUE!</v>
      </c>
      <c r="L322" s="65" t="e">
        <f t="shared" si="37"/>
        <v>#VALUE!</v>
      </c>
      <c r="M322" s="68" t="e">
        <f t="shared" si="38"/>
        <v>#VALUE!</v>
      </c>
      <c r="AC322" s="440" t="s">
        <v>3230</v>
      </c>
      <c r="AD322" s="441" t="s">
        <v>930</v>
      </c>
      <c r="AE322" s="442">
        <v>0.03</v>
      </c>
      <c r="AF322" s="443">
        <v>1795</v>
      </c>
    </row>
    <row r="323" spans="1:32" ht="22.2" thickBot="1">
      <c r="A323" s="24" t="e">
        <f t="shared" si="35"/>
        <v>#REF!</v>
      </c>
      <c r="B323" s="243" t="str">
        <f t="shared" si="39"/>
        <v>MASTERCARD INC - A</v>
      </c>
      <c r="C323" s="25" t="str">
        <f t="shared" si="40"/>
        <v>MA UN</v>
      </c>
      <c r="D323" s="25">
        <v>1</v>
      </c>
      <c r="E323" s="6" t="e">
        <f xml:space="preserve"> [2]!'MAR.US-PreClose'</f>
        <v>#REF!</v>
      </c>
      <c r="F323" s="78">
        <f t="shared" si="41"/>
        <v>5224</v>
      </c>
      <c r="G323" s="49" t="e">
        <f t="shared" si="42"/>
        <v>#REF!</v>
      </c>
      <c r="H323" s="6" t="e">
        <f xml:space="preserve"> [2]!'MAR.US-Price'</f>
        <v>#REF!</v>
      </c>
      <c r="I323" s="6" t="e">
        <f xml:space="preserve"> [2]!'MAR.US-BestBid1'</f>
        <v>#REF!</v>
      </c>
      <c r="J323" s="6" t="e">
        <f xml:space="preserve"> [2]!'MAR.US-BestAsk1'</f>
        <v>#REF!</v>
      </c>
      <c r="K323" s="65" t="e">
        <f t="shared" si="36"/>
        <v>#REF!</v>
      </c>
      <c r="L323" s="65" t="e">
        <f t="shared" si="37"/>
        <v>#REF!</v>
      </c>
      <c r="M323" s="68" t="e">
        <f t="shared" si="38"/>
        <v>#REF!</v>
      </c>
      <c r="AC323" s="444" t="s">
        <v>3231</v>
      </c>
      <c r="AD323" s="445" t="s">
        <v>931</v>
      </c>
      <c r="AE323" s="446">
        <v>0.97</v>
      </c>
      <c r="AF323" s="447">
        <v>5224</v>
      </c>
    </row>
    <row r="324" spans="1:32" ht="43.8" thickBot="1">
      <c r="A324" s="24" t="e">
        <f t="shared" si="35"/>
        <v>#REF!</v>
      </c>
      <c r="B324" s="243" t="str">
        <f t="shared" si="39"/>
        <v>MID-AMERICA APARTMENT COMM</v>
      </c>
      <c r="C324" s="25" t="str">
        <f t="shared" si="40"/>
        <v>MAA UN</v>
      </c>
      <c r="D324" s="25">
        <v>1</v>
      </c>
      <c r="E324" s="6" t="e">
        <f xml:space="preserve"> [2]!'MAS.US-PreClose'</f>
        <v>#REF!</v>
      </c>
      <c r="F324" s="78">
        <f t="shared" si="41"/>
        <v>663</v>
      </c>
      <c r="G324" s="49" t="e">
        <f t="shared" si="42"/>
        <v>#REF!</v>
      </c>
      <c r="H324" s="6" t="e">
        <f xml:space="preserve"> [2]!'MAS.US-Price'</f>
        <v>#REF!</v>
      </c>
      <c r="I324" s="6" t="e">
        <f xml:space="preserve"> [2]!'MAS.US-BestBid1'</f>
        <v>#REF!</v>
      </c>
      <c r="J324" s="6" t="e">
        <f xml:space="preserve"> [2]!'MAS.US-BestAsk1'</f>
        <v>#REF!</v>
      </c>
      <c r="K324" s="65" t="e">
        <f t="shared" si="36"/>
        <v>#REF!</v>
      </c>
      <c r="L324" s="65" t="e">
        <f t="shared" si="37"/>
        <v>#REF!</v>
      </c>
      <c r="M324" s="68" t="e">
        <f t="shared" si="38"/>
        <v>#REF!</v>
      </c>
      <c r="AC324" s="440" t="s">
        <v>3232</v>
      </c>
      <c r="AD324" s="441" t="s">
        <v>932</v>
      </c>
      <c r="AE324" s="442">
        <v>0.05</v>
      </c>
      <c r="AF324" s="442">
        <v>663</v>
      </c>
    </row>
    <row r="325" spans="1:32" ht="22.2" thickBot="1">
      <c r="A325" s="24" t="e">
        <f t="shared" si="35"/>
        <v>#REF!</v>
      </c>
      <c r="B325" s="243" t="str">
        <f t="shared" si="39"/>
        <v>MACERICH CO/THE</v>
      </c>
      <c r="C325" s="25" t="str">
        <f t="shared" si="40"/>
        <v>MAC UN</v>
      </c>
      <c r="D325" s="25">
        <v>1</v>
      </c>
      <c r="E325" s="6" t="e">
        <f xml:space="preserve"> [2]!'MAT.US-PreClose'</f>
        <v>#REF!</v>
      </c>
      <c r="F325" s="78">
        <f t="shared" si="41"/>
        <v>616</v>
      </c>
      <c r="G325" s="49" t="e">
        <f t="shared" si="42"/>
        <v>#REF!</v>
      </c>
      <c r="H325" s="6" t="e">
        <f xml:space="preserve"> [2]!'MAT.US-Price'</f>
        <v>#REF!</v>
      </c>
      <c r="I325" s="6" t="e">
        <f xml:space="preserve"> [2]!'MAT.US-BestBid1'</f>
        <v>#REF!</v>
      </c>
      <c r="J325" s="6" t="e">
        <f xml:space="preserve"> [2]!'MAT.US-BestAsk1'</f>
        <v>#REF!</v>
      </c>
      <c r="K325" s="65" t="e">
        <f t="shared" si="36"/>
        <v>#REF!</v>
      </c>
      <c r="L325" s="65" t="e">
        <f t="shared" si="37"/>
        <v>#REF!</v>
      </c>
      <c r="M325" s="68" t="e">
        <f t="shared" si="38"/>
        <v>#REF!</v>
      </c>
      <c r="AC325" s="444" t="s">
        <v>3233</v>
      </c>
      <c r="AD325" s="445" t="s">
        <v>933</v>
      </c>
      <c r="AE325" s="446">
        <v>0.01</v>
      </c>
      <c r="AF325" s="446">
        <v>616</v>
      </c>
    </row>
    <row r="326" spans="1:32" ht="33" thickBot="1">
      <c r="A326" s="24" t="e">
        <f t="shared" si="35"/>
        <v>#VALUE!</v>
      </c>
      <c r="B326" s="243" t="str">
        <f t="shared" si="39"/>
        <v>MARRIOTT INTERNATIONAL -CL A</v>
      </c>
      <c r="C326" s="25" t="str">
        <f t="shared" si="40"/>
        <v>MAR UQ</v>
      </c>
      <c r="D326" s="25">
        <v>1</v>
      </c>
      <c r="E326" s="6" t="str">
        <f xml:space="preserve"> [2]!'MCD.US-PreClose'</f>
        <v>N/A</v>
      </c>
      <c r="F326" s="78">
        <f t="shared" si="41"/>
        <v>1606</v>
      </c>
      <c r="G326" s="49" t="e">
        <f t="shared" si="42"/>
        <v>#VALUE!</v>
      </c>
      <c r="H326" s="6" t="str">
        <f xml:space="preserve"> [2]!'MCD.US-Price'</f>
        <v>N/A</v>
      </c>
      <c r="I326" s="6" t="str">
        <f xml:space="preserve"> [2]!'MCD.US-BestBid1'</f>
        <v>N/A</v>
      </c>
      <c r="J326" s="6" t="str">
        <f xml:space="preserve"> [2]!'MCD.US-BestAsk1'</f>
        <v>N/A</v>
      </c>
      <c r="K326" s="65" t="e">
        <f t="shared" si="36"/>
        <v>#VALUE!</v>
      </c>
      <c r="L326" s="65" t="e">
        <f t="shared" si="37"/>
        <v>#VALUE!</v>
      </c>
      <c r="M326" s="68" t="e">
        <f t="shared" si="38"/>
        <v>#VALUE!</v>
      </c>
      <c r="AC326" s="440" t="s">
        <v>3234</v>
      </c>
      <c r="AD326" s="441" t="s">
        <v>934</v>
      </c>
      <c r="AE326" s="442">
        <v>0.15</v>
      </c>
      <c r="AF326" s="443">
        <v>1606</v>
      </c>
    </row>
    <row r="327" spans="1:32" ht="22.2" thickBot="1">
      <c r="A327" s="24" t="e">
        <f t="shared" si="35"/>
        <v>#REF!</v>
      </c>
      <c r="B327" s="243" t="str">
        <f t="shared" si="39"/>
        <v>MASCO CORP</v>
      </c>
      <c r="C327" s="25" t="str">
        <f t="shared" si="40"/>
        <v>MAS UN</v>
      </c>
      <c r="D327" s="25">
        <v>1</v>
      </c>
      <c r="E327" s="6" t="e">
        <f xml:space="preserve"> [2]!'MCHP.US-PreClose'</f>
        <v>#REF!</v>
      </c>
      <c r="F327" s="78">
        <f t="shared" si="41"/>
        <v>1706</v>
      </c>
      <c r="G327" s="49" t="e">
        <f t="shared" si="42"/>
        <v>#REF!</v>
      </c>
      <c r="H327" s="6" t="e">
        <f xml:space="preserve"> [2]!'MCHP.US-Price'</f>
        <v>#REF!</v>
      </c>
      <c r="I327" s="6" t="e">
        <f xml:space="preserve"> [2]!'MCHP.US-BestBid1'</f>
        <v>#REF!</v>
      </c>
      <c r="J327" s="6" t="e">
        <f xml:space="preserve"> [2]!'MCHP.US-BestAsk1'</f>
        <v>#REF!</v>
      </c>
      <c r="K327" s="65" t="e">
        <f t="shared" si="36"/>
        <v>#REF!</v>
      </c>
      <c r="L327" s="65" t="e">
        <f t="shared" si="37"/>
        <v>#REF!</v>
      </c>
      <c r="M327" s="68" t="e">
        <f t="shared" si="38"/>
        <v>#REF!</v>
      </c>
      <c r="AC327" s="444" t="s">
        <v>3235</v>
      </c>
      <c r="AD327" s="445" t="s">
        <v>935</v>
      </c>
      <c r="AE327" s="446">
        <v>0.04</v>
      </c>
      <c r="AF327" s="447">
        <v>1706</v>
      </c>
    </row>
    <row r="328" spans="1:32" ht="22.2" thickBot="1">
      <c r="A328" s="24" t="e">
        <f t="shared" si="35"/>
        <v>#REF!</v>
      </c>
      <c r="B328" s="243" t="str">
        <f t="shared" si="39"/>
        <v>MCDONALD`S CORP</v>
      </c>
      <c r="C328" s="25" t="str">
        <f t="shared" si="40"/>
        <v>MCD UN</v>
      </c>
      <c r="D328" s="25">
        <v>1</v>
      </c>
      <c r="E328" s="6" t="e">
        <f xml:space="preserve"> [2]!'MCK.US-PreClose'</f>
        <v>#REF!</v>
      </c>
      <c r="F328" s="78">
        <f t="shared" si="41"/>
        <v>4438</v>
      </c>
      <c r="G328" s="49" t="e">
        <f t="shared" si="42"/>
        <v>#REF!</v>
      </c>
      <c r="H328" s="6" t="e">
        <f xml:space="preserve"> [2]!'MCK.US-Price'</f>
        <v>#REF!</v>
      </c>
      <c r="I328" s="6" t="e">
        <f xml:space="preserve"> [2]!'MCK.US-BestBid1'</f>
        <v>#REF!</v>
      </c>
      <c r="J328" s="6" t="e">
        <f xml:space="preserve"> [2]!'MCK.US-BestAsk1'</f>
        <v>#REF!</v>
      </c>
      <c r="K328" s="65" t="e">
        <f t="shared" si="36"/>
        <v>#REF!</v>
      </c>
      <c r="L328" s="65" t="e">
        <f t="shared" si="37"/>
        <v>#REF!</v>
      </c>
      <c r="M328" s="68" t="e">
        <f t="shared" si="38"/>
        <v>#REF!</v>
      </c>
      <c r="AC328" s="440" t="s">
        <v>3236</v>
      </c>
      <c r="AD328" s="441" t="s">
        <v>936</v>
      </c>
      <c r="AE328" s="442">
        <v>0.63</v>
      </c>
      <c r="AF328" s="443">
        <v>4438</v>
      </c>
    </row>
    <row r="329" spans="1:32" ht="43.8" thickBot="1">
      <c r="A329" s="24" t="e">
        <f t="shared" si="35"/>
        <v>#REF!</v>
      </c>
      <c r="B329" s="243" t="str">
        <f t="shared" si="39"/>
        <v>MICROCHIP TECHNOLOGY INC</v>
      </c>
      <c r="C329" s="25" t="str">
        <f t="shared" si="40"/>
        <v>MCHP UQ</v>
      </c>
      <c r="D329" s="25">
        <v>1</v>
      </c>
      <c r="E329" s="6" t="e">
        <f xml:space="preserve"> [2]!'MCO.US-PreClose'</f>
        <v>#REF!</v>
      </c>
      <c r="F329" s="78">
        <f t="shared" si="41"/>
        <v>1383</v>
      </c>
      <c r="G329" s="49" t="e">
        <f t="shared" si="42"/>
        <v>#REF!</v>
      </c>
      <c r="H329" s="6" t="e">
        <f xml:space="preserve"> [2]!'MCO.US-Price'</f>
        <v>#REF!</v>
      </c>
      <c r="I329" s="6" t="e">
        <f xml:space="preserve"> [2]!'MCO.US-BestBid1'</f>
        <v>#REF!</v>
      </c>
      <c r="J329" s="6" t="e">
        <f xml:space="preserve"> [2]!'MCO.US-BestAsk1'</f>
        <v>#REF!</v>
      </c>
      <c r="K329" s="65" t="e">
        <f t="shared" si="36"/>
        <v>#REF!</v>
      </c>
      <c r="L329" s="65" t="e">
        <f t="shared" si="37"/>
        <v>#REF!</v>
      </c>
      <c r="M329" s="68" t="e">
        <f t="shared" si="38"/>
        <v>#REF!</v>
      </c>
      <c r="AC329" s="444" t="s">
        <v>3237</v>
      </c>
      <c r="AD329" s="445" t="s">
        <v>937</v>
      </c>
      <c r="AE329" s="446">
        <v>0.08</v>
      </c>
      <c r="AF329" s="447">
        <v>1383</v>
      </c>
    </row>
    <row r="330" spans="1:32" ht="22.2" thickBot="1">
      <c r="A330" s="24" t="e">
        <f t="shared" si="35"/>
        <v>#REF!</v>
      </c>
      <c r="B330" s="243" t="str">
        <f t="shared" si="39"/>
        <v>MCKESSON CORP</v>
      </c>
      <c r="C330" s="25" t="str">
        <f t="shared" si="40"/>
        <v>MCK UN</v>
      </c>
      <c r="D330" s="25">
        <v>1</v>
      </c>
      <c r="E330" s="6" t="e">
        <f xml:space="preserve"> [2]!'MDLZ.US-PreClose'</f>
        <v>#REF!</v>
      </c>
      <c r="F330" s="78">
        <f t="shared" si="41"/>
        <v>1104</v>
      </c>
      <c r="G330" s="49" t="e">
        <f t="shared" si="42"/>
        <v>#REF!</v>
      </c>
      <c r="H330" s="6" t="e">
        <f xml:space="preserve"> [2]!'MDLZ.US-Price'</f>
        <v>#REF!</v>
      </c>
      <c r="I330" s="6" t="e">
        <f xml:space="preserve"> [2]!'MDLZ.US-BestBid1'</f>
        <v>#REF!</v>
      </c>
      <c r="J330" s="6" t="e">
        <f xml:space="preserve"> [2]!'MDLZ.US-BestAsk1'</f>
        <v>#REF!</v>
      </c>
      <c r="K330" s="65" t="e">
        <f t="shared" si="36"/>
        <v>#REF!</v>
      </c>
      <c r="L330" s="65" t="e">
        <f t="shared" si="37"/>
        <v>#REF!</v>
      </c>
      <c r="M330" s="68" t="e">
        <f t="shared" si="38"/>
        <v>#REF!</v>
      </c>
      <c r="AC330" s="440" t="s">
        <v>3238</v>
      </c>
      <c r="AD330" s="441" t="s">
        <v>938</v>
      </c>
      <c r="AE330" s="442">
        <v>0.11</v>
      </c>
      <c r="AF330" s="443">
        <v>1104</v>
      </c>
    </row>
    <row r="331" spans="1:32" ht="22.2" thickBot="1">
      <c r="A331" s="24" t="e">
        <f t="shared" si="35"/>
        <v>#REF!</v>
      </c>
      <c r="B331" s="243" t="str">
        <f t="shared" si="39"/>
        <v>MOODY`S CORP</v>
      </c>
      <c r="C331" s="25" t="str">
        <f t="shared" si="40"/>
        <v>MCO UN</v>
      </c>
      <c r="D331" s="25">
        <v>1</v>
      </c>
      <c r="E331" s="6" t="e">
        <f xml:space="preserve"> [2]!'MDT.US-PreClose'</f>
        <v>#REF!</v>
      </c>
      <c r="F331" s="78">
        <f t="shared" si="41"/>
        <v>959</v>
      </c>
      <c r="G331" s="49" t="e">
        <f t="shared" si="42"/>
        <v>#REF!</v>
      </c>
      <c r="H331" s="6" t="e">
        <f xml:space="preserve"> [2]!'MDT.US-Price'</f>
        <v>#REF!</v>
      </c>
      <c r="I331" s="6" t="e">
        <f xml:space="preserve"> [2]!'MDT.US-BestBid1'</f>
        <v>#REF!</v>
      </c>
      <c r="J331" s="6" t="e">
        <f xml:space="preserve"> [2]!'MDT.US-BestAsk1'</f>
        <v>#REF!</v>
      </c>
      <c r="K331" s="65" t="e">
        <f t="shared" si="36"/>
        <v>#REF!</v>
      </c>
      <c r="L331" s="65" t="e">
        <f t="shared" si="37"/>
        <v>#REF!</v>
      </c>
      <c r="M331" s="68" t="e">
        <f t="shared" si="38"/>
        <v>#REF!</v>
      </c>
      <c r="AC331" s="444" t="s">
        <v>3239</v>
      </c>
      <c r="AD331" s="445" t="s">
        <v>939</v>
      </c>
      <c r="AE331" s="446">
        <v>0.13</v>
      </c>
      <c r="AF331" s="446">
        <v>959</v>
      </c>
    </row>
    <row r="332" spans="1:32" ht="43.8" thickBot="1">
      <c r="A332" s="24" t="e">
        <f t="shared" si="35"/>
        <v>#REF!</v>
      </c>
      <c r="B332" s="243" t="str">
        <f t="shared" si="39"/>
        <v>MONDELEZ INTERNATIONAL INC-A</v>
      </c>
      <c r="C332" s="25" t="str">
        <f t="shared" si="40"/>
        <v>MDLZ UQ</v>
      </c>
      <c r="D332" s="25">
        <v>1</v>
      </c>
      <c r="E332" s="6" t="e">
        <f xml:space="preserve"> [2]!'MET.US-PreClose'</f>
        <v>#REF!</v>
      </c>
      <c r="F332" s="78">
        <f t="shared" si="41"/>
        <v>8372</v>
      </c>
      <c r="G332" s="49" t="e">
        <f t="shared" si="42"/>
        <v>#REF!</v>
      </c>
      <c r="H332" s="6" t="e">
        <f xml:space="preserve"> [2]!'MET.US-Price'</f>
        <v>#REF!</v>
      </c>
      <c r="I332" s="6" t="e">
        <f xml:space="preserve"> [2]!'MET.US-BestBid1'</f>
        <v>#REF!</v>
      </c>
      <c r="J332" s="6" t="e">
        <f xml:space="preserve"> [2]!'MET.US-BestAsk1'</f>
        <v>#REF!</v>
      </c>
      <c r="K332" s="65" t="e">
        <f t="shared" si="36"/>
        <v>#REF!</v>
      </c>
      <c r="L332" s="65" t="e">
        <f t="shared" si="37"/>
        <v>#REF!</v>
      </c>
      <c r="M332" s="68" t="e">
        <f t="shared" si="38"/>
        <v>#REF!</v>
      </c>
      <c r="AC332" s="440" t="s">
        <v>3240</v>
      </c>
      <c r="AD332" s="441" t="s">
        <v>940</v>
      </c>
      <c r="AE332" s="442">
        <v>0.31</v>
      </c>
      <c r="AF332" s="443">
        <v>8372</v>
      </c>
    </row>
    <row r="333" spans="1:32" ht="22.2" thickBot="1">
      <c r="A333" s="24" t="e">
        <f t="shared" si="35"/>
        <v>#REF!</v>
      </c>
      <c r="B333" s="243" t="str">
        <f t="shared" si="39"/>
        <v>MEDTRONIC PLC</v>
      </c>
      <c r="C333" s="25" t="str">
        <f t="shared" si="40"/>
        <v>MDT UN</v>
      </c>
      <c r="D333" s="25">
        <v>1</v>
      </c>
      <c r="E333" s="6" t="e">
        <f xml:space="preserve"> [2]!'MGM.US-PreClose'</f>
        <v>#REF!</v>
      </c>
      <c r="F333" s="78">
        <f t="shared" si="41"/>
        <v>7793</v>
      </c>
      <c r="G333" s="49" t="e">
        <f t="shared" si="42"/>
        <v>#REF!</v>
      </c>
      <c r="H333" s="6" t="e">
        <f xml:space="preserve"> [2]!'MGM.US-Price'</f>
        <v>#REF!</v>
      </c>
      <c r="I333" s="6" t="e">
        <f xml:space="preserve"> [2]!'MGM.US-BestBid1'</f>
        <v>#REF!</v>
      </c>
      <c r="J333" s="6" t="e">
        <f xml:space="preserve"> [2]!'MGM.US-BestAsk1'</f>
        <v>#REF!</v>
      </c>
      <c r="K333" s="65" t="e">
        <f t="shared" si="36"/>
        <v>#REF!</v>
      </c>
      <c r="L333" s="65" t="e">
        <f t="shared" si="37"/>
        <v>#REF!</v>
      </c>
      <c r="M333" s="68" t="e">
        <f t="shared" si="38"/>
        <v>#REF!</v>
      </c>
      <c r="AC333" s="444" t="s">
        <v>3241</v>
      </c>
      <c r="AD333" s="445" t="s">
        <v>941</v>
      </c>
      <c r="AE333" s="446">
        <v>0.52</v>
      </c>
      <c r="AF333" s="447">
        <v>7793</v>
      </c>
    </row>
    <row r="334" spans="1:32" ht="22.2" thickBot="1">
      <c r="A334" s="24" t="e">
        <f t="shared" si="35"/>
        <v>#REF!</v>
      </c>
      <c r="B334" s="243" t="str">
        <f t="shared" si="39"/>
        <v>METLIFE INC</v>
      </c>
      <c r="C334" s="25" t="str">
        <f t="shared" si="40"/>
        <v>MET UN</v>
      </c>
      <c r="D334" s="25">
        <v>1</v>
      </c>
      <c r="E334" s="6" t="e">
        <f xml:space="preserve"> [2]!'MHK.US-PreClose'</f>
        <v>#REF!</v>
      </c>
      <c r="F334" s="78">
        <f t="shared" si="41"/>
        <v>5524</v>
      </c>
      <c r="G334" s="49" t="e">
        <f t="shared" si="42"/>
        <v>#REF!</v>
      </c>
      <c r="H334" s="6" t="e">
        <f xml:space="preserve"> [2]!'MHK.US-Price'</f>
        <v>#REF!</v>
      </c>
      <c r="I334" s="6" t="e">
        <f xml:space="preserve"> [2]!'MHK.US-BestBid1'</f>
        <v>#REF!</v>
      </c>
      <c r="J334" s="6" t="e">
        <f xml:space="preserve"> [2]!'MHK.US-BestAsk1'</f>
        <v>#REF!</v>
      </c>
      <c r="K334" s="65" t="e">
        <f t="shared" si="36"/>
        <v>#REF!</v>
      </c>
      <c r="L334" s="65" t="e">
        <f t="shared" si="37"/>
        <v>#REF!</v>
      </c>
      <c r="M334" s="68" t="e">
        <f t="shared" si="38"/>
        <v>#REF!</v>
      </c>
      <c r="AC334" s="440" t="s">
        <v>3242</v>
      </c>
      <c r="AD334" s="441" t="s">
        <v>942</v>
      </c>
      <c r="AE334" s="442">
        <v>0.19</v>
      </c>
      <c r="AF334" s="443">
        <v>5524</v>
      </c>
    </row>
    <row r="335" spans="1:32" ht="43.8" thickBot="1">
      <c r="A335" s="24" t="e">
        <f t="shared" si="35"/>
        <v>#REF!</v>
      </c>
      <c r="B335" s="243" t="str">
        <f t="shared" si="39"/>
        <v>MGM RESORTS INTERNATIONAL</v>
      </c>
      <c r="C335" s="25" t="str">
        <f t="shared" si="40"/>
        <v>MGM UN</v>
      </c>
      <c r="D335" s="25">
        <v>1</v>
      </c>
      <c r="E335" s="6" t="e">
        <f xml:space="preserve"> [2]!'MKC.US-PreClose'</f>
        <v>#REF!</v>
      </c>
      <c r="F335" s="78">
        <f t="shared" si="41"/>
        <v>2966</v>
      </c>
      <c r="G335" s="49" t="e">
        <f t="shared" si="42"/>
        <v>#REF!</v>
      </c>
      <c r="H335" s="6" t="e">
        <f xml:space="preserve"> [2]!'MKC.US-Price'</f>
        <v>#REF!</v>
      </c>
      <c r="I335" s="6" t="e">
        <f xml:space="preserve"> [2]!'MKC.US-BestBid1'</f>
        <v>#REF!</v>
      </c>
      <c r="J335" s="6" t="e">
        <f xml:space="preserve"> [2]!'MKC.US-BestAsk1'</f>
        <v>#REF!</v>
      </c>
      <c r="K335" s="65" t="e">
        <f t="shared" si="36"/>
        <v>#REF!</v>
      </c>
      <c r="L335" s="65" t="e">
        <f t="shared" si="37"/>
        <v>#REF!</v>
      </c>
      <c r="M335" s="68" t="e">
        <f t="shared" si="38"/>
        <v>#REF!</v>
      </c>
      <c r="AC335" s="444" t="s">
        <v>3243</v>
      </c>
      <c r="AD335" s="445" t="s">
        <v>943</v>
      </c>
      <c r="AE335" s="446">
        <v>0.06</v>
      </c>
      <c r="AF335" s="447">
        <v>2966</v>
      </c>
    </row>
    <row r="336" spans="1:32" ht="33" thickBot="1">
      <c r="A336" s="24" t="e">
        <f t="shared" si="35"/>
        <v>#REF!</v>
      </c>
      <c r="B336" s="243" t="str">
        <f t="shared" si="39"/>
        <v>MOHAWK INDUSTRIES INC</v>
      </c>
      <c r="C336" s="25" t="str">
        <f t="shared" si="40"/>
        <v>MHK UN</v>
      </c>
      <c r="D336" s="25">
        <v>1</v>
      </c>
      <c r="E336" s="6" t="e">
        <f xml:space="preserve"> [2]!'MLM.US-PreClose'</f>
        <v>#REF!</v>
      </c>
      <c r="F336" s="78">
        <f t="shared" si="41"/>
        <v>358</v>
      </c>
      <c r="G336" s="49" t="e">
        <f t="shared" si="42"/>
        <v>#REF!</v>
      </c>
      <c r="H336" s="6" t="e">
        <f xml:space="preserve"> [2]!'MLM.US-Price'</f>
        <v>#REF!</v>
      </c>
      <c r="I336" s="6" t="e">
        <f xml:space="preserve"> [2]!'MLM.US-BestBid1'</f>
        <v>#REF!</v>
      </c>
      <c r="J336" s="6" t="e">
        <f xml:space="preserve"> [2]!'MLM.US-BestAsk1'</f>
        <v>#REF!</v>
      </c>
      <c r="K336" s="65" t="e">
        <f t="shared" si="36"/>
        <v>#REF!</v>
      </c>
      <c r="L336" s="65" t="e">
        <f t="shared" si="37"/>
        <v>#REF!</v>
      </c>
      <c r="M336" s="68" t="e">
        <f t="shared" si="38"/>
        <v>#REF!</v>
      </c>
      <c r="AC336" s="440" t="s">
        <v>3244</v>
      </c>
      <c r="AD336" s="441" t="s">
        <v>944</v>
      </c>
      <c r="AE336" s="442">
        <v>0.04</v>
      </c>
      <c r="AF336" s="442">
        <v>358</v>
      </c>
    </row>
    <row r="337" spans="1:32" ht="43.8" thickBot="1">
      <c r="A337" s="24" t="e">
        <f t="shared" si="35"/>
        <v>#REF!</v>
      </c>
      <c r="B337" s="243" t="str">
        <f t="shared" si="39"/>
        <v>MCCORMICK &amp; CO-NON VTG SHRS</v>
      </c>
      <c r="C337" s="25" t="str">
        <f t="shared" si="40"/>
        <v>MKC UN</v>
      </c>
      <c r="D337" s="25">
        <v>1</v>
      </c>
      <c r="E337" s="6" t="e">
        <f xml:space="preserve"> [2]!'MMC.US-PreClose'</f>
        <v>#REF!</v>
      </c>
      <c r="F337" s="78">
        <f t="shared" si="41"/>
        <v>712</v>
      </c>
      <c r="G337" s="49" t="e">
        <f t="shared" si="42"/>
        <v>#REF!</v>
      </c>
      <c r="H337" s="6" t="e">
        <f xml:space="preserve"> [2]!'MMC.US-Price'</f>
        <v>#REF!</v>
      </c>
      <c r="I337" s="6" t="e">
        <f xml:space="preserve"> [2]!'MMC.US-BestBid1'</f>
        <v>#REF!</v>
      </c>
      <c r="J337" s="6" t="e">
        <f xml:space="preserve"> [2]!'MMC.US-BestAsk1'</f>
        <v>#REF!</v>
      </c>
      <c r="K337" s="65" t="e">
        <f t="shared" si="36"/>
        <v>#REF!</v>
      </c>
      <c r="L337" s="65" t="e">
        <f t="shared" si="37"/>
        <v>#REF!</v>
      </c>
      <c r="M337" s="68" t="e">
        <f t="shared" si="38"/>
        <v>#REF!</v>
      </c>
      <c r="AC337" s="444" t="s">
        <v>3245</v>
      </c>
      <c r="AD337" s="445" t="s">
        <v>945</v>
      </c>
      <c r="AE337" s="446">
        <v>7.0000000000000007E-2</v>
      </c>
      <c r="AF337" s="446">
        <v>712</v>
      </c>
    </row>
    <row r="338" spans="1:32" ht="33" thickBot="1">
      <c r="A338" s="24" t="e">
        <f t="shared" si="35"/>
        <v>#VALUE!</v>
      </c>
      <c r="B338" s="243" t="str">
        <f t="shared" si="39"/>
        <v>MARTIN MARIETTA MATERIALS</v>
      </c>
      <c r="C338" s="25" t="str">
        <f t="shared" si="40"/>
        <v>MLM UN</v>
      </c>
      <c r="D338" s="25">
        <v>1</v>
      </c>
      <c r="E338" s="6" t="str">
        <f xml:space="preserve"> [2]!'MMM.US-PreClose'</f>
        <v>N/A</v>
      </c>
      <c r="F338" s="78">
        <f t="shared" si="41"/>
        <v>363</v>
      </c>
      <c r="G338" s="49" t="e">
        <f t="shared" si="42"/>
        <v>#VALUE!</v>
      </c>
      <c r="H338" s="6" t="str">
        <f xml:space="preserve"> [2]!'MMM.US-Price'</f>
        <v>N/A</v>
      </c>
      <c r="I338" s="6" t="str">
        <f xml:space="preserve"> [2]!'MMM.US-BestBid1'</f>
        <v>N/A</v>
      </c>
      <c r="J338" s="6" t="str">
        <f xml:space="preserve"> [2]!'MMM.US-BestAsk1'</f>
        <v>N/A</v>
      </c>
      <c r="K338" s="65" t="e">
        <f t="shared" si="36"/>
        <v>#VALUE!</v>
      </c>
      <c r="L338" s="65" t="e">
        <f t="shared" si="37"/>
        <v>#VALUE!</v>
      </c>
      <c r="M338" s="68" t="e">
        <f t="shared" si="38"/>
        <v>#VALUE!</v>
      </c>
      <c r="AC338" s="440" t="s">
        <v>3246</v>
      </c>
      <c r="AD338" s="441" t="s">
        <v>946</v>
      </c>
      <c r="AE338" s="442">
        <v>0.05</v>
      </c>
      <c r="AF338" s="442">
        <v>363</v>
      </c>
    </row>
    <row r="339" spans="1:32" ht="33" thickBot="1">
      <c r="A339" s="24" t="e">
        <f t="shared" si="35"/>
        <v>#REF!</v>
      </c>
      <c r="B339" s="243" t="str">
        <f t="shared" si="39"/>
        <v>MARSH &amp; MCLENNAN COS</v>
      </c>
      <c r="C339" s="25" t="str">
        <f t="shared" si="40"/>
        <v>MMC UN</v>
      </c>
      <c r="D339" s="25">
        <v>1</v>
      </c>
      <c r="E339" s="6" t="e">
        <f xml:space="preserve"> [2]!'MNST.US-PreClose'</f>
        <v>#REF!</v>
      </c>
      <c r="F339" s="78">
        <f t="shared" si="41"/>
        <v>2972</v>
      </c>
      <c r="G339" s="49" t="e">
        <f t="shared" si="42"/>
        <v>#REF!</v>
      </c>
      <c r="H339" s="6" t="e">
        <f xml:space="preserve"> [2]!'MNST.US-Price'</f>
        <v>#REF!</v>
      </c>
      <c r="I339" s="6" t="e">
        <f xml:space="preserve"> [2]!'MNST.US-BestBid1'</f>
        <v>#REF!</v>
      </c>
      <c r="J339" s="6" t="e">
        <f xml:space="preserve"> [2]!'MNST.US-BestAsk1'</f>
        <v>#REF!</v>
      </c>
      <c r="K339" s="65" t="e">
        <f t="shared" si="36"/>
        <v>#REF!</v>
      </c>
      <c r="L339" s="65" t="e">
        <f t="shared" si="37"/>
        <v>#REF!</v>
      </c>
      <c r="M339" s="68" t="e">
        <f t="shared" si="38"/>
        <v>#REF!</v>
      </c>
      <c r="AC339" s="444" t="s">
        <v>3247</v>
      </c>
      <c r="AD339" s="445" t="s">
        <v>947</v>
      </c>
      <c r="AE339" s="446">
        <v>0.2</v>
      </c>
      <c r="AF339" s="447">
        <v>2972</v>
      </c>
    </row>
    <row r="340" spans="1:32" ht="16.8" thickBot="1">
      <c r="A340" s="24" t="e">
        <f t="shared" si="35"/>
        <v>#VALUE!</v>
      </c>
      <c r="B340" s="243" t="str">
        <f t="shared" si="39"/>
        <v>3M CO</v>
      </c>
      <c r="C340" s="25" t="str">
        <f t="shared" si="40"/>
        <v>MMM UN</v>
      </c>
      <c r="D340" s="25">
        <v>1</v>
      </c>
      <c r="E340" s="6" t="str">
        <f xml:space="preserve"> [2]!'MO.US-PreClose'</f>
        <v>N/A</v>
      </c>
      <c r="F340" s="78">
        <f t="shared" si="41"/>
        <v>3350</v>
      </c>
      <c r="G340" s="49" t="e">
        <f t="shared" si="42"/>
        <v>#VALUE!</v>
      </c>
      <c r="H340" s="6" t="str">
        <f xml:space="preserve"> [2]!'MO.US-Price'</f>
        <v>N/A</v>
      </c>
      <c r="I340" s="6" t="str">
        <f xml:space="preserve"> [2]!'MO.US-BestBid1'</f>
        <v>N/A</v>
      </c>
      <c r="J340" s="6" t="str">
        <f xml:space="preserve"> [2]!'MO.US-BestAsk1'</f>
        <v>N/A</v>
      </c>
      <c r="K340" s="65" t="e">
        <f t="shared" si="36"/>
        <v>#VALUE!</v>
      </c>
      <c r="L340" s="65" t="e">
        <f t="shared" si="37"/>
        <v>#VALUE!</v>
      </c>
      <c r="M340" s="68" t="e">
        <f t="shared" si="38"/>
        <v>#VALUE!</v>
      </c>
      <c r="AC340" s="440" t="s">
        <v>3248</v>
      </c>
      <c r="AD340" s="441" t="s">
        <v>948</v>
      </c>
      <c r="AE340" s="442">
        <v>0.38</v>
      </c>
      <c r="AF340" s="443">
        <v>3350</v>
      </c>
    </row>
    <row r="341" spans="1:32" ht="33" thickBot="1">
      <c r="A341" s="24" t="e">
        <f t="shared" si="35"/>
        <v>#REF!</v>
      </c>
      <c r="B341" s="243" t="str">
        <f t="shared" si="39"/>
        <v>MONSTER BEVERAGE CORP</v>
      </c>
      <c r="C341" s="25" t="str">
        <f t="shared" si="40"/>
        <v>MNST UQ</v>
      </c>
      <c r="D341" s="25">
        <v>1</v>
      </c>
      <c r="E341" s="6" t="e">
        <f xml:space="preserve"> [2]!'MON.US-PreClose'</f>
        <v>#REF!</v>
      </c>
      <c r="F341" s="78">
        <f t="shared" si="41"/>
        <v>2275</v>
      </c>
      <c r="G341" s="49" t="e">
        <f t="shared" si="42"/>
        <v>#REF!</v>
      </c>
      <c r="H341" s="6" t="e">
        <f xml:space="preserve"> [2]!'MON.US-Price'</f>
        <v>#REF!</v>
      </c>
      <c r="I341" s="6" t="e">
        <f xml:space="preserve"> [2]!'MON.US-BestBid1'</f>
        <v>#REF!</v>
      </c>
      <c r="J341" s="6" t="e">
        <f xml:space="preserve"> [2]!'MON.US-BestAsk1'</f>
        <v>#REF!</v>
      </c>
      <c r="K341" s="65" t="e">
        <f t="shared" si="36"/>
        <v>#REF!</v>
      </c>
      <c r="L341" s="65" t="e">
        <f t="shared" si="37"/>
        <v>#REF!</v>
      </c>
      <c r="M341" s="68" t="e">
        <f t="shared" si="38"/>
        <v>#REF!</v>
      </c>
      <c r="AC341" s="444" t="s">
        <v>3249</v>
      </c>
      <c r="AD341" s="445" t="s">
        <v>949</v>
      </c>
      <c r="AE341" s="446">
        <v>0.1</v>
      </c>
      <c r="AF341" s="447">
        <v>2275</v>
      </c>
    </row>
    <row r="342" spans="1:32" ht="22.2" thickBot="1">
      <c r="A342" s="24" t="e">
        <f t="shared" si="35"/>
        <v>#REF!</v>
      </c>
      <c r="B342" s="243" t="str">
        <f t="shared" si="39"/>
        <v>ALTRIA GROUP INC</v>
      </c>
      <c r="C342" s="25" t="str">
        <f t="shared" si="40"/>
        <v>MO UN</v>
      </c>
      <c r="D342" s="25">
        <v>1</v>
      </c>
      <c r="E342" s="6" t="e">
        <f xml:space="preserve"> [2]!'MOS.US-PreClose'</f>
        <v>#REF!</v>
      </c>
      <c r="F342" s="78">
        <f t="shared" si="41"/>
        <v>10875</v>
      </c>
      <c r="G342" s="49" t="e">
        <f t="shared" si="42"/>
        <v>#REF!</v>
      </c>
      <c r="H342" s="6" t="e">
        <f xml:space="preserve"> [2]!'MOS.US-Price'</f>
        <v>#REF!</v>
      </c>
      <c r="I342" s="6" t="e">
        <f xml:space="preserve"> [2]!'MOS.US-BestBid1'</f>
        <v>#REF!</v>
      </c>
      <c r="J342" s="6" t="e">
        <f xml:space="preserve"> [2]!'MOS.US-BestAsk1'</f>
        <v>#REF!</v>
      </c>
      <c r="K342" s="65" t="e">
        <f t="shared" si="36"/>
        <v>#REF!</v>
      </c>
      <c r="L342" s="65" t="e">
        <f t="shared" si="37"/>
        <v>#REF!</v>
      </c>
      <c r="M342" s="68" t="e">
        <f t="shared" si="38"/>
        <v>#REF!</v>
      </c>
      <c r="AC342" s="440" t="s">
        <v>3250</v>
      </c>
      <c r="AD342" s="441" t="s">
        <v>950</v>
      </c>
      <c r="AE342" s="442">
        <v>0.36</v>
      </c>
      <c r="AF342" s="443">
        <v>10875</v>
      </c>
    </row>
    <row r="343" spans="1:32" ht="22.2" thickBot="1">
      <c r="A343" s="24" t="e">
        <f t="shared" ref="A343:A406" si="43">G343/$C$6</f>
        <v>#REF!</v>
      </c>
      <c r="B343" s="243" t="str">
        <f t="shared" si="39"/>
        <v>MOSAIC CO/THE</v>
      </c>
      <c r="C343" s="25" t="str">
        <f t="shared" si="40"/>
        <v>MOS UN</v>
      </c>
      <c r="D343" s="25">
        <v>1</v>
      </c>
      <c r="E343" s="6" t="e">
        <f xml:space="preserve"> [2]!'MPC.US-PreClose'</f>
        <v>#REF!</v>
      </c>
      <c r="F343" s="78">
        <f t="shared" si="41"/>
        <v>2063</v>
      </c>
      <c r="G343" s="49" t="e">
        <f t="shared" si="42"/>
        <v>#REF!</v>
      </c>
      <c r="H343" s="6" t="e">
        <f xml:space="preserve"> [2]!'MPC.US-Price'</f>
        <v>#REF!</v>
      </c>
      <c r="I343" s="6" t="e">
        <f xml:space="preserve"> [2]!'MPC.US-BestBid1'</f>
        <v>#REF!</v>
      </c>
      <c r="J343" s="6" t="e">
        <f xml:space="preserve"> [2]!'MPC.US-BestAsk1'</f>
        <v>#REF!</v>
      </c>
      <c r="K343" s="65" t="e">
        <f t="shared" ref="K343:K406" si="44">IF(ISNUMBER(H343)=TRUE,H343*F343*D343,E343*F343*D343)*$N$2</f>
        <v>#REF!</v>
      </c>
      <c r="L343" s="65" t="e">
        <f t="shared" ref="L343:L406" si="45">IF(ISNUMBER(I343)=TRUE,I343*F343*D343,E343*F343*D343)*$N$2</f>
        <v>#REF!</v>
      </c>
      <c r="M343" s="68" t="e">
        <f t="shared" ref="M343:M406" si="46">IF(ISNUMBER(J343)=TRUE,J343*F343*D343,E343*F343*D343)*$N$2</f>
        <v>#REF!</v>
      </c>
      <c r="AC343" s="444" t="s">
        <v>3251</v>
      </c>
      <c r="AD343" s="445" t="s">
        <v>951</v>
      </c>
      <c r="AE343" s="446">
        <v>0.03</v>
      </c>
      <c r="AF343" s="447">
        <v>2063</v>
      </c>
    </row>
    <row r="344" spans="1:32" ht="43.8" thickBot="1">
      <c r="A344" s="24" t="e">
        <f t="shared" si="43"/>
        <v>#VALUE!</v>
      </c>
      <c r="B344" s="243" t="str">
        <f t="shared" si="39"/>
        <v>MARATHON PETROLEUM CORP</v>
      </c>
      <c r="C344" s="25" t="str">
        <f t="shared" si="40"/>
        <v>MPC UN</v>
      </c>
      <c r="D344" s="25">
        <v>1</v>
      </c>
      <c r="E344" s="6" t="str">
        <f xml:space="preserve"> [2]!'MRK.US-PreClose'</f>
        <v>N/A</v>
      </c>
      <c r="F344" s="78">
        <f t="shared" si="41"/>
        <v>3851</v>
      </c>
      <c r="G344" s="49" t="e">
        <f t="shared" si="42"/>
        <v>#VALUE!</v>
      </c>
      <c r="H344" s="6" t="str">
        <f xml:space="preserve"> [2]!'MRK.US-Price'</f>
        <v>N/A</v>
      </c>
      <c r="I344" s="6" t="str">
        <f xml:space="preserve"> [2]!'MRK.US-BestBid1'</f>
        <v>N/A</v>
      </c>
      <c r="J344" s="6" t="str">
        <f xml:space="preserve"> [2]!'MRK.US-BestAsk1'</f>
        <v>N/A</v>
      </c>
      <c r="K344" s="65" t="e">
        <f t="shared" si="44"/>
        <v>#VALUE!</v>
      </c>
      <c r="L344" s="65" t="e">
        <f t="shared" si="45"/>
        <v>#VALUE!</v>
      </c>
      <c r="M344" s="68" t="e">
        <f t="shared" si="46"/>
        <v>#VALUE!</v>
      </c>
      <c r="AC344" s="440" t="s">
        <v>3252</v>
      </c>
      <c r="AD344" s="441" t="s">
        <v>952</v>
      </c>
      <c r="AE344" s="442">
        <v>0.14000000000000001</v>
      </c>
      <c r="AF344" s="443">
        <v>3851</v>
      </c>
    </row>
    <row r="345" spans="1:32" ht="22.2" thickBot="1">
      <c r="A345" s="24" t="e">
        <f t="shared" si="43"/>
        <v>#REF!</v>
      </c>
      <c r="B345" s="243" t="str">
        <f t="shared" ref="B345:B408" si="47">AD345</f>
        <v>MERCK &amp; CO. INC.</v>
      </c>
      <c r="C345" s="25" t="str">
        <f t="shared" ref="C345:C408" si="48">AC345</f>
        <v>MRK UN</v>
      </c>
      <c r="D345" s="25">
        <v>1</v>
      </c>
      <c r="E345" s="6" t="e">
        <f xml:space="preserve"> [2]!'MRO.US-PreClose'</f>
        <v>#REF!</v>
      </c>
      <c r="F345" s="78">
        <f t="shared" ref="F345:F408" si="49">VLOOKUP($C345,$AC$24:$AF$550,4,FALSE)</f>
        <v>14965</v>
      </c>
      <c r="G345" s="49" t="e">
        <f t="shared" ref="G345:G408" si="50">D345*E345*F345*$O$2</f>
        <v>#REF!</v>
      </c>
      <c r="H345" s="6" t="e">
        <f xml:space="preserve"> [2]!'MRO.US-Price'</f>
        <v>#REF!</v>
      </c>
      <c r="I345" s="6" t="e">
        <f xml:space="preserve"> [2]!'MRO.US-BestBid1'</f>
        <v>#REF!</v>
      </c>
      <c r="J345" s="6" t="e">
        <f xml:space="preserve"> [2]!'MRO.US-BestAsk1'</f>
        <v>#REF!</v>
      </c>
      <c r="K345" s="65" t="e">
        <f t="shared" si="44"/>
        <v>#REF!</v>
      </c>
      <c r="L345" s="65" t="e">
        <f t="shared" si="45"/>
        <v>#REF!</v>
      </c>
      <c r="M345" s="68" t="e">
        <f t="shared" si="46"/>
        <v>#REF!</v>
      </c>
      <c r="AC345" s="444" t="s">
        <v>3253</v>
      </c>
      <c r="AD345" s="445" t="s">
        <v>953</v>
      </c>
      <c r="AE345" s="446">
        <v>0.81</v>
      </c>
      <c r="AF345" s="447">
        <v>14965</v>
      </c>
    </row>
    <row r="346" spans="1:32" ht="22.2" thickBot="1">
      <c r="A346" s="24" t="e">
        <f t="shared" si="43"/>
        <v>#REF!</v>
      </c>
      <c r="B346" s="243" t="str">
        <f t="shared" si="47"/>
        <v>MARATHON OIL CORP</v>
      </c>
      <c r="C346" s="25" t="str">
        <f t="shared" si="48"/>
        <v>MRO UN</v>
      </c>
      <c r="D346" s="25">
        <v>1</v>
      </c>
      <c r="E346" s="6" t="e">
        <f xml:space="preserve"> [2]!'MS.US-PreClose'</f>
        <v>#REF!</v>
      </c>
      <c r="F346" s="78">
        <f t="shared" si="49"/>
        <v>4754</v>
      </c>
      <c r="G346" s="49" t="e">
        <f t="shared" si="50"/>
        <v>#REF!</v>
      </c>
      <c r="H346" s="6" t="e">
        <f xml:space="preserve"> [2]!'MS.US-Price'</f>
        <v>#REF!</v>
      </c>
      <c r="I346" s="6" t="e">
        <f xml:space="preserve"> [2]!'MS.US-BestBid1'</f>
        <v>#REF!</v>
      </c>
      <c r="J346" s="6" t="e">
        <f xml:space="preserve"> [2]!'MS.US-BestAsk1'</f>
        <v>#REF!</v>
      </c>
      <c r="K346" s="65" t="e">
        <f t="shared" si="44"/>
        <v>#REF!</v>
      </c>
      <c r="L346" s="65" t="e">
        <f t="shared" si="45"/>
        <v>#REF!</v>
      </c>
      <c r="M346" s="68" t="e">
        <f t="shared" si="46"/>
        <v>#REF!</v>
      </c>
      <c r="AC346" s="440" t="s">
        <v>3254</v>
      </c>
      <c r="AD346" s="441" t="s">
        <v>954</v>
      </c>
      <c r="AE346" s="442">
        <v>0.04</v>
      </c>
      <c r="AF346" s="443">
        <v>4754</v>
      </c>
    </row>
    <row r="347" spans="1:32" ht="22.2" thickBot="1">
      <c r="A347" s="24" t="e">
        <f t="shared" si="43"/>
        <v>#REF!</v>
      </c>
      <c r="B347" s="243" t="str">
        <f t="shared" si="47"/>
        <v>MORGAN STANLEY</v>
      </c>
      <c r="C347" s="25" t="str">
        <f t="shared" si="48"/>
        <v>MS UN</v>
      </c>
      <c r="D347" s="25">
        <v>1</v>
      </c>
      <c r="E347" s="6" t="e">
        <f xml:space="preserve"> [2]!'MSFT.US-PreClose'</f>
        <v>#REF!</v>
      </c>
      <c r="F347" s="78">
        <f t="shared" si="49"/>
        <v>7431</v>
      </c>
      <c r="G347" s="49" t="e">
        <f t="shared" si="50"/>
        <v>#REF!</v>
      </c>
      <c r="H347" s="6" t="e">
        <f xml:space="preserve"> [2]!'MSFT.US-Price'</f>
        <v>#REF!</v>
      </c>
      <c r="I347" s="6" t="e">
        <f xml:space="preserve"> [2]!'MSFT.US-BestBid1'</f>
        <v>#REF!</v>
      </c>
      <c r="J347" s="6" t="e">
        <f xml:space="preserve"> [2]!'MSFT.US-BestAsk1'</f>
        <v>#REF!</v>
      </c>
      <c r="K347" s="65" t="e">
        <f t="shared" si="44"/>
        <v>#REF!</v>
      </c>
      <c r="L347" s="65" t="e">
        <f t="shared" si="45"/>
        <v>#REF!</v>
      </c>
      <c r="M347" s="68" t="e">
        <f t="shared" si="46"/>
        <v>#REF!</v>
      </c>
      <c r="AC347" s="444" t="s">
        <v>3255</v>
      </c>
      <c r="AD347" s="445" t="s">
        <v>955</v>
      </c>
      <c r="AE347" s="446">
        <v>0.22</v>
      </c>
      <c r="AF347" s="447">
        <v>7431</v>
      </c>
    </row>
    <row r="348" spans="1:32" ht="16.8" thickBot="1">
      <c r="A348" s="24" t="e">
        <f t="shared" si="43"/>
        <v>#REF!</v>
      </c>
      <c r="B348" s="243" t="str">
        <f t="shared" si="47"/>
        <v>MSCI INC</v>
      </c>
      <c r="C348" s="25" t="str">
        <f t="shared" si="48"/>
        <v>MSCI UN</v>
      </c>
      <c r="D348" s="25">
        <v>1</v>
      </c>
      <c r="E348" s="6" t="e">
        <f xml:space="preserve"> [2]!'MSI.US-PreClose'</f>
        <v>#REF!</v>
      </c>
      <c r="F348" s="78">
        <f t="shared" si="49"/>
        <v>492</v>
      </c>
      <c r="G348" s="49" t="e">
        <f t="shared" si="50"/>
        <v>#REF!</v>
      </c>
      <c r="H348" s="6" t="e">
        <f xml:space="preserve"> [2]!'MSI.US-Price'</f>
        <v>#REF!</v>
      </c>
      <c r="I348" s="6" t="e">
        <f xml:space="preserve"> [2]!'MSI.US-BestBid1'</f>
        <v>#REF!</v>
      </c>
      <c r="J348" s="6" t="e">
        <f xml:space="preserve"> [2]!'MSI.US-BestAsk1'</f>
        <v>#REF!</v>
      </c>
      <c r="K348" s="65" t="e">
        <f t="shared" si="44"/>
        <v>#REF!</v>
      </c>
      <c r="L348" s="65" t="e">
        <f t="shared" si="45"/>
        <v>#REF!</v>
      </c>
      <c r="M348" s="68" t="e">
        <f t="shared" si="46"/>
        <v>#REF!</v>
      </c>
      <c r="AC348" s="440" t="s">
        <v>3256</v>
      </c>
      <c r="AD348" s="441" t="s">
        <v>3257</v>
      </c>
      <c r="AE348" s="442">
        <v>0.08</v>
      </c>
      <c r="AF348" s="442">
        <v>492</v>
      </c>
    </row>
    <row r="349" spans="1:32" ht="22.2" thickBot="1">
      <c r="A349" s="24" t="e">
        <f t="shared" si="43"/>
        <v>#REF!</v>
      </c>
      <c r="B349" s="243" t="str">
        <f t="shared" si="47"/>
        <v>MICROSOFT CORP</v>
      </c>
      <c r="C349" s="25" t="str">
        <f t="shared" si="48"/>
        <v>MSFT UQ</v>
      </c>
      <c r="D349" s="25">
        <v>1</v>
      </c>
      <c r="E349" s="6" t="e">
        <f xml:space="preserve"> [2]!'MTB.US-PreClose'</f>
        <v>#REF!</v>
      </c>
      <c r="F349" s="78">
        <f t="shared" si="49"/>
        <v>44540</v>
      </c>
      <c r="G349" s="49" t="e">
        <f t="shared" si="50"/>
        <v>#REF!</v>
      </c>
      <c r="H349" s="6" t="e">
        <f xml:space="preserve"> [2]!'MTB.US-Price'</f>
        <v>#REF!</v>
      </c>
      <c r="I349" s="6" t="e">
        <f xml:space="preserve"> [2]!'MTB.US-BestBid1'</f>
        <v>#REF!</v>
      </c>
      <c r="J349" s="6" t="e">
        <f xml:space="preserve"> [2]!'MTB.US-BestAsk1'</f>
        <v>#REF!</v>
      </c>
      <c r="K349" s="65" t="e">
        <f t="shared" si="44"/>
        <v>#REF!</v>
      </c>
      <c r="L349" s="65" t="e">
        <f t="shared" si="45"/>
        <v>#REF!</v>
      </c>
      <c r="M349" s="68" t="e">
        <f t="shared" si="46"/>
        <v>#REF!</v>
      </c>
      <c r="AC349" s="444" t="s">
        <v>3258</v>
      </c>
      <c r="AD349" s="445" t="s">
        <v>956</v>
      </c>
      <c r="AE349" s="446">
        <v>4.12</v>
      </c>
      <c r="AF349" s="447">
        <v>44540</v>
      </c>
    </row>
    <row r="350" spans="1:32" ht="43.8" thickBot="1">
      <c r="A350" s="24" t="e">
        <f t="shared" si="43"/>
        <v>#REF!</v>
      </c>
      <c r="B350" s="243" t="str">
        <f t="shared" si="47"/>
        <v>MOTOROLA SOLUTIONS INC</v>
      </c>
      <c r="C350" s="25" t="str">
        <f t="shared" si="48"/>
        <v>MSI UN</v>
      </c>
      <c r="D350" s="25">
        <v>1</v>
      </c>
      <c r="E350" s="6" t="e">
        <f xml:space="preserve"> [2]!'MTD.US-PreClose'</f>
        <v>#REF!</v>
      </c>
      <c r="F350" s="78">
        <f t="shared" si="49"/>
        <v>958</v>
      </c>
      <c r="G350" s="49" t="e">
        <f t="shared" si="50"/>
        <v>#REF!</v>
      </c>
      <c r="H350" s="6" t="e">
        <f xml:space="preserve"> [2]!'MTD.US-Price'</f>
        <v>#REF!</v>
      </c>
      <c r="I350" s="6" t="e">
        <f xml:space="preserve"> [2]!'MTD.US-BestBid1'</f>
        <v>#REF!</v>
      </c>
      <c r="J350" s="6" t="e">
        <f xml:space="preserve"> [2]!'MTD.US-BestAsk1'</f>
        <v>#REF!</v>
      </c>
      <c r="K350" s="65" t="e">
        <f t="shared" si="44"/>
        <v>#REF!</v>
      </c>
      <c r="L350" s="65" t="e">
        <f t="shared" si="45"/>
        <v>#REF!</v>
      </c>
      <c r="M350" s="68" t="e">
        <f t="shared" si="46"/>
        <v>#REF!</v>
      </c>
      <c r="AC350" s="440" t="s">
        <v>3259</v>
      </c>
      <c r="AD350" s="441" t="s">
        <v>957</v>
      </c>
      <c r="AE350" s="442">
        <v>0.11</v>
      </c>
      <c r="AF350" s="442">
        <v>958</v>
      </c>
    </row>
    <row r="351" spans="1:32" ht="22.2" thickBot="1">
      <c r="A351" s="24" t="e">
        <f t="shared" si="43"/>
        <v>#REF!</v>
      </c>
      <c r="B351" s="243" t="str">
        <f t="shared" si="47"/>
        <v>M &amp; T BANK CORP</v>
      </c>
      <c r="C351" s="25" t="str">
        <f t="shared" si="48"/>
        <v>MTB UN</v>
      </c>
      <c r="D351" s="25">
        <v>1</v>
      </c>
      <c r="E351" s="6" t="e">
        <f xml:space="preserve"> [2]!'MU.US-PreClose'</f>
        <v>#REF!</v>
      </c>
      <c r="F351" s="78">
        <f t="shared" si="49"/>
        <v>794</v>
      </c>
      <c r="G351" s="49" t="e">
        <f t="shared" si="50"/>
        <v>#REF!</v>
      </c>
      <c r="H351" s="6" t="e">
        <f xml:space="preserve"> [2]!'MU.US-Price'</f>
        <v>#REF!</v>
      </c>
      <c r="I351" s="6" t="e">
        <f xml:space="preserve"> [2]!'MU.US-BestBid1'</f>
        <v>#REF!</v>
      </c>
      <c r="J351" s="6" t="e">
        <f xml:space="preserve"> [2]!'MU.US-BestAsk1'</f>
        <v>#REF!</v>
      </c>
      <c r="K351" s="65" t="e">
        <f t="shared" si="44"/>
        <v>#REF!</v>
      </c>
      <c r="L351" s="65" t="e">
        <f t="shared" si="45"/>
        <v>#REF!</v>
      </c>
      <c r="M351" s="68" t="e">
        <f t="shared" si="46"/>
        <v>#REF!</v>
      </c>
      <c r="AC351" s="444" t="s">
        <v>3260</v>
      </c>
      <c r="AD351" s="445" t="s">
        <v>958</v>
      </c>
      <c r="AE351" s="446">
        <v>0.09</v>
      </c>
      <c r="AF351" s="446">
        <v>794</v>
      </c>
    </row>
    <row r="352" spans="1:32" ht="43.8" thickBot="1">
      <c r="A352" s="24" t="e">
        <f t="shared" si="43"/>
        <v>#REF!</v>
      </c>
      <c r="B352" s="243" t="str">
        <f t="shared" si="47"/>
        <v>METTLER-TOLEDO INTERNATIONAL</v>
      </c>
      <c r="C352" s="25" t="str">
        <f t="shared" si="48"/>
        <v>MTD UN</v>
      </c>
      <c r="D352" s="25">
        <v>1</v>
      </c>
      <c r="E352" s="6" t="e">
        <f xml:space="preserve"> [2]!'MYL.US-PreClose'</f>
        <v>#REF!</v>
      </c>
      <c r="F352" s="78">
        <f t="shared" si="49"/>
        <v>144</v>
      </c>
      <c r="G352" s="49" t="e">
        <f t="shared" si="50"/>
        <v>#REF!</v>
      </c>
      <c r="H352" s="6" t="e">
        <f xml:space="preserve"> [2]!'MYL.US-Price'</f>
        <v>#REF!</v>
      </c>
      <c r="I352" s="6" t="e">
        <f xml:space="preserve"> [2]!'MYL.US-BestBid1'</f>
        <v>#REF!</v>
      </c>
      <c r="J352" s="6" t="e">
        <f xml:space="preserve"> [2]!'MYL.US-BestAsk1'</f>
        <v>#REF!</v>
      </c>
      <c r="K352" s="65" t="e">
        <f t="shared" si="44"/>
        <v>#REF!</v>
      </c>
      <c r="L352" s="65" t="e">
        <f t="shared" si="45"/>
        <v>#REF!</v>
      </c>
      <c r="M352" s="68" t="e">
        <f t="shared" si="46"/>
        <v>#REF!</v>
      </c>
      <c r="AC352" s="440" t="s">
        <v>3261</v>
      </c>
      <c r="AD352" s="441" t="s">
        <v>959</v>
      </c>
      <c r="AE352" s="442">
        <v>0.08</v>
      </c>
      <c r="AF352" s="442">
        <v>144</v>
      </c>
    </row>
    <row r="353" spans="1:32" ht="33" thickBot="1">
      <c r="A353" s="24" t="e">
        <f t="shared" si="43"/>
        <v>#REF!</v>
      </c>
      <c r="B353" s="243" t="str">
        <f t="shared" si="47"/>
        <v>MICRON TECHNOLOGY INC</v>
      </c>
      <c r="C353" s="25" t="str">
        <f t="shared" si="48"/>
        <v>MU UQ</v>
      </c>
      <c r="D353" s="25">
        <v>1</v>
      </c>
      <c r="E353" s="6" t="e">
        <f xml:space="preserve"> [2]!'NAVI.US-PreClose'</f>
        <v>#REF!</v>
      </c>
      <c r="F353" s="78">
        <f t="shared" si="49"/>
        <v>6433</v>
      </c>
      <c r="G353" s="49" t="e">
        <f t="shared" si="50"/>
        <v>#REF!</v>
      </c>
      <c r="H353" s="6" t="e">
        <f xml:space="preserve"> [2]!'NAVI.US-Price'</f>
        <v>#REF!</v>
      </c>
      <c r="I353" s="6" t="e">
        <f xml:space="preserve"> [2]!'NAVI.US-BestBid1'</f>
        <v>#REF!</v>
      </c>
      <c r="J353" s="6" t="e">
        <f xml:space="preserve"> [2]!'NAVI.US-BestAsk1'</f>
        <v>#REF!</v>
      </c>
      <c r="K353" s="65" t="e">
        <f t="shared" si="44"/>
        <v>#REF!</v>
      </c>
      <c r="L353" s="65" t="e">
        <f t="shared" si="45"/>
        <v>#REF!</v>
      </c>
      <c r="M353" s="68" t="e">
        <f t="shared" si="46"/>
        <v>#REF!</v>
      </c>
      <c r="AC353" s="444" t="s">
        <v>3262</v>
      </c>
      <c r="AD353" s="445" t="s">
        <v>960</v>
      </c>
      <c r="AE353" s="446">
        <v>0.19</v>
      </c>
      <c r="AF353" s="447">
        <v>6433</v>
      </c>
    </row>
    <row r="354" spans="1:32" ht="43.8" thickBot="1">
      <c r="A354" s="24" t="e">
        <f t="shared" si="43"/>
        <v>#REF!</v>
      </c>
      <c r="B354" s="243" t="str">
        <f t="shared" si="47"/>
        <v>MAXIM INTEGRATED PRODUCTS</v>
      </c>
      <c r="C354" s="25" t="str">
        <f t="shared" si="48"/>
        <v>MXIM UQ</v>
      </c>
      <c r="D354" s="25">
        <v>1</v>
      </c>
      <c r="E354" s="6" t="e">
        <f xml:space="preserve"> [2]!'NBL.US-PreClose'</f>
        <v>#REF!</v>
      </c>
      <c r="F354" s="78">
        <f t="shared" si="49"/>
        <v>1583</v>
      </c>
      <c r="G354" s="49" t="e">
        <f t="shared" si="50"/>
        <v>#REF!</v>
      </c>
      <c r="H354" s="6" t="e">
        <f xml:space="preserve"> [2]!'NBL.US-Price'</f>
        <v>#REF!</v>
      </c>
      <c r="I354" s="6" t="e">
        <f xml:space="preserve"> [2]!'NBL.US-BestBid1'</f>
        <v>#REF!</v>
      </c>
      <c r="J354" s="6" t="e">
        <f xml:space="preserve"> [2]!'NBL.US-BestAsk1'</f>
        <v>#REF!</v>
      </c>
      <c r="K354" s="65" t="e">
        <f t="shared" si="44"/>
        <v>#REF!</v>
      </c>
      <c r="L354" s="65" t="e">
        <f t="shared" si="45"/>
        <v>#REF!</v>
      </c>
      <c r="M354" s="68" t="e">
        <f t="shared" si="46"/>
        <v>#REF!</v>
      </c>
      <c r="AC354" s="440" t="s">
        <v>3263</v>
      </c>
      <c r="AD354" s="441" t="s">
        <v>3264</v>
      </c>
      <c r="AE354" s="442">
        <v>0.06</v>
      </c>
      <c r="AF354" s="443">
        <v>1583</v>
      </c>
    </row>
    <row r="355" spans="1:32" ht="16.8" thickBot="1">
      <c r="A355" s="24" t="e">
        <f t="shared" si="43"/>
        <v>#REF!</v>
      </c>
      <c r="B355" s="243" t="str">
        <f t="shared" si="47"/>
        <v>MYLAN NV</v>
      </c>
      <c r="C355" s="25" t="str">
        <f t="shared" si="48"/>
        <v>MYL UQ</v>
      </c>
      <c r="D355" s="25">
        <v>1</v>
      </c>
      <c r="E355" s="6" t="e">
        <f xml:space="preserve"> [2]!'NDAQ.US-PreClose'</f>
        <v>#REF!</v>
      </c>
      <c r="F355" s="78">
        <f t="shared" si="49"/>
        <v>2996</v>
      </c>
      <c r="G355" s="49" t="e">
        <f t="shared" si="50"/>
        <v>#REF!</v>
      </c>
      <c r="H355" s="6" t="e">
        <f xml:space="preserve"> [2]!'NDAQ.US-Price'</f>
        <v>#REF!</v>
      </c>
      <c r="I355" s="6" t="e">
        <f xml:space="preserve"> [2]!'NDAQ.US-BestBid1'</f>
        <v>#REF!</v>
      </c>
      <c r="J355" s="6" t="e">
        <f xml:space="preserve"> [2]!'NDAQ.US-BestAsk1'</f>
        <v>#REF!</v>
      </c>
      <c r="K355" s="65" t="e">
        <f t="shared" si="44"/>
        <v>#REF!</v>
      </c>
      <c r="L355" s="65" t="e">
        <f t="shared" si="45"/>
        <v>#REF!</v>
      </c>
      <c r="M355" s="68" t="e">
        <f t="shared" si="46"/>
        <v>#REF!</v>
      </c>
      <c r="AC355" s="444" t="s">
        <v>3265</v>
      </c>
      <c r="AD355" s="445" t="s">
        <v>961</v>
      </c>
      <c r="AE355" s="446">
        <v>0.04</v>
      </c>
      <c r="AF355" s="447">
        <v>2996</v>
      </c>
    </row>
    <row r="356" spans="1:32" ht="33" thickBot="1">
      <c r="A356" s="24" t="e">
        <f t="shared" si="43"/>
        <v>#REF!</v>
      </c>
      <c r="B356" s="243" t="str">
        <f t="shared" si="47"/>
        <v>NOBLE ENERGY INC</v>
      </c>
      <c r="C356" s="25" t="str">
        <f t="shared" si="48"/>
        <v>NBL UN</v>
      </c>
      <c r="D356" s="25">
        <v>1</v>
      </c>
      <c r="E356" s="6" t="e">
        <f xml:space="preserve"> [2]!'NEE.US-PreClose'</f>
        <v>#REF!</v>
      </c>
      <c r="F356" s="78">
        <f t="shared" si="49"/>
        <v>2780</v>
      </c>
      <c r="G356" s="49" t="e">
        <f t="shared" si="50"/>
        <v>#REF!</v>
      </c>
      <c r="H356" s="6" t="e">
        <f xml:space="preserve"> [2]!'NEE.US-Price'</f>
        <v>#REF!</v>
      </c>
      <c r="I356" s="6" t="e">
        <f xml:space="preserve"> [2]!'NEE.US-BestBid1'</f>
        <v>#REF!</v>
      </c>
      <c r="J356" s="6" t="e">
        <f xml:space="preserve"> [2]!'NEE.US-BestAsk1'</f>
        <v>#REF!</v>
      </c>
      <c r="K356" s="65" t="e">
        <f t="shared" si="44"/>
        <v>#REF!</v>
      </c>
      <c r="L356" s="65" t="e">
        <f t="shared" si="45"/>
        <v>#REF!</v>
      </c>
      <c r="M356" s="68" t="e">
        <f t="shared" si="46"/>
        <v>#REF!</v>
      </c>
      <c r="AC356" s="440" t="s">
        <v>3266</v>
      </c>
      <c r="AD356" s="441" t="s">
        <v>962</v>
      </c>
      <c r="AE356" s="442">
        <v>0.04</v>
      </c>
      <c r="AF356" s="443">
        <v>2780</v>
      </c>
    </row>
    <row r="357" spans="1:32" ht="43.8" thickBot="1">
      <c r="A357" s="24" t="e">
        <f t="shared" si="43"/>
        <v>#REF!</v>
      </c>
      <c r="B357" s="243" t="str">
        <f t="shared" si="47"/>
        <v>NORWEGIAN CRUISE LINE HOLDIN</v>
      </c>
      <c r="C357" s="25" t="str">
        <f t="shared" si="48"/>
        <v>NCLH UN</v>
      </c>
      <c r="D357" s="25">
        <v>1</v>
      </c>
      <c r="E357" s="6" t="e">
        <f xml:space="preserve"> [2]!'NEM.US-PreClose'</f>
        <v>#REF!</v>
      </c>
      <c r="F357" s="78">
        <f t="shared" si="49"/>
        <v>1252</v>
      </c>
      <c r="G357" s="49" t="e">
        <f t="shared" si="50"/>
        <v>#REF!</v>
      </c>
      <c r="H357" s="6" t="e">
        <f xml:space="preserve"> [2]!'NEM.US-Price'</f>
        <v>#REF!</v>
      </c>
      <c r="I357" s="6" t="e">
        <f xml:space="preserve"> [2]!'NEM.US-BestBid1'</f>
        <v>#REF!</v>
      </c>
      <c r="J357" s="6" t="e">
        <f xml:space="preserve"> [2]!'NEM.US-BestAsk1'</f>
        <v>#REF!</v>
      </c>
      <c r="K357" s="65" t="e">
        <f t="shared" si="44"/>
        <v>#REF!</v>
      </c>
      <c r="L357" s="65" t="e">
        <f t="shared" si="45"/>
        <v>#REF!</v>
      </c>
      <c r="M357" s="68" t="e">
        <f t="shared" si="46"/>
        <v>#REF!</v>
      </c>
      <c r="AC357" s="444" t="s">
        <v>3267</v>
      </c>
      <c r="AD357" s="445" t="s">
        <v>3268</v>
      </c>
      <c r="AE357" s="446">
        <v>0.04</v>
      </c>
      <c r="AF357" s="447">
        <v>1252</v>
      </c>
    </row>
    <row r="358" spans="1:32" ht="22.2" thickBot="1">
      <c r="A358" s="24" t="e">
        <f t="shared" si="43"/>
        <v>#REF!</v>
      </c>
      <c r="B358" s="243" t="str">
        <f t="shared" si="47"/>
        <v>NASDAQ INC</v>
      </c>
      <c r="C358" s="25" t="str">
        <f t="shared" si="48"/>
        <v>NDAQ UQ</v>
      </c>
      <c r="D358" s="25">
        <v>1</v>
      </c>
      <c r="E358" s="6" t="e">
        <f xml:space="preserve"> [2]!'NFLX.US-PreClose'</f>
        <v>#REF!</v>
      </c>
      <c r="F358" s="78">
        <f t="shared" si="49"/>
        <v>674</v>
      </c>
      <c r="G358" s="49" t="e">
        <f t="shared" si="50"/>
        <v>#REF!</v>
      </c>
      <c r="H358" s="6" t="e">
        <f xml:space="preserve"> [2]!'NFLX.US-Price'</f>
        <v>#REF!</v>
      </c>
      <c r="I358" s="6" t="e">
        <f xml:space="preserve"> [2]!'NFLX.US-BestBid1'</f>
        <v>#REF!</v>
      </c>
      <c r="J358" s="6" t="e">
        <f xml:space="preserve"> [2]!'NFLX.US-BestAsk1'</f>
        <v>#REF!</v>
      </c>
      <c r="K358" s="65" t="e">
        <f t="shared" si="44"/>
        <v>#REF!</v>
      </c>
      <c r="L358" s="65" t="e">
        <f t="shared" si="45"/>
        <v>#REF!</v>
      </c>
      <c r="M358" s="68" t="e">
        <f t="shared" si="46"/>
        <v>#REF!</v>
      </c>
      <c r="AC358" s="440" t="s">
        <v>3269</v>
      </c>
      <c r="AD358" s="441" t="s">
        <v>963</v>
      </c>
      <c r="AE358" s="442">
        <v>0.05</v>
      </c>
      <c r="AF358" s="442">
        <v>674</v>
      </c>
    </row>
    <row r="359" spans="1:32" ht="33" thickBot="1">
      <c r="A359" s="24" t="e">
        <f t="shared" si="43"/>
        <v>#REF!</v>
      </c>
      <c r="B359" s="243" t="str">
        <f t="shared" si="47"/>
        <v>NEXTERA ENERGY INC</v>
      </c>
      <c r="C359" s="25" t="str">
        <f t="shared" si="48"/>
        <v>NEE UN</v>
      </c>
      <c r="D359" s="25">
        <v>1</v>
      </c>
      <c r="E359" s="6" t="e">
        <f xml:space="preserve"> [2]!'NFX.US-PreClose'</f>
        <v>#REF!</v>
      </c>
      <c r="F359" s="78">
        <f t="shared" si="49"/>
        <v>2784</v>
      </c>
      <c r="G359" s="49" t="e">
        <f t="shared" si="50"/>
        <v>#REF!</v>
      </c>
      <c r="H359" s="6" t="e">
        <f xml:space="preserve"> [2]!'NFX.US-Price'</f>
        <v>#REF!</v>
      </c>
      <c r="I359" s="6" t="e">
        <f xml:space="preserve"> [2]!'NFX.US-BestBid1'</f>
        <v>#REF!</v>
      </c>
      <c r="J359" s="6" t="e">
        <f xml:space="preserve"> [2]!'NFX.US-BestAsk1'</f>
        <v>#REF!</v>
      </c>
      <c r="K359" s="65" t="e">
        <f t="shared" si="44"/>
        <v>#REF!</v>
      </c>
      <c r="L359" s="65" t="e">
        <f t="shared" si="45"/>
        <v>#REF!</v>
      </c>
      <c r="M359" s="68" t="e">
        <f t="shared" si="46"/>
        <v>#REF!</v>
      </c>
      <c r="AC359" s="444" t="s">
        <v>3270</v>
      </c>
      <c r="AD359" s="445" t="s">
        <v>964</v>
      </c>
      <c r="AE359" s="446">
        <v>0.39</v>
      </c>
      <c r="AF359" s="447">
        <v>2784</v>
      </c>
    </row>
    <row r="360" spans="1:32" ht="33" thickBot="1">
      <c r="A360" s="24" t="e">
        <f t="shared" si="43"/>
        <v>#REF!</v>
      </c>
      <c r="B360" s="243" t="str">
        <f t="shared" si="47"/>
        <v>NEWMONT GOLDCORP CORP</v>
      </c>
      <c r="C360" s="25" t="str">
        <f t="shared" si="48"/>
        <v>NEM UN</v>
      </c>
      <c r="D360" s="25">
        <v>1</v>
      </c>
      <c r="E360" s="6" t="e">
        <f xml:space="preserve"> [2]!'NI.US-PreClose'</f>
        <v>#REF!</v>
      </c>
      <c r="F360" s="78">
        <f t="shared" si="49"/>
        <v>4764</v>
      </c>
      <c r="G360" s="49" t="e">
        <f t="shared" si="50"/>
        <v>#REF!</v>
      </c>
      <c r="H360" s="6" t="e">
        <f xml:space="preserve"> [2]!'NI.US-Price'</f>
        <v>#REF!</v>
      </c>
      <c r="I360" s="6" t="e">
        <f xml:space="preserve"> [2]!'NI.US-BestBid1'</f>
        <v>#REF!</v>
      </c>
      <c r="J360" s="6" t="e">
        <f xml:space="preserve"> [2]!'NI.US-BestAsk1'</f>
        <v>#REF!</v>
      </c>
      <c r="K360" s="65" t="e">
        <f t="shared" si="44"/>
        <v>#REF!</v>
      </c>
      <c r="L360" s="65" t="e">
        <f t="shared" si="45"/>
        <v>#REF!</v>
      </c>
      <c r="M360" s="68" t="e">
        <f t="shared" si="46"/>
        <v>#REF!</v>
      </c>
      <c r="AC360" s="440" t="s">
        <v>3271</v>
      </c>
      <c r="AD360" s="441" t="s">
        <v>3272</v>
      </c>
      <c r="AE360" s="442">
        <v>0.12</v>
      </c>
      <c r="AF360" s="443">
        <v>4764</v>
      </c>
    </row>
    <row r="361" spans="1:32" ht="22.2" thickBot="1">
      <c r="A361" s="24" t="e">
        <f t="shared" si="43"/>
        <v>#VALUE!</v>
      </c>
      <c r="B361" s="243" t="str">
        <f t="shared" si="47"/>
        <v>NETFLIX INC</v>
      </c>
      <c r="C361" s="25" t="str">
        <f t="shared" si="48"/>
        <v>NFLX UQ</v>
      </c>
      <c r="D361" s="25">
        <v>1</v>
      </c>
      <c r="E361" s="6" t="str">
        <f xml:space="preserve"> [2]!'NKE.US-PreClose'</f>
        <v>N/A</v>
      </c>
      <c r="F361" s="78">
        <f t="shared" si="49"/>
        <v>2541</v>
      </c>
      <c r="G361" s="49" t="e">
        <f t="shared" si="50"/>
        <v>#VALUE!</v>
      </c>
      <c r="H361" s="6" t="str">
        <f xml:space="preserve"> [2]!'NKE.US-Price'</f>
        <v>N/A</v>
      </c>
      <c r="I361" s="6" t="str">
        <f xml:space="preserve"> [2]!'NKE.US-BestBid1'</f>
        <v>N/A</v>
      </c>
      <c r="J361" s="6" t="str">
        <f xml:space="preserve"> [2]!'NKE.US-BestAsk1'</f>
        <v>N/A</v>
      </c>
      <c r="K361" s="65" t="e">
        <f t="shared" si="44"/>
        <v>#VALUE!</v>
      </c>
      <c r="L361" s="65" t="e">
        <f t="shared" si="45"/>
        <v>#VALUE!</v>
      </c>
      <c r="M361" s="68" t="e">
        <f t="shared" si="46"/>
        <v>#VALUE!</v>
      </c>
      <c r="AC361" s="444" t="s">
        <v>3273</v>
      </c>
      <c r="AD361" s="445" t="s">
        <v>965</v>
      </c>
      <c r="AE361" s="446">
        <v>0.64</v>
      </c>
      <c r="AF361" s="447">
        <v>2541</v>
      </c>
    </row>
    <row r="362" spans="1:32" ht="22.2" thickBot="1">
      <c r="A362" s="24" t="e">
        <f t="shared" si="43"/>
        <v>#REF!</v>
      </c>
      <c r="B362" s="243" t="str">
        <f t="shared" si="47"/>
        <v>NISOURCE INC</v>
      </c>
      <c r="C362" s="25" t="str">
        <f t="shared" si="48"/>
        <v>NI UN</v>
      </c>
      <c r="D362" s="25">
        <v>1</v>
      </c>
      <c r="E362" s="6" t="e">
        <f xml:space="preserve"> [2]!'NLSN.US-PreClose'</f>
        <v>#REF!</v>
      </c>
      <c r="F362" s="78">
        <f t="shared" si="49"/>
        <v>2169</v>
      </c>
      <c r="G362" s="49" t="e">
        <f t="shared" si="50"/>
        <v>#REF!</v>
      </c>
      <c r="H362" s="6" t="e">
        <f xml:space="preserve"> [2]!'NLSN.US-Price'</f>
        <v>#REF!</v>
      </c>
      <c r="I362" s="6" t="e">
        <f xml:space="preserve"> [2]!'NLSN.US-BestBid1'</f>
        <v>#REF!</v>
      </c>
      <c r="J362" s="6" t="e">
        <f xml:space="preserve"> [2]!'NLSN.US-BestAsk1'</f>
        <v>#REF!</v>
      </c>
      <c r="K362" s="65" t="e">
        <f t="shared" si="44"/>
        <v>#REF!</v>
      </c>
      <c r="L362" s="65" t="e">
        <f t="shared" si="45"/>
        <v>#REF!</v>
      </c>
      <c r="M362" s="68" t="e">
        <f t="shared" si="46"/>
        <v>#REF!</v>
      </c>
      <c r="AC362" s="440" t="s">
        <v>3274</v>
      </c>
      <c r="AD362" s="441" t="s">
        <v>966</v>
      </c>
      <c r="AE362" s="442">
        <v>0.04</v>
      </c>
      <c r="AF362" s="443">
        <v>2169</v>
      </c>
    </row>
    <row r="363" spans="1:32" ht="22.2" thickBot="1">
      <c r="A363" s="24" t="e">
        <f t="shared" si="43"/>
        <v>#REF!</v>
      </c>
      <c r="B363" s="243" t="str">
        <f t="shared" si="47"/>
        <v>NIKE INC -CL B</v>
      </c>
      <c r="C363" s="25" t="str">
        <f t="shared" si="48"/>
        <v>NKE UN</v>
      </c>
      <c r="D363" s="25">
        <v>1</v>
      </c>
      <c r="E363" s="6" t="e">
        <f xml:space="preserve"> [2]!'NOC.US-PreClose'</f>
        <v>#REF!</v>
      </c>
      <c r="F363" s="78">
        <f t="shared" si="49"/>
        <v>7305</v>
      </c>
      <c r="G363" s="49" t="e">
        <f t="shared" si="50"/>
        <v>#REF!</v>
      </c>
      <c r="H363" s="6" t="e">
        <f xml:space="preserve"> [2]!'NOC.US-Price'</f>
        <v>#REF!</v>
      </c>
      <c r="I363" s="6" t="e">
        <f xml:space="preserve"> [2]!'NOC.US-BestBid1'</f>
        <v>#REF!</v>
      </c>
      <c r="J363" s="6" t="e">
        <f xml:space="preserve"> [2]!'NOC.US-BestAsk1'</f>
        <v>#REF!</v>
      </c>
      <c r="K363" s="65" t="e">
        <f t="shared" si="44"/>
        <v>#REF!</v>
      </c>
      <c r="L363" s="65" t="e">
        <f t="shared" si="45"/>
        <v>#REF!</v>
      </c>
      <c r="M363" s="68" t="e">
        <f t="shared" si="46"/>
        <v>#REF!</v>
      </c>
      <c r="AC363" s="444" t="s">
        <v>3275</v>
      </c>
      <c r="AD363" s="445" t="s">
        <v>967</v>
      </c>
      <c r="AE363" s="446">
        <v>0.43</v>
      </c>
      <c r="AF363" s="447">
        <v>7305</v>
      </c>
    </row>
    <row r="364" spans="1:32" ht="33" thickBot="1">
      <c r="A364" s="24" t="e">
        <f t="shared" si="43"/>
        <v>#REF!</v>
      </c>
      <c r="B364" s="243" t="str">
        <f t="shared" si="47"/>
        <v>NEKTAR THERAPEUTICS</v>
      </c>
      <c r="C364" s="25" t="str">
        <f t="shared" si="48"/>
        <v>NKTR UQ</v>
      </c>
      <c r="D364" s="25">
        <v>1</v>
      </c>
      <c r="E364" s="6" t="e">
        <f xml:space="preserve"> [2]!'NOV.US-PreClose'</f>
        <v>#REF!</v>
      </c>
      <c r="F364" s="78">
        <f t="shared" si="49"/>
        <v>1013</v>
      </c>
      <c r="G364" s="49" t="e">
        <f t="shared" si="50"/>
        <v>#REF!</v>
      </c>
      <c r="H364" s="6" t="e">
        <f xml:space="preserve"> [2]!'NOV.US-Price'</f>
        <v>#REF!</v>
      </c>
      <c r="I364" s="6" t="e">
        <f xml:space="preserve"> [2]!'NOV.US-BestBid1'</f>
        <v>#REF!</v>
      </c>
      <c r="J364" s="6" t="e">
        <f xml:space="preserve"> [2]!'NOV.US-BestAsk1'</f>
        <v>#REF!</v>
      </c>
      <c r="K364" s="65" t="e">
        <f t="shared" si="44"/>
        <v>#REF!</v>
      </c>
      <c r="L364" s="65" t="e">
        <f t="shared" si="45"/>
        <v>#REF!</v>
      </c>
      <c r="M364" s="68" t="e">
        <f t="shared" si="46"/>
        <v>#REF!</v>
      </c>
      <c r="AC364" s="440" t="s">
        <v>3276</v>
      </c>
      <c r="AD364" s="441" t="s">
        <v>3277</v>
      </c>
      <c r="AE364" s="442">
        <v>0.02</v>
      </c>
      <c r="AF364" s="443">
        <v>1013</v>
      </c>
    </row>
    <row r="365" spans="1:32" ht="33" thickBot="1">
      <c r="A365" s="24" t="e">
        <f t="shared" si="43"/>
        <v>#REF!</v>
      </c>
      <c r="B365" s="243" t="str">
        <f t="shared" si="47"/>
        <v>NIELSEN HOLDINGS PLC</v>
      </c>
      <c r="C365" s="25" t="str">
        <f t="shared" si="48"/>
        <v>NLSN UN</v>
      </c>
      <c r="D365" s="25">
        <v>1</v>
      </c>
      <c r="E365" s="6" t="e">
        <f xml:space="preserve"> [2]!'NRG.US-PreClose'</f>
        <v>#REF!</v>
      </c>
      <c r="F365" s="78">
        <f t="shared" si="49"/>
        <v>2066</v>
      </c>
      <c r="G365" s="49" t="e">
        <f t="shared" si="50"/>
        <v>#REF!</v>
      </c>
      <c r="H365" s="6" t="e">
        <f xml:space="preserve"> [2]!'NRG.US-Price'</f>
        <v>#REF!</v>
      </c>
      <c r="I365" s="6" t="e">
        <f xml:space="preserve"> [2]!'NRG.US-BestBid1'</f>
        <v>#REF!</v>
      </c>
      <c r="J365" s="6" t="e">
        <f xml:space="preserve"> [2]!'NRG.US-BestAsk1'</f>
        <v>#REF!</v>
      </c>
      <c r="K365" s="65" t="e">
        <f t="shared" si="44"/>
        <v>#REF!</v>
      </c>
      <c r="L365" s="65" t="e">
        <f t="shared" si="45"/>
        <v>#REF!</v>
      </c>
      <c r="M365" s="68" t="e">
        <f t="shared" si="46"/>
        <v>#REF!</v>
      </c>
      <c r="AC365" s="444" t="s">
        <v>3278</v>
      </c>
      <c r="AD365" s="445" t="s">
        <v>968</v>
      </c>
      <c r="AE365" s="446">
        <v>0.03</v>
      </c>
      <c r="AF365" s="447">
        <v>2066</v>
      </c>
    </row>
    <row r="366" spans="1:32" ht="43.8" thickBot="1">
      <c r="A366" s="24" t="e">
        <f t="shared" si="43"/>
        <v>#REF!</v>
      </c>
      <c r="B366" s="243" t="str">
        <f t="shared" si="47"/>
        <v>NORTHROP GRUMMAN CORP</v>
      </c>
      <c r="C366" s="25" t="str">
        <f t="shared" si="48"/>
        <v>NOC UN</v>
      </c>
      <c r="D366" s="25">
        <v>1</v>
      </c>
      <c r="E366" s="6" t="e">
        <f xml:space="preserve"> [2]!'NSC.US-PreClose'</f>
        <v>#REF!</v>
      </c>
      <c r="F366" s="78">
        <f t="shared" si="49"/>
        <v>987</v>
      </c>
      <c r="G366" s="49" t="e">
        <f t="shared" si="50"/>
        <v>#REF!</v>
      </c>
      <c r="H366" s="6" t="e">
        <f xml:space="preserve"> [2]!'NSC.US-Price'</f>
        <v>#REF!</v>
      </c>
      <c r="I366" s="6" t="e">
        <f xml:space="preserve"> [2]!'NSC.US-BestBid1'</f>
        <v>#REF!</v>
      </c>
      <c r="J366" s="6" t="e">
        <f xml:space="preserve"> [2]!'NSC.US-BestAsk1'</f>
        <v>#REF!</v>
      </c>
      <c r="K366" s="65" t="e">
        <f t="shared" si="44"/>
        <v>#REF!</v>
      </c>
      <c r="L366" s="65" t="e">
        <f t="shared" si="45"/>
        <v>#REF!</v>
      </c>
      <c r="M366" s="68" t="e">
        <f t="shared" si="46"/>
        <v>#REF!</v>
      </c>
      <c r="AC366" s="440" t="s">
        <v>3279</v>
      </c>
      <c r="AD366" s="441" t="s">
        <v>969</v>
      </c>
      <c r="AE366" s="442">
        <v>0.21</v>
      </c>
      <c r="AF366" s="442">
        <v>987</v>
      </c>
    </row>
    <row r="367" spans="1:32" ht="33" thickBot="1">
      <c r="A367" s="24" t="e">
        <f t="shared" si="43"/>
        <v>#REF!</v>
      </c>
      <c r="B367" s="243" t="str">
        <f t="shared" si="47"/>
        <v>NATIONAL OILWELL VARCO INC</v>
      </c>
      <c r="C367" s="25" t="str">
        <f t="shared" si="48"/>
        <v>NOV UN</v>
      </c>
      <c r="D367" s="25">
        <v>1</v>
      </c>
      <c r="E367" s="6" t="e">
        <f xml:space="preserve"> [2]!'NTAP.US-PreClose'</f>
        <v>#REF!</v>
      </c>
      <c r="F367" s="78">
        <f t="shared" si="49"/>
        <v>2243</v>
      </c>
      <c r="G367" s="49" t="e">
        <f t="shared" si="50"/>
        <v>#REF!</v>
      </c>
      <c r="H367" s="6" t="e">
        <f xml:space="preserve"> [2]!'NTAP.US-Price'</f>
        <v>#REF!</v>
      </c>
      <c r="I367" s="6" t="e">
        <f xml:space="preserve"> [2]!'NTAP.US-BestBid1'</f>
        <v>#REF!</v>
      </c>
      <c r="J367" s="6" t="e">
        <f xml:space="preserve"> [2]!'NTAP.US-BestAsk1'</f>
        <v>#REF!</v>
      </c>
      <c r="K367" s="65" t="e">
        <f t="shared" si="44"/>
        <v>#REF!</v>
      </c>
      <c r="L367" s="65" t="e">
        <f t="shared" si="45"/>
        <v>#REF!</v>
      </c>
      <c r="M367" s="68" t="e">
        <f t="shared" si="46"/>
        <v>#REF!</v>
      </c>
      <c r="AC367" s="444" t="s">
        <v>3280</v>
      </c>
      <c r="AD367" s="445" t="s">
        <v>970</v>
      </c>
      <c r="AE367" s="446">
        <v>0.03</v>
      </c>
      <c r="AF367" s="447">
        <v>2243</v>
      </c>
    </row>
    <row r="368" spans="1:32" ht="33" thickBot="1">
      <c r="A368" s="24" t="e">
        <f t="shared" si="43"/>
        <v>#REF!</v>
      </c>
      <c r="B368" s="243" t="str">
        <f t="shared" si="47"/>
        <v>NRG ENERGY INC</v>
      </c>
      <c r="C368" s="25" t="str">
        <f t="shared" si="48"/>
        <v>NRG UN</v>
      </c>
      <c r="D368" s="25">
        <v>1</v>
      </c>
      <c r="E368" s="6" t="e">
        <f xml:space="preserve"> [2]!'NTRS.US-PreClose'</f>
        <v>#REF!</v>
      </c>
      <c r="F368" s="78">
        <f t="shared" si="49"/>
        <v>1553</v>
      </c>
      <c r="G368" s="49" t="e">
        <f t="shared" si="50"/>
        <v>#REF!</v>
      </c>
      <c r="H368" s="6" t="e">
        <f xml:space="preserve"> [2]!'NTRS.US-Price'</f>
        <v>#REF!</v>
      </c>
      <c r="I368" s="6" t="e">
        <f xml:space="preserve"> [2]!'NTRS.US-BestBid1'</f>
        <v>#REF!</v>
      </c>
      <c r="J368" s="6" t="e">
        <f xml:space="preserve"> [2]!'NTRS.US-BestAsk1'</f>
        <v>#REF!</v>
      </c>
      <c r="K368" s="65" t="e">
        <f t="shared" si="44"/>
        <v>#REF!</v>
      </c>
      <c r="L368" s="65" t="e">
        <f t="shared" si="45"/>
        <v>#REF!</v>
      </c>
      <c r="M368" s="68" t="e">
        <f t="shared" si="46"/>
        <v>#REF!</v>
      </c>
      <c r="AC368" s="440" t="s">
        <v>3281</v>
      </c>
      <c r="AD368" s="441" t="s">
        <v>971</v>
      </c>
      <c r="AE368" s="442">
        <v>0.04</v>
      </c>
      <c r="AF368" s="443">
        <v>1553</v>
      </c>
    </row>
    <row r="369" spans="1:32" ht="33" thickBot="1">
      <c r="A369" s="24" t="e">
        <f t="shared" si="43"/>
        <v>#REF!</v>
      </c>
      <c r="B369" s="243" t="str">
        <f t="shared" si="47"/>
        <v>NORFOLK SOUTHERN CORP</v>
      </c>
      <c r="C369" s="25" t="str">
        <f t="shared" si="48"/>
        <v>NSC UN</v>
      </c>
      <c r="D369" s="25">
        <v>1</v>
      </c>
      <c r="E369" s="6" t="e">
        <f xml:space="preserve"> [2]!'NUE.US-PreClose'</f>
        <v>#REF!</v>
      </c>
      <c r="F369" s="78">
        <f t="shared" si="49"/>
        <v>1546</v>
      </c>
      <c r="G369" s="49" t="e">
        <f t="shared" si="50"/>
        <v>#REF!</v>
      </c>
      <c r="H369" s="6" t="e">
        <f xml:space="preserve"> [2]!'NUE.US-Price'</f>
        <v>#REF!</v>
      </c>
      <c r="I369" s="6" t="e">
        <f xml:space="preserve"> [2]!'NUE.US-BestBid1'</f>
        <v>#REF!</v>
      </c>
      <c r="J369" s="6" t="e">
        <f xml:space="preserve"> [2]!'NUE.US-BestAsk1'</f>
        <v>#REF!</v>
      </c>
      <c r="K369" s="65" t="e">
        <f t="shared" si="44"/>
        <v>#REF!</v>
      </c>
      <c r="L369" s="65" t="e">
        <f t="shared" si="45"/>
        <v>#REF!</v>
      </c>
      <c r="M369" s="68" t="e">
        <f t="shared" si="46"/>
        <v>#REF!</v>
      </c>
      <c r="AC369" s="444" t="s">
        <v>3282</v>
      </c>
      <c r="AD369" s="445" t="s">
        <v>972</v>
      </c>
      <c r="AE369" s="446">
        <v>0.21</v>
      </c>
      <c r="AF369" s="447">
        <v>1546</v>
      </c>
    </row>
    <row r="370" spans="1:32" ht="22.2" thickBot="1">
      <c r="A370" s="24" t="e">
        <f t="shared" si="43"/>
        <v>#REF!</v>
      </c>
      <c r="B370" s="243" t="str">
        <f t="shared" si="47"/>
        <v>NETAPP INC</v>
      </c>
      <c r="C370" s="25" t="str">
        <f t="shared" si="48"/>
        <v>NTAP UQ</v>
      </c>
      <c r="D370" s="25">
        <v>1</v>
      </c>
      <c r="E370" s="6" t="e">
        <f xml:space="preserve"> [2]!'NVDA.US-PreClose'</f>
        <v>#REF!</v>
      </c>
      <c r="F370" s="78">
        <f t="shared" si="49"/>
        <v>1436</v>
      </c>
      <c r="G370" s="49" t="e">
        <f t="shared" si="50"/>
        <v>#REF!</v>
      </c>
      <c r="H370" s="6" t="e">
        <f xml:space="preserve"> [2]!'NVDA.US-Price'</f>
        <v>#REF!</v>
      </c>
      <c r="I370" s="6" t="e">
        <f xml:space="preserve"> [2]!'NVDA.US-BestBid1'</f>
        <v>#REF!</v>
      </c>
      <c r="J370" s="6" t="e">
        <f xml:space="preserve"> [2]!'NVDA.US-BestAsk1'</f>
        <v>#REF!</v>
      </c>
      <c r="K370" s="65" t="e">
        <f t="shared" si="44"/>
        <v>#REF!</v>
      </c>
      <c r="L370" s="65" t="e">
        <f t="shared" si="45"/>
        <v>#REF!</v>
      </c>
      <c r="M370" s="68" t="e">
        <f t="shared" si="46"/>
        <v>#REF!</v>
      </c>
      <c r="AC370" s="440" t="s">
        <v>3283</v>
      </c>
      <c r="AD370" s="441" t="s">
        <v>973</v>
      </c>
      <c r="AE370" s="442">
        <v>0.06</v>
      </c>
      <c r="AF370" s="443">
        <v>1436</v>
      </c>
    </row>
    <row r="371" spans="1:32" ht="33" thickBot="1">
      <c r="A371" s="24" t="e">
        <f t="shared" si="43"/>
        <v>#REF!</v>
      </c>
      <c r="B371" s="243" t="str">
        <f t="shared" si="47"/>
        <v>NORTHERN TRUST CORP</v>
      </c>
      <c r="C371" s="25" t="str">
        <f t="shared" si="48"/>
        <v>NTRS UQ</v>
      </c>
      <c r="D371" s="25">
        <v>1</v>
      </c>
      <c r="E371" s="6" t="e">
        <f xml:space="preserve"> [2]!'NWL.US-PreClose'</f>
        <v>#REF!</v>
      </c>
      <c r="F371" s="78">
        <f t="shared" si="49"/>
        <v>1265</v>
      </c>
      <c r="G371" s="49" t="e">
        <f t="shared" si="50"/>
        <v>#REF!</v>
      </c>
      <c r="H371" s="6" t="e">
        <f xml:space="preserve"> [2]!'NWL.US-Price'</f>
        <v>#REF!</v>
      </c>
      <c r="I371" s="6" t="e">
        <f xml:space="preserve"> [2]!'NWL.US-BestBid1'</f>
        <v>#REF!</v>
      </c>
      <c r="J371" s="6" t="e">
        <f xml:space="preserve"> [2]!'NWL.US-BestAsk1'</f>
        <v>#REF!</v>
      </c>
      <c r="K371" s="65" t="e">
        <f t="shared" si="44"/>
        <v>#REF!</v>
      </c>
      <c r="L371" s="65" t="e">
        <f t="shared" si="45"/>
        <v>#REF!</v>
      </c>
      <c r="M371" s="68" t="e">
        <f t="shared" si="46"/>
        <v>#REF!</v>
      </c>
      <c r="AC371" s="444" t="s">
        <v>3284</v>
      </c>
      <c r="AD371" s="445" t="s">
        <v>974</v>
      </c>
      <c r="AE371" s="446">
        <v>0.08</v>
      </c>
      <c r="AF371" s="447">
        <v>1265</v>
      </c>
    </row>
    <row r="372" spans="1:32" ht="22.2" thickBot="1">
      <c r="A372" s="24" t="e">
        <f t="shared" si="43"/>
        <v>#REF!</v>
      </c>
      <c r="B372" s="243" t="str">
        <f t="shared" si="47"/>
        <v>NUCOR CORP</v>
      </c>
      <c r="C372" s="25" t="str">
        <f t="shared" si="48"/>
        <v>NUE UN</v>
      </c>
      <c r="D372" s="25">
        <v>1</v>
      </c>
      <c r="E372" s="6" t="e">
        <f xml:space="preserve"> [2]!'NWS.US-PreClose'</f>
        <v>#REF!</v>
      </c>
      <c r="F372" s="78">
        <f t="shared" si="49"/>
        <v>1772</v>
      </c>
      <c r="G372" s="49" t="e">
        <f t="shared" si="50"/>
        <v>#REF!</v>
      </c>
      <c r="H372" s="6" t="e">
        <f xml:space="preserve"> [2]!'NWS.US-Price'</f>
        <v>#REF!</v>
      </c>
      <c r="I372" s="6" t="e">
        <f xml:space="preserve"> [2]!'NWS.US-BestBid1'</f>
        <v>#REF!</v>
      </c>
      <c r="J372" s="6" t="e">
        <f xml:space="preserve"> [2]!'NWS.US-BestAsk1'</f>
        <v>#REF!</v>
      </c>
      <c r="K372" s="65" t="e">
        <f t="shared" si="44"/>
        <v>#REF!</v>
      </c>
      <c r="L372" s="65" t="e">
        <f t="shared" si="45"/>
        <v>#REF!</v>
      </c>
      <c r="M372" s="68" t="e">
        <f t="shared" si="46"/>
        <v>#REF!</v>
      </c>
      <c r="AC372" s="440" t="s">
        <v>3285</v>
      </c>
      <c r="AD372" s="441" t="s">
        <v>975</v>
      </c>
      <c r="AE372" s="442">
        <v>0.06</v>
      </c>
      <c r="AF372" s="443">
        <v>1772</v>
      </c>
    </row>
    <row r="373" spans="1:32" ht="22.2" thickBot="1">
      <c r="A373" s="24" t="e">
        <f t="shared" si="43"/>
        <v>#REF!</v>
      </c>
      <c r="B373" s="243" t="str">
        <f t="shared" si="47"/>
        <v>NVIDIA CORP</v>
      </c>
      <c r="C373" s="25" t="str">
        <f t="shared" si="48"/>
        <v>NVDA UQ</v>
      </c>
      <c r="D373" s="25">
        <v>1</v>
      </c>
      <c r="E373" s="6" t="e">
        <f xml:space="preserve"> [2]!'NWSA.US-PreClose'</f>
        <v>#REF!</v>
      </c>
      <c r="F373" s="78">
        <f t="shared" si="49"/>
        <v>3540</v>
      </c>
      <c r="G373" s="49" t="e">
        <f t="shared" si="50"/>
        <v>#REF!</v>
      </c>
      <c r="H373" s="6" t="e">
        <f xml:space="preserve"> [2]!'NWSA.US-Price'</f>
        <v>#REF!</v>
      </c>
      <c r="I373" s="6" t="e">
        <f xml:space="preserve"> [2]!'NWSA.US-BestBid1'</f>
        <v>#REF!</v>
      </c>
      <c r="J373" s="6" t="e">
        <f xml:space="preserve"> [2]!'NWSA.US-BestAsk1'</f>
        <v>#REF!</v>
      </c>
      <c r="K373" s="65" t="e">
        <f t="shared" si="44"/>
        <v>#REF!</v>
      </c>
      <c r="L373" s="65" t="e">
        <f t="shared" si="45"/>
        <v>#REF!</v>
      </c>
      <c r="M373" s="68" t="e">
        <f t="shared" si="46"/>
        <v>#REF!</v>
      </c>
      <c r="AC373" s="444" t="s">
        <v>3286</v>
      </c>
      <c r="AD373" s="445" t="s">
        <v>976</v>
      </c>
      <c r="AE373" s="446">
        <v>0.39</v>
      </c>
      <c r="AF373" s="447">
        <v>3540</v>
      </c>
    </row>
    <row r="374" spans="1:32" ht="33" thickBot="1">
      <c r="A374" s="24" t="e">
        <f t="shared" si="43"/>
        <v>#VALUE!</v>
      </c>
      <c r="B374" s="243" t="str">
        <f t="shared" si="47"/>
        <v>NEWELL BRANDS INC</v>
      </c>
      <c r="C374" s="25" t="str">
        <f t="shared" si="48"/>
        <v>NWL UQ</v>
      </c>
      <c r="D374" s="25">
        <v>1</v>
      </c>
      <c r="E374" s="6" t="str">
        <f xml:space="preserve"> [2]!'O.US-PreClose'</f>
        <v>N/A</v>
      </c>
      <c r="F374" s="78">
        <f t="shared" si="49"/>
        <v>2263</v>
      </c>
      <c r="G374" s="49" t="e">
        <f t="shared" si="50"/>
        <v>#VALUE!</v>
      </c>
      <c r="H374" s="6" t="str">
        <f xml:space="preserve"> [2]!'O.US-Price'</f>
        <v>N/A</v>
      </c>
      <c r="I374" s="6" t="str">
        <f xml:space="preserve"> [2]!'O.US-BestBid1'</f>
        <v>N/A</v>
      </c>
      <c r="J374" s="6" t="str">
        <f xml:space="preserve"> [2]!'O.US-BestAsk1'</f>
        <v>N/A</v>
      </c>
      <c r="K374" s="65" t="e">
        <f t="shared" si="44"/>
        <v>#VALUE!</v>
      </c>
      <c r="L374" s="65" t="e">
        <f t="shared" si="45"/>
        <v>#VALUE!</v>
      </c>
      <c r="M374" s="68" t="e">
        <f t="shared" si="46"/>
        <v>#VALUE!</v>
      </c>
      <c r="AC374" s="440" t="s">
        <v>3287</v>
      </c>
      <c r="AD374" s="441" t="s">
        <v>977</v>
      </c>
      <c r="AE374" s="442">
        <v>0.02</v>
      </c>
      <c r="AF374" s="443">
        <v>2263</v>
      </c>
    </row>
    <row r="375" spans="1:32" ht="33" thickBot="1">
      <c r="A375" s="24" t="e">
        <f t="shared" si="43"/>
        <v>#REF!</v>
      </c>
      <c r="B375" s="243" t="str">
        <f t="shared" si="47"/>
        <v>NEWS CORP - CLASS B</v>
      </c>
      <c r="C375" s="25" t="str">
        <f t="shared" si="48"/>
        <v>NWS UQ</v>
      </c>
      <c r="D375" s="25">
        <v>1</v>
      </c>
      <c r="E375" s="6" t="e">
        <f xml:space="preserve"> [2]!'OKE.US-PreClose'</f>
        <v>#REF!</v>
      </c>
      <c r="F375" s="78">
        <f t="shared" si="49"/>
        <v>719</v>
      </c>
      <c r="G375" s="49" t="e">
        <f t="shared" si="50"/>
        <v>#REF!</v>
      </c>
      <c r="H375" s="6" t="e">
        <f xml:space="preserve"> [2]!'OKE.US-Price'</f>
        <v>#REF!</v>
      </c>
      <c r="I375" s="6" t="e">
        <f xml:space="preserve"> [2]!'OKE.US-BestBid1'</f>
        <v>#REF!</v>
      </c>
      <c r="J375" s="6" t="e">
        <f xml:space="preserve"> [2]!'OKE.US-BestAsk1'</f>
        <v>#REF!</v>
      </c>
      <c r="K375" s="65" t="e">
        <f t="shared" si="44"/>
        <v>#REF!</v>
      </c>
      <c r="L375" s="65" t="e">
        <f t="shared" si="45"/>
        <v>#REF!</v>
      </c>
      <c r="M375" s="68" t="e">
        <f t="shared" si="46"/>
        <v>#REF!</v>
      </c>
      <c r="AC375" s="444" t="s">
        <v>3288</v>
      </c>
      <c r="AD375" s="445" t="s">
        <v>978</v>
      </c>
      <c r="AE375" s="446">
        <v>0.01</v>
      </c>
      <c r="AF375" s="446">
        <v>719</v>
      </c>
    </row>
    <row r="376" spans="1:32" ht="33" thickBot="1">
      <c r="A376" s="24" t="e">
        <f t="shared" si="43"/>
        <v>#REF!</v>
      </c>
      <c r="B376" s="243" t="str">
        <f t="shared" si="47"/>
        <v>NEWS CORP - CLASS A</v>
      </c>
      <c r="C376" s="25" t="str">
        <f t="shared" si="48"/>
        <v>NWSA UQ</v>
      </c>
      <c r="D376" s="25">
        <v>1</v>
      </c>
      <c r="E376" s="6" t="e">
        <f xml:space="preserve"> [2]!'OMC.US-PreClose'</f>
        <v>#REF!</v>
      </c>
      <c r="F376" s="78">
        <f t="shared" si="49"/>
        <v>2241</v>
      </c>
      <c r="G376" s="49" t="e">
        <f t="shared" si="50"/>
        <v>#REF!</v>
      </c>
      <c r="H376" s="6" t="e">
        <f xml:space="preserve"> [2]!'OMC.US-Price'</f>
        <v>#REF!</v>
      </c>
      <c r="I376" s="6" t="e">
        <f xml:space="preserve"> [2]!'OMC.US-BestBid1'</f>
        <v>#REF!</v>
      </c>
      <c r="J376" s="6" t="e">
        <f xml:space="preserve"> [2]!'OMC.US-BestAsk1'</f>
        <v>#REF!</v>
      </c>
      <c r="K376" s="65" t="e">
        <f t="shared" si="44"/>
        <v>#REF!</v>
      </c>
      <c r="L376" s="65" t="e">
        <f t="shared" si="45"/>
        <v>#REF!</v>
      </c>
      <c r="M376" s="68" t="e">
        <f t="shared" si="46"/>
        <v>#REF!</v>
      </c>
      <c r="AC376" s="440" t="s">
        <v>3289</v>
      </c>
      <c r="AD376" s="441" t="s">
        <v>979</v>
      </c>
      <c r="AE376" s="442">
        <v>0.02</v>
      </c>
      <c r="AF376" s="443">
        <v>2241</v>
      </c>
    </row>
    <row r="377" spans="1:32" ht="33" thickBot="1">
      <c r="A377" s="24" t="e">
        <f t="shared" si="43"/>
        <v>#REF!</v>
      </c>
      <c r="B377" s="243" t="str">
        <f t="shared" si="47"/>
        <v>REALTY INCOME CORP</v>
      </c>
      <c r="C377" s="25" t="str">
        <f t="shared" si="48"/>
        <v>O UN</v>
      </c>
      <c r="D377" s="25">
        <v>1</v>
      </c>
      <c r="E377" s="6" t="e">
        <f xml:space="preserve"> [2]!'ORCL.US-PreClose'</f>
        <v>#REF!</v>
      </c>
      <c r="F377" s="78">
        <f t="shared" si="49"/>
        <v>1830</v>
      </c>
      <c r="G377" s="49" t="e">
        <f t="shared" si="50"/>
        <v>#REF!</v>
      </c>
      <c r="H377" s="6" t="e">
        <f xml:space="preserve"> [2]!'ORCL.US-Price'</f>
        <v>#REF!</v>
      </c>
      <c r="I377" s="6" t="e">
        <f xml:space="preserve"> [2]!'ORCL.US-BestBid1'</f>
        <v>#REF!</v>
      </c>
      <c r="J377" s="6" t="e">
        <f xml:space="preserve"> [2]!'ORCL.US-BestAsk1'</f>
        <v>#REF!</v>
      </c>
      <c r="K377" s="65" t="e">
        <f t="shared" si="44"/>
        <v>#REF!</v>
      </c>
      <c r="L377" s="65" t="e">
        <f t="shared" si="45"/>
        <v>#REF!</v>
      </c>
      <c r="M377" s="68" t="e">
        <f t="shared" si="46"/>
        <v>#REF!</v>
      </c>
      <c r="AC377" s="444" t="s">
        <v>3290</v>
      </c>
      <c r="AD377" s="445" t="s">
        <v>980</v>
      </c>
      <c r="AE377" s="446">
        <v>0.09</v>
      </c>
      <c r="AF377" s="447">
        <v>1830</v>
      </c>
    </row>
    <row r="378" spans="1:32" ht="16.8" thickBot="1">
      <c r="A378" s="24" t="e">
        <f t="shared" si="43"/>
        <v>#REF!</v>
      </c>
      <c r="B378" s="243" t="str">
        <f t="shared" si="47"/>
        <v>ONEOK INC</v>
      </c>
      <c r="C378" s="25" t="str">
        <f t="shared" si="48"/>
        <v>OKE UN</v>
      </c>
      <c r="D378" s="25">
        <v>1</v>
      </c>
      <c r="E378" s="6" t="e">
        <f xml:space="preserve"> [2]!'ORLY.US-PreClose'</f>
        <v>#REF!</v>
      </c>
      <c r="F378" s="78">
        <f t="shared" si="49"/>
        <v>2399</v>
      </c>
      <c r="G378" s="49" t="e">
        <f t="shared" si="50"/>
        <v>#REF!</v>
      </c>
      <c r="H378" s="6" t="e">
        <f xml:space="preserve"> [2]!'ORLY.US-Price'</f>
        <v>#REF!</v>
      </c>
      <c r="I378" s="6" t="e">
        <f xml:space="preserve"> [2]!'ORLY.US-BestBid1'</f>
        <v>#REF!</v>
      </c>
      <c r="J378" s="6" t="e">
        <f xml:space="preserve"> [2]!'ORLY.US-BestAsk1'</f>
        <v>#REF!</v>
      </c>
      <c r="K378" s="65" t="e">
        <f t="shared" si="44"/>
        <v>#REF!</v>
      </c>
      <c r="L378" s="65" t="e">
        <f t="shared" si="45"/>
        <v>#REF!</v>
      </c>
      <c r="M378" s="68" t="e">
        <f t="shared" si="46"/>
        <v>#REF!</v>
      </c>
      <c r="AC378" s="440" t="s">
        <v>3291</v>
      </c>
      <c r="AD378" s="441" t="s">
        <v>981</v>
      </c>
      <c r="AE378" s="442">
        <v>0.11</v>
      </c>
      <c r="AF378" s="443">
        <v>2399</v>
      </c>
    </row>
    <row r="379" spans="1:32" ht="22.2" thickBot="1">
      <c r="A379" s="24" t="e">
        <f t="shared" si="43"/>
        <v>#VALUE!</v>
      </c>
      <c r="B379" s="243" t="str">
        <f t="shared" si="47"/>
        <v>OMNICOM GROUP</v>
      </c>
      <c r="C379" s="25" t="str">
        <f t="shared" si="48"/>
        <v>OMC UN</v>
      </c>
      <c r="D379" s="25">
        <v>1</v>
      </c>
      <c r="E379" s="6" t="str">
        <f xml:space="preserve"> [2]!'OXY.US-PreClose'</f>
        <v>N/A</v>
      </c>
      <c r="F379" s="78">
        <f t="shared" si="49"/>
        <v>1280</v>
      </c>
      <c r="G379" s="49" t="e">
        <f t="shared" si="50"/>
        <v>#VALUE!</v>
      </c>
      <c r="H379" s="6" t="str">
        <f xml:space="preserve"> [2]!'OXY.US-Price'</f>
        <v>N/A</v>
      </c>
      <c r="I379" s="6" t="str">
        <f xml:space="preserve"> [2]!'OXY.US-BestBid1'</f>
        <v>N/A</v>
      </c>
      <c r="J379" s="6" t="str">
        <f xml:space="preserve"> [2]!'OXY.US-BestAsk1'</f>
        <v>N/A</v>
      </c>
      <c r="K379" s="65" t="e">
        <f t="shared" si="44"/>
        <v>#VALUE!</v>
      </c>
      <c r="L379" s="65" t="e">
        <f t="shared" si="45"/>
        <v>#VALUE!</v>
      </c>
      <c r="M379" s="68" t="e">
        <f t="shared" si="46"/>
        <v>#VALUE!</v>
      </c>
      <c r="AC379" s="444" t="s">
        <v>3292</v>
      </c>
      <c r="AD379" s="445" t="s">
        <v>982</v>
      </c>
      <c r="AE379" s="446">
        <v>7.0000000000000007E-2</v>
      </c>
      <c r="AF379" s="447">
        <v>1280</v>
      </c>
    </row>
    <row r="380" spans="1:32" ht="22.2" thickBot="1">
      <c r="A380" s="24" t="e">
        <f t="shared" si="43"/>
        <v>#REF!</v>
      </c>
      <c r="B380" s="243" t="str">
        <f t="shared" si="47"/>
        <v>ORACLE CORP</v>
      </c>
      <c r="C380" s="25" t="str">
        <f t="shared" si="48"/>
        <v>ORCL UN</v>
      </c>
      <c r="D380" s="25">
        <v>1</v>
      </c>
      <c r="E380" s="6" t="e">
        <f xml:space="preserve"> [2]!'PAYX.US-PreClose'</f>
        <v>#REF!</v>
      </c>
      <c r="F380" s="78">
        <f t="shared" si="49"/>
        <v>14104</v>
      </c>
      <c r="G380" s="49" t="e">
        <f t="shared" si="50"/>
        <v>#REF!</v>
      </c>
      <c r="H380" s="6" t="e">
        <f xml:space="preserve"> [2]!'PAYX.US-Price'</f>
        <v>#REF!</v>
      </c>
      <c r="I380" s="6" t="e">
        <f xml:space="preserve"> [2]!'PAYX.US-BestBid1'</f>
        <v>#REF!</v>
      </c>
      <c r="J380" s="6" t="e">
        <f xml:space="preserve"> [2]!'PAYX.US-BestAsk1'</f>
        <v>#REF!</v>
      </c>
      <c r="K380" s="65" t="e">
        <f t="shared" si="44"/>
        <v>#REF!</v>
      </c>
      <c r="L380" s="65" t="e">
        <f t="shared" si="45"/>
        <v>#REF!</v>
      </c>
      <c r="M380" s="68" t="e">
        <f t="shared" si="46"/>
        <v>#REF!</v>
      </c>
      <c r="AC380" s="440" t="s">
        <v>3293</v>
      </c>
      <c r="AD380" s="441" t="s">
        <v>983</v>
      </c>
      <c r="AE380" s="442">
        <v>0.56999999999999995</v>
      </c>
      <c r="AF380" s="443">
        <v>14104</v>
      </c>
    </row>
    <row r="381" spans="1:32" ht="33" thickBot="1">
      <c r="A381" s="24" t="e">
        <f t="shared" si="43"/>
        <v>#VALUE!</v>
      </c>
      <c r="B381" s="243" t="str">
        <f t="shared" si="47"/>
        <v>O`REILLY AUTOMOTIVE INC</v>
      </c>
      <c r="C381" s="25" t="str">
        <f t="shared" si="48"/>
        <v>ORLY UQ</v>
      </c>
      <c r="D381" s="25">
        <v>1</v>
      </c>
      <c r="E381" s="6" t="str">
        <f xml:space="preserve"> [2]!'PBCT.US-PreClose'</f>
        <v>N/A</v>
      </c>
      <c r="F381" s="78">
        <f t="shared" si="49"/>
        <v>455</v>
      </c>
      <c r="G381" s="49" t="e">
        <f t="shared" si="50"/>
        <v>#VALUE!</v>
      </c>
      <c r="H381" s="6" t="str">
        <f xml:space="preserve"> [2]!'PBCT.US-Price'</f>
        <v>N/A</v>
      </c>
      <c r="I381" s="6" t="str">
        <f xml:space="preserve"> [2]!'PBCT.US-BestBid1'</f>
        <v>N/A</v>
      </c>
      <c r="J381" s="6" t="str">
        <f xml:space="preserve"> [2]!'PBCT.US-BestAsk1'</f>
        <v>N/A</v>
      </c>
      <c r="K381" s="65" t="e">
        <f t="shared" si="44"/>
        <v>#VALUE!</v>
      </c>
      <c r="L381" s="65" t="e">
        <f t="shared" si="45"/>
        <v>#VALUE!</v>
      </c>
      <c r="M381" s="68" t="e">
        <f t="shared" si="46"/>
        <v>#VALUE!</v>
      </c>
      <c r="AC381" s="444" t="s">
        <v>3294</v>
      </c>
      <c r="AD381" s="445" t="s">
        <v>984</v>
      </c>
      <c r="AE381" s="446">
        <v>0.12</v>
      </c>
      <c r="AF381" s="446">
        <v>455</v>
      </c>
    </row>
    <row r="382" spans="1:32" ht="43.8" thickBot="1">
      <c r="A382" s="24" t="e">
        <f t="shared" si="43"/>
        <v>#REF!</v>
      </c>
      <c r="B382" s="243" t="str">
        <f t="shared" si="47"/>
        <v>OCCIDENTAL PETROLEUM CORP</v>
      </c>
      <c r="C382" s="25" t="str">
        <f t="shared" si="48"/>
        <v>OXY UN</v>
      </c>
      <c r="D382" s="25">
        <v>1</v>
      </c>
      <c r="E382" s="6" t="e">
        <f xml:space="preserve"> [2]!'PCAR.US-PreClose'</f>
        <v>#REF!</v>
      </c>
      <c r="F382" s="78">
        <f t="shared" si="49"/>
        <v>4348</v>
      </c>
      <c r="G382" s="49" t="e">
        <f t="shared" si="50"/>
        <v>#REF!</v>
      </c>
      <c r="H382" s="6" t="e">
        <f xml:space="preserve"> [2]!'PCAR.US-Price'</f>
        <v>#REF!</v>
      </c>
      <c r="I382" s="6" t="e">
        <f xml:space="preserve"> [2]!'PCAR.US-BestBid1'</f>
        <v>#REF!</v>
      </c>
      <c r="J382" s="6" t="e">
        <f xml:space="preserve"> [2]!'PCAR.US-BestAsk1'</f>
        <v>#REF!</v>
      </c>
      <c r="K382" s="65" t="e">
        <f t="shared" si="44"/>
        <v>#REF!</v>
      </c>
      <c r="L382" s="65" t="e">
        <f t="shared" si="45"/>
        <v>#REF!</v>
      </c>
      <c r="M382" s="68" t="e">
        <f t="shared" si="46"/>
        <v>#REF!</v>
      </c>
      <c r="AC382" s="440" t="s">
        <v>3295</v>
      </c>
      <c r="AD382" s="441" t="s">
        <v>985</v>
      </c>
      <c r="AE382" s="442">
        <v>0.15</v>
      </c>
      <c r="AF382" s="443">
        <v>4348</v>
      </c>
    </row>
    <row r="383" spans="1:32" ht="22.2" thickBot="1">
      <c r="A383" s="24" t="e">
        <f t="shared" si="43"/>
        <v>#REF!</v>
      </c>
      <c r="B383" s="243" t="str">
        <f t="shared" si="47"/>
        <v>PAYCHEX INC</v>
      </c>
      <c r="C383" s="25" t="str">
        <f t="shared" si="48"/>
        <v>PAYX UQ</v>
      </c>
      <c r="D383" s="25">
        <v>1</v>
      </c>
      <c r="E383" s="6" t="e">
        <f xml:space="preserve"> [2]!'PCG.US-PreClose'</f>
        <v>#REF!</v>
      </c>
      <c r="F383" s="78">
        <f t="shared" si="49"/>
        <v>1859</v>
      </c>
      <c r="G383" s="49" t="e">
        <f t="shared" si="50"/>
        <v>#REF!</v>
      </c>
      <c r="H383" s="6" t="e">
        <f xml:space="preserve"> [2]!'PCG.US-Price'</f>
        <v>#REF!</v>
      </c>
      <c r="I383" s="6" t="e">
        <f xml:space="preserve"> [2]!'PCG.US-BestBid1'</f>
        <v>#REF!</v>
      </c>
      <c r="J383" s="6" t="e">
        <f xml:space="preserve"> [2]!'PCG.US-BestAsk1'</f>
        <v>#REF!</v>
      </c>
      <c r="K383" s="65" t="e">
        <f t="shared" si="44"/>
        <v>#REF!</v>
      </c>
      <c r="L383" s="65" t="e">
        <f t="shared" si="45"/>
        <v>#REF!</v>
      </c>
      <c r="M383" s="68" t="e">
        <f t="shared" si="46"/>
        <v>#REF!</v>
      </c>
      <c r="AC383" s="444" t="s">
        <v>3296</v>
      </c>
      <c r="AD383" s="445" t="s">
        <v>986</v>
      </c>
      <c r="AE383" s="446">
        <v>0.11</v>
      </c>
      <c r="AF383" s="447">
        <v>1859</v>
      </c>
    </row>
    <row r="384" spans="1:32" ht="33" thickBot="1">
      <c r="A384" s="24" t="e">
        <f t="shared" si="43"/>
        <v>#REF!</v>
      </c>
      <c r="B384" s="243" t="str">
        <f t="shared" si="47"/>
        <v>PEOPLE`S UNITED FINANCIAL</v>
      </c>
      <c r="C384" s="25" t="str">
        <f t="shared" si="48"/>
        <v>PBCT UQ</v>
      </c>
      <c r="D384" s="25">
        <v>1</v>
      </c>
      <c r="E384" s="6" t="e">
        <f xml:space="preserve"> [2]!'PCLN.US-PreClose'</f>
        <v>#REF!</v>
      </c>
      <c r="F384" s="78">
        <f t="shared" si="49"/>
        <v>2292</v>
      </c>
      <c r="G384" s="49" t="e">
        <f t="shared" si="50"/>
        <v>#REF!</v>
      </c>
      <c r="H384" s="6" t="e">
        <f xml:space="preserve"> [2]!'PCLN.US-Price'</f>
        <v>#REF!</v>
      </c>
      <c r="I384" s="6" t="e">
        <f xml:space="preserve"> [2]!'PCLN.US-BestBid1'</f>
        <v>#REF!</v>
      </c>
      <c r="J384" s="6" t="e">
        <f xml:space="preserve"> [2]!'PCLN.US-BestAsk1'</f>
        <v>#REF!</v>
      </c>
      <c r="K384" s="65" t="e">
        <f t="shared" si="44"/>
        <v>#REF!</v>
      </c>
      <c r="L384" s="65" t="e">
        <f t="shared" si="45"/>
        <v>#REF!</v>
      </c>
      <c r="M384" s="68" t="e">
        <f t="shared" si="46"/>
        <v>#REF!</v>
      </c>
      <c r="AC384" s="440" t="s">
        <v>3297</v>
      </c>
      <c r="AD384" s="441" t="s">
        <v>987</v>
      </c>
      <c r="AE384" s="442">
        <v>0.03</v>
      </c>
      <c r="AF384" s="443">
        <v>2292</v>
      </c>
    </row>
    <row r="385" spans="1:32" ht="22.2" thickBot="1">
      <c r="A385" s="24" t="e">
        <f t="shared" si="43"/>
        <v>#REF!</v>
      </c>
      <c r="B385" s="243" t="str">
        <f t="shared" si="47"/>
        <v>PACCAR INC</v>
      </c>
      <c r="C385" s="25" t="str">
        <f t="shared" si="48"/>
        <v>PCAR UQ</v>
      </c>
      <c r="D385" s="25">
        <v>1</v>
      </c>
      <c r="E385" s="6" t="e">
        <f xml:space="preserve"> [2]!'PDCO.US-PreClose'</f>
        <v>#REF!</v>
      </c>
      <c r="F385" s="78">
        <f t="shared" si="49"/>
        <v>2014</v>
      </c>
      <c r="G385" s="49" t="e">
        <f t="shared" si="50"/>
        <v>#REF!</v>
      </c>
      <c r="H385" s="6" t="e">
        <f xml:space="preserve"> [2]!'PDCO.US-Price'</f>
        <v>#REF!</v>
      </c>
      <c r="I385" s="6" t="e">
        <f xml:space="preserve"> [2]!'PDCO.US-BestBid1'</f>
        <v>#REF!</v>
      </c>
      <c r="J385" s="6" t="e">
        <f xml:space="preserve"> [2]!'PDCO.US-BestAsk1'</f>
        <v>#REF!</v>
      </c>
      <c r="K385" s="65" t="e">
        <f t="shared" si="44"/>
        <v>#REF!</v>
      </c>
      <c r="L385" s="65" t="e">
        <f t="shared" si="45"/>
        <v>#REF!</v>
      </c>
      <c r="M385" s="68" t="e">
        <f t="shared" si="46"/>
        <v>#REF!</v>
      </c>
      <c r="AC385" s="444" t="s">
        <v>3298</v>
      </c>
      <c r="AD385" s="445" t="s">
        <v>988</v>
      </c>
      <c r="AE385" s="446">
        <v>0.1</v>
      </c>
      <c r="AF385" s="447">
        <v>2014</v>
      </c>
    </row>
    <row r="386" spans="1:32" ht="43.8" thickBot="1">
      <c r="A386" s="24" t="e">
        <f t="shared" si="43"/>
        <v>#VALUE!</v>
      </c>
      <c r="B386" s="243" t="str">
        <f t="shared" si="47"/>
        <v>PUBLIC SERVICE ENTERPRISE GP</v>
      </c>
      <c r="C386" s="25" t="str">
        <f t="shared" si="48"/>
        <v>PEG UN</v>
      </c>
      <c r="D386" s="25">
        <v>1</v>
      </c>
      <c r="E386" s="6" t="str">
        <f xml:space="preserve"> [2]!'PEG.US-PreClose'</f>
        <v>N/A</v>
      </c>
      <c r="F386" s="78">
        <f t="shared" si="49"/>
        <v>2938</v>
      </c>
      <c r="G386" s="49" t="e">
        <f t="shared" si="50"/>
        <v>#VALUE!</v>
      </c>
      <c r="H386" s="6" t="str">
        <f xml:space="preserve"> [2]!'PEG.US-Price'</f>
        <v>N/A</v>
      </c>
      <c r="I386" s="6" t="str">
        <f xml:space="preserve"> [2]!'PEG.US-BestBid1'</f>
        <v>N/A</v>
      </c>
      <c r="J386" s="6" t="str">
        <f xml:space="preserve"> [2]!'PEG.US-BestAsk1'</f>
        <v>N/A</v>
      </c>
      <c r="K386" s="65" t="e">
        <f t="shared" si="44"/>
        <v>#VALUE!</v>
      </c>
      <c r="L386" s="65" t="e">
        <f t="shared" si="45"/>
        <v>#VALUE!</v>
      </c>
      <c r="M386" s="68" t="e">
        <f t="shared" si="46"/>
        <v>#VALUE!</v>
      </c>
      <c r="AC386" s="440" t="s">
        <v>3299</v>
      </c>
      <c r="AD386" s="441" t="s">
        <v>989</v>
      </c>
      <c r="AE386" s="442">
        <v>0.12</v>
      </c>
      <c r="AF386" s="443">
        <v>2938</v>
      </c>
    </row>
    <row r="387" spans="1:32" ht="22.2" thickBot="1">
      <c r="A387" s="24" t="e">
        <f t="shared" si="43"/>
        <v>#REF!</v>
      </c>
      <c r="B387" s="243" t="str">
        <f t="shared" si="47"/>
        <v>PEPSICO INC</v>
      </c>
      <c r="C387" s="25" t="str">
        <f t="shared" si="48"/>
        <v>PEP UQ</v>
      </c>
      <c r="D387" s="25">
        <v>1</v>
      </c>
      <c r="E387" s="6" t="e">
        <f xml:space="preserve"> [2]!'PEP.US-PreClose'</f>
        <v>#REF!</v>
      </c>
      <c r="F387" s="78">
        <f t="shared" si="49"/>
        <v>8148</v>
      </c>
      <c r="G387" s="49" t="e">
        <f t="shared" si="50"/>
        <v>#REF!</v>
      </c>
      <c r="H387" s="6" t="e">
        <f xml:space="preserve"> [2]!'PEP.US-Price'</f>
        <v>#REF!</v>
      </c>
      <c r="I387" s="6" t="e">
        <f xml:space="preserve"> [2]!'PEP.US-BestBid1'</f>
        <v>#REF!</v>
      </c>
      <c r="J387" s="6" t="e">
        <f xml:space="preserve"> [2]!'PEP.US-BestAsk1'</f>
        <v>#REF!</v>
      </c>
      <c r="K387" s="65" t="e">
        <f t="shared" si="44"/>
        <v>#REF!</v>
      </c>
      <c r="L387" s="65" t="e">
        <f t="shared" si="45"/>
        <v>#REF!</v>
      </c>
      <c r="M387" s="68" t="e">
        <f t="shared" si="46"/>
        <v>#REF!</v>
      </c>
      <c r="AC387" s="444" t="s">
        <v>3300</v>
      </c>
      <c r="AD387" s="445" t="s">
        <v>990</v>
      </c>
      <c r="AE387" s="446">
        <v>0.73</v>
      </c>
      <c r="AF387" s="447">
        <v>8148</v>
      </c>
    </row>
    <row r="388" spans="1:32" ht="16.8" thickBot="1">
      <c r="A388" s="24" t="e">
        <f t="shared" si="43"/>
        <v>#VALUE!</v>
      </c>
      <c r="B388" s="243" t="str">
        <f t="shared" si="47"/>
        <v>PFIZER INC</v>
      </c>
      <c r="C388" s="25" t="str">
        <f t="shared" si="48"/>
        <v>PFE UN</v>
      </c>
      <c r="D388" s="25">
        <v>1</v>
      </c>
      <c r="E388" s="6" t="str">
        <f xml:space="preserve"> [2]!'PFE.US-PreClose'</f>
        <v>N/A</v>
      </c>
      <c r="F388" s="78">
        <f t="shared" si="49"/>
        <v>32270</v>
      </c>
      <c r="G388" s="49" t="e">
        <f t="shared" si="50"/>
        <v>#VALUE!</v>
      </c>
      <c r="H388" s="6" t="str">
        <f xml:space="preserve"> [2]!'PFE.US-Price'</f>
        <v>N/A</v>
      </c>
      <c r="I388" s="6" t="str">
        <f xml:space="preserve"> [2]!'PFE.US-BestBid1'</f>
        <v>N/A</v>
      </c>
      <c r="J388" s="6" t="str">
        <f xml:space="preserve"> [2]!'PFE.US-BestAsk1'</f>
        <v>N/A</v>
      </c>
      <c r="K388" s="65" t="e">
        <f t="shared" si="44"/>
        <v>#VALUE!</v>
      </c>
      <c r="L388" s="65" t="e">
        <f t="shared" si="45"/>
        <v>#VALUE!</v>
      </c>
      <c r="M388" s="68" t="e">
        <f t="shared" si="46"/>
        <v>#VALUE!</v>
      </c>
      <c r="AC388" s="440" t="s">
        <v>3301</v>
      </c>
      <c r="AD388" s="441" t="s">
        <v>991</v>
      </c>
      <c r="AE388" s="442">
        <v>0.93</v>
      </c>
      <c r="AF388" s="443">
        <v>32270</v>
      </c>
    </row>
    <row r="389" spans="1:32" ht="33" thickBot="1">
      <c r="A389" s="24" t="e">
        <f t="shared" si="43"/>
        <v>#REF!</v>
      </c>
      <c r="B389" s="243" t="str">
        <f t="shared" si="47"/>
        <v>PRINCIPAL FINANCIAL GROUP</v>
      </c>
      <c r="C389" s="25" t="str">
        <f t="shared" si="48"/>
        <v>PFG UQ</v>
      </c>
      <c r="D389" s="25">
        <v>1</v>
      </c>
      <c r="E389" s="6" t="e">
        <f xml:space="preserve"> [2]!'PFG.US-PreClose'</f>
        <v>#REF!</v>
      </c>
      <c r="F389" s="78">
        <f t="shared" si="49"/>
        <v>1506</v>
      </c>
      <c r="G389" s="49" t="e">
        <f t="shared" si="50"/>
        <v>#REF!</v>
      </c>
      <c r="H389" s="6" t="e">
        <f xml:space="preserve"> [2]!'PFG.US-Price'</f>
        <v>#REF!</v>
      </c>
      <c r="I389" s="6" t="e">
        <f xml:space="preserve"> [2]!'PFG.US-BestBid1'</f>
        <v>#REF!</v>
      </c>
      <c r="J389" s="6" t="e">
        <f xml:space="preserve"> [2]!'PFG.US-BestAsk1'</f>
        <v>#REF!</v>
      </c>
      <c r="K389" s="65" t="e">
        <f t="shared" si="44"/>
        <v>#REF!</v>
      </c>
      <c r="L389" s="65" t="e">
        <f t="shared" si="45"/>
        <v>#REF!</v>
      </c>
      <c r="M389" s="68" t="e">
        <f t="shared" si="46"/>
        <v>#REF!</v>
      </c>
      <c r="AC389" s="444" t="s">
        <v>3302</v>
      </c>
      <c r="AD389" s="445" t="s">
        <v>992</v>
      </c>
      <c r="AE389" s="446">
        <v>0.06</v>
      </c>
      <c r="AF389" s="447">
        <v>1506</v>
      </c>
    </row>
    <row r="390" spans="1:32" ht="33" thickBot="1">
      <c r="A390" s="24" t="e">
        <f t="shared" si="43"/>
        <v>#VALUE!</v>
      </c>
      <c r="B390" s="243" t="str">
        <f t="shared" si="47"/>
        <v>PROCTER &amp; GAMBLE CO/THE</v>
      </c>
      <c r="C390" s="25" t="str">
        <f t="shared" si="48"/>
        <v>PG UN</v>
      </c>
      <c r="D390" s="25">
        <v>1</v>
      </c>
      <c r="E390" s="6" t="str">
        <f xml:space="preserve"> [2]!'PG.US-PreClose'</f>
        <v>N/A</v>
      </c>
      <c r="F390" s="78">
        <f t="shared" si="49"/>
        <v>14580</v>
      </c>
      <c r="G390" s="49" t="e">
        <f t="shared" si="50"/>
        <v>#VALUE!</v>
      </c>
      <c r="H390" s="6" t="str">
        <f xml:space="preserve"> [2]!'PG.US-Price'</f>
        <v>N/A</v>
      </c>
      <c r="I390" s="6" t="str">
        <f xml:space="preserve"> [2]!'PG.US-BestBid1'</f>
        <v>N/A</v>
      </c>
      <c r="J390" s="6" t="str">
        <f xml:space="preserve"> [2]!'PG.US-BestAsk1'</f>
        <v>N/A</v>
      </c>
      <c r="K390" s="65" t="e">
        <f t="shared" si="44"/>
        <v>#VALUE!</v>
      </c>
      <c r="L390" s="65" t="e">
        <f t="shared" si="45"/>
        <v>#VALUE!</v>
      </c>
      <c r="M390" s="68" t="e">
        <f t="shared" si="46"/>
        <v>#VALUE!</v>
      </c>
      <c r="AC390" s="440" t="s">
        <v>3303</v>
      </c>
      <c r="AD390" s="441" t="s">
        <v>993</v>
      </c>
      <c r="AE390" s="442">
        <v>1.1100000000000001</v>
      </c>
      <c r="AF390" s="443">
        <v>14580</v>
      </c>
    </row>
    <row r="391" spans="1:32" ht="22.2" thickBot="1">
      <c r="A391" s="24" t="e">
        <f t="shared" si="43"/>
        <v>#REF!</v>
      </c>
      <c r="B391" s="243" t="str">
        <f t="shared" si="47"/>
        <v>PROGRESSIVE CORP</v>
      </c>
      <c r="C391" s="25" t="str">
        <f t="shared" si="48"/>
        <v>PGR UN</v>
      </c>
      <c r="D391" s="25">
        <v>1</v>
      </c>
      <c r="E391" s="6" t="e">
        <f xml:space="preserve"> [2]!'PGR.US-PreClose'</f>
        <v>#REF!</v>
      </c>
      <c r="F391" s="78">
        <f t="shared" si="49"/>
        <v>3394</v>
      </c>
      <c r="G391" s="49" t="e">
        <f t="shared" si="50"/>
        <v>#REF!</v>
      </c>
      <c r="H391" s="6" t="e">
        <f xml:space="preserve"> [2]!'PGR.US-Price'</f>
        <v>#REF!</v>
      </c>
      <c r="I391" s="6" t="e">
        <f xml:space="preserve"> [2]!'PGR.US-BestBid1'</f>
        <v>#REF!</v>
      </c>
      <c r="J391" s="6" t="e">
        <f xml:space="preserve"> [2]!'PGR.US-BestAsk1'</f>
        <v>#REF!</v>
      </c>
      <c r="K391" s="65" t="e">
        <f t="shared" si="44"/>
        <v>#REF!</v>
      </c>
      <c r="L391" s="65" t="e">
        <f t="shared" si="45"/>
        <v>#REF!</v>
      </c>
      <c r="M391" s="68" t="e">
        <f t="shared" si="46"/>
        <v>#REF!</v>
      </c>
      <c r="AC391" s="444" t="s">
        <v>3304</v>
      </c>
      <c r="AD391" s="445" t="s">
        <v>994</v>
      </c>
      <c r="AE391" s="446">
        <v>0.19</v>
      </c>
      <c r="AF391" s="447">
        <v>3394</v>
      </c>
    </row>
    <row r="392" spans="1:32" ht="33" thickBot="1">
      <c r="A392" s="24" t="e">
        <f t="shared" si="43"/>
        <v>#REF!</v>
      </c>
      <c r="B392" s="243" t="str">
        <f t="shared" si="47"/>
        <v>PARKER HANNIFIN CORP</v>
      </c>
      <c r="C392" s="25" t="str">
        <f t="shared" si="48"/>
        <v>PH UN</v>
      </c>
      <c r="D392" s="25">
        <v>1</v>
      </c>
      <c r="E392" s="6" t="e">
        <f xml:space="preserve"> [2]!'PH.US-PreClose'</f>
        <v>#REF!</v>
      </c>
      <c r="F392" s="78">
        <f t="shared" si="49"/>
        <v>746</v>
      </c>
      <c r="G392" s="49" t="e">
        <f t="shared" si="50"/>
        <v>#REF!</v>
      </c>
      <c r="H392" s="6" t="e">
        <f xml:space="preserve"> [2]!'PH.US-Price'</f>
        <v>#REF!</v>
      </c>
      <c r="I392" s="6" t="e">
        <f xml:space="preserve"> [2]!'PH.US-BestBid1'</f>
        <v>#REF!</v>
      </c>
      <c r="J392" s="6" t="e">
        <f xml:space="preserve"> [2]!'PH.US-BestAsk1'</f>
        <v>#REF!</v>
      </c>
      <c r="K392" s="65" t="e">
        <f t="shared" si="44"/>
        <v>#REF!</v>
      </c>
      <c r="L392" s="65" t="e">
        <f t="shared" si="45"/>
        <v>#REF!</v>
      </c>
      <c r="M392" s="68" t="e">
        <f t="shared" si="46"/>
        <v>#REF!</v>
      </c>
      <c r="AC392" s="440" t="s">
        <v>3305</v>
      </c>
      <c r="AD392" s="441" t="s">
        <v>995</v>
      </c>
      <c r="AE392" s="442">
        <v>0.08</v>
      </c>
      <c r="AF392" s="442">
        <v>746</v>
      </c>
    </row>
    <row r="393" spans="1:32" ht="22.2" thickBot="1">
      <c r="A393" s="24" t="e">
        <f t="shared" si="43"/>
        <v>#REF!</v>
      </c>
      <c r="B393" s="243" t="str">
        <f t="shared" si="47"/>
        <v>PULTEGROUP INC</v>
      </c>
      <c r="C393" s="25" t="str">
        <f t="shared" si="48"/>
        <v>PHM UN</v>
      </c>
      <c r="D393" s="25">
        <v>1</v>
      </c>
      <c r="E393" s="6" t="e">
        <f xml:space="preserve"> [2]!'PHM.US-PreClose'</f>
        <v>#REF!</v>
      </c>
      <c r="F393" s="78">
        <f t="shared" si="49"/>
        <v>1482</v>
      </c>
      <c r="G393" s="49" t="e">
        <f t="shared" si="50"/>
        <v>#REF!</v>
      </c>
      <c r="H393" s="6" t="e">
        <f xml:space="preserve"> [2]!'PHM.US-Price'</f>
        <v>#REF!</v>
      </c>
      <c r="I393" s="6" t="e">
        <f xml:space="preserve"> [2]!'PHM.US-BestBid1'</f>
        <v>#REF!</v>
      </c>
      <c r="J393" s="6" t="e">
        <f xml:space="preserve"> [2]!'PHM.US-BestAsk1'</f>
        <v>#REF!</v>
      </c>
      <c r="K393" s="65" t="e">
        <f t="shared" si="44"/>
        <v>#REF!</v>
      </c>
      <c r="L393" s="65" t="e">
        <f t="shared" si="45"/>
        <v>#REF!</v>
      </c>
      <c r="M393" s="68" t="e">
        <f t="shared" si="46"/>
        <v>#REF!</v>
      </c>
      <c r="AC393" s="444" t="s">
        <v>3306</v>
      </c>
      <c r="AD393" s="445" t="s">
        <v>996</v>
      </c>
      <c r="AE393" s="446">
        <v>0.03</v>
      </c>
      <c r="AF393" s="447">
        <v>1482</v>
      </c>
    </row>
    <row r="394" spans="1:32" ht="33" thickBot="1">
      <c r="A394" s="24" t="e">
        <f t="shared" si="43"/>
        <v>#REF!</v>
      </c>
      <c r="B394" s="243" t="str">
        <f t="shared" si="47"/>
        <v>PACKAGING CORP OF AMERICA</v>
      </c>
      <c r="C394" s="25" t="str">
        <f t="shared" si="48"/>
        <v>PKG UN</v>
      </c>
      <c r="D394" s="25">
        <v>1</v>
      </c>
      <c r="E394" s="6" t="e">
        <f xml:space="preserve"> [2]!'PKG.US-PreClose'</f>
        <v>#REF!</v>
      </c>
      <c r="F394" s="78">
        <f t="shared" si="49"/>
        <v>549</v>
      </c>
      <c r="G394" s="49" t="e">
        <f t="shared" si="50"/>
        <v>#REF!</v>
      </c>
      <c r="H394" s="6" t="e">
        <f xml:space="preserve"> [2]!'PKG.US-Price'</f>
        <v>#REF!</v>
      </c>
      <c r="I394" s="6" t="e">
        <f xml:space="preserve"> [2]!'PKG.US-BestBid1'</f>
        <v>#REF!</v>
      </c>
      <c r="J394" s="6" t="e">
        <f xml:space="preserve"> [2]!'PKG.US-BestAsk1'</f>
        <v>#REF!</v>
      </c>
      <c r="K394" s="65" t="e">
        <f t="shared" si="44"/>
        <v>#REF!</v>
      </c>
      <c r="L394" s="65" t="e">
        <f t="shared" si="45"/>
        <v>#REF!</v>
      </c>
      <c r="M394" s="68" t="e">
        <f t="shared" si="46"/>
        <v>#REF!</v>
      </c>
      <c r="AC394" s="440" t="s">
        <v>3307</v>
      </c>
      <c r="AD394" s="441" t="s">
        <v>997</v>
      </c>
      <c r="AE394" s="442">
        <v>0.04</v>
      </c>
      <c r="AF394" s="442">
        <v>549</v>
      </c>
    </row>
    <row r="395" spans="1:32" ht="22.2" thickBot="1">
      <c r="A395" s="24" t="e">
        <f t="shared" si="43"/>
        <v>#REF!</v>
      </c>
      <c r="B395" s="243" t="str">
        <f t="shared" si="47"/>
        <v>PERKINELMER INC</v>
      </c>
      <c r="C395" s="25" t="str">
        <f t="shared" si="48"/>
        <v>PKI UN</v>
      </c>
      <c r="D395" s="25">
        <v>1</v>
      </c>
      <c r="E395" s="6" t="e">
        <f xml:space="preserve"> [2]!'PKI.US-PreClose'</f>
        <v>#REF!</v>
      </c>
      <c r="F395" s="78">
        <f t="shared" si="49"/>
        <v>645</v>
      </c>
      <c r="G395" s="49" t="e">
        <f t="shared" si="50"/>
        <v>#REF!</v>
      </c>
      <c r="H395" s="6" t="e">
        <f xml:space="preserve"> [2]!'PKI.US-Price'</f>
        <v>#REF!</v>
      </c>
      <c r="I395" s="6" t="e">
        <f xml:space="preserve"> [2]!'PKI.US-BestBid1'</f>
        <v>#REF!</v>
      </c>
      <c r="J395" s="6" t="e">
        <f xml:space="preserve"> [2]!'PKI.US-BestAsk1'</f>
        <v>#REF!</v>
      </c>
      <c r="K395" s="65" t="e">
        <f t="shared" si="44"/>
        <v>#REF!</v>
      </c>
      <c r="L395" s="65" t="e">
        <f t="shared" si="45"/>
        <v>#REF!</v>
      </c>
      <c r="M395" s="68" t="e">
        <f t="shared" si="46"/>
        <v>#REF!</v>
      </c>
      <c r="AC395" s="444" t="s">
        <v>3308</v>
      </c>
      <c r="AD395" s="445" t="s">
        <v>998</v>
      </c>
      <c r="AE395" s="446">
        <v>0.04</v>
      </c>
      <c r="AF395" s="446">
        <v>645</v>
      </c>
    </row>
    <row r="396" spans="1:32" ht="22.2" thickBot="1">
      <c r="A396" s="24" t="e">
        <f t="shared" si="43"/>
        <v>#REF!</v>
      </c>
      <c r="B396" s="243" t="str">
        <f t="shared" si="47"/>
        <v>PROLOGIS INC</v>
      </c>
      <c r="C396" s="25" t="str">
        <f t="shared" si="48"/>
        <v>PLD UN</v>
      </c>
      <c r="D396" s="25">
        <v>1</v>
      </c>
      <c r="E396" s="6" t="e">
        <f xml:space="preserve"> [2]!'PLD.US-PreClose'</f>
        <v>#REF!</v>
      </c>
      <c r="F396" s="78">
        <f t="shared" si="49"/>
        <v>3666</v>
      </c>
      <c r="G396" s="49" t="e">
        <f t="shared" si="50"/>
        <v>#REF!</v>
      </c>
      <c r="H396" s="6" t="e">
        <f xml:space="preserve"> [2]!'PLD.US-Price'</f>
        <v>#REF!</v>
      </c>
      <c r="I396" s="6" t="e">
        <f xml:space="preserve"> [2]!'PLD.US-BestBid1'</f>
        <v>#REF!</v>
      </c>
      <c r="J396" s="6" t="e">
        <f xml:space="preserve"> [2]!'PLD.US-BestAsk1'</f>
        <v>#REF!</v>
      </c>
      <c r="K396" s="65" t="e">
        <f t="shared" si="44"/>
        <v>#REF!</v>
      </c>
      <c r="L396" s="65" t="e">
        <f t="shared" si="45"/>
        <v>#REF!</v>
      </c>
      <c r="M396" s="68" t="e">
        <f t="shared" si="46"/>
        <v>#REF!</v>
      </c>
      <c r="AC396" s="440" t="s">
        <v>3309</v>
      </c>
      <c r="AD396" s="441" t="s">
        <v>999</v>
      </c>
      <c r="AE396" s="442">
        <v>0.2</v>
      </c>
      <c r="AF396" s="443">
        <v>3666</v>
      </c>
    </row>
    <row r="397" spans="1:32" ht="43.8" thickBot="1">
      <c r="A397" s="24" t="e">
        <f t="shared" si="43"/>
        <v>#VALUE!</v>
      </c>
      <c r="B397" s="243" t="str">
        <f t="shared" si="47"/>
        <v>PHILIP MORRIS INTERNATIONAL</v>
      </c>
      <c r="C397" s="25" t="str">
        <f t="shared" si="48"/>
        <v>PM UN</v>
      </c>
      <c r="D397" s="25">
        <v>1</v>
      </c>
      <c r="E397" s="6" t="str">
        <f xml:space="preserve"> [2]!'PM.US-PreClose'</f>
        <v>N/A</v>
      </c>
      <c r="F397" s="78">
        <f t="shared" si="49"/>
        <v>9043</v>
      </c>
      <c r="G397" s="49" t="e">
        <f t="shared" si="50"/>
        <v>#VALUE!</v>
      </c>
      <c r="H397" s="6" t="str">
        <f xml:space="preserve"> [2]!'PM.US-Price'</f>
        <v>N/A</v>
      </c>
      <c r="I397" s="6" t="str">
        <f xml:space="preserve"> [2]!'PM.US-BestBid1'</f>
        <v>N/A</v>
      </c>
      <c r="J397" s="6" t="str">
        <f xml:space="preserve"> [2]!'PM.US-BestAsk1'</f>
        <v>N/A</v>
      </c>
      <c r="K397" s="65" t="e">
        <f t="shared" si="44"/>
        <v>#VALUE!</v>
      </c>
      <c r="L397" s="65" t="e">
        <f t="shared" si="45"/>
        <v>#VALUE!</v>
      </c>
      <c r="M397" s="68" t="e">
        <f t="shared" si="46"/>
        <v>#VALUE!</v>
      </c>
      <c r="AC397" s="444" t="s">
        <v>3310</v>
      </c>
      <c r="AD397" s="445" t="s">
        <v>1000</v>
      </c>
      <c r="AE397" s="446">
        <v>0.49</v>
      </c>
      <c r="AF397" s="447">
        <v>9043</v>
      </c>
    </row>
    <row r="398" spans="1:32" ht="43.8" thickBot="1">
      <c r="A398" s="24" t="e">
        <f t="shared" si="43"/>
        <v>#REF!</v>
      </c>
      <c r="B398" s="243" t="str">
        <f t="shared" si="47"/>
        <v>PNC FINANCIAL SERVICES GROUP</v>
      </c>
      <c r="C398" s="25" t="str">
        <f t="shared" si="48"/>
        <v>PNC UN</v>
      </c>
      <c r="D398" s="25">
        <v>1</v>
      </c>
      <c r="E398" s="6" t="e">
        <f xml:space="preserve"> [2]!'PNC.US-PreClose'</f>
        <v>#REF!</v>
      </c>
      <c r="F398" s="78">
        <f t="shared" si="49"/>
        <v>2624</v>
      </c>
      <c r="G398" s="49" t="e">
        <f t="shared" si="50"/>
        <v>#REF!</v>
      </c>
      <c r="H398" s="6" t="e">
        <f xml:space="preserve"> [2]!'PNC.US-Price'</f>
        <v>#REF!</v>
      </c>
      <c r="I398" s="6" t="e">
        <f xml:space="preserve"> [2]!'PNC.US-BestBid1'</f>
        <v>#REF!</v>
      </c>
      <c r="J398" s="6" t="e">
        <f xml:space="preserve"> [2]!'PNC.US-BestAsk1'</f>
        <v>#REF!</v>
      </c>
      <c r="K398" s="65" t="e">
        <f t="shared" si="44"/>
        <v>#REF!</v>
      </c>
      <c r="L398" s="65" t="e">
        <f t="shared" si="45"/>
        <v>#REF!</v>
      </c>
      <c r="M398" s="68" t="e">
        <f t="shared" si="46"/>
        <v>#REF!</v>
      </c>
      <c r="AC398" s="440" t="s">
        <v>3311</v>
      </c>
      <c r="AD398" s="441" t="s">
        <v>1001</v>
      </c>
      <c r="AE398" s="442">
        <v>0.25</v>
      </c>
      <c r="AF398" s="443">
        <v>2624</v>
      </c>
    </row>
    <row r="399" spans="1:32" ht="22.2" thickBot="1">
      <c r="A399" s="24" t="e">
        <f t="shared" si="43"/>
        <v>#REF!</v>
      </c>
      <c r="B399" s="243" t="str">
        <f t="shared" si="47"/>
        <v>PENTAIR PLC</v>
      </c>
      <c r="C399" s="25" t="str">
        <f t="shared" si="48"/>
        <v>PNR UN</v>
      </c>
      <c r="D399" s="25">
        <v>1</v>
      </c>
      <c r="E399" s="6" t="e">
        <f xml:space="preserve"> [2]!'PNR.US-PreClose'</f>
        <v>#REF!</v>
      </c>
      <c r="F399" s="78">
        <f t="shared" si="49"/>
        <v>919</v>
      </c>
      <c r="G399" s="49" t="e">
        <f t="shared" si="50"/>
        <v>#REF!</v>
      </c>
      <c r="H399" s="6" t="e">
        <f xml:space="preserve"> [2]!'PNR.US-Price'</f>
        <v>#REF!</v>
      </c>
      <c r="I399" s="6" t="e">
        <f xml:space="preserve"> [2]!'PNR.US-BestBid1'</f>
        <v>#REF!</v>
      </c>
      <c r="J399" s="6" t="e">
        <f xml:space="preserve"> [2]!'PNR.US-BestAsk1'</f>
        <v>#REF!</v>
      </c>
      <c r="K399" s="65" t="e">
        <f t="shared" si="44"/>
        <v>#REF!</v>
      </c>
      <c r="L399" s="65" t="e">
        <f t="shared" si="45"/>
        <v>#REF!</v>
      </c>
      <c r="M399" s="68" t="e">
        <f t="shared" si="46"/>
        <v>#REF!</v>
      </c>
      <c r="AC399" s="444" t="s">
        <v>3312</v>
      </c>
      <c r="AD399" s="445" t="s">
        <v>1002</v>
      </c>
      <c r="AE399" s="446">
        <v>0.02</v>
      </c>
      <c r="AF399" s="446">
        <v>919</v>
      </c>
    </row>
    <row r="400" spans="1:32" ht="33" thickBot="1">
      <c r="A400" s="24" t="e">
        <f t="shared" si="43"/>
        <v>#REF!</v>
      </c>
      <c r="B400" s="243" t="str">
        <f t="shared" si="47"/>
        <v>PINNACLE WEST CAPITAL</v>
      </c>
      <c r="C400" s="25" t="str">
        <f t="shared" si="48"/>
        <v>PNW UN</v>
      </c>
      <c r="D400" s="25">
        <v>1</v>
      </c>
      <c r="E400" s="6" t="e">
        <f xml:space="preserve"> [2]!'PNW.US-PreClose'</f>
        <v>#REF!</v>
      </c>
      <c r="F400" s="78">
        <f t="shared" si="49"/>
        <v>653</v>
      </c>
      <c r="G400" s="49" t="e">
        <f t="shared" si="50"/>
        <v>#REF!</v>
      </c>
      <c r="H400" s="6" t="e">
        <f xml:space="preserve"> [2]!'PNW.US-Price'</f>
        <v>#REF!</v>
      </c>
      <c r="I400" s="6" t="e">
        <f xml:space="preserve"> [2]!'PNW.US-BestBid1'</f>
        <v>#REF!</v>
      </c>
      <c r="J400" s="6" t="e">
        <f xml:space="preserve"> [2]!'PNW.US-BestAsk1'</f>
        <v>#REF!</v>
      </c>
      <c r="K400" s="65" t="e">
        <f t="shared" si="44"/>
        <v>#REF!</v>
      </c>
      <c r="L400" s="65" t="e">
        <f t="shared" si="45"/>
        <v>#REF!</v>
      </c>
      <c r="M400" s="68" t="e">
        <f t="shared" si="46"/>
        <v>#REF!</v>
      </c>
      <c r="AC400" s="440" t="s">
        <v>3313</v>
      </c>
      <c r="AD400" s="441" t="s">
        <v>1003</v>
      </c>
      <c r="AE400" s="442">
        <v>0.04</v>
      </c>
      <c r="AF400" s="442">
        <v>653</v>
      </c>
    </row>
    <row r="401" spans="1:32" ht="33" thickBot="1">
      <c r="A401" s="24" t="e">
        <f t="shared" si="43"/>
        <v>#REF!</v>
      </c>
      <c r="B401" s="243" t="str">
        <f t="shared" si="47"/>
        <v>PPG INDUSTRIES INC</v>
      </c>
      <c r="C401" s="25" t="str">
        <f t="shared" si="48"/>
        <v>PPG UN</v>
      </c>
      <c r="D401" s="25">
        <v>1</v>
      </c>
      <c r="E401" s="6" t="e">
        <f xml:space="preserve"> [2]!'PPG.US-PreClose'</f>
        <v>#REF!</v>
      </c>
      <c r="F401" s="78">
        <f t="shared" si="49"/>
        <v>1372</v>
      </c>
      <c r="G401" s="49" t="e">
        <f t="shared" si="50"/>
        <v>#REF!</v>
      </c>
      <c r="H401" s="6" t="e">
        <f xml:space="preserve"> [2]!'PPG.US-Price'</f>
        <v>#REF!</v>
      </c>
      <c r="I401" s="6" t="e">
        <f xml:space="preserve"> [2]!'PPG.US-BestBid1'</f>
        <v>#REF!</v>
      </c>
      <c r="J401" s="6" t="e">
        <f xml:space="preserve"> [2]!'PPG.US-BestAsk1'</f>
        <v>#REF!</v>
      </c>
      <c r="K401" s="65" t="e">
        <f t="shared" si="44"/>
        <v>#REF!</v>
      </c>
      <c r="L401" s="65" t="e">
        <f t="shared" si="45"/>
        <v>#REF!</v>
      </c>
      <c r="M401" s="68" t="e">
        <f t="shared" si="46"/>
        <v>#REF!</v>
      </c>
      <c r="AC401" s="444" t="s">
        <v>3314</v>
      </c>
      <c r="AD401" s="445" t="s">
        <v>1004</v>
      </c>
      <c r="AE401" s="446">
        <v>0.11</v>
      </c>
      <c r="AF401" s="447">
        <v>1372</v>
      </c>
    </row>
    <row r="402" spans="1:32" ht="16.8" thickBot="1">
      <c r="A402" s="24" t="e">
        <f t="shared" si="43"/>
        <v>#VALUE!</v>
      </c>
      <c r="B402" s="243" t="str">
        <f t="shared" si="47"/>
        <v>PPL CORP</v>
      </c>
      <c r="C402" s="25" t="str">
        <f t="shared" si="48"/>
        <v>PPL UN</v>
      </c>
      <c r="D402" s="25">
        <v>1</v>
      </c>
      <c r="E402" s="6" t="str">
        <f xml:space="preserve"> [2]!'PPL.US-PreClose'</f>
        <v>N/A</v>
      </c>
      <c r="F402" s="78">
        <f t="shared" si="49"/>
        <v>4195</v>
      </c>
      <c r="G402" s="49" t="e">
        <f t="shared" si="50"/>
        <v>#VALUE!</v>
      </c>
      <c r="H402" s="6" t="str">
        <f xml:space="preserve"> [2]!'PPL.US-Price'</f>
        <v>N/A</v>
      </c>
      <c r="I402" s="6" t="str">
        <f xml:space="preserve"> [2]!'PPL.US-BestBid1'</f>
        <v>N/A</v>
      </c>
      <c r="J402" s="6" t="str">
        <f xml:space="preserve"> [2]!'PPL.US-BestAsk1'</f>
        <v>N/A</v>
      </c>
      <c r="K402" s="65" t="e">
        <f t="shared" si="44"/>
        <v>#VALUE!</v>
      </c>
      <c r="L402" s="65" t="e">
        <f t="shared" si="45"/>
        <v>#VALUE!</v>
      </c>
      <c r="M402" s="68" t="e">
        <f t="shared" si="46"/>
        <v>#VALUE!</v>
      </c>
      <c r="AC402" s="440" t="s">
        <v>3315</v>
      </c>
      <c r="AD402" s="441" t="s">
        <v>1005</v>
      </c>
      <c r="AE402" s="442">
        <v>0.09</v>
      </c>
      <c r="AF402" s="443">
        <v>4195</v>
      </c>
    </row>
    <row r="403" spans="1:32" ht="22.2" thickBot="1">
      <c r="A403" s="24" t="e">
        <f t="shared" si="43"/>
        <v>#REF!</v>
      </c>
      <c r="B403" s="243" t="str">
        <f t="shared" si="47"/>
        <v>PERRIGO CO PLC</v>
      </c>
      <c r="C403" s="25" t="str">
        <f t="shared" si="48"/>
        <v>PRGO UN</v>
      </c>
      <c r="D403" s="25">
        <v>1</v>
      </c>
      <c r="E403" s="6" t="e">
        <f xml:space="preserve"> [2]!'PRGO.US-PreClose'</f>
        <v>#REF!</v>
      </c>
      <c r="F403" s="78">
        <f t="shared" si="49"/>
        <v>727</v>
      </c>
      <c r="G403" s="49" t="e">
        <f t="shared" si="50"/>
        <v>#REF!</v>
      </c>
      <c r="H403" s="6" t="e">
        <f xml:space="preserve"> [2]!'PRGO.US-Price'</f>
        <v>#REF!</v>
      </c>
      <c r="I403" s="6" t="e">
        <f xml:space="preserve"> [2]!'PRGO.US-BestBid1'</f>
        <v>#REF!</v>
      </c>
      <c r="J403" s="6" t="e">
        <f xml:space="preserve"> [2]!'PRGO.US-BestAsk1'</f>
        <v>#REF!</v>
      </c>
      <c r="K403" s="65" t="e">
        <f t="shared" si="44"/>
        <v>#REF!</v>
      </c>
      <c r="L403" s="65" t="e">
        <f t="shared" si="45"/>
        <v>#REF!</v>
      </c>
      <c r="M403" s="68" t="e">
        <f t="shared" si="46"/>
        <v>#REF!</v>
      </c>
      <c r="AC403" s="444" t="s">
        <v>3316</v>
      </c>
      <c r="AD403" s="445" t="s">
        <v>1006</v>
      </c>
      <c r="AE403" s="446">
        <v>0.02</v>
      </c>
      <c r="AF403" s="446">
        <v>727</v>
      </c>
    </row>
    <row r="404" spans="1:32" ht="43.8" thickBot="1">
      <c r="A404" s="24" t="e">
        <f t="shared" si="43"/>
        <v>#REF!</v>
      </c>
      <c r="B404" s="243" t="str">
        <f t="shared" si="47"/>
        <v>PRUDENTIAL FINANCIAL INC</v>
      </c>
      <c r="C404" s="25" t="str">
        <f t="shared" si="48"/>
        <v>PRU UN</v>
      </c>
      <c r="D404" s="25">
        <v>1</v>
      </c>
      <c r="E404" s="6" t="e">
        <f xml:space="preserve"> [2]!'PRU.US-PreClose'</f>
        <v>#REF!</v>
      </c>
      <c r="F404" s="78">
        <f t="shared" si="49"/>
        <v>2360</v>
      </c>
      <c r="G404" s="49" t="e">
        <f t="shared" si="50"/>
        <v>#REF!</v>
      </c>
      <c r="H404" s="6" t="e">
        <f xml:space="preserve"> [2]!'PRU.US-Price'</f>
        <v>#REF!</v>
      </c>
      <c r="I404" s="6" t="e">
        <f xml:space="preserve"> [2]!'PRU.US-BestBid1'</f>
        <v>#REF!</v>
      </c>
      <c r="J404" s="6" t="e">
        <f xml:space="preserve"> [2]!'PRU.US-BestAsk1'</f>
        <v>#REF!</v>
      </c>
      <c r="K404" s="65" t="e">
        <f t="shared" si="44"/>
        <v>#REF!</v>
      </c>
      <c r="L404" s="65" t="e">
        <f t="shared" si="45"/>
        <v>#REF!</v>
      </c>
      <c r="M404" s="68" t="e">
        <f t="shared" si="46"/>
        <v>#REF!</v>
      </c>
      <c r="AC404" s="440" t="s">
        <v>3317</v>
      </c>
      <c r="AD404" s="441" t="s">
        <v>1007</v>
      </c>
      <c r="AE404" s="442">
        <v>0.16</v>
      </c>
      <c r="AF404" s="443">
        <v>2360</v>
      </c>
    </row>
    <row r="405" spans="1:32" ht="22.2" thickBot="1">
      <c r="A405" s="24" t="e">
        <f t="shared" si="43"/>
        <v>#REF!</v>
      </c>
      <c r="B405" s="243" t="str">
        <f t="shared" si="47"/>
        <v>PUBLIC STORAGE</v>
      </c>
      <c r="C405" s="25" t="str">
        <f t="shared" si="48"/>
        <v>PSA UN</v>
      </c>
      <c r="D405" s="25">
        <v>1</v>
      </c>
      <c r="E405" s="6" t="e">
        <f xml:space="preserve"> [2]!'PSA.US-PreClose'</f>
        <v>#REF!</v>
      </c>
      <c r="F405" s="78">
        <f t="shared" si="49"/>
        <v>872</v>
      </c>
      <c r="G405" s="49" t="e">
        <f t="shared" si="50"/>
        <v>#REF!</v>
      </c>
      <c r="H405" s="6" t="e">
        <f xml:space="preserve"> [2]!'PSA.US-Price'</f>
        <v>#REF!</v>
      </c>
      <c r="I405" s="6" t="e">
        <f xml:space="preserve"> [2]!'PSA.US-BestBid1'</f>
        <v>#REF!</v>
      </c>
      <c r="J405" s="6" t="e">
        <f xml:space="preserve"> [2]!'PSA.US-BestAsk1'</f>
        <v>#REF!</v>
      </c>
      <c r="K405" s="65" t="e">
        <f t="shared" si="44"/>
        <v>#REF!</v>
      </c>
      <c r="L405" s="65" t="e">
        <f t="shared" si="45"/>
        <v>#REF!</v>
      </c>
      <c r="M405" s="68" t="e">
        <f t="shared" si="46"/>
        <v>#REF!</v>
      </c>
      <c r="AC405" s="444" t="s">
        <v>3318</v>
      </c>
      <c r="AD405" s="445" t="s">
        <v>1008</v>
      </c>
      <c r="AE405" s="446">
        <v>0.14000000000000001</v>
      </c>
      <c r="AF405" s="446">
        <v>872</v>
      </c>
    </row>
    <row r="406" spans="1:32" ht="16.8" thickBot="1">
      <c r="A406" s="24" t="e">
        <f t="shared" si="43"/>
        <v>#VALUE!</v>
      </c>
      <c r="B406" s="243" t="str">
        <f t="shared" si="47"/>
        <v>PHILLIPS 66</v>
      </c>
      <c r="C406" s="25" t="str">
        <f t="shared" si="48"/>
        <v>PSX UN</v>
      </c>
      <c r="D406" s="25">
        <v>1</v>
      </c>
      <c r="E406" s="6" t="str">
        <f xml:space="preserve"> [2]!'PSX.US-PreClose'</f>
        <v>N/A</v>
      </c>
      <c r="F406" s="78">
        <f t="shared" si="49"/>
        <v>2428</v>
      </c>
      <c r="G406" s="49" t="e">
        <f t="shared" si="50"/>
        <v>#VALUE!</v>
      </c>
      <c r="H406" s="6" t="str">
        <f xml:space="preserve"> [2]!'PSX.US-Price'</f>
        <v>N/A</v>
      </c>
      <c r="I406" s="6" t="str">
        <f xml:space="preserve"> [2]!'PSX.US-BestBid1'</f>
        <v>N/A</v>
      </c>
      <c r="J406" s="6" t="str">
        <f xml:space="preserve"> [2]!'PSX.US-BestAsk1'</f>
        <v>N/A</v>
      </c>
      <c r="K406" s="65" t="e">
        <f t="shared" si="44"/>
        <v>#VALUE!</v>
      </c>
      <c r="L406" s="65" t="e">
        <f t="shared" si="45"/>
        <v>#VALUE!</v>
      </c>
      <c r="M406" s="68" t="e">
        <f t="shared" si="46"/>
        <v>#VALUE!</v>
      </c>
      <c r="AC406" s="440" t="s">
        <v>3319</v>
      </c>
      <c r="AD406" s="441" t="s">
        <v>1009</v>
      </c>
      <c r="AE406" s="442">
        <v>0.16</v>
      </c>
      <c r="AF406" s="443">
        <v>2428</v>
      </c>
    </row>
    <row r="407" spans="1:32" ht="16.8" thickBot="1">
      <c r="A407" s="24" t="e">
        <f t="shared" ref="A407:A470" si="51">G407/$C$6</f>
        <v>#REF!</v>
      </c>
      <c r="B407" s="243" t="str">
        <f t="shared" si="47"/>
        <v>PVH CORP</v>
      </c>
      <c r="C407" s="25" t="str">
        <f t="shared" si="48"/>
        <v>PVH UN</v>
      </c>
      <c r="D407" s="25">
        <v>1</v>
      </c>
      <c r="E407" s="6" t="e">
        <f xml:space="preserve"> [2]!'PVH.US-PreClose'</f>
        <v>#REF!</v>
      </c>
      <c r="F407" s="78">
        <f t="shared" si="49"/>
        <v>435</v>
      </c>
      <c r="G407" s="49" t="e">
        <f t="shared" si="50"/>
        <v>#REF!</v>
      </c>
      <c r="H407" s="6" t="e">
        <f xml:space="preserve"> [2]!'PVH.US-Price'</f>
        <v>#REF!</v>
      </c>
      <c r="I407" s="6" t="e">
        <f xml:space="preserve"> [2]!'PVH.US-BestBid1'</f>
        <v>#REF!</v>
      </c>
      <c r="J407" s="6" t="e">
        <f xml:space="preserve"> [2]!'PVH.US-BestAsk1'</f>
        <v>#REF!</v>
      </c>
      <c r="K407" s="65" t="e">
        <f t="shared" ref="K407:K470" si="52">IF(ISNUMBER(H407)=TRUE,H407*F407*D407,E407*F407*D407)*$N$2</f>
        <v>#REF!</v>
      </c>
      <c r="L407" s="65" t="e">
        <f t="shared" ref="L407:L470" si="53">IF(ISNUMBER(I407)=TRUE,I407*F407*D407,E407*F407*D407)*$N$2</f>
        <v>#REF!</v>
      </c>
      <c r="M407" s="68" t="e">
        <f t="shared" ref="M407:M470" si="54">IF(ISNUMBER(J407)=TRUE,J407*F407*D407,E407*F407*D407)*$N$2</f>
        <v>#REF!</v>
      </c>
      <c r="AC407" s="444" t="s">
        <v>3320</v>
      </c>
      <c r="AD407" s="445" t="s">
        <v>1010</v>
      </c>
      <c r="AE407" s="446">
        <v>0.03</v>
      </c>
      <c r="AF407" s="446">
        <v>435</v>
      </c>
    </row>
    <row r="408" spans="1:32" ht="33" thickBot="1">
      <c r="A408" s="24" t="e">
        <f t="shared" si="51"/>
        <v>#REF!</v>
      </c>
      <c r="B408" s="243" t="str">
        <f t="shared" si="47"/>
        <v>QUANTA SERVICES INC</v>
      </c>
      <c r="C408" s="25" t="str">
        <f t="shared" si="48"/>
        <v>PWR UN</v>
      </c>
      <c r="D408" s="25">
        <v>1</v>
      </c>
      <c r="E408" s="6" t="e">
        <f xml:space="preserve"> [2]!'PWR.US-PreClose'</f>
        <v>#REF!</v>
      </c>
      <c r="F408" s="78">
        <f t="shared" si="49"/>
        <v>826</v>
      </c>
      <c r="G408" s="49" t="e">
        <f t="shared" si="50"/>
        <v>#REF!</v>
      </c>
      <c r="H408" s="6" t="e">
        <f xml:space="preserve"> [2]!'PWR.US-Price'</f>
        <v>#REF!</v>
      </c>
      <c r="I408" s="6" t="e">
        <f xml:space="preserve"> [2]!'PWR.US-BestBid1'</f>
        <v>#REF!</v>
      </c>
      <c r="J408" s="6" t="e">
        <f xml:space="preserve"> [2]!'PWR.US-BestAsk1'</f>
        <v>#REF!</v>
      </c>
      <c r="K408" s="65" t="e">
        <f t="shared" si="52"/>
        <v>#REF!</v>
      </c>
      <c r="L408" s="65" t="e">
        <f t="shared" si="53"/>
        <v>#REF!</v>
      </c>
      <c r="M408" s="68" t="e">
        <f t="shared" si="54"/>
        <v>#REF!</v>
      </c>
      <c r="AC408" s="440" t="s">
        <v>3321</v>
      </c>
      <c r="AD408" s="441" t="s">
        <v>1011</v>
      </c>
      <c r="AE408" s="442">
        <v>0.02</v>
      </c>
      <c r="AF408" s="442">
        <v>826</v>
      </c>
    </row>
    <row r="409" spans="1:32" ht="43.8" thickBot="1">
      <c r="A409" s="24" t="e">
        <f t="shared" si="51"/>
        <v>#REF!</v>
      </c>
      <c r="B409" s="243" t="str">
        <f t="shared" ref="B409:B472" si="55">AD409</f>
        <v>PIONEER NATURAL RESOURCES CO</v>
      </c>
      <c r="C409" s="25" t="str">
        <f t="shared" ref="C409:C472" si="56">AC409</f>
        <v>PXD UN</v>
      </c>
      <c r="D409" s="25">
        <v>1</v>
      </c>
      <c r="E409" s="6" t="e">
        <f xml:space="preserve"> [2]!'PX.US-PreClose'</f>
        <v>#REF!</v>
      </c>
      <c r="F409" s="78">
        <f t="shared" ref="F409:F472" si="57">VLOOKUP($C409,$AC$24:$AF$550,4,FALSE)</f>
        <v>979</v>
      </c>
      <c r="G409" s="49" t="e">
        <f t="shared" ref="G409:G472" si="58">D409*E409*F409*$O$2</f>
        <v>#REF!</v>
      </c>
      <c r="H409" s="6" t="e">
        <f xml:space="preserve"> [2]!'PX.US-Price'</f>
        <v>#REF!</v>
      </c>
      <c r="I409" s="6" t="e">
        <f xml:space="preserve"> [2]!'PX.US-BestBid1'</f>
        <v>#REF!</v>
      </c>
      <c r="J409" s="6" t="e">
        <f xml:space="preserve"> [2]!'PX.US-BestAsk1'</f>
        <v>#REF!</v>
      </c>
      <c r="K409" s="65" t="e">
        <f t="shared" si="52"/>
        <v>#REF!</v>
      </c>
      <c r="L409" s="65" t="e">
        <f t="shared" si="53"/>
        <v>#REF!</v>
      </c>
      <c r="M409" s="68" t="e">
        <f t="shared" si="54"/>
        <v>#REF!</v>
      </c>
      <c r="AC409" s="444" t="s">
        <v>3322</v>
      </c>
      <c r="AD409" s="445" t="s">
        <v>1012</v>
      </c>
      <c r="AE409" s="446">
        <v>0.09</v>
      </c>
      <c r="AF409" s="446">
        <v>979</v>
      </c>
    </row>
    <row r="410" spans="1:32" ht="33" thickBot="1">
      <c r="A410" s="24" t="e">
        <f t="shared" si="51"/>
        <v>#REF!</v>
      </c>
      <c r="B410" s="243" t="str">
        <f t="shared" si="55"/>
        <v>PAYPAL HOLDINGS INC</v>
      </c>
      <c r="C410" s="25" t="str">
        <f t="shared" si="56"/>
        <v>PYPL UQ</v>
      </c>
      <c r="D410" s="25">
        <v>1</v>
      </c>
      <c r="E410" s="6" t="e">
        <f xml:space="preserve"> [2]!'PXD.US-PreClose'</f>
        <v>#REF!</v>
      </c>
      <c r="F410" s="78">
        <f t="shared" si="57"/>
        <v>6829</v>
      </c>
      <c r="G410" s="49" t="e">
        <f t="shared" si="58"/>
        <v>#REF!</v>
      </c>
      <c r="H410" s="6" t="e">
        <f xml:space="preserve"> [2]!'PXD.US-Price'</f>
        <v>#REF!</v>
      </c>
      <c r="I410" s="6" t="e">
        <f xml:space="preserve"> [2]!'PXD.US-BestBid1'</f>
        <v>#REF!</v>
      </c>
      <c r="J410" s="6" t="e">
        <f xml:space="preserve"> [2]!'PXD.US-BestAsk1'</f>
        <v>#REF!</v>
      </c>
      <c r="K410" s="65" t="e">
        <f t="shared" si="52"/>
        <v>#REF!</v>
      </c>
      <c r="L410" s="65" t="e">
        <f t="shared" si="53"/>
        <v>#REF!</v>
      </c>
      <c r="M410" s="68" t="e">
        <f t="shared" si="54"/>
        <v>#REF!</v>
      </c>
      <c r="AC410" s="440" t="s">
        <v>3323</v>
      </c>
      <c r="AD410" s="441" t="s">
        <v>1013</v>
      </c>
      <c r="AE410" s="442">
        <v>0.55000000000000004</v>
      </c>
      <c r="AF410" s="443">
        <v>6829</v>
      </c>
    </row>
    <row r="411" spans="1:32" ht="22.2" thickBot="1">
      <c r="A411" s="24" t="e">
        <f t="shared" si="51"/>
        <v>#REF!</v>
      </c>
      <c r="B411" s="243" t="str">
        <f t="shared" si="55"/>
        <v>QUALCOMM INC</v>
      </c>
      <c r="C411" s="25" t="str">
        <f t="shared" si="56"/>
        <v>QCOM UQ</v>
      </c>
      <c r="D411" s="25">
        <v>1</v>
      </c>
      <c r="E411" s="6" t="e">
        <f xml:space="preserve"> [2]!'PYPL.US-PreClose'</f>
        <v>#REF!</v>
      </c>
      <c r="F411" s="78">
        <f t="shared" si="57"/>
        <v>7066</v>
      </c>
      <c r="G411" s="49" t="e">
        <f t="shared" si="58"/>
        <v>#REF!</v>
      </c>
      <c r="H411" s="6" t="e">
        <f xml:space="preserve"> [2]!'PYPL.US-Price'</f>
        <v>#REF!</v>
      </c>
      <c r="I411" s="6" t="e">
        <f xml:space="preserve"> [2]!'PYPL.US-BestBid1'</f>
        <v>#REF!</v>
      </c>
      <c r="J411" s="6" t="e">
        <f xml:space="preserve"> [2]!'PYPL.US-BestAsk1'</f>
        <v>#REF!</v>
      </c>
      <c r="K411" s="65" t="e">
        <f t="shared" si="52"/>
        <v>#REF!</v>
      </c>
      <c r="L411" s="65" t="e">
        <f t="shared" si="53"/>
        <v>#REF!</v>
      </c>
      <c r="M411" s="68" t="e">
        <f t="shared" si="54"/>
        <v>#REF!</v>
      </c>
      <c r="AC411" s="444" t="s">
        <v>3324</v>
      </c>
      <c r="AD411" s="445" t="s">
        <v>1014</v>
      </c>
      <c r="AE411" s="446">
        <v>0.35</v>
      </c>
      <c r="AF411" s="447">
        <v>7066</v>
      </c>
    </row>
    <row r="412" spans="1:32" ht="22.2" thickBot="1">
      <c r="A412" s="24" t="e">
        <f t="shared" si="51"/>
        <v>#REF!</v>
      </c>
      <c r="B412" s="243" t="str">
        <f t="shared" si="55"/>
        <v>QORVO INC</v>
      </c>
      <c r="C412" s="25" t="str">
        <f t="shared" si="56"/>
        <v>QRVO UQ</v>
      </c>
      <c r="D412" s="25">
        <v>1</v>
      </c>
      <c r="E412" s="6" t="e">
        <f xml:space="preserve"> [2]!'Q.US-PreClose'</f>
        <v>#REF!</v>
      </c>
      <c r="F412" s="78">
        <f t="shared" si="57"/>
        <v>693</v>
      </c>
      <c r="G412" s="49" t="e">
        <f t="shared" si="58"/>
        <v>#REF!</v>
      </c>
      <c r="H412" s="6" t="e">
        <f xml:space="preserve"> [2]!'Q.US-Price'</f>
        <v>#REF!</v>
      </c>
      <c r="I412" s="6" t="e">
        <f xml:space="preserve"> [2]!'Q.US-BestBid1'</f>
        <v>#REF!</v>
      </c>
      <c r="J412" s="6" t="e">
        <f xml:space="preserve"> [2]!'Q.US-BestAsk1'</f>
        <v>#REF!</v>
      </c>
      <c r="K412" s="65" t="e">
        <f t="shared" si="52"/>
        <v>#REF!</v>
      </c>
      <c r="L412" s="65" t="e">
        <f t="shared" si="53"/>
        <v>#REF!</v>
      </c>
      <c r="M412" s="68" t="e">
        <f t="shared" si="54"/>
        <v>#REF!</v>
      </c>
      <c r="AC412" s="440" t="s">
        <v>3325</v>
      </c>
      <c r="AD412" s="441" t="s">
        <v>1015</v>
      </c>
      <c r="AE412" s="442">
        <v>0.03</v>
      </c>
      <c r="AF412" s="442">
        <v>693</v>
      </c>
    </row>
    <row r="413" spans="1:32" ht="43.8" thickBot="1">
      <c r="A413" s="24" t="e">
        <f t="shared" si="51"/>
        <v>#REF!</v>
      </c>
      <c r="B413" s="243" t="str">
        <f t="shared" si="55"/>
        <v>ROYAL CARIBBEAN CRUISES LTD</v>
      </c>
      <c r="C413" s="25" t="str">
        <f t="shared" si="56"/>
        <v>RCL UN</v>
      </c>
      <c r="D413" s="25">
        <v>1</v>
      </c>
      <c r="E413" s="6" t="e">
        <f xml:space="preserve"> [2]!'QCOM.US-PreClose'</f>
        <v>#REF!</v>
      </c>
      <c r="F413" s="78">
        <f t="shared" si="57"/>
        <v>999</v>
      </c>
      <c r="G413" s="49" t="e">
        <f t="shared" si="58"/>
        <v>#REF!</v>
      </c>
      <c r="H413" s="6" t="e">
        <f xml:space="preserve"> [2]!'QCOM.US-Price'</f>
        <v>#REF!</v>
      </c>
      <c r="I413" s="6" t="e">
        <f xml:space="preserve"> [2]!'QCOM.US-BestBid1'</f>
        <v>#REF!</v>
      </c>
      <c r="J413" s="6" t="e">
        <f xml:space="preserve"> [2]!'QCOM.US-BestAsk1'</f>
        <v>#REF!</v>
      </c>
      <c r="K413" s="65" t="e">
        <f t="shared" si="52"/>
        <v>#REF!</v>
      </c>
      <c r="L413" s="65" t="e">
        <f t="shared" si="53"/>
        <v>#REF!</v>
      </c>
      <c r="M413" s="68" t="e">
        <f t="shared" si="54"/>
        <v>#REF!</v>
      </c>
      <c r="AC413" s="444" t="s">
        <v>3326</v>
      </c>
      <c r="AD413" s="445" t="s">
        <v>1016</v>
      </c>
      <c r="AE413" s="446">
        <v>7.0000000000000007E-2</v>
      </c>
      <c r="AF413" s="446">
        <v>999</v>
      </c>
    </row>
    <row r="414" spans="1:32" ht="22.2" thickBot="1">
      <c r="A414" s="24" t="e">
        <f t="shared" si="51"/>
        <v>#REF!</v>
      </c>
      <c r="B414" s="243" t="str">
        <f t="shared" si="55"/>
        <v>EVEREST RE GROUP LTD</v>
      </c>
      <c r="C414" s="25" t="str">
        <f t="shared" si="56"/>
        <v>RE UN</v>
      </c>
      <c r="D414" s="25">
        <v>1</v>
      </c>
      <c r="E414" s="6" t="e">
        <f xml:space="preserve"> [2]!'QRVO.US-PreClose'</f>
        <v>#REF!</v>
      </c>
      <c r="F414" s="78">
        <f t="shared" si="57"/>
        <v>237</v>
      </c>
      <c r="G414" s="49" t="e">
        <f t="shared" si="58"/>
        <v>#REF!</v>
      </c>
      <c r="H414" s="6" t="e">
        <f xml:space="preserve"> [2]!'QRVO.US-Price'</f>
        <v>#REF!</v>
      </c>
      <c r="I414" s="6" t="e">
        <f xml:space="preserve"> [2]!'QRVO.US-BestBid1'</f>
        <v>#REF!</v>
      </c>
      <c r="J414" s="6" t="e">
        <f xml:space="preserve"> [2]!'QRVO.US-BestAsk1'</f>
        <v>#REF!</v>
      </c>
      <c r="K414" s="65" t="e">
        <f t="shared" si="52"/>
        <v>#REF!</v>
      </c>
      <c r="L414" s="65" t="e">
        <f t="shared" si="53"/>
        <v>#REF!</v>
      </c>
      <c r="M414" s="68" t="e">
        <f t="shared" si="54"/>
        <v>#REF!</v>
      </c>
      <c r="AC414" s="440" t="s">
        <v>3327</v>
      </c>
      <c r="AD414" s="441" t="s">
        <v>1017</v>
      </c>
      <c r="AE414" s="442">
        <v>0.04</v>
      </c>
      <c r="AF414" s="442">
        <v>237</v>
      </c>
    </row>
    <row r="415" spans="1:32" ht="33" thickBot="1">
      <c r="A415" s="24" t="e">
        <f t="shared" si="51"/>
        <v>#REF!</v>
      </c>
      <c r="B415" s="243" t="str">
        <f t="shared" si="55"/>
        <v>REGENCY CENTERS CORP</v>
      </c>
      <c r="C415" s="25" t="str">
        <f t="shared" si="56"/>
        <v>REG UQ</v>
      </c>
      <c r="D415" s="25">
        <v>1</v>
      </c>
      <c r="E415" s="6" t="e">
        <f xml:space="preserve"> [2]!'RCL.US-PreClose'</f>
        <v>#REF!</v>
      </c>
      <c r="F415" s="78">
        <f t="shared" si="57"/>
        <v>971</v>
      </c>
      <c r="G415" s="49" t="e">
        <f t="shared" si="58"/>
        <v>#REF!</v>
      </c>
      <c r="H415" s="6" t="e">
        <f xml:space="preserve"> [2]!'RCL.US-Price'</f>
        <v>#REF!</v>
      </c>
      <c r="I415" s="6" t="e">
        <f xml:space="preserve"> [2]!'RCL.US-BestBid1'</f>
        <v>#REF!</v>
      </c>
      <c r="J415" s="6" t="e">
        <f xml:space="preserve"> [2]!'RCL.US-BestAsk1'</f>
        <v>#REF!</v>
      </c>
      <c r="K415" s="65" t="e">
        <f t="shared" si="52"/>
        <v>#REF!</v>
      </c>
      <c r="L415" s="65" t="e">
        <f t="shared" si="53"/>
        <v>#REF!</v>
      </c>
      <c r="M415" s="68" t="e">
        <f t="shared" si="54"/>
        <v>#REF!</v>
      </c>
      <c r="AC415" s="444" t="s">
        <v>3328</v>
      </c>
      <c r="AD415" s="445" t="s">
        <v>1018</v>
      </c>
      <c r="AE415" s="446">
        <v>0.04</v>
      </c>
      <c r="AF415" s="446">
        <v>971</v>
      </c>
    </row>
    <row r="416" spans="1:32" ht="43.8" thickBot="1">
      <c r="A416" s="24" t="e">
        <f t="shared" si="51"/>
        <v>#REF!</v>
      </c>
      <c r="B416" s="243" t="str">
        <f t="shared" si="55"/>
        <v>REGENERON PHARMACEUTICALS</v>
      </c>
      <c r="C416" s="25" t="str">
        <f t="shared" si="56"/>
        <v>REGN UQ</v>
      </c>
      <c r="D416" s="25">
        <v>1</v>
      </c>
      <c r="E416" s="6" t="e">
        <f xml:space="preserve"> [2]!'RE.US-PreClose'</f>
        <v>#REF!</v>
      </c>
      <c r="F416" s="78">
        <f t="shared" si="57"/>
        <v>457</v>
      </c>
      <c r="G416" s="49" t="e">
        <f t="shared" si="58"/>
        <v>#REF!</v>
      </c>
      <c r="H416" s="6" t="e">
        <f xml:space="preserve"> [2]!'RE.US-Price'</f>
        <v>#REF!</v>
      </c>
      <c r="I416" s="6" t="e">
        <f xml:space="preserve"> [2]!'RE.US-BestBid1'</f>
        <v>#REF!</v>
      </c>
      <c r="J416" s="6" t="e">
        <f xml:space="preserve"> [2]!'RE.US-BestAsk1'</f>
        <v>#REF!</v>
      </c>
      <c r="K416" s="65" t="e">
        <f t="shared" si="52"/>
        <v>#REF!</v>
      </c>
      <c r="L416" s="65" t="e">
        <f t="shared" si="53"/>
        <v>#REF!</v>
      </c>
      <c r="M416" s="68" t="e">
        <f t="shared" si="54"/>
        <v>#REF!</v>
      </c>
      <c r="AC416" s="440" t="s">
        <v>3329</v>
      </c>
      <c r="AD416" s="441" t="s">
        <v>1019</v>
      </c>
      <c r="AE416" s="442">
        <v>0.09</v>
      </c>
      <c r="AF416" s="442">
        <v>457</v>
      </c>
    </row>
    <row r="417" spans="1:32" ht="33" thickBot="1">
      <c r="A417" s="24" t="e">
        <f t="shared" si="51"/>
        <v>#REF!</v>
      </c>
      <c r="B417" s="243" t="str">
        <f t="shared" si="55"/>
        <v>REGIONS FINANCIAL CORP</v>
      </c>
      <c r="C417" s="25" t="str">
        <f t="shared" si="56"/>
        <v>RF UN</v>
      </c>
      <c r="D417" s="25">
        <v>1</v>
      </c>
      <c r="E417" s="6" t="e">
        <f xml:space="preserve"> [2]!'REG.US-PreClose'</f>
        <v>#REF!</v>
      </c>
      <c r="F417" s="78">
        <f t="shared" si="57"/>
        <v>5889</v>
      </c>
      <c r="G417" s="49" t="e">
        <f t="shared" si="58"/>
        <v>#REF!</v>
      </c>
      <c r="H417" s="6" t="e">
        <f xml:space="preserve"> [2]!'REG.US-Price'</f>
        <v>#REF!</v>
      </c>
      <c r="I417" s="6" t="e">
        <f xml:space="preserve"> [2]!'REG.US-BestBid1'</f>
        <v>#REF!</v>
      </c>
      <c r="J417" s="6" t="e">
        <f xml:space="preserve"> [2]!'REG.US-BestAsk1'</f>
        <v>#REF!</v>
      </c>
      <c r="K417" s="65" t="e">
        <f t="shared" si="52"/>
        <v>#REF!</v>
      </c>
      <c r="L417" s="65" t="e">
        <f t="shared" si="53"/>
        <v>#REF!</v>
      </c>
      <c r="M417" s="68" t="e">
        <f t="shared" si="54"/>
        <v>#REF!</v>
      </c>
      <c r="AC417" s="444" t="s">
        <v>3330</v>
      </c>
      <c r="AD417" s="445" t="s">
        <v>1020</v>
      </c>
      <c r="AE417" s="446">
        <v>0.06</v>
      </c>
      <c r="AF417" s="447">
        <v>5889</v>
      </c>
    </row>
    <row r="418" spans="1:32" ht="33" thickBot="1">
      <c r="A418" s="24" t="e">
        <f t="shared" si="51"/>
        <v>#REF!</v>
      </c>
      <c r="B418" s="243" t="str">
        <f t="shared" si="55"/>
        <v>ROBERT HALF INTL INC</v>
      </c>
      <c r="C418" s="25" t="str">
        <f t="shared" si="56"/>
        <v>RHI UN</v>
      </c>
      <c r="D418" s="25">
        <v>1</v>
      </c>
      <c r="E418" s="6" t="e">
        <f xml:space="preserve"> [2]!'REGN.US-PreClose'</f>
        <v>#REF!</v>
      </c>
      <c r="F418" s="78">
        <f t="shared" si="57"/>
        <v>689</v>
      </c>
      <c r="G418" s="49" t="e">
        <f t="shared" si="58"/>
        <v>#REF!</v>
      </c>
      <c r="H418" s="6" t="e">
        <f xml:space="preserve"> [2]!'REGN.US-Price'</f>
        <v>#REF!</v>
      </c>
      <c r="I418" s="6" t="e">
        <f xml:space="preserve"> [2]!'REGN.US-BestBid1'</f>
        <v>#REF!</v>
      </c>
      <c r="J418" s="6" t="e">
        <f xml:space="preserve"> [2]!'REGN.US-BestAsk1'</f>
        <v>#REF!</v>
      </c>
      <c r="K418" s="65" t="e">
        <f t="shared" si="52"/>
        <v>#REF!</v>
      </c>
      <c r="L418" s="65" t="e">
        <f t="shared" si="53"/>
        <v>#REF!</v>
      </c>
      <c r="M418" s="68" t="e">
        <f t="shared" si="54"/>
        <v>#REF!</v>
      </c>
      <c r="AC418" s="440" t="s">
        <v>3331</v>
      </c>
      <c r="AD418" s="441" t="s">
        <v>1021</v>
      </c>
      <c r="AE418" s="442">
        <v>0.03</v>
      </c>
      <c r="AF418" s="442">
        <v>689</v>
      </c>
    </row>
    <row r="419" spans="1:32" ht="43.8" thickBot="1">
      <c r="A419" s="24" t="e">
        <f t="shared" si="51"/>
        <v>#REF!</v>
      </c>
      <c r="B419" s="243" t="str">
        <f t="shared" si="55"/>
        <v>RAYMOND JAMES FINANCIAL INC</v>
      </c>
      <c r="C419" s="25" t="str">
        <f t="shared" si="56"/>
        <v>RJF UN</v>
      </c>
      <c r="D419" s="25">
        <v>1</v>
      </c>
      <c r="E419" s="6" t="e">
        <f xml:space="preserve"> [2]!'RF.US-PreClose'</f>
        <v>#REF!</v>
      </c>
      <c r="F419" s="78">
        <f t="shared" si="57"/>
        <v>734</v>
      </c>
      <c r="G419" s="49" t="e">
        <f t="shared" si="58"/>
        <v>#REF!</v>
      </c>
      <c r="H419" s="6" t="e">
        <f xml:space="preserve"> [2]!'RF.US-Price'</f>
        <v>#REF!</v>
      </c>
      <c r="I419" s="6" t="e">
        <f xml:space="preserve"> [2]!'RF.US-BestBid1'</f>
        <v>#REF!</v>
      </c>
      <c r="J419" s="6" t="e">
        <f xml:space="preserve"> [2]!'RF.US-BestAsk1'</f>
        <v>#REF!</v>
      </c>
      <c r="K419" s="65" t="e">
        <f t="shared" si="52"/>
        <v>#REF!</v>
      </c>
      <c r="L419" s="65" t="e">
        <f t="shared" si="53"/>
        <v>#REF!</v>
      </c>
      <c r="M419" s="68" t="e">
        <f t="shared" si="54"/>
        <v>#REF!</v>
      </c>
      <c r="AC419" s="444" t="s">
        <v>3332</v>
      </c>
      <c r="AD419" s="445" t="s">
        <v>1022</v>
      </c>
      <c r="AE419" s="446">
        <v>0.04</v>
      </c>
      <c r="AF419" s="446">
        <v>734</v>
      </c>
    </row>
    <row r="420" spans="1:32" ht="33" thickBot="1">
      <c r="A420" s="24" t="e">
        <f t="shared" si="51"/>
        <v>#REF!</v>
      </c>
      <c r="B420" s="243" t="str">
        <f t="shared" si="55"/>
        <v>RALPH LAUREN CORP</v>
      </c>
      <c r="C420" s="25" t="str">
        <f t="shared" si="56"/>
        <v>RL UN</v>
      </c>
      <c r="D420" s="25">
        <v>1</v>
      </c>
      <c r="E420" s="6" t="e">
        <f xml:space="preserve"> [2]!'RHI.US-PreClose'</f>
        <v>#REF!</v>
      </c>
      <c r="F420" s="78">
        <f t="shared" si="57"/>
        <v>303</v>
      </c>
      <c r="G420" s="49" t="e">
        <f t="shared" si="58"/>
        <v>#REF!</v>
      </c>
      <c r="H420" s="6" t="e">
        <f xml:space="preserve"> [2]!'RHI.US-Price'</f>
        <v>#REF!</v>
      </c>
      <c r="I420" s="6" t="e">
        <f xml:space="preserve"> [2]!'RHI.US-BestBid1'</f>
        <v>#REF!</v>
      </c>
      <c r="J420" s="6" t="e">
        <f xml:space="preserve"> [2]!'RHI.US-BestAsk1'</f>
        <v>#REF!</v>
      </c>
      <c r="K420" s="65" t="e">
        <f t="shared" si="52"/>
        <v>#REF!</v>
      </c>
      <c r="L420" s="65" t="e">
        <f t="shared" si="53"/>
        <v>#REF!</v>
      </c>
      <c r="M420" s="68" t="e">
        <f t="shared" si="54"/>
        <v>#REF!</v>
      </c>
      <c r="AC420" s="440" t="s">
        <v>3333</v>
      </c>
      <c r="AD420" s="441" t="s">
        <v>1023</v>
      </c>
      <c r="AE420" s="442">
        <v>0.02</v>
      </c>
      <c r="AF420" s="442">
        <v>303</v>
      </c>
    </row>
    <row r="421" spans="1:32" ht="22.2" thickBot="1">
      <c r="A421" s="24" t="e">
        <f t="shared" si="51"/>
        <v>#REF!</v>
      </c>
      <c r="B421" s="243" t="str">
        <f t="shared" si="55"/>
        <v>RESMED INC</v>
      </c>
      <c r="C421" s="25" t="str">
        <f t="shared" si="56"/>
        <v>RMD UN</v>
      </c>
      <c r="D421" s="25">
        <v>1</v>
      </c>
      <c r="E421" s="6" t="e">
        <f xml:space="preserve"> [2]!'RHT.US-PreClose'</f>
        <v>#REF!</v>
      </c>
      <c r="F421" s="78">
        <f t="shared" si="57"/>
        <v>833</v>
      </c>
      <c r="G421" s="49" t="e">
        <f t="shared" si="58"/>
        <v>#REF!</v>
      </c>
      <c r="H421" s="6" t="e">
        <f xml:space="preserve"> [2]!'RHT.US-Price'</f>
        <v>#REF!</v>
      </c>
      <c r="I421" s="6" t="e">
        <f xml:space="preserve"> [2]!'RHT.US-BestBid1'</f>
        <v>#REF!</v>
      </c>
      <c r="J421" s="6" t="e">
        <f xml:space="preserve"> [2]!'RHT.US-BestAsk1'</f>
        <v>#REF!</v>
      </c>
      <c r="K421" s="65" t="e">
        <f t="shared" si="52"/>
        <v>#REF!</v>
      </c>
      <c r="L421" s="65" t="e">
        <f t="shared" si="53"/>
        <v>#REF!</v>
      </c>
      <c r="M421" s="68" t="e">
        <f t="shared" si="54"/>
        <v>#REF!</v>
      </c>
      <c r="AC421" s="444" t="s">
        <v>3334</v>
      </c>
      <c r="AD421" s="445" t="s">
        <v>1024</v>
      </c>
      <c r="AE421" s="446">
        <v>7.0000000000000007E-2</v>
      </c>
      <c r="AF421" s="446">
        <v>833</v>
      </c>
    </row>
    <row r="422" spans="1:32" ht="33" thickBot="1">
      <c r="A422" s="24" t="e">
        <f t="shared" si="51"/>
        <v>#REF!</v>
      </c>
      <c r="B422" s="243" t="str">
        <f t="shared" si="55"/>
        <v>ROCKWELL AUTOMATION INC</v>
      </c>
      <c r="C422" s="25" t="str">
        <f t="shared" si="56"/>
        <v>ROK UN</v>
      </c>
      <c r="D422" s="25">
        <v>1</v>
      </c>
      <c r="E422" s="6" t="e">
        <f xml:space="preserve"> [2]!'RJF.US-PreClose'</f>
        <v>#REF!</v>
      </c>
      <c r="F422" s="78">
        <f t="shared" si="57"/>
        <v>688</v>
      </c>
      <c r="G422" s="49" t="e">
        <f t="shared" si="58"/>
        <v>#REF!</v>
      </c>
      <c r="H422" s="6" t="e">
        <f xml:space="preserve"> [2]!'RJF.US-Price'</f>
        <v>#REF!</v>
      </c>
      <c r="I422" s="6" t="e">
        <f xml:space="preserve"> [2]!'RJF.US-BestBid1'</f>
        <v>#REF!</v>
      </c>
      <c r="J422" s="6" t="e">
        <f xml:space="preserve"> [2]!'RJF.US-BestAsk1'</f>
        <v>#REF!</v>
      </c>
      <c r="K422" s="65" t="e">
        <f t="shared" si="52"/>
        <v>#REF!</v>
      </c>
      <c r="L422" s="65" t="e">
        <f t="shared" si="53"/>
        <v>#REF!</v>
      </c>
      <c r="M422" s="68" t="e">
        <f t="shared" si="54"/>
        <v>#REF!</v>
      </c>
      <c r="AC422" s="440" t="s">
        <v>3335</v>
      </c>
      <c r="AD422" s="441" t="s">
        <v>1025</v>
      </c>
      <c r="AE422" s="442">
        <v>7.0000000000000007E-2</v>
      </c>
      <c r="AF422" s="442">
        <v>688</v>
      </c>
    </row>
    <row r="423" spans="1:32" ht="22.2" thickBot="1">
      <c r="A423" s="24" t="e">
        <f t="shared" si="51"/>
        <v>#REF!</v>
      </c>
      <c r="B423" s="243" t="str">
        <f t="shared" si="55"/>
        <v>ROLLINS INC</v>
      </c>
      <c r="C423" s="25" t="str">
        <f t="shared" si="56"/>
        <v>ROL UN</v>
      </c>
      <c r="D423" s="25">
        <v>1</v>
      </c>
      <c r="E423" s="6" t="e">
        <f xml:space="preserve"> [2]!'RL.US-PreClose'</f>
        <v>#REF!</v>
      </c>
      <c r="F423" s="78">
        <f t="shared" si="57"/>
        <v>857</v>
      </c>
      <c r="G423" s="49" t="e">
        <f t="shared" si="58"/>
        <v>#REF!</v>
      </c>
      <c r="H423" s="6" t="e">
        <f xml:space="preserve"> [2]!'RL.US-Price'</f>
        <v>#REF!</v>
      </c>
      <c r="I423" s="6" t="e">
        <f xml:space="preserve"> [2]!'RL.US-BestBid1'</f>
        <v>#REF!</v>
      </c>
      <c r="J423" s="6" t="e">
        <f xml:space="preserve"> [2]!'RL.US-BestAsk1'</f>
        <v>#REF!</v>
      </c>
      <c r="K423" s="65" t="e">
        <f t="shared" si="52"/>
        <v>#REF!</v>
      </c>
      <c r="L423" s="65" t="e">
        <f t="shared" si="53"/>
        <v>#REF!</v>
      </c>
      <c r="M423" s="68" t="e">
        <f t="shared" si="54"/>
        <v>#REF!</v>
      </c>
      <c r="AC423" s="444" t="s">
        <v>3336</v>
      </c>
      <c r="AD423" s="445" t="s">
        <v>3337</v>
      </c>
      <c r="AE423" s="446">
        <v>0.02</v>
      </c>
      <c r="AF423" s="446">
        <v>857</v>
      </c>
    </row>
    <row r="424" spans="1:32" ht="33" thickBot="1">
      <c r="A424" s="24" t="e">
        <f t="shared" si="51"/>
        <v>#REF!</v>
      </c>
      <c r="B424" s="243" t="str">
        <f t="shared" si="55"/>
        <v>ROPER TECHNOLOGIES INC</v>
      </c>
      <c r="C424" s="25" t="str">
        <f t="shared" si="56"/>
        <v>ROP UN</v>
      </c>
      <c r="D424" s="25">
        <v>1</v>
      </c>
      <c r="E424" s="6" t="e">
        <f xml:space="preserve"> [2]!'RMD.US-PreClose'</f>
        <v>#REF!</v>
      </c>
      <c r="F424" s="78">
        <f t="shared" si="57"/>
        <v>604</v>
      </c>
      <c r="G424" s="49" t="e">
        <f t="shared" si="58"/>
        <v>#REF!</v>
      </c>
      <c r="H424" s="6" t="e">
        <f xml:space="preserve"> [2]!'RMD.US-Price'</f>
        <v>#REF!</v>
      </c>
      <c r="I424" s="6" t="e">
        <f xml:space="preserve"> [2]!'RMD.US-BestBid1'</f>
        <v>#REF!</v>
      </c>
      <c r="J424" s="6" t="e">
        <f xml:space="preserve"> [2]!'RMD.US-BestAsk1'</f>
        <v>#REF!</v>
      </c>
      <c r="K424" s="65" t="e">
        <f t="shared" si="52"/>
        <v>#REF!</v>
      </c>
      <c r="L424" s="65" t="e">
        <f t="shared" si="53"/>
        <v>#REF!</v>
      </c>
      <c r="M424" s="68" t="e">
        <f t="shared" si="54"/>
        <v>#REF!</v>
      </c>
      <c r="AC424" s="440" t="s">
        <v>3338</v>
      </c>
      <c r="AD424" s="441" t="s">
        <v>1026</v>
      </c>
      <c r="AE424" s="442">
        <v>0.15</v>
      </c>
      <c r="AF424" s="442">
        <v>604</v>
      </c>
    </row>
    <row r="425" spans="1:32" ht="33" thickBot="1">
      <c r="A425" s="24" t="e">
        <f t="shared" si="51"/>
        <v>#REF!</v>
      </c>
      <c r="B425" s="243" t="str">
        <f t="shared" si="55"/>
        <v>ROSS STORES INC</v>
      </c>
      <c r="C425" s="25" t="str">
        <f t="shared" si="56"/>
        <v>ROST UQ</v>
      </c>
      <c r="D425" s="25">
        <v>1</v>
      </c>
      <c r="E425" s="6" t="e">
        <f xml:space="preserve"> [2]!'ROK.US-PreClose'</f>
        <v>#REF!</v>
      </c>
      <c r="F425" s="78">
        <f t="shared" si="57"/>
        <v>2136</v>
      </c>
      <c r="G425" s="49" t="e">
        <f t="shared" si="58"/>
        <v>#REF!</v>
      </c>
      <c r="H425" s="6" t="e">
        <f xml:space="preserve"> [2]!'ROK.US-Price'</f>
        <v>#REF!</v>
      </c>
      <c r="I425" s="6" t="e">
        <f xml:space="preserve"> [2]!'ROK.US-BestBid1'</f>
        <v>#REF!</v>
      </c>
      <c r="J425" s="6" t="e">
        <f xml:space="preserve"> [2]!'ROK.US-BestAsk1'</f>
        <v>#REF!</v>
      </c>
      <c r="K425" s="65" t="e">
        <f t="shared" si="52"/>
        <v>#REF!</v>
      </c>
      <c r="L425" s="65" t="e">
        <f t="shared" si="53"/>
        <v>#REF!</v>
      </c>
      <c r="M425" s="68" t="e">
        <f t="shared" si="54"/>
        <v>#REF!</v>
      </c>
      <c r="AC425" s="444" t="s">
        <v>3339</v>
      </c>
      <c r="AD425" s="445" t="s">
        <v>1027</v>
      </c>
      <c r="AE425" s="446">
        <v>0.15</v>
      </c>
      <c r="AF425" s="447">
        <v>2136</v>
      </c>
    </row>
    <row r="426" spans="1:32" ht="33" thickBot="1">
      <c r="A426" s="24" t="e">
        <f t="shared" si="51"/>
        <v>#REF!</v>
      </c>
      <c r="B426" s="243" t="str">
        <f t="shared" si="55"/>
        <v>REPUBLIC SERVICES INC</v>
      </c>
      <c r="C426" s="25" t="str">
        <f t="shared" si="56"/>
        <v>RSG UN</v>
      </c>
      <c r="D426" s="25">
        <v>1</v>
      </c>
      <c r="E426" s="6" t="e">
        <f xml:space="preserve"> [2]!'ROP.US-PreClose'</f>
        <v>#REF!</v>
      </c>
      <c r="F426" s="78">
        <f t="shared" si="57"/>
        <v>1252</v>
      </c>
      <c r="G426" s="49" t="e">
        <f t="shared" si="58"/>
        <v>#REF!</v>
      </c>
      <c r="H426" s="6" t="e">
        <f xml:space="preserve"> [2]!'ROP.US-Price'</f>
        <v>#REF!</v>
      </c>
      <c r="I426" s="6" t="e">
        <f xml:space="preserve"> [2]!'ROP.US-BestBid1'</f>
        <v>#REF!</v>
      </c>
      <c r="J426" s="6" t="e">
        <f xml:space="preserve"> [2]!'ROP.US-BestAsk1'</f>
        <v>#REF!</v>
      </c>
      <c r="K426" s="65" t="e">
        <f t="shared" si="52"/>
        <v>#REF!</v>
      </c>
      <c r="L426" s="65" t="e">
        <f t="shared" si="53"/>
        <v>#REF!</v>
      </c>
      <c r="M426" s="68" t="e">
        <f t="shared" si="54"/>
        <v>#REF!</v>
      </c>
      <c r="AC426" s="440" t="s">
        <v>3340</v>
      </c>
      <c r="AD426" s="441" t="s">
        <v>1028</v>
      </c>
      <c r="AE426" s="442">
        <v>7.0000000000000007E-2</v>
      </c>
      <c r="AF426" s="443">
        <v>1252</v>
      </c>
    </row>
    <row r="427" spans="1:32" ht="22.2" thickBot="1">
      <c r="A427" s="24" t="e">
        <f t="shared" si="51"/>
        <v>#REF!</v>
      </c>
      <c r="B427" s="243" t="str">
        <f t="shared" si="55"/>
        <v>RAYTHEON COMPANY</v>
      </c>
      <c r="C427" s="25" t="str">
        <f t="shared" si="56"/>
        <v>RTN UN</v>
      </c>
      <c r="D427" s="25">
        <v>1</v>
      </c>
      <c r="E427" s="6" t="e">
        <f xml:space="preserve"> [2]!'ROST.US-PreClose'</f>
        <v>#REF!</v>
      </c>
      <c r="F427" s="78">
        <f t="shared" si="57"/>
        <v>1619</v>
      </c>
      <c r="G427" s="49" t="e">
        <f t="shared" si="58"/>
        <v>#REF!</v>
      </c>
      <c r="H427" s="6" t="e">
        <f xml:space="preserve"> [2]!'ROST.US-Price'</f>
        <v>#REF!</v>
      </c>
      <c r="I427" s="6" t="e">
        <f xml:space="preserve"> [2]!'ROST.US-BestBid1'</f>
        <v>#REF!</v>
      </c>
      <c r="J427" s="6" t="e">
        <f xml:space="preserve"> [2]!'ROST.US-BestAsk1'</f>
        <v>#REF!</v>
      </c>
      <c r="K427" s="65" t="e">
        <f t="shared" si="52"/>
        <v>#REF!</v>
      </c>
      <c r="L427" s="65" t="e">
        <f t="shared" si="53"/>
        <v>#REF!</v>
      </c>
      <c r="M427" s="68" t="e">
        <f t="shared" si="54"/>
        <v>#REF!</v>
      </c>
      <c r="AC427" s="444" t="s">
        <v>3341</v>
      </c>
      <c r="AD427" s="445" t="s">
        <v>1029</v>
      </c>
      <c r="AE427" s="446">
        <v>0.19</v>
      </c>
      <c r="AF427" s="447">
        <v>1619</v>
      </c>
    </row>
    <row r="428" spans="1:32" ht="43.8" thickBot="1">
      <c r="A428" s="24" t="e">
        <f t="shared" si="51"/>
        <v>#REF!</v>
      </c>
      <c r="B428" s="243" t="str">
        <f t="shared" si="55"/>
        <v>SBA COMMUNICATIONS CORP</v>
      </c>
      <c r="C428" s="25" t="str">
        <f t="shared" si="56"/>
        <v>SBAC UQ</v>
      </c>
      <c r="D428" s="25">
        <v>1</v>
      </c>
      <c r="E428" s="6" t="e">
        <f xml:space="preserve"> [2]!'RRC.US-PreClose'</f>
        <v>#REF!</v>
      </c>
      <c r="F428" s="78">
        <f t="shared" si="57"/>
        <v>658</v>
      </c>
      <c r="G428" s="49" t="e">
        <f t="shared" si="58"/>
        <v>#REF!</v>
      </c>
      <c r="H428" s="6" t="e">
        <f xml:space="preserve"> [2]!'RRC.US-Price'</f>
        <v>#REF!</v>
      </c>
      <c r="I428" s="6" t="e">
        <f xml:space="preserve"> [2]!'RRC.US-BestBid1'</f>
        <v>#REF!</v>
      </c>
      <c r="J428" s="6" t="e">
        <f xml:space="preserve"> [2]!'RRC.US-BestAsk1'</f>
        <v>#REF!</v>
      </c>
      <c r="K428" s="65" t="e">
        <f t="shared" si="52"/>
        <v>#REF!</v>
      </c>
      <c r="L428" s="65" t="e">
        <f t="shared" si="53"/>
        <v>#REF!</v>
      </c>
      <c r="M428" s="68" t="e">
        <f t="shared" si="54"/>
        <v>#REF!</v>
      </c>
      <c r="AC428" s="440" t="s">
        <v>3342</v>
      </c>
      <c r="AD428" s="441" t="s">
        <v>1030</v>
      </c>
      <c r="AE428" s="442">
        <v>0.1</v>
      </c>
      <c r="AF428" s="442">
        <v>658</v>
      </c>
    </row>
    <row r="429" spans="1:32" ht="22.2" thickBot="1">
      <c r="A429" s="24" t="e">
        <f t="shared" si="51"/>
        <v>#REF!</v>
      </c>
      <c r="B429" s="243" t="str">
        <f t="shared" si="55"/>
        <v>STARBUCKS CORP</v>
      </c>
      <c r="C429" s="25" t="str">
        <f t="shared" si="56"/>
        <v>SBUX UQ</v>
      </c>
      <c r="D429" s="25">
        <v>1</v>
      </c>
      <c r="E429" s="6" t="e">
        <f xml:space="preserve"> [2]!'RSG.US-PreClose'</f>
        <v>#REF!</v>
      </c>
      <c r="F429" s="78">
        <f t="shared" si="57"/>
        <v>7040</v>
      </c>
      <c r="G429" s="49" t="e">
        <f t="shared" si="58"/>
        <v>#REF!</v>
      </c>
      <c r="H429" s="6" t="e">
        <f xml:space="preserve"> [2]!'RSG.US-Price'</f>
        <v>#REF!</v>
      </c>
      <c r="I429" s="6" t="e">
        <f xml:space="preserve"> [2]!'RSG.US-BestBid1'</f>
        <v>#REF!</v>
      </c>
      <c r="J429" s="6" t="e">
        <f xml:space="preserve"> [2]!'RSG.US-BestAsk1'</f>
        <v>#REF!</v>
      </c>
      <c r="K429" s="65" t="e">
        <f t="shared" si="52"/>
        <v>#REF!</v>
      </c>
      <c r="L429" s="65" t="e">
        <f t="shared" si="53"/>
        <v>#REF!</v>
      </c>
      <c r="M429" s="68" t="e">
        <f t="shared" si="54"/>
        <v>#REF!</v>
      </c>
      <c r="AC429" s="444" t="s">
        <v>3343</v>
      </c>
      <c r="AD429" s="445" t="s">
        <v>1031</v>
      </c>
      <c r="AE429" s="446">
        <v>0.42</v>
      </c>
      <c r="AF429" s="447">
        <v>7040</v>
      </c>
    </row>
    <row r="430" spans="1:32" ht="33" thickBot="1">
      <c r="A430" s="24" t="e">
        <f t="shared" si="51"/>
        <v>#REF!</v>
      </c>
      <c r="B430" s="243" t="str">
        <f t="shared" si="55"/>
        <v>SCHWAB (CHARLES) CORP</v>
      </c>
      <c r="C430" s="25" t="str">
        <f t="shared" si="56"/>
        <v>SCHW UN</v>
      </c>
      <c r="D430" s="25">
        <v>1</v>
      </c>
      <c r="E430" s="6" t="e">
        <f xml:space="preserve"> [2]!'RTN.US-PreClose'</f>
        <v>#REF!</v>
      </c>
      <c r="F430" s="78">
        <f t="shared" si="57"/>
        <v>6906</v>
      </c>
      <c r="G430" s="49" t="e">
        <f t="shared" si="58"/>
        <v>#REF!</v>
      </c>
      <c r="H430" s="6" t="e">
        <f xml:space="preserve"> [2]!'RTN.US-Price'</f>
        <v>#REF!</v>
      </c>
      <c r="I430" s="6" t="e">
        <f xml:space="preserve"> [2]!'RTN.US-BestBid1'</f>
        <v>#REF!</v>
      </c>
      <c r="J430" s="6" t="e">
        <f xml:space="preserve"> [2]!'RTN.US-BestAsk1'</f>
        <v>#REF!</v>
      </c>
      <c r="K430" s="65" t="e">
        <f t="shared" si="52"/>
        <v>#REF!</v>
      </c>
      <c r="L430" s="65" t="e">
        <f t="shared" si="53"/>
        <v>#REF!</v>
      </c>
      <c r="M430" s="68" t="e">
        <f t="shared" si="54"/>
        <v>#REF!</v>
      </c>
      <c r="AC430" s="440" t="s">
        <v>3344</v>
      </c>
      <c r="AD430" s="441" t="s">
        <v>1032</v>
      </c>
      <c r="AE430" s="442">
        <v>0.19</v>
      </c>
      <c r="AF430" s="443">
        <v>6906</v>
      </c>
    </row>
    <row r="431" spans="1:32" ht="22.2" thickBot="1">
      <c r="A431" s="24" t="e">
        <f t="shared" si="51"/>
        <v>#REF!</v>
      </c>
      <c r="B431" s="243" t="str">
        <f t="shared" si="55"/>
        <v>SEALED AIR CORP</v>
      </c>
      <c r="C431" s="25" t="str">
        <f t="shared" si="56"/>
        <v>SEE UN</v>
      </c>
      <c r="D431" s="25">
        <v>1</v>
      </c>
      <c r="E431" s="6" t="e">
        <f xml:space="preserve"> [2]!'SBAC.US-PreClose'</f>
        <v>#REF!</v>
      </c>
      <c r="F431" s="78">
        <f t="shared" si="57"/>
        <v>905</v>
      </c>
      <c r="G431" s="49" t="e">
        <f t="shared" si="58"/>
        <v>#REF!</v>
      </c>
      <c r="H431" s="6" t="e">
        <f xml:space="preserve"> [2]!'SBAC.US-Price'</f>
        <v>#REF!</v>
      </c>
      <c r="I431" s="6" t="e">
        <f xml:space="preserve"> [2]!'SBAC.US-BestBid1'</f>
        <v>#REF!</v>
      </c>
      <c r="J431" s="6" t="e">
        <f xml:space="preserve"> [2]!'SBAC.US-BestAsk1'</f>
        <v>#REF!</v>
      </c>
      <c r="K431" s="65" t="e">
        <f t="shared" si="52"/>
        <v>#REF!</v>
      </c>
      <c r="L431" s="65" t="e">
        <f t="shared" si="53"/>
        <v>#REF!</v>
      </c>
      <c r="M431" s="68" t="e">
        <f t="shared" si="54"/>
        <v>#REF!</v>
      </c>
      <c r="AC431" s="444" t="s">
        <v>3345</v>
      </c>
      <c r="AD431" s="445" t="s">
        <v>1033</v>
      </c>
      <c r="AE431" s="446">
        <v>0.03</v>
      </c>
      <c r="AF431" s="446">
        <v>905</v>
      </c>
    </row>
    <row r="432" spans="1:32" ht="33" thickBot="1">
      <c r="A432" s="24" t="e">
        <f t="shared" si="51"/>
        <v>#REF!</v>
      </c>
      <c r="B432" s="243" t="str">
        <f t="shared" si="55"/>
        <v>SHERWIN-WILLIAMS CO/THE</v>
      </c>
      <c r="C432" s="25" t="str">
        <f t="shared" si="56"/>
        <v>SHW UN</v>
      </c>
      <c r="D432" s="25">
        <v>1</v>
      </c>
      <c r="E432" s="6" t="e">
        <f xml:space="preserve"> [2]!'SBUX.US-PreClose'</f>
        <v>#REF!</v>
      </c>
      <c r="F432" s="78">
        <f t="shared" si="57"/>
        <v>472</v>
      </c>
      <c r="G432" s="49" t="e">
        <f t="shared" si="58"/>
        <v>#REF!</v>
      </c>
      <c r="H432" s="6" t="e">
        <f xml:space="preserve"> [2]!'SBUX.US-Price'</f>
        <v>#REF!</v>
      </c>
      <c r="I432" s="6" t="e">
        <f xml:space="preserve"> [2]!'SBUX.US-BestBid1'</f>
        <v>#REF!</v>
      </c>
      <c r="J432" s="6" t="e">
        <f xml:space="preserve"> [2]!'SBUX.US-BestAsk1'</f>
        <v>#REF!</v>
      </c>
      <c r="K432" s="65" t="e">
        <f t="shared" si="52"/>
        <v>#REF!</v>
      </c>
      <c r="L432" s="65" t="e">
        <f t="shared" si="53"/>
        <v>#REF!</v>
      </c>
      <c r="M432" s="68" t="e">
        <f t="shared" si="54"/>
        <v>#REF!</v>
      </c>
      <c r="AC432" s="440" t="s">
        <v>3346</v>
      </c>
      <c r="AD432" s="441" t="s">
        <v>1034</v>
      </c>
      <c r="AE432" s="442">
        <v>0.15</v>
      </c>
      <c r="AF432" s="442">
        <v>472</v>
      </c>
    </row>
    <row r="433" spans="1:32" ht="33" thickBot="1">
      <c r="A433" s="24" t="e">
        <f t="shared" si="51"/>
        <v>#REF!</v>
      </c>
      <c r="B433" s="243" t="str">
        <f t="shared" si="55"/>
        <v>SVB FINANCIAL GROUP</v>
      </c>
      <c r="C433" s="25" t="str">
        <f t="shared" si="56"/>
        <v>SIVB UQ</v>
      </c>
      <c r="D433" s="25">
        <v>1</v>
      </c>
      <c r="E433" s="6" t="e">
        <f xml:space="preserve"> [2]!'SCG.US-PreClose'</f>
        <v>#REF!</v>
      </c>
      <c r="F433" s="78">
        <f t="shared" si="57"/>
        <v>304</v>
      </c>
      <c r="G433" s="49" t="e">
        <f t="shared" si="58"/>
        <v>#REF!</v>
      </c>
      <c r="H433" s="6" t="e">
        <f xml:space="preserve"> [2]!'SCG.US-Price'</f>
        <v>#REF!</v>
      </c>
      <c r="I433" s="6" t="e">
        <f xml:space="preserve"> [2]!'SCG.US-BestBid1'</f>
        <v>#REF!</v>
      </c>
      <c r="J433" s="6" t="e">
        <f xml:space="preserve"> [2]!'SCG.US-BestAsk1'</f>
        <v>#REF!</v>
      </c>
      <c r="K433" s="65" t="e">
        <f t="shared" si="52"/>
        <v>#REF!</v>
      </c>
      <c r="L433" s="65" t="e">
        <f t="shared" si="53"/>
        <v>#REF!</v>
      </c>
      <c r="M433" s="68" t="e">
        <f t="shared" si="54"/>
        <v>#REF!</v>
      </c>
      <c r="AC433" s="444" t="s">
        <v>3347</v>
      </c>
      <c r="AD433" s="445" t="s">
        <v>3348</v>
      </c>
      <c r="AE433" s="446">
        <v>0.04</v>
      </c>
      <c r="AF433" s="446">
        <v>304</v>
      </c>
    </row>
    <row r="434" spans="1:32" ht="33" thickBot="1">
      <c r="A434" s="24" t="e">
        <f t="shared" si="51"/>
        <v>#REF!</v>
      </c>
      <c r="B434" s="243" t="str">
        <f t="shared" si="55"/>
        <v>JM SMUCKER CO/THE</v>
      </c>
      <c r="C434" s="25" t="str">
        <f t="shared" si="56"/>
        <v>SJM UN</v>
      </c>
      <c r="D434" s="25">
        <v>1</v>
      </c>
      <c r="E434" s="6" t="e">
        <f xml:space="preserve"> [2]!'SCHW.US-PreClose'</f>
        <v>#REF!</v>
      </c>
      <c r="F434" s="78">
        <f t="shared" si="57"/>
        <v>661</v>
      </c>
      <c r="G434" s="49" t="e">
        <f t="shared" si="58"/>
        <v>#REF!</v>
      </c>
      <c r="H434" s="6" t="e">
        <f xml:space="preserve"> [2]!'SCHW.US-Price'</f>
        <v>#REF!</v>
      </c>
      <c r="I434" s="6" t="e">
        <f xml:space="preserve"> [2]!'SCHW.US-BestBid1'</f>
        <v>#REF!</v>
      </c>
      <c r="J434" s="6" t="e">
        <f xml:space="preserve"> [2]!'SCHW.US-BestAsk1'</f>
        <v>#REF!</v>
      </c>
      <c r="K434" s="65" t="e">
        <f t="shared" si="52"/>
        <v>#REF!</v>
      </c>
      <c r="L434" s="65" t="e">
        <f t="shared" si="53"/>
        <v>#REF!</v>
      </c>
      <c r="M434" s="68" t="e">
        <f t="shared" si="54"/>
        <v>#REF!</v>
      </c>
      <c r="AC434" s="440" t="s">
        <v>3349</v>
      </c>
      <c r="AD434" s="441" t="s">
        <v>1035</v>
      </c>
      <c r="AE434" s="442">
        <v>0.05</v>
      </c>
      <c r="AF434" s="442">
        <v>661</v>
      </c>
    </row>
    <row r="435" spans="1:32" ht="22.2" thickBot="1">
      <c r="A435" s="24" t="e">
        <f t="shared" si="51"/>
        <v>#REF!</v>
      </c>
      <c r="B435" s="243" t="str">
        <f t="shared" si="55"/>
        <v>SCHLUMBERGER LTD</v>
      </c>
      <c r="C435" s="25" t="str">
        <f t="shared" si="56"/>
        <v>SLB UN</v>
      </c>
      <c r="D435" s="25">
        <v>1</v>
      </c>
      <c r="E435" s="6" t="e">
        <f xml:space="preserve"> [2]!'SEE.US-PreClose'</f>
        <v>#REF!</v>
      </c>
      <c r="F435" s="78">
        <f t="shared" si="57"/>
        <v>8051</v>
      </c>
      <c r="G435" s="49" t="e">
        <f t="shared" si="58"/>
        <v>#REF!</v>
      </c>
      <c r="H435" s="6" t="e">
        <f xml:space="preserve"> [2]!'SEE.US-Price'</f>
        <v>#REF!</v>
      </c>
      <c r="I435" s="6" t="e">
        <f xml:space="preserve"> [2]!'SEE.US-BestBid1'</f>
        <v>#REF!</v>
      </c>
      <c r="J435" s="6" t="e">
        <f xml:space="preserve"> [2]!'SEE.US-BestAsk1'</f>
        <v>#REF!</v>
      </c>
      <c r="K435" s="65" t="e">
        <f t="shared" si="52"/>
        <v>#REF!</v>
      </c>
      <c r="L435" s="65" t="e">
        <f t="shared" si="53"/>
        <v>#REF!</v>
      </c>
      <c r="M435" s="68" t="e">
        <f t="shared" si="54"/>
        <v>#REF!</v>
      </c>
      <c r="AC435" s="444" t="s">
        <v>3350</v>
      </c>
      <c r="AD435" s="445" t="s">
        <v>1036</v>
      </c>
      <c r="AE435" s="446">
        <v>0.22</v>
      </c>
      <c r="AF435" s="447">
        <v>8051</v>
      </c>
    </row>
    <row r="436" spans="1:32" ht="33" thickBot="1">
      <c r="A436" s="24" t="e">
        <f t="shared" si="51"/>
        <v>#REF!</v>
      </c>
      <c r="B436" s="243" t="str">
        <f t="shared" si="55"/>
        <v>SL GREEN REALTY CORP</v>
      </c>
      <c r="C436" s="25" t="str">
        <f t="shared" si="56"/>
        <v>SLG UN</v>
      </c>
      <c r="D436" s="25">
        <v>1</v>
      </c>
      <c r="E436" s="6" t="e">
        <f xml:space="preserve"> [2]!'SHW.US-PreClose'</f>
        <v>#REF!</v>
      </c>
      <c r="F436" s="78">
        <f t="shared" si="57"/>
        <v>490</v>
      </c>
      <c r="G436" s="49" t="e">
        <f t="shared" si="58"/>
        <v>#REF!</v>
      </c>
      <c r="H436" s="6" t="e">
        <f xml:space="preserve"> [2]!'SHW.US-Price'</f>
        <v>#REF!</v>
      </c>
      <c r="I436" s="6" t="e">
        <f xml:space="preserve"> [2]!'SHW.US-BestBid1'</f>
        <v>#REF!</v>
      </c>
      <c r="J436" s="6" t="e">
        <f xml:space="preserve"> [2]!'SHW.US-BestAsk1'</f>
        <v>#REF!</v>
      </c>
      <c r="K436" s="65" t="e">
        <f t="shared" si="52"/>
        <v>#REF!</v>
      </c>
      <c r="L436" s="65" t="e">
        <f t="shared" si="53"/>
        <v>#REF!</v>
      </c>
      <c r="M436" s="68" t="e">
        <f t="shared" si="54"/>
        <v>#REF!</v>
      </c>
      <c r="AC436" s="440" t="s">
        <v>3351</v>
      </c>
      <c r="AD436" s="441" t="s">
        <v>1037</v>
      </c>
      <c r="AE436" s="442">
        <v>0.03</v>
      </c>
      <c r="AF436" s="442">
        <v>490</v>
      </c>
    </row>
    <row r="437" spans="1:32" ht="22.2" thickBot="1">
      <c r="A437" s="24" t="e">
        <f t="shared" si="51"/>
        <v>#REF!</v>
      </c>
      <c r="B437" s="243" t="str">
        <f t="shared" si="55"/>
        <v>SNAP-ON INC</v>
      </c>
      <c r="C437" s="25" t="str">
        <f t="shared" si="56"/>
        <v>SNA UN</v>
      </c>
      <c r="D437" s="25">
        <v>1</v>
      </c>
      <c r="E437" s="6" t="e">
        <f xml:space="preserve"> [2]!'SIG.US-PreClose'</f>
        <v>#REF!</v>
      </c>
      <c r="F437" s="78">
        <f t="shared" si="57"/>
        <v>322</v>
      </c>
      <c r="G437" s="49" t="e">
        <f t="shared" si="58"/>
        <v>#REF!</v>
      </c>
      <c r="H437" s="6" t="e">
        <f xml:space="preserve"> [2]!'SIG.US-Price'</f>
        <v>#REF!</v>
      </c>
      <c r="I437" s="6" t="e">
        <f xml:space="preserve"> [2]!'SIG.US-BestBid1'</f>
        <v>#REF!</v>
      </c>
      <c r="J437" s="6" t="e">
        <f xml:space="preserve"> [2]!'SIG.US-BestAsk1'</f>
        <v>#REF!</v>
      </c>
      <c r="K437" s="65" t="e">
        <f t="shared" si="52"/>
        <v>#REF!</v>
      </c>
      <c r="L437" s="65" t="e">
        <f t="shared" si="53"/>
        <v>#REF!</v>
      </c>
      <c r="M437" s="68" t="e">
        <f t="shared" si="54"/>
        <v>#REF!</v>
      </c>
      <c r="AC437" s="444" t="s">
        <v>3352</v>
      </c>
      <c r="AD437" s="445" t="s">
        <v>1038</v>
      </c>
      <c r="AE437" s="446">
        <v>0.03</v>
      </c>
      <c r="AF437" s="446">
        <v>322</v>
      </c>
    </row>
    <row r="438" spans="1:32" ht="22.2" thickBot="1">
      <c r="A438" s="24" t="e">
        <f t="shared" si="51"/>
        <v>#REF!</v>
      </c>
      <c r="B438" s="243" t="str">
        <f t="shared" si="55"/>
        <v>SYNOPSYS INC</v>
      </c>
      <c r="C438" s="25" t="str">
        <f t="shared" si="56"/>
        <v>SNPS UQ</v>
      </c>
      <c r="D438" s="25">
        <v>1</v>
      </c>
      <c r="E438" s="6" t="e">
        <f xml:space="preserve"> [2]!'SJM.US-PreClose'</f>
        <v>#REF!</v>
      </c>
      <c r="F438" s="78">
        <f t="shared" si="57"/>
        <v>871</v>
      </c>
      <c r="G438" s="49" t="e">
        <f t="shared" si="58"/>
        <v>#REF!</v>
      </c>
      <c r="H438" s="6" t="e">
        <f xml:space="preserve"> [2]!'SJM.US-Price'</f>
        <v>#REF!</v>
      </c>
      <c r="I438" s="6" t="e">
        <f xml:space="preserve"> [2]!'SJM.US-BestBid1'</f>
        <v>#REF!</v>
      </c>
      <c r="J438" s="6" t="e">
        <f xml:space="preserve"> [2]!'SJM.US-BestAsk1'</f>
        <v>#REF!</v>
      </c>
      <c r="K438" s="65" t="e">
        <f t="shared" si="52"/>
        <v>#REF!</v>
      </c>
      <c r="L438" s="65" t="e">
        <f t="shared" si="53"/>
        <v>#REF!</v>
      </c>
      <c r="M438" s="68" t="e">
        <f t="shared" si="54"/>
        <v>#REF!</v>
      </c>
      <c r="AC438" s="440" t="s">
        <v>3353</v>
      </c>
      <c r="AD438" s="441" t="s">
        <v>1039</v>
      </c>
      <c r="AE438" s="442">
        <v>0.08</v>
      </c>
      <c r="AF438" s="442">
        <v>871</v>
      </c>
    </row>
    <row r="439" spans="1:32" ht="22.2" thickBot="1">
      <c r="A439" s="24" t="e">
        <f t="shared" si="51"/>
        <v>#VALUE!</v>
      </c>
      <c r="B439" s="243" t="str">
        <f t="shared" si="55"/>
        <v>SOUTHERN CO/THE</v>
      </c>
      <c r="C439" s="25" t="str">
        <f t="shared" si="56"/>
        <v>SO UN</v>
      </c>
      <c r="D439" s="25">
        <v>1</v>
      </c>
      <c r="E439" s="6" t="str">
        <f xml:space="preserve"> [2]!'SLB.US-PreClose'</f>
        <v>N/A</v>
      </c>
      <c r="F439" s="78">
        <f t="shared" si="57"/>
        <v>6050</v>
      </c>
      <c r="G439" s="49" t="e">
        <f t="shared" si="58"/>
        <v>#VALUE!</v>
      </c>
      <c r="H439" s="6" t="str">
        <f xml:space="preserve"> [2]!'SLB.US-Price'</f>
        <v>N/A</v>
      </c>
      <c r="I439" s="6" t="str">
        <f xml:space="preserve"> [2]!'SLB.US-BestBid1'</f>
        <v>N/A</v>
      </c>
      <c r="J439" s="6" t="str">
        <f xml:space="preserve"> [2]!'SLB.US-BestAsk1'</f>
        <v>N/A</v>
      </c>
      <c r="K439" s="65" t="e">
        <f t="shared" si="52"/>
        <v>#VALUE!</v>
      </c>
      <c r="L439" s="65" t="e">
        <f t="shared" si="53"/>
        <v>#VALUE!</v>
      </c>
      <c r="M439" s="68" t="e">
        <f t="shared" si="54"/>
        <v>#VALUE!</v>
      </c>
      <c r="AC439" s="444" t="s">
        <v>3354</v>
      </c>
      <c r="AD439" s="445" t="s">
        <v>1040</v>
      </c>
      <c r="AE439" s="446">
        <v>0.23</v>
      </c>
      <c r="AF439" s="447">
        <v>6050</v>
      </c>
    </row>
    <row r="440" spans="1:32" ht="33" thickBot="1">
      <c r="A440" s="24" t="e">
        <f t="shared" si="51"/>
        <v>#REF!</v>
      </c>
      <c r="B440" s="243" t="str">
        <f t="shared" si="55"/>
        <v>SIMON PROPERTY GROUP INC</v>
      </c>
      <c r="C440" s="25" t="str">
        <f t="shared" si="56"/>
        <v>SPG UN</v>
      </c>
      <c r="D440" s="25">
        <v>1</v>
      </c>
      <c r="E440" s="6" t="e">
        <f xml:space="preserve"> [2]!'SLG.US-PreClose'</f>
        <v>#REF!</v>
      </c>
      <c r="F440" s="78">
        <f t="shared" si="57"/>
        <v>1796</v>
      </c>
      <c r="G440" s="49" t="e">
        <f t="shared" si="58"/>
        <v>#REF!</v>
      </c>
      <c r="H440" s="6" t="e">
        <f xml:space="preserve"> [2]!'SLG.US-Price'</f>
        <v>#REF!</v>
      </c>
      <c r="I440" s="6" t="e">
        <f xml:space="preserve"> [2]!'SLG.US-BestBid1'</f>
        <v>#REF!</v>
      </c>
      <c r="J440" s="6" t="e">
        <f xml:space="preserve"> [2]!'SLG.US-BestAsk1'</f>
        <v>#REF!</v>
      </c>
      <c r="K440" s="65" t="e">
        <f t="shared" si="52"/>
        <v>#REF!</v>
      </c>
      <c r="L440" s="65" t="e">
        <f t="shared" si="53"/>
        <v>#REF!</v>
      </c>
      <c r="M440" s="68" t="e">
        <f t="shared" si="54"/>
        <v>#REF!</v>
      </c>
      <c r="AC440" s="440" t="s">
        <v>3355</v>
      </c>
      <c r="AD440" s="441" t="s">
        <v>1041</v>
      </c>
      <c r="AE440" s="442">
        <v>0.19</v>
      </c>
      <c r="AF440" s="443">
        <v>1796</v>
      </c>
    </row>
    <row r="441" spans="1:32" ht="33" thickBot="1">
      <c r="A441" s="24" t="e">
        <f t="shared" si="51"/>
        <v>#REF!</v>
      </c>
      <c r="B441" s="243" t="str">
        <f t="shared" si="55"/>
        <v>S&amp;P GLOBAL INC</v>
      </c>
      <c r="C441" s="25" t="str">
        <f t="shared" si="56"/>
        <v>SPGI UN</v>
      </c>
      <c r="D441" s="25">
        <v>1</v>
      </c>
      <c r="E441" s="6" t="e">
        <f xml:space="preserve"> [2]!'SNA.US-PreClose'</f>
        <v>#REF!</v>
      </c>
      <c r="F441" s="78">
        <f t="shared" si="57"/>
        <v>1430</v>
      </c>
      <c r="G441" s="49" t="e">
        <f t="shared" si="58"/>
        <v>#REF!</v>
      </c>
      <c r="H441" s="6" t="e">
        <f xml:space="preserve"> [2]!'SNA.US-Price'</f>
        <v>#REF!</v>
      </c>
      <c r="I441" s="6" t="e">
        <f xml:space="preserve"> [2]!'SNA.US-BestBid1'</f>
        <v>#REF!</v>
      </c>
      <c r="J441" s="6" t="e">
        <f xml:space="preserve"> [2]!'SNA.US-BestAsk1'</f>
        <v>#REF!</v>
      </c>
      <c r="K441" s="65" t="e">
        <f t="shared" si="52"/>
        <v>#REF!</v>
      </c>
      <c r="L441" s="65" t="e">
        <f t="shared" si="53"/>
        <v>#REF!</v>
      </c>
      <c r="M441" s="68" t="e">
        <f t="shared" si="54"/>
        <v>#REF!</v>
      </c>
      <c r="AC441" s="444" t="s">
        <v>3356</v>
      </c>
      <c r="AD441" s="445" t="s">
        <v>1042</v>
      </c>
      <c r="AE441" s="446">
        <v>0.23</v>
      </c>
      <c r="AF441" s="447">
        <v>1430</v>
      </c>
    </row>
    <row r="442" spans="1:32" ht="22.2" thickBot="1">
      <c r="A442" s="24" t="e">
        <f t="shared" si="51"/>
        <v>#REF!</v>
      </c>
      <c r="B442" s="243" t="str">
        <f t="shared" si="55"/>
        <v>SEMPRA ENERGY</v>
      </c>
      <c r="C442" s="25" t="str">
        <f t="shared" si="56"/>
        <v>SRE UN</v>
      </c>
      <c r="D442" s="25">
        <v>1</v>
      </c>
      <c r="E442" s="6" t="e">
        <f xml:space="preserve"> [2]!'SNI.US-PreClose'</f>
        <v>#REF!</v>
      </c>
      <c r="F442" s="78">
        <f t="shared" si="57"/>
        <v>1595</v>
      </c>
      <c r="G442" s="49" t="e">
        <f t="shared" si="58"/>
        <v>#REF!</v>
      </c>
      <c r="H442" s="6" t="e">
        <f xml:space="preserve"> [2]!'SNI.US-Price'</f>
        <v>#REF!</v>
      </c>
      <c r="I442" s="6" t="e">
        <f xml:space="preserve"> [2]!'SNI.US-BestBid1'</f>
        <v>#REF!</v>
      </c>
      <c r="J442" s="6" t="e">
        <f xml:space="preserve"> [2]!'SNI.US-BestAsk1'</f>
        <v>#REF!</v>
      </c>
      <c r="K442" s="65" t="e">
        <f t="shared" si="52"/>
        <v>#REF!</v>
      </c>
      <c r="L442" s="65" t="e">
        <f t="shared" si="53"/>
        <v>#REF!</v>
      </c>
      <c r="M442" s="68" t="e">
        <f t="shared" si="54"/>
        <v>#REF!</v>
      </c>
      <c r="AC442" s="440" t="s">
        <v>3357</v>
      </c>
      <c r="AD442" s="441" t="s">
        <v>1043</v>
      </c>
      <c r="AE442" s="442">
        <v>0.15</v>
      </c>
      <c r="AF442" s="443">
        <v>1595</v>
      </c>
    </row>
    <row r="443" spans="1:32" ht="22.2" thickBot="1">
      <c r="A443" s="24" t="e">
        <f t="shared" si="51"/>
        <v>#REF!</v>
      </c>
      <c r="B443" s="243" t="str">
        <f t="shared" si="55"/>
        <v>SUNTRUST BANKS INC</v>
      </c>
      <c r="C443" s="25" t="str">
        <f t="shared" si="56"/>
        <v>STI UN</v>
      </c>
      <c r="D443" s="25">
        <v>1</v>
      </c>
      <c r="E443" s="6" t="e">
        <f xml:space="preserve"> [2]!'SNPS.US-PreClose'</f>
        <v>#REF!</v>
      </c>
      <c r="F443" s="78">
        <f t="shared" si="57"/>
        <v>2580</v>
      </c>
      <c r="G443" s="49" t="e">
        <f t="shared" si="58"/>
        <v>#REF!</v>
      </c>
      <c r="H443" s="6" t="e">
        <f xml:space="preserve"> [2]!'SNPS.US-Price'</f>
        <v>#REF!</v>
      </c>
      <c r="I443" s="6" t="e">
        <f xml:space="preserve"> [2]!'SNPS.US-BestBid1'</f>
        <v>#REF!</v>
      </c>
      <c r="J443" s="6" t="e">
        <f xml:space="preserve"> [2]!'SNPS.US-BestAsk1'</f>
        <v>#REF!</v>
      </c>
      <c r="K443" s="65" t="e">
        <f t="shared" si="52"/>
        <v>#REF!</v>
      </c>
      <c r="L443" s="65" t="e">
        <f t="shared" si="53"/>
        <v>#REF!</v>
      </c>
      <c r="M443" s="68" t="e">
        <f t="shared" si="54"/>
        <v>#REF!</v>
      </c>
      <c r="AC443" s="444" t="s">
        <v>3358</v>
      </c>
      <c r="AD443" s="445" t="s">
        <v>1044</v>
      </c>
      <c r="AE443" s="446">
        <v>0.11</v>
      </c>
      <c r="AF443" s="447">
        <v>2580</v>
      </c>
    </row>
    <row r="444" spans="1:32" ht="33" thickBot="1">
      <c r="A444" s="24" t="e">
        <f t="shared" si="51"/>
        <v>#VALUE!</v>
      </c>
      <c r="B444" s="243" t="str">
        <f t="shared" si="55"/>
        <v>STATE STREET CORP</v>
      </c>
      <c r="C444" s="25" t="str">
        <f t="shared" si="56"/>
        <v>STT UN</v>
      </c>
      <c r="D444" s="25">
        <v>1</v>
      </c>
      <c r="E444" s="6" t="str">
        <f xml:space="preserve"> [2]!'SO.US-PreClose'</f>
        <v>N/A</v>
      </c>
      <c r="F444" s="78">
        <f t="shared" si="57"/>
        <v>2169</v>
      </c>
      <c r="G444" s="49" t="e">
        <f t="shared" si="58"/>
        <v>#VALUE!</v>
      </c>
      <c r="H444" s="6" t="str">
        <f xml:space="preserve"> [2]!'SO.US-Price'</f>
        <v>N/A</v>
      </c>
      <c r="I444" s="6" t="str">
        <f xml:space="preserve"> [2]!'SO.US-BestBid1'</f>
        <v>N/A</v>
      </c>
      <c r="J444" s="6" t="str">
        <f xml:space="preserve"> [2]!'SO.US-BestAsk1'</f>
        <v>N/A</v>
      </c>
      <c r="K444" s="65" t="e">
        <f t="shared" si="52"/>
        <v>#VALUE!</v>
      </c>
      <c r="L444" s="65" t="e">
        <f t="shared" si="53"/>
        <v>#VALUE!</v>
      </c>
      <c r="M444" s="68" t="e">
        <f t="shared" si="54"/>
        <v>#VALUE!</v>
      </c>
      <c r="AC444" s="440" t="s">
        <v>3359</v>
      </c>
      <c r="AD444" s="441" t="s">
        <v>1045</v>
      </c>
      <c r="AE444" s="442">
        <v>0.08</v>
      </c>
      <c r="AF444" s="443">
        <v>2169</v>
      </c>
    </row>
    <row r="445" spans="1:32" ht="33" thickBot="1">
      <c r="A445" s="24" t="e">
        <f t="shared" si="51"/>
        <v>#VALUE!</v>
      </c>
      <c r="B445" s="243" t="str">
        <f t="shared" si="55"/>
        <v>SEAGATE TECHNOLOGY</v>
      </c>
      <c r="C445" s="25" t="str">
        <f t="shared" si="56"/>
        <v>STX UQ</v>
      </c>
      <c r="D445" s="25">
        <v>1</v>
      </c>
      <c r="E445" s="6" t="str">
        <f xml:space="preserve"> [2]!'SPG.US-PreClose'</f>
        <v>N/A</v>
      </c>
      <c r="F445" s="78">
        <f t="shared" si="57"/>
        <v>1464</v>
      </c>
      <c r="G445" s="49" t="e">
        <f t="shared" si="58"/>
        <v>#VALUE!</v>
      </c>
      <c r="H445" s="6" t="str">
        <f xml:space="preserve"> [2]!'SPG.US-Price'</f>
        <v>N/A</v>
      </c>
      <c r="I445" s="6" t="str">
        <f xml:space="preserve"> [2]!'SPG.US-BestBid1'</f>
        <v>N/A</v>
      </c>
      <c r="J445" s="6" t="str">
        <f xml:space="preserve"> [2]!'SPG.US-BestAsk1'</f>
        <v>N/A</v>
      </c>
      <c r="K445" s="65" t="e">
        <f t="shared" si="52"/>
        <v>#VALUE!</v>
      </c>
      <c r="L445" s="65" t="e">
        <f t="shared" si="53"/>
        <v>#VALUE!</v>
      </c>
      <c r="M445" s="68" t="e">
        <f t="shared" si="54"/>
        <v>#VALUE!</v>
      </c>
      <c r="AC445" s="444" t="s">
        <v>3360</v>
      </c>
      <c r="AD445" s="445" t="s">
        <v>1046</v>
      </c>
      <c r="AE445" s="446">
        <v>0.05</v>
      </c>
      <c r="AF445" s="447">
        <v>1464</v>
      </c>
    </row>
    <row r="446" spans="1:32" ht="43.8" thickBot="1">
      <c r="A446" s="24" t="e">
        <f t="shared" si="51"/>
        <v>#REF!</v>
      </c>
      <c r="B446" s="243" t="str">
        <f t="shared" si="55"/>
        <v>CONSTELLATION BRANDS INC-A</v>
      </c>
      <c r="C446" s="25" t="str">
        <f t="shared" si="56"/>
        <v>STZ UN</v>
      </c>
      <c r="D446" s="25">
        <v>1</v>
      </c>
      <c r="E446" s="6" t="e">
        <f xml:space="preserve"> [2]!'SPGI.US-PreClose'</f>
        <v>#REF!</v>
      </c>
      <c r="F446" s="78">
        <f t="shared" si="57"/>
        <v>972</v>
      </c>
      <c r="G446" s="49" t="e">
        <f t="shared" si="58"/>
        <v>#REF!</v>
      </c>
      <c r="H446" s="6" t="e">
        <f xml:space="preserve"> [2]!'SPGI.US-Price'</f>
        <v>#REF!</v>
      </c>
      <c r="I446" s="6" t="e">
        <f xml:space="preserve"> [2]!'SPGI.US-BestBid1'</f>
        <v>#REF!</v>
      </c>
      <c r="J446" s="6" t="e">
        <f xml:space="preserve"> [2]!'SPGI.US-BestAsk1'</f>
        <v>#REF!</v>
      </c>
      <c r="K446" s="65" t="e">
        <f t="shared" si="52"/>
        <v>#REF!</v>
      </c>
      <c r="L446" s="65" t="e">
        <f t="shared" si="53"/>
        <v>#REF!</v>
      </c>
      <c r="M446" s="68" t="e">
        <f t="shared" si="54"/>
        <v>#REF!</v>
      </c>
      <c r="AC446" s="440" t="s">
        <v>3361</v>
      </c>
      <c r="AD446" s="441" t="s">
        <v>1047</v>
      </c>
      <c r="AE446" s="442">
        <v>0.13</v>
      </c>
      <c r="AF446" s="442">
        <v>972</v>
      </c>
    </row>
    <row r="447" spans="1:32" ht="43.8" thickBot="1">
      <c r="A447" s="24" t="e">
        <f t="shared" si="51"/>
        <v>#REF!</v>
      </c>
      <c r="B447" s="243" t="str">
        <f t="shared" si="55"/>
        <v>STANLEY BLACK &amp; DECKER INC</v>
      </c>
      <c r="C447" s="25" t="str">
        <f t="shared" si="56"/>
        <v>SWK UN</v>
      </c>
      <c r="D447" s="25">
        <v>1</v>
      </c>
      <c r="E447" s="6" t="e">
        <f xml:space="preserve"> [2]!'SRCL.US-PreClose'</f>
        <v>#REF!</v>
      </c>
      <c r="F447" s="78">
        <f t="shared" si="57"/>
        <v>881</v>
      </c>
      <c r="G447" s="49" t="e">
        <f t="shared" si="58"/>
        <v>#REF!</v>
      </c>
      <c r="H447" s="6" t="e">
        <f xml:space="preserve"> [2]!'SRCL.US-Price'</f>
        <v>#REF!</v>
      </c>
      <c r="I447" s="6" t="e">
        <f xml:space="preserve"> [2]!'SRCL.US-BestBid1'</f>
        <v>#REF!</v>
      </c>
      <c r="J447" s="6" t="e">
        <f xml:space="preserve"> [2]!'SRCL.US-BestAsk1'</f>
        <v>#REF!</v>
      </c>
      <c r="K447" s="65" t="e">
        <f t="shared" si="52"/>
        <v>#REF!</v>
      </c>
      <c r="L447" s="65" t="e">
        <f t="shared" si="53"/>
        <v>#REF!</v>
      </c>
      <c r="M447" s="68" t="e">
        <f t="shared" si="54"/>
        <v>#REF!</v>
      </c>
      <c r="AC447" s="444" t="s">
        <v>3362</v>
      </c>
      <c r="AD447" s="445" t="s">
        <v>1048</v>
      </c>
      <c r="AE447" s="446">
        <v>0.08</v>
      </c>
      <c r="AF447" s="446">
        <v>881</v>
      </c>
    </row>
    <row r="448" spans="1:32" ht="33" thickBot="1">
      <c r="A448" s="24" t="e">
        <f t="shared" si="51"/>
        <v>#REF!</v>
      </c>
      <c r="B448" s="243" t="str">
        <f t="shared" si="55"/>
        <v>SKYWORKS SOLUTIONS INC</v>
      </c>
      <c r="C448" s="25" t="str">
        <f t="shared" si="56"/>
        <v>SWKS UQ</v>
      </c>
      <c r="D448" s="25">
        <v>1</v>
      </c>
      <c r="E448" s="6" t="e">
        <f xml:space="preserve"> [2]!'SRE.US-PreClose'</f>
        <v>#REF!</v>
      </c>
      <c r="F448" s="78">
        <f t="shared" si="57"/>
        <v>1004</v>
      </c>
      <c r="G448" s="49" t="e">
        <f t="shared" si="58"/>
        <v>#REF!</v>
      </c>
      <c r="H448" s="6" t="e">
        <f xml:space="preserve"> [2]!'SRE.US-Price'</f>
        <v>#REF!</v>
      </c>
      <c r="I448" s="6" t="e">
        <f xml:space="preserve"> [2]!'SRE.US-BestBid1'</f>
        <v>#REF!</v>
      </c>
      <c r="J448" s="6" t="e">
        <f xml:space="preserve"> [2]!'SRE.US-BestAsk1'</f>
        <v>#REF!</v>
      </c>
      <c r="K448" s="65" t="e">
        <f t="shared" si="52"/>
        <v>#REF!</v>
      </c>
      <c r="L448" s="65" t="e">
        <f t="shared" si="53"/>
        <v>#REF!</v>
      </c>
      <c r="M448" s="68" t="e">
        <f t="shared" si="54"/>
        <v>#REF!</v>
      </c>
      <c r="AC448" s="440" t="s">
        <v>3363</v>
      </c>
      <c r="AD448" s="441" t="s">
        <v>1049</v>
      </c>
      <c r="AE448" s="442">
        <v>0.05</v>
      </c>
      <c r="AF448" s="443">
        <v>1004</v>
      </c>
    </row>
    <row r="449" spans="1:32" ht="33" thickBot="1">
      <c r="A449" s="24" t="e">
        <f t="shared" si="51"/>
        <v>#REF!</v>
      </c>
      <c r="B449" s="243" t="str">
        <f t="shared" si="55"/>
        <v>SYNCHRONY FINANCIAL</v>
      </c>
      <c r="C449" s="25" t="str">
        <f t="shared" si="56"/>
        <v>SYF UN</v>
      </c>
      <c r="D449" s="25">
        <v>1</v>
      </c>
      <c r="E449" s="6" t="e">
        <f xml:space="preserve"> [2]!'STI.US-PreClose'</f>
        <v>#REF!</v>
      </c>
      <c r="F449" s="78">
        <f t="shared" si="57"/>
        <v>3686</v>
      </c>
      <c r="G449" s="49" t="e">
        <f t="shared" si="58"/>
        <v>#REF!</v>
      </c>
      <c r="H449" s="6" t="e">
        <f xml:space="preserve"> [2]!'STI.US-Price'</f>
        <v>#REF!</v>
      </c>
      <c r="I449" s="6" t="e">
        <f xml:space="preserve"> [2]!'STI.US-BestBid1'</f>
        <v>#REF!</v>
      </c>
      <c r="J449" s="6" t="e">
        <f xml:space="preserve"> [2]!'STI.US-BestAsk1'</f>
        <v>#REF!</v>
      </c>
      <c r="K449" s="65" t="e">
        <f t="shared" si="52"/>
        <v>#REF!</v>
      </c>
      <c r="L449" s="65" t="e">
        <f t="shared" si="53"/>
        <v>#REF!</v>
      </c>
      <c r="M449" s="68" t="e">
        <f t="shared" si="54"/>
        <v>#REF!</v>
      </c>
      <c r="AC449" s="444" t="s">
        <v>3364</v>
      </c>
      <c r="AD449" s="445" t="s">
        <v>1050</v>
      </c>
      <c r="AE449" s="446">
        <v>0.09</v>
      </c>
      <c r="AF449" s="447">
        <v>3686</v>
      </c>
    </row>
    <row r="450" spans="1:32" ht="22.2" thickBot="1">
      <c r="A450" s="24" t="e">
        <f t="shared" si="51"/>
        <v>#REF!</v>
      </c>
      <c r="B450" s="243" t="str">
        <f t="shared" si="55"/>
        <v>STRYKER CORP</v>
      </c>
      <c r="C450" s="25" t="str">
        <f t="shared" si="56"/>
        <v>SYK UN</v>
      </c>
      <c r="D450" s="25">
        <v>1</v>
      </c>
      <c r="E450" s="6" t="e">
        <f xml:space="preserve"> [2]!'STT.US-PreClose'</f>
        <v>#REF!</v>
      </c>
      <c r="F450" s="78">
        <f t="shared" si="57"/>
        <v>1800</v>
      </c>
      <c r="G450" s="49" t="e">
        <f t="shared" si="58"/>
        <v>#REF!</v>
      </c>
      <c r="H450" s="6" t="e">
        <f xml:space="preserve"> [2]!'STT.US-Price'</f>
        <v>#REF!</v>
      </c>
      <c r="I450" s="6" t="e">
        <f xml:space="preserve"> [2]!'STT.US-BestBid1'</f>
        <v>#REF!</v>
      </c>
      <c r="J450" s="6" t="e">
        <f xml:space="preserve"> [2]!'STT.US-BestAsk1'</f>
        <v>#REF!</v>
      </c>
      <c r="K450" s="65" t="e">
        <f t="shared" si="52"/>
        <v>#REF!</v>
      </c>
      <c r="L450" s="65" t="e">
        <f t="shared" si="53"/>
        <v>#REF!</v>
      </c>
      <c r="M450" s="68" t="e">
        <f t="shared" si="54"/>
        <v>#REF!</v>
      </c>
      <c r="AC450" s="440" t="s">
        <v>3365</v>
      </c>
      <c r="AD450" s="441" t="s">
        <v>1051</v>
      </c>
      <c r="AE450" s="442">
        <v>0.25</v>
      </c>
      <c r="AF450" s="443">
        <v>1800</v>
      </c>
    </row>
    <row r="451" spans="1:32" ht="22.2" thickBot="1">
      <c r="A451" s="24" t="e">
        <f t="shared" si="51"/>
        <v>#REF!</v>
      </c>
      <c r="B451" s="243" t="str">
        <f t="shared" si="55"/>
        <v>SYMANTEC CORP</v>
      </c>
      <c r="C451" s="25" t="str">
        <f t="shared" si="56"/>
        <v>SYMC UQ</v>
      </c>
      <c r="D451" s="25">
        <v>1</v>
      </c>
      <c r="E451" s="6" t="e">
        <f xml:space="preserve"> [2]!'STX.US-PreClose'</f>
        <v>#REF!</v>
      </c>
      <c r="F451" s="78">
        <f t="shared" si="57"/>
        <v>3593</v>
      </c>
      <c r="G451" s="49" t="e">
        <f t="shared" si="58"/>
        <v>#REF!</v>
      </c>
      <c r="H451" s="6" t="e">
        <f xml:space="preserve"> [2]!'STX.US-Price'</f>
        <v>#REF!</v>
      </c>
      <c r="I451" s="6" t="e">
        <f xml:space="preserve"> [2]!'STX.US-BestBid1'</f>
        <v>#REF!</v>
      </c>
      <c r="J451" s="6" t="e">
        <f xml:space="preserve"> [2]!'STX.US-BestAsk1'</f>
        <v>#REF!</v>
      </c>
      <c r="K451" s="65" t="e">
        <f t="shared" si="52"/>
        <v>#REF!</v>
      </c>
      <c r="L451" s="65" t="e">
        <f t="shared" si="53"/>
        <v>#REF!</v>
      </c>
      <c r="M451" s="68" t="e">
        <f t="shared" si="54"/>
        <v>#REF!</v>
      </c>
      <c r="AC451" s="444" t="s">
        <v>3366</v>
      </c>
      <c r="AD451" s="445" t="s">
        <v>1052</v>
      </c>
      <c r="AE451" s="446">
        <v>0.06</v>
      </c>
      <c r="AF451" s="447">
        <v>3593</v>
      </c>
    </row>
    <row r="452" spans="1:32" ht="22.2" thickBot="1">
      <c r="A452" s="24" t="e">
        <f t="shared" si="51"/>
        <v>#REF!</v>
      </c>
      <c r="B452" s="243" t="str">
        <f t="shared" si="55"/>
        <v>SYSCO CORP</v>
      </c>
      <c r="C452" s="25" t="str">
        <f t="shared" si="56"/>
        <v>SYY UN</v>
      </c>
      <c r="D452" s="25">
        <v>1</v>
      </c>
      <c r="E452" s="6" t="e">
        <f xml:space="preserve"> [2]!'STZ.US-PreClose'</f>
        <v>#REF!</v>
      </c>
      <c r="F452" s="78">
        <f t="shared" si="57"/>
        <v>2748</v>
      </c>
      <c r="G452" s="49" t="e">
        <f t="shared" si="58"/>
        <v>#REF!</v>
      </c>
      <c r="H452" s="6" t="e">
        <f xml:space="preserve"> [2]!'STZ.US-Price'</f>
        <v>#REF!</v>
      </c>
      <c r="I452" s="6" t="e">
        <f xml:space="preserve"> [2]!'STZ.US-BestBid1'</f>
        <v>#REF!</v>
      </c>
      <c r="J452" s="6" t="e">
        <f xml:space="preserve"> [2]!'STZ.US-BestAsk1'</f>
        <v>#REF!</v>
      </c>
      <c r="K452" s="65" t="e">
        <f t="shared" si="52"/>
        <v>#REF!</v>
      </c>
      <c r="L452" s="65" t="e">
        <f t="shared" si="53"/>
        <v>#REF!</v>
      </c>
      <c r="M452" s="68" t="e">
        <f t="shared" si="54"/>
        <v>#REF!</v>
      </c>
      <c r="AC452" s="440" t="s">
        <v>3367</v>
      </c>
      <c r="AD452" s="441" t="s">
        <v>1053</v>
      </c>
      <c r="AE452" s="442">
        <v>0.13</v>
      </c>
      <c r="AF452" s="443">
        <v>2748</v>
      </c>
    </row>
    <row r="453" spans="1:32" ht="16.8" thickBot="1">
      <c r="A453" s="24" t="e">
        <f t="shared" si="51"/>
        <v>#REF!</v>
      </c>
      <c r="B453" s="243" t="str">
        <f t="shared" si="55"/>
        <v>AT&amp;T INC</v>
      </c>
      <c r="C453" s="25" t="str">
        <f t="shared" si="56"/>
        <v>T UN</v>
      </c>
      <c r="D453" s="25">
        <v>1</v>
      </c>
      <c r="E453" s="6" t="e">
        <f xml:space="preserve"> [2]!'SWK.US-PreClose'</f>
        <v>#REF!</v>
      </c>
      <c r="F453" s="78">
        <f t="shared" si="57"/>
        <v>42419</v>
      </c>
      <c r="G453" s="49" t="e">
        <f t="shared" si="58"/>
        <v>#REF!</v>
      </c>
      <c r="H453" s="6" t="e">
        <f xml:space="preserve"> [2]!'SWK.US-Price'</f>
        <v>#REF!</v>
      </c>
      <c r="I453" s="6" t="e">
        <f xml:space="preserve"> [2]!'SWK.US-BestBid1'</f>
        <v>#REF!</v>
      </c>
      <c r="J453" s="6" t="e">
        <f xml:space="preserve"> [2]!'SWK.US-BestAsk1'</f>
        <v>#REF!</v>
      </c>
      <c r="K453" s="65" t="e">
        <f t="shared" si="52"/>
        <v>#REF!</v>
      </c>
      <c r="L453" s="65" t="e">
        <f t="shared" si="53"/>
        <v>#REF!</v>
      </c>
      <c r="M453" s="68" t="e">
        <f t="shared" si="54"/>
        <v>#REF!</v>
      </c>
      <c r="AC453" s="444" t="s">
        <v>3368</v>
      </c>
      <c r="AD453" s="445" t="s">
        <v>1054</v>
      </c>
      <c r="AE453" s="446">
        <v>0.95</v>
      </c>
      <c r="AF453" s="447">
        <v>42419</v>
      </c>
    </row>
    <row r="454" spans="1:32" ht="43.8" thickBot="1">
      <c r="A454" s="24" t="e">
        <f t="shared" si="51"/>
        <v>#REF!</v>
      </c>
      <c r="B454" s="243" t="str">
        <f t="shared" si="55"/>
        <v>MOLSON COORS BREWING CO -B</v>
      </c>
      <c r="C454" s="25" t="str">
        <f t="shared" si="56"/>
        <v>TAP UN</v>
      </c>
      <c r="D454" s="25">
        <v>1</v>
      </c>
      <c r="E454" s="6" t="e">
        <f xml:space="preserve"> [2]!'SWKS.US-PreClose'</f>
        <v>#REF!</v>
      </c>
      <c r="F454" s="78">
        <f t="shared" si="57"/>
        <v>1091</v>
      </c>
      <c r="G454" s="49" t="e">
        <f t="shared" si="58"/>
        <v>#REF!</v>
      </c>
      <c r="H454" s="6" t="e">
        <f xml:space="preserve"> [2]!'SWKS.US-Price'</f>
        <v>#REF!</v>
      </c>
      <c r="I454" s="6" t="e">
        <f xml:space="preserve"> [2]!'SWKS.US-BestBid1'</f>
        <v>#REF!</v>
      </c>
      <c r="J454" s="6" t="e">
        <f xml:space="preserve"> [2]!'SWKS.US-BestAsk1'</f>
        <v>#REF!</v>
      </c>
      <c r="K454" s="65" t="e">
        <f t="shared" si="52"/>
        <v>#REF!</v>
      </c>
      <c r="L454" s="65" t="e">
        <f t="shared" si="53"/>
        <v>#REF!</v>
      </c>
      <c r="M454" s="68" t="e">
        <f t="shared" si="54"/>
        <v>#REF!</v>
      </c>
      <c r="AC454" s="440" t="s">
        <v>3369</v>
      </c>
      <c r="AD454" s="441" t="s">
        <v>1055</v>
      </c>
      <c r="AE454" s="442">
        <v>0.04</v>
      </c>
      <c r="AF454" s="443">
        <v>1091</v>
      </c>
    </row>
    <row r="455" spans="1:32" ht="33" thickBot="1">
      <c r="A455" s="24" t="e">
        <f t="shared" si="51"/>
        <v>#REF!</v>
      </c>
      <c r="B455" s="243" t="str">
        <f t="shared" si="55"/>
        <v>TRANSDIGM GROUP INC</v>
      </c>
      <c r="C455" s="25" t="str">
        <f t="shared" si="56"/>
        <v>TDG UN</v>
      </c>
      <c r="D455" s="25">
        <v>1</v>
      </c>
      <c r="E455" s="6" t="e">
        <f xml:space="preserve"> [2]!'SYF.US-PreClose'</f>
        <v>#REF!</v>
      </c>
      <c r="F455" s="78">
        <f t="shared" si="57"/>
        <v>284</v>
      </c>
      <c r="G455" s="49" t="e">
        <f t="shared" si="58"/>
        <v>#REF!</v>
      </c>
      <c r="H455" s="6" t="e">
        <f xml:space="preserve"> [2]!'SYF.US-Price'</f>
        <v>#REF!</v>
      </c>
      <c r="I455" s="6" t="e">
        <f xml:space="preserve"> [2]!'SYF.US-BestBid1'</f>
        <v>#REF!</v>
      </c>
      <c r="J455" s="6" t="e">
        <f xml:space="preserve"> [2]!'SYF.US-BestAsk1'</f>
        <v>#REF!</v>
      </c>
      <c r="K455" s="65" t="e">
        <f t="shared" si="52"/>
        <v>#REF!</v>
      </c>
      <c r="L455" s="65" t="e">
        <f t="shared" si="53"/>
        <v>#REF!</v>
      </c>
      <c r="M455" s="68" t="e">
        <f t="shared" si="54"/>
        <v>#REF!</v>
      </c>
      <c r="AC455" s="444" t="s">
        <v>3370</v>
      </c>
      <c r="AD455" s="445" t="s">
        <v>1056</v>
      </c>
      <c r="AE455" s="446">
        <v>0.09</v>
      </c>
      <c r="AF455" s="446">
        <v>284</v>
      </c>
    </row>
    <row r="456" spans="1:32" ht="33" thickBot="1">
      <c r="A456" s="24" t="e">
        <f t="shared" si="51"/>
        <v>#REF!</v>
      </c>
      <c r="B456" s="243" t="str">
        <f t="shared" si="55"/>
        <v>TE CONNECTIVITY LTD</v>
      </c>
      <c r="C456" s="25" t="str">
        <f t="shared" si="56"/>
        <v>TEL UN</v>
      </c>
      <c r="D456" s="25">
        <v>1</v>
      </c>
      <c r="E456" s="6" t="e">
        <f xml:space="preserve"> [2]!'SYK.US-PreClose'</f>
        <v>#REF!</v>
      </c>
      <c r="F456" s="78">
        <f t="shared" si="57"/>
        <v>1958</v>
      </c>
      <c r="G456" s="49" t="e">
        <f t="shared" si="58"/>
        <v>#REF!</v>
      </c>
      <c r="H456" s="6" t="e">
        <f xml:space="preserve"> [2]!'SYK.US-Price'</f>
        <v>#REF!</v>
      </c>
      <c r="I456" s="6" t="e">
        <f xml:space="preserve"> [2]!'SYK.US-BestBid1'</f>
        <v>#REF!</v>
      </c>
      <c r="J456" s="6" t="e">
        <f xml:space="preserve"> [2]!'SYK.US-BestAsk1'</f>
        <v>#REF!</v>
      </c>
      <c r="K456" s="65" t="e">
        <f t="shared" si="52"/>
        <v>#REF!</v>
      </c>
      <c r="L456" s="65" t="e">
        <f t="shared" si="53"/>
        <v>#REF!</v>
      </c>
      <c r="M456" s="68" t="e">
        <f t="shared" si="54"/>
        <v>#REF!</v>
      </c>
      <c r="AC456" s="440" t="s">
        <v>3371</v>
      </c>
      <c r="AD456" s="441" t="s">
        <v>1057</v>
      </c>
      <c r="AE456" s="442">
        <v>0.12</v>
      </c>
      <c r="AF456" s="443">
        <v>1958</v>
      </c>
    </row>
    <row r="457" spans="1:32" ht="22.2" thickBot="1">
      <c r="A457" s="24" t="e">
        <f t="shared" si="51"/>
        <v>#REF!</v>
      </c>
      <c r="B457" s="243" t="str">
        <f t="shared" si="55"/>
        <v>TELEFLEX INC</v>
      </c>
      <c r="C457" s="25" t="str">
        <f t="shared" si="56"/>
        <v>TFX UN</v>
      </c>
      <c r="D457" s="25">
        <v>1</v>
      </c>
      <c r="E457" s="6" t="e">
        <f xml:space="preserve"> [2]!'SYMC.US-PreClose'</f>
        <v>#REF!</v>
      </c>
      <c r="F457" s="78">
        <f t="shared" si="57"/>
        <v>268</v>
      </c>
      <c r="G457" s="49" t="e">
        <f t="shared" si="58"/>
        <v>#REF!</v>
      </c>
      <c r="H457" s="6" t="e">
        <f xml:space="preserve"> [2]!'SYMC.US-Price'</f>
        <v>#REF!</v>
      </c>
      <c r="I457" s="6" t="e">
        <f xml:space="preserve"> [2]!'SYMC.US-BestBid1'</f>
        <v>#REF!</v>
      </c>
      <c r="J457" s="6" t="e">
        <f xml:space="preserve"> [2]!'SYMC.US-BestAsk1'</f>
        <v>#REF!</v>
      </c>
      <c r="K457" s="65" t="e">
        <f t="shared" si="52"/>
        <v>#REF!</v>
      </c>
      <c r="L457" s="65" t="e">
        <f t="shared" si="53"/>
        <v>#REF!</v>
      </c>
      <c r="M457" s="68" t="e">
        <f t="shared" si="54"/>
        <v>#REF!</v>
      </c>
      <c r="AC457" s="444" t="s">
        <v>3372</v>
      </c>
      <c r="AD457" s="445" t="s">
        <v>3373</v>
      </c>
      <c r="AE457" s="446">
        <v>0.06</v>
      </c>
      <c r="AF457" s="446">
        <v>268</v>
      </c>
    </row>
    <row r="458" spans="1:32" ht="22.2" thickBot="1">
      <c r="A458" s="24" t="e">
        <f t="shared" si="51"/>
        <v>#REF!</v>
      </c>
      <c r="B458" s="243" t="str">
        <f t="shared" si="55"/>
        <v>TARGET CORP</v>
      </c>
      <c r="C458" s="25" t="str">
        <f t="shared" si="56"/>
        <v>TGT UN</v>
      </c>
      <c r="D458" s="25">
        <v>1</v>
      </c>
      <c r="E458" s="6" t="e">
        <f xml:space="preserve"> [2]!'SYY.US-PreClose'</f>
        <v>#REF!</v>
      </c>
      <c r="F458" s="78">
        <f t="shared" si="57"/>
        <v>2978</v>
      </c>
      <c r="G458" s="49" t="e">
        <f t="shared" si="58"/>
        <v>#REF!</v>
      </c>
      <c r="H458" s="6" t="e">
        <f xml:space="preserve"> [2]!'SYY.US-Price'</f>
        <v>#REF!</v>
      </c>
      <c r="I458" s="6" t="e">
        <f xml:space="preserve"> [2]!'SYY.US-BestBid1'</f>
        <v>#REF!</v>
      </c>
      <c r="J458" s="6" t="e">
        <f xml:space="preserve"> [2]!'SYY.US-BestAsk1'</f>
        <v>#REF!</v>
      </c>
      <c r="K458" s="65" t="e">
        <f t="shared" si="52"/>
        <v>#REF!</v>
      </c>
      <c r="L458" s="65" t="e">
        <f t="shared" si="53"/>
        <v>#REF!</v>
      </c>
      <c r="M458" s="68" t="e">
        <f t="shared" si="54"/>
        <v>#REF!</v>
      </c>
      <c r="AC458" s="440" t="s">
        <v>3374</v>
      </c>
      <c r="AD458" s="441" t="s">
        <v>1058</v>
      </c>
      <c r="AE458" s="442">
        <v>0.17</v>
      </c>
      <c r="AF458" s="443">
        <v>2978</v>
      </c>
    </row>
    <row r="459" spans="1:32" ht="22.2" thickBot="1">
      <c r="A459" s="24" t="e">
        <f t="shared" si="51"/>
        <v>#VALUE!</v>
      </c>
      <c r="B459" s="243" t="str">
        <f t="shared" si="55"/>
        <v>TIFFANY &amp; CO</v>
      </c>
      <c r="C459" s="25" t="str">
        <f t="shared" si="56"/>
        <v>TIF UN</v>
      </c>
      <c r="D459" s="25">
        <v>1</v>
      </c>
      <c r="E459" s="6" t="str">
        <f xml:space="preserve"> [2]!'T.US-PreClose'</f>
        <v>N/A</v>
      </c>
      <c r="F459" s="78">
        <f t="shared" si="57"/>
        <v>628</v>
      </c>
      <c r="G459" s="49" t="e">
        <f t="shared" si="58"/>
        <v>#VALUE!</v>
      </c>
      <c r="H459" s="6" t="str">
        <f xml:space="preserve"> [2]!'T.US-Price'</f>
        <v>N/A</v>
      </c>
      <c r="I459" s="6" t="str">
        <f xml:space="preserve"> [2]!'T.US-BestBid1'</f>
        <v>N/A</v>
      </c>
      <c r="J459" s="6" t="str">
        <f xml:space="preserve"> [2]!'T.US-BestAsk1'</f>
        <v>N/A</v>
      </c>
      <c r="K459" s="65" t="e">
        <f t="shared" si="52"/>
        <v>#VALUE!</v>
      </c>
      <c r="L459" s="65" t="e">
        <f t="shared" si="53"/>
        <v>#VALUE!</v>
      </c>
      <c r="M459" s="68" t="e">
        <f t="shared" si="54"/>
        <v>#VALUE!</v>
      </c>
      <c r="AC459" s="444" t="s">
        <v>3375</v>
      </c>
      <c r="AD459" s="445" t="s">
        <v>1059</v>
      </c>
      <c r="AE459" s="446">
        <v>0.04</v>
      </c>
      <c r="AF459" s="446">
        <v>628</v>
      </c>
    </row>
    <row r="460" spans="1:32" ht="33" thickBot="1">
      <c r="A460" s="24" t="e">
        <f t="shared" si="51"/>
        <v>#REF!</v>
      </c>
      <c r="B460" s="243" t="str">
        <f t="shared" si="55"/>
        <v>TJX COMPANIES INC</v>
      </c>
      <c r="C460" s="25" t="str">
        <f t="shared" si="56"/>
        <v>TJX UN</v>
      </c>
      <c r="D460" s="25">
        <v>1</v>
      </c>
      <c r="E460" s="6" t="e">
        <f xml:space="preserve"> [2]!'TAP.US-PreClose'</f>
        <v>#REF!</v>
      </c>
      <c r="F460" s="78">
        <f t="shared" si="57"/>
        <v>7049</v>
      </c>
      <c r="G460" s="49" t="e">
        <f t="shared" si="58"/>
        <v>#REF!</v>
      </c>
      <c r="H460" s="6" t="e">
        <f xml:space="preserve"> [2]!'TAP.US-Price'</f>
        <v>#REF!</v>
      </c>
      <c r="I460" s="6" t="e">
        <f xml:space="preserve"> [2]!'TAP.US-BestBid1'</f>
        <v>#REF!</v>
      </c>
      <c r="J460" s="6" t="e">
        <f xml:space="preserve"> [2]!'TAP.US-BestAsk1'</f>
        <v>#REF!</v>
      </c>
      <c r="K460" s="65" t="e">
        <f t="shared" si="52"/>
        <v>#REF!</v>
      </c>
      <c r="L460" s="65" t="e">
        <f t="shared" si="53"/>
        <v>#REF!</v>
      </c>
      <c r="M460" s="68" t="e">
        <f t="shared" si="54"/>
        <v>#REF!</v>
      </c>
      <c r="AC460" s="440" t="s">
        <v>3376</v>
      </c>
      <c r="AD460" s="441" t="s">
        <v>1060</v>
      </c>
      <c r="AE460" s="442">
        <v>0.26</v>
      </c>
      <c r="AF460" s="443">
        <v>7049</v>
      </c>
    </row>
    <row r="461" spans="1:32" ht="22.2" thickBot="1">
      <c r="A461" s="24" t="e">
        <f t="shared" si="51"/>
        <v>#REF!</v>
      </c>
      <c r="B461" s="243" t="str">
        <f t="shared" si="55"/>
        <v>TORCHMARK CORP</v>
      </c>
      <c r="C461" s="25" t="str">
        <f t="shared" si="56"/>
        <v>TMK UN</v>
      </c>
      <c r="D461" s="25">
        <v>1</v>
      </c>
      <c r="E461" s="6" t="e">
        <f xml:space="preserve"> [2]!'TDG.US-PreClose'</f>
        <v>#REF!</v>
      </c>
      <c r="F461" s="78">
        <f t="shared" si="57"/>
        <v>588</v>
      </c>
      <c r="G461" s="49" t="e">
        <f t="shared" si="58"/>
        <v>#REF!</v>
      </c>
      <c r="H461" s="6" t="e">
        <f xml:space="preserve"> [2]!'TDG.US-Price'</f>
        <v>#REF!</v>
      </c>
      <c r="I461" s="6" t="e">
        <f xml:space="preserve"> [2]!'TDG.US-BestBid1'</f>
        <v>#REF!</v>
      </c>
      <c r="J461" s="6" t="e">
        <f xml:space="preserve"> [2]!'TDG.US-BestAsk1'</f>
        <v>#REF!</v>
      </c>
      <c r="K461" s="65" t="e">
        <f t="shared" si="52"/>
        <v>#REF!</v>
      </c>
      <c r="L461" s="65" t="e">
        <f t="shared" si="53"/>
        <v>#REF!</v>
      </c>
      <c r="M461" s="68" t="e">
        <f t="shared" si="54"/>
        <v>#REF!</v>
      </c>
      <c r="AC461" s="444" t="s">
        <v>3377</v>
      </c>
      <c r="AD461" s="445" t="s">
        <v>1061</v>
      </c>
      <c r="AE461" s="446">
        <v>0.04</v>
      </c>
      <c r="AF461" s="446">
        <v>588</v>
      </c>
    </row>
    <row r="462" spans="1:32" ht="43.8" thickBot="1">
      <c r="A462" s="24" t="e">
        <f t="shared" si="51"/>
        <v>#REF!</v>
      </c>
      <c r="B462" s="243" t="str">
        <f t="shared" si="55"/>
        <v>THERMO FISHER SCIENTIFIC INC</v>
      </c>
      <c r="C462" s="25" t="str">
        <f t="shared" si="56"/>
        <v>TMO UN</v>
      </c>
      <c r="D462" s="25">
        <v>1</v>
      </c>
      <c r="E462" s="6" t="e">
        <f xml:space="preserve"> [2]!'TEL.US-PreClose'</f>
        <v>#REF!</v>
      </c>
      <c r="F462" s="78">
        <f t="shared" si="57"/>
        <v>2325</v>
      </c>
      <c r="G462" s="49" t="e">
        <f t="shared" si="58"/>
        <v>#REF!</v>
      </c>
      <c r="H462" s="6" t="e">
        <f xml:space="preserve"> [2]!'TEL.US-Price'</f>
        <v>#REF!</v>
      </c>
      <c r="I462" s="6" t="e">
        <f xml:space="preserve"> [2]!'TEL.US-BestBid1'</f>
        <v>#REF!</v>
      </c>
      <c r="J462" s="6" t="e">
        <f xml:space="preserve"> [2]!'TEL.US-BestAsk1'</f>
        <v>#REF!</v>
      </c>
      <c r="K462" s="65" t="e">
        <f t="shared" si="52"/>
        <v>#REF!</v>
      </c>
      <c r="L462" s="65" t="e">
        <f t="shared" si="53"/>
        <v>#REF!</v>
      </c>
      <c r="M462" s="68" t="e">
        <f t="shared" si="54"/>
        <v>#REF!</v>
      </c>
      <c r="AC462" s="440" t="s">
        <v>3378</v>
      </c>
      <c r="AD462" s="441" t="s">
        <v>1062</v>
      </c>
      <c r="AE462" s="442">
        <v>0.46</v>
      </c>
      <c r="AF462" s="443">
        <v>2325</v>
      </c>
    </row>
    <row r="463" spans="1:32" ht="22.2" thickBot="1">
      <c r="A463" s="24" t="e">
        <f t="shared" si="51"/>
        <v>#REF!</v>
      </c>
      <c r="B463" s="243" t="str">
        <f t="shared" si="55"/>
        <v>TAPESTRY INC</v>
      </c>
      <c r="C463" s="25" t="str">
        <f t="shared" si="56"/>
        <v>TPR UN</v>
      </c>
      <c r="D463" s="25">
        <v>1</v>
      </c>
      <c r="E463" s="6" t="e">
        <f xml:space="preserve"> [2]!'TGT.US-PreClose'</f>
        <v>#REF!</v>
      </c>
      <c r="F463" s="78">
        <f t="shared" si="57"/>
        <v>1686</v>
      </c>
      <c r="G463" s="49" t="e">
        <f t="shared" si="58"/>
        <v>#REF!</v>
      </c>
      <c r="H463" s="6" t="e">
        <f xml:space="preserve"> [2]!'TGT.US-Price'</f>
        <v>#REF!</v>
      </c>
      <c r="I463" s="6" t="e">
        <f xml:space="preserve"> [2]!'TGT.US-BestBid1'</f>
        <v>#REF!</v>
      </c>
      <c r="J463" s="6" t="e">
        <f xml:space="preserve"> [2]!'TGT.US-BestAsk1'</f>
        <v>#REF!</v>
      </c>
      <c r="K463" s="65" t="e">
        <f t="shared" si="52"/>
        <v>#REF!</v>
      </c>
      <c r="L463" s="65" t="e">
        <f t="shared" si="53"/>
        <v>#REF!</v>
      </c>
      <c r="M463" s="68" t="e">
        <f t="shared" si="54"/>
        <v>#REF!</v>
      </c>
      <c r="AC463" s="444" t="s">
        <v>3379</v>
      </c>
      <c r="AD463" s="445" t="s">
        <v>3380</v>
      </c>
      <c r="AE463" s="446">
        <v>0.03</v>
      </c>
      <c r="AF463" s="447">
        <v>1686</v>
      </c>
    </row>
    <row r="464" spans="1:32" ht="22.2" thickBot="1">
      <c r="A464" s="24" t="e">
        <f t="shared" si="51"/>
        <v>#REF!</v>
      </c>
      <c r="B464" s="243" t="str">
        <f t="shared" si="55"/>
        <v>TRIPADVISOR INC</v>
      </c>
      <c r="C464" s="25" t="str">
        <f t="shared" si="56"/>
        <v>TRIP UQ</v>
      </c>
      <c r="D464" s="25">
        <v>1</v>
      </c>
      <c r="E464" s="6" t="e">
        <f xml:space="preserve"> [2]!'TIF.US-PreClose'</f>
        <v>#REF!</v>
      </c>
      <c r="F464" s="78">
        <f t="shared" si="57"/>
        <v>602</v>
      </c>
      <c r="G464" s="49" t="e">
        <f t="shared" si="58"/>
        <v>#REF!</v>
      </c>
      <c r="H464" s="6" t="e">
        <f xml:space="preserve"> [2]!'TIF.US-Price'</f>
        <v>#REF!</v>
      </c>
      <c r="I464" s="6" t="e">
        <f xml:space="preserve"> [2]!'TIF.US-BestBid1'</f>
        <v>#REF!</v>
      </c>
      <c r="J464" s="6" t="e">
        <f xml:space="preserve"> [2]!'TIF.US-BestAsk1'</f>
        <v>#REF!</v>
      </c>
      <c r="K464" s="65" t="e">
        <f t="shared" si="52"/>
        <v>#REF!</v>
      </c>
      <c r="L464" s="65" t="e">
        <f t="shared" si="53"/>
        <v>#REF!</v>
      </c>
      <c r="M464" s="68" t="e">
        <f t="shared" si="54"/>
        <v>#REF!</v>
      </c>
      <c r="AC464" s="440" t="s">
        <v>3381</v>
      </c>
      <c r="AD464" s="441" t="s">
        <v>1063</v>
      </c>
      <c r="AE464" s="442">
        <v>0.02</v>
      </c>
      <c r="AF464" s="442">
        <v>602</v>
      </c>
    </row>
    <row r="465" spans="1:32" ht="33" thickBot="1">
      <c r="A465" s="24" t="e">
        <f t="shared" si="51"/>
        <v>#REF!</v>
      </c>
      <c r="B465" s="243" t="str">
        <f t="shared" si="55"/>
        <v>T ROWE PRICE GROUP INC</v>
      </c>
      <c r="C465" s="25" t="str">
        <f t="shared" si="56"/>
        <v>TROW UQ</v>
      </c>
      <c r="D465" s="25">
        <v>1</v>
      </c>
      <c r="E465" s="6" t="e">
        <f xml:space="preserve"> [2]!'TJX.US-PreClose'</f>
        <v>#REF!</v>
      </c>
      <c r="F465" s="78">
        <f t="shared" si="57"/>
        <v>1374</v>
      </c>
      <c r="G465" s="49" t="e">
        <f t="shared" si="58"/>
        <v>#REF!</v>
      </c>
      <c r="H465" s="6" t="e">
        <f xml:space="preserve"> [2]!'TJX.US-Price'</f>
        <v>#REF!</v>
      </c>
      <c r="I465" s="6" t="e">
        <f xml:space="preserve"> [2]!'TJX.US-BestBid1'</f>
        <v>#REF!</v>
      </c>
      <c r="J465" s="6" t="e">
        <f xml:space="preserve"> [2]!'TJX.US-BestAsk1'</f>
        <v>#REF!</v>
      </c>
      <c r="K465" s="65" t="e">
        <f t="shared" si="52"/>
        <v>#REF!</v>
      </c>
      <c r="L465" s="65" t="e">
        <f t="shared" si="53"/>
        <v>#REF!</v>
      </c>
      <c r="M465" s="68" t="e">
        <f t="shared" si="54"/>
        <v>#REF!</v>
      </c>
      <c r="AC465" s="444" t="s">
        <v>3382</v>
      </c>
      <c r="AD465" s="445" t="s">
        <v>1064</v>
      </c>
      <c r="AE465" s="446">
        <v>0.1</v>
      </c>
      <c r="AF465" s="447">
        <v>1374</v>
      </c>
    </row>
    <row r="466" spans="1:32" ht="33" thickBot="1">
      <c r="A466" s="24" t="e">
        <f t="shared" si="51"/>
        <v>#REF!</v>
      </c>
      <c r="B466" s="243" t="str">
        <f t="shared" si="55"/>
        <v>TRAVELERS COS INC/THE</v>
      </c>
      <c r="C466" s="25" t="str">
        <f t="shared" si="56"/>
        <v>TRV UN</v>
      </c>
      <c r="D466" s="25">
        <v>1</v>
      </c>
      <c r="E466" s="6" t="e">
        <f xml:space="preserve"> [2]!'TMK.US-PreClose'</f>
        <v>#REF!</v>
      </c>
      <c r="F466" s="78">
        <f t="shared" si="57"/>
        <v>1522</v>
      </c>
      <c r="G466" s="49" t="e">
        <f t="shared" si="58"/>
        <v>#REF!</v>
      </c>
      <c r="H466" s="6" t="e">
        <f xml:space="preserve"> [2]!'TMK.US-Price'</f>
        <v>#REF!</v>
      </c>
      <c r="I466" s="6" t="e">
        <f xml:space="preserve"> [2]!'TMK.US-BestBid1'</f>
        <v>#REF!</v>
      </c>
      <c r="J466" s="6" t="e">
        <f xml:space="preserve"> [2]!'TMK.US-BestAsk1'</f>
        <v>#REF!</v>
      </c>
      <c r="K466" s="65" t="e">
        <f t="shared" si="52"/>
        <v>#REF!</v>
      </c>
      <c r="L466" s="65" t="e">
        <f t="shared" si="53"/>
        <v>#REF!</v>
      </c>
      <c r="M466" s="68" t="e">
        <f t="shared" si="54"/>
        <v>#REF!</v>
      </c>
      <c r="AC466" s="440" t="s">
        <v>3383</v>
      </c>
      <c r="AD466" s="441" t="s">
        <v>1065</v>
      </c>
      <c r="AE466" s="442">
        <v>0.15</v>
      </c>
      <c r="AF466" s="443">
        <v>1522</v>
      </c>
    </row>
    <row r="467" spans="1:32" ht="33" thickBot="1">
      <c r="A467" s="24" t="e">
        <f t="shared" si="51"/>
        <v>#REF!</v>
      </c>
      <c r="B467" s="243" t="str">
        <f t="shared" si="55"/>
        <v>TRACTOR SUPPLY COMPANY</v>
      </c>
      <c r="C467" s="25" t="str">
        <f t="shared" si="56"/>
        <v>TSCO UQ</v>
      </c>
      <c r="D467" s="25">
        <v>1</v>
      </c>
      <c r="E467" s="6" t="e">
        <f xml:space="preserve"> [2]!'TMO.US-PreClose'</f>
        <v>#REF!</v>
      </c>
      <c r="F467" s="78">
        <f t="shared" si="57"/>
        <v>701</v>
      </c>
      <c r="G467" s="49" t="e">
        <f t="shared" si="58"/>
        <v>#REF!</v>
      </c>
      <c r="H467" s="6" t="e">
        <f xml:space="preserve"> [2]!'TMO.US-Price'</f>
        <v>#REF!</v>
      </c>
      <c r="I467" s="6" t="e">
        <f xml:space="preserve"> [2]!'TMO.US-BestBid1'</f>
        <v>#REF!</v>
      </c>
      <c r="J467" s="6" t="e">
        <f xml:space="preserve"> [2]!'TMO.US-BestAsk1'</f>
        <v>#REF!</v>
      </c>
      <c r="K467" s="65" t="e">
        <f t="shared" si="52"/>
        <v>#REF!</v>
      </c>
      <c r="L467" s="65" t="e">
        <f t="shared" si="53"/>
        <v>#REF!</v>
      </c>
      <c r="M467" s="68" t="e">
        <f t="shared" si="54"/>
        <v>#REF!</v>
      </c>
      <c r="AC467" s="444" t="s">
        <v>3384</v>
      </c>
      <c r="AD467" s="445" t="s">
        <v>1066</v>
      </c>
      <c r="AE467" s="446">
        <v>0.05</v>
      </c>
      <c r="AF467" s="446">
        <v>701</v>
      </c>
    </row>
    <row r="468" spans="1:32" ht="33" thickBot="1">
      <c r="A468" s="24" t="e">
        <f t="shared" si="51"/>
        <v>#REF!</v>
      </c>
      <c r="B468" s="243" t="str">
        <f t="shared" si="55"/>
        <v>TYSON FOODS INC-CL A</v>
      </c>
      <c r="C468" s="25" t="str">
        <f t="shared" si="56"/>
        <v>TSN UN</v>
      </c>
      <c r="D468" s="25">
        <v>1</v>
      </c>
      <c r="E468" s="6" t="e">
        <f xml:space="preserve"> [2]!'TRIP.US-PreClose'</f>
        <v>#REF!</v>
      </c>
      <c r="F468" s="78">
        <f t="shared" si="57"/>
        <v>1714</v>
      </c>
      <c r="G468" s="49" t="e">
        <f t="shared" si="58"/>
        <v>#REF!</v>
      </c>
      <c r="H468" s="6" t="e">
        <f xml:space="preserve"> [2]!'TRIP.US-Price'</f>
        <v>#REF!</v>
      </c>
      <c r="I468" s="6" t="e">
        <f xml:space="preserve"> [2]!'TRIP.US-BestBid1'</f>
        <v>#REF!</v>
      </c>
      <c r="J468" s="6" t="e">
        <f xml:space="preserve"> [2]!'TRIP.US-BestAsk1'</f>
        <v>#REF!</v>
      </c>
      <c r="K468" s="65" t="e">
        <f t="shared" si="52"/>
        <v>#REF!</v>
      </c>
      <c r="L468" s="65" t="e">
        <f t="shared" si="53"/>
        <v>#REF!</v>
      </c>
      <c r="M468" s="68" t="e">
        <f t="shared" si="54"/>
        <v>#REF!</v>
      </c>
      <c r="AC468" s="440" t="s">
        <v>3385</v>
      </c>
      <c r="AD468" s="441" t="s">
        <v>1067</v>
      </c>
      <c r="AE468" s="442">
        <v>0.09</v>
      </c>
      <c r="AF468" s="443">
        <v>1714</v>
      </c>
    </row>
    <row r="469" spans="1:32" ht="43.8" thickBot="1">
      <c r="A469" s="24" t="e">
        <f t="shared" si="51"/>
        <v>#VALUE!</v>
      </c>
      <c r="B469" s="243" t="str">
        <f t="shared" si="55"/>
        <v>TOTAL SYSTEM SERVICES INC</v>
      </c>
      <c r="C469" s="25" t="str">
        <f t="shared" si="56"/>
        <v>TSS UN</v>
      </c>
      <c r="D469" s="25">
        <v>1</v>
      </c>
      <c r="E469" s="6" t="str">
        <f xml:space="preserve"> [2]!'TROW.US-PreClose'</f>
        <v>N/A</v>
      </c>
      <c r="F469" s="78">
        <f t="shared" si="57"/>
        <v>946</v>
      </c>
      <c r="G469" s="49" t="e">
        <f t="shared" si="58"/>
        <v>#VALUE!</v>
      </c>
      <c r="H469" s="6" t="str">
        <f xml:space="preserve"> [2]!'TROW.US-Price'</f>
        <v>N/A</v>
      </c>
      <c r="I469" s="6" t="str">
        <f xml:space="preserve"> [2]!'TROW.US-BestBid1'</f>
        <v>N/A</v>
      </c>
      <c r="J469" s="6" t="str">
        <f xml:space="preserve"> [2]!'TROW.US-BestAsk1'</f>
        <v>N/A</v>
      </c>
      <c r="K469" s="65" t="e">
        <f t="shared" si="52"/>
        <v>#VALUE!</v>
      </c>
      <c r="L469" s="65" t="e">
        <f t="shared" si="53"/>
        <v>#VALUE!</v>
      </c>
      <c r="M469" s="68" t="e">
        <f t="shared" si="54"/>
        <v>#VALUE!</v>
      </c>
      <c r="AC469" s="444" t="s">
        <v>3386</v>
      </c>
      <c r="AD469" s="445" t="s">
        <v>1068</v>
      </c>
      <c r="AE469" s="446">
        <v>0.08</v>
      </c>
      <c r="AF469" s="446">
        <v>946</v>
      </c>
    </row>
    <row r="470" spans="1:32" ht="43.8" thickBot="1">
      <c r="A470" s="24" t="e">
        <f t="shared" si="51"/>
        <v>#VALUE!</v>
      </c>
      <c r="B470" s="243" t="str">
        <f t="shared" si="55"/>
        <v>TAKE-TWO INTERACTIVE SOFTWRE</v>
      </c>
      <c r="C470" s="25" t="str">
        <f t="shared" si="56"/>
        <v>TTWO UQ</v>
      </c>
      <c r="D470" s="25">
        <v>1</v>
      </c>
      <c r="E470" s="6" t="str">
        <f xml:space="preserve"> [2]!'TRV.US-PreClose'</f>
        <v>N/A</v>
      </c>
      <c r="F470" s="78">
        <f t="shared" si="57"/>
        <v>654</v>
      </c>
      <c r="G470" s="49" t="e">
        <f t="shared" si="58"/>
        <v>#VALUE!</v>
      </c>
      <c r="H470" s="6" t="str">
        <f xml:space="preserve"> [2]!'TRV.US-Price'</f>
        <v>N/A</v>
      </c>
      <c r="I470" s="6" t="str">
        <f xml:space="preserve"> [2]!'TRV.US-BestBid1'</f>
        <v>N/A</v>
      </c>
      <c r="J470" s="6" t="str">
        <f xml:space="preserve"> [2]!'TRV.US-BestAsk1'</f>
        <v>N/A</v>
      </c>
      <c r="K470" s="65" t="e">
        <f t="shared" si="52"/>
        <v>#VALUE!</v>
      </c>
      <c r="L470" s="65" t="e">
        <f t="shared" si="53"/>
        <v>#VALUE!</v>
      </c>
      <c r="M470" s="68" t="e">
        <f t="shared" si="54"/>
        <v>#VALUE!</v>
      </c>
      <c r="AC470" s="440" t="s">
        <v>3387</v>
      </c>
      <c r="AD470" s="441" t="s">
        <v>3388</v>
      </c>
      <c r="AE470" s="442">
        <v>0.05</v>
      </c>
      <c r="AF470" s="442">
        <v>654</v>
      </c>
    </row>
    <row r="471" spans="1:32" ht="22.2" thickBot="1">
      <c r="A471" s="24" t="e">
        <f t="shared" ref="A471:A528" si="59">G471/$C$6</f>
        <v>#REF!</v>
      </c>
      <c r="B471" s="243" t="str">
        <f t="shared" si="55"/>
        <v>TWITTER INC</v>
      </c>
      <c r="C471" s="25" t="str">
        <f t="shared" si="56"/>
        <v>TWTR UN</v>
      </c>
      <c r="D471" s="25">
        <v>1</v>
      </c>
      <c r="E471" s="6" t="e">
        <f xml:space="preserve"> [2]!'TSCO.US-PreClose'</f>
        <v>#REF!</v>
      </c>
      <c r="F471" s="78">
        <f t="shared" si="57"/>
        <v>4244</v>
      </c>
      <c r="G471" s="49" t="e">
        <f t="shared" si="58"/>
        <v>#REF!</v>
      </c>
      <c r="H471" s="6" t="e">
        <f xml:space="preserve"> [2]!'TSCO.US-Price'</f>
        <v>#REF!</v>
      </c>
      <c r="I471" s="6" t="e">
        <f xml:space="preserve"> [2]!'TSCO.US-BestBid1'</f>
        <v>#REF!</v>
      </c>
      <c r="J471" s="6" t="e">
        <f xml:space="preserve"> [2]!'TSCO.US-BestAsk1'</f>
        <v>#REF!</v>
      </c>
      <c r="K471" s="65" t="e">
        <f t="shared" ref="K471:K528" si="60">IF(ISNUMBER(H471)=TRUE,H471*F471*D471,E471*F471*D471)*$N$2</f>
        <v>#REF!</v>
      </c>
      <c r="L471" s="65" t="e">
        <f t="shared" ref="L471:L528" si="61">IF(ISNUMBER(I471)=TRUE,I471*F471*D471,E471*F471*D471)*$N$2</f>
        <v>#REF!</v>
      </c>
      <c r="M471" s="68" t="e">
        <f t="shared" ref="M471:M528" si="62">IF(ISNUMBER(J471)=TRUE,J471*F471*D471,E471*F471*D471)*$N$2</f>
        <v>#REF!</v>
      </c>
      <c r="AC471" s="444" t="s">
        <v>3389</v>
      </c>
      <c r="AD471" s="445" t="s">
        <v>3390</v>
      </c>
      <c r="AE471" s="446">
        <v>0.11</v>
      </c>
      <c r="AF471" s="447">
        <v>4244</v>
      </c>
    </row>
    <row r="472" spans="1:32" ht="33" thickBot="1">
      <c r="A472" s="24" t="e">
        <f t="shared" si="59"/>
        <v>#REF!</v>
      </c>
      <c r="B472" s="243" t="str">
        <f t="shared" si="55"/>
        <v>TEXAS INSTRUMENTS INC</v>
      </c>
      <c r="C472" s="25" t="str">
        <f t="shared" si="56"/>
        <v>TXN UQ</v>
      </c>
      <c r="D472" s="25">
        <v>1</v>
      </c>
      <c r="E472" s="6" t="e">
        <f xml:space="preserve"> [2]!'TSN.US-PreClose'</f>
        <v>#REF!</v>
      </c>
      <c r="F472" s="78">
        <f t="shared" si="57"/>
        <v>5453</v>
      </c>
      <c r="G472" s="49" t="e">
        <f t="shared" si="58"/>
        <v>#REF!</v>
      </c>
      <c r="H472" s="6" t="e">
        <f xml:space="preserve"> [2]!'TSN.US-Price'</f>
        <v>#REF!</v>
      </c>
      <c r="I472" s="6" t="e">
        <f xml:space="preserve"> [2]!'TSN.US-BestBid1'</f>
        <v>#REF!</v>
      </c>
      <c r="J472" s="6" t="e">
        <f xml:space="preserve"> [2]!'TSN.US-BestAsk1'</f>
        <v>#REF!</v>
      </c>
      <c r="K472" s="65" t="e">
        <f t="shared" si="60"/>
        <v>#REF!</v>
      </c>
      <c r="L472" s="65" t="e">
        <f t="shared" si="61"/>
        <v>#REF!</v>
      </c>
      <c r="M472" s="68" t="e">
        <f t="shared" si="62"/>
        <v>#REF!</v>
      </c>
      <c r="AC472" s="440" t="s">
        <v>3391</v>
      </c>
      <c r="AD472" s="441" t="s">
        <v>1069</v>
      </c>
      <c r="AE472" s="442">
        <v>0.43</v>
      </c>
      <c r="AF472" s="443">
        <v>5453</v>
      </c>
    </row>
    <row r="473" spans="1:32" ht="22.2" thickBot="1">
      <c r="A473" s="24" t="e">
        <f t="shared" si="59"/>
        <v>#REF!</v>
      </c>
      <c r="B473" s="243" t="str">
        <f t="shared" ref="B473:B528" si="63">AD473</f>
        <v>TEXTRON INC</v>
      </c>
      <c r="C473" s="25" t="str">
        <f t="shared" ref="C473:C528" si="64">AC473</f>
        <v>TXT UN</v>
      </c>
      <c r="D473" s="25">
        <v>1</v>
      </c>
      <c r="E473" s="6" t="e">
        <f xml:space="preserve"> [2]!'TSS.US-PreClose'</f>
        <v>#REF!</v>
      </c>
      <c r="F473" s="78">
        <f t="shared" ref="F473:F526" si="65">VLOOKUP($C473,$AC$24:$AF$550,4,FALSE)</f>
        <v>1353</v>
      </c>
      <c r="G473" s="49" t="e">
        <f t="shared" ref="G473:G528" si="66">D473*E473*F473*$O$2</f>
        <v>#REF!</v>
      </c>
      <c r="H473" s="6" t="e">
        <f xml:space="preserve"> [2]!'TSS.US-Price'</f>
        <v>#REF!</v>
      </c>
      <c r="I473" s="6" t="e">
        <f xml:space="preserve"> [2]!'TSS.US-BestBid1'</f>
        <v>#REF!</v>
      </c>
      <c r="J473" s="6" t="e">
        <f xml:space="preserve"> [2]!'TSS.US-BestAsk1'</f>
        <v>#REF!</v>
      </c>
      <c r="K473" s="65" t="e">
        <f t="shared" si="60"/>
        <v>#REF!</v>
      </c>
      <c r="L473" s="65" t="e">
        <f t="shared" si="61"/>
        <v>#REF!</v>
      </c>
      <c r="M473" s="68" t="e">
        <f t="shared" si="62"/>
        <v>#REF!</v>
      </c>
      <c r="AC473" s="444" t="s">
        <v>3392</v>
      </c>
      <c r="AD473" s="445" t="s">
        <v>1070</v>
      </c>
      <c r="AE473" s="446">
        <v>0.05</v>
      </c>
      <c r="AF473" s="447">
        <v>1353</v>
      </c>
    </row>
    <row r="474" spans="1:32" ht="43.8" thickBot="1">
      <c r="A474" s="24" t="e">
        <f t="shared" si="59"/>
        <v>#REF!</v>
      </c>
      <c r="B474" s="243" t="str">
        <f t="shared" si="63"/>
        <v>UNDER ARMOUR INC-CLASS C</v>
      </c>
      <c r="C474" s="25" t="str">
        <f t="shared" si="64"/>
        <v>UA UN</v>
      </c>
      <c r="D474" s="25">
        <v>1</v>
      </c>
      <c r="E474" s="6" t="e">
        <f xml:space="preserve"> [2]!'TWX.US-PreClose'</f>
        <v>#REF!</v>
      </c>
      <c r="F474" s="78">
        <f t="shared" si="65"/>
        <v>1129</v>
      </c>
      <c r="G474" s="49" t="e">
        <f t="shared" si="66"/>
        <v>#REF!</v>
      </c>
      <c r="H474" s="6" t="e">
        <f xml:space="preserve"> [2]!'TWX.US-Price'</f>
        <v>#REF!</v>
      </c>
      <c r="I474" s="6" t="e">
        <f xml:space="preserve"> [2]!'TWX.US-BestBid1'</f>
        <v>#REF!</v>
      </c>
      <c r="J474" s="6" t="e">
        <f xml:space="preserve"> [2]!'TWX.US-BestAsk1'</f>
        <v>#REF!</v>
      </c>
      <c r="K474" s="65" t="e">
        <f t="shared" si="60"/>
        <v>#REF!</v>
      </c>
      <c r="L474" s="65" t="e">
        <f t="shared" si="61"/>
        <v>#REF!</v>
      </c>
      <c r="M474" s="68" t="e">
        <f t="shared" si="62"/>
        <v>#REF!</v>
      </c>
      <c r="AC474" s="440" t="s">
        <v>3393</v>
      </c>
      <c r="AD474" s="441" t="s">
        <v>1071</v>
      </c>
      <c r="AE474" s="442">
        <v>0.02</v>
      </c>
      <c r="AF474" s="443">
        <v>1129</v>
      </c>
    </row>
    <row r="475" spans="1:32" ht="43.8" thickBot="1">
      <c r="A475" s="24" t="e">
        <f t="shared" si="59"/>
        <v>#REF!</v>
      </c>
      <c r="B475" s="243" t="str">
        <f t="shared" si="63"/>
        <v>UNDER ARMOUR INC-CLASS A</v>
      </c>
      <c r="C475" s="25" t="str">
        <f t="shared" si="64"/>
        <v>UAA UN</v>
      </c>
      <c r="D475" s="25">
        <v>1</v>
      </c>
      <c r="E475" s="6" t="e">
        <f xml:space="preserve"> [2]!'TXN.US-PreClose'</f>
        <v>#REF!</v>
      </c>
      <c r="F475" s="78">
        <f t="shared" si="65"/>
        <v>1093</v>
      </c>
      <c r="G475" s="49" t="e">
        <f t="shared" si="66"/>
        <v>#REF!</v>
      </c>
      <c r="H475" s="6" t="e">
        <f xml:space="preserve"> [2]!'TXN.US-Price'</f>
        <v>#REF!</v>
      </c>
      <c r="I475" s="6" t="e">
        <f xml:space="preserve"> [2]!'TXN.US-BestBid1'</f>
        <v>#REF!</v>
      </c>
      <c r="J475" s="6" t="e">
        <f xml:space="preserve"> [2]!'TXN.US-BestAsk1'</f>
        <v>#REF!</v>
      </c>
      <c r="K475" s="65" t="e">
        <f t="shared" si="60"/>
        <v>#REF!</v>
      </c>
      <c r="L475" s="65" t="e">
        <f t="shared" si="61"/>
        <v>#REF!</v>
      </c>
      <c r="M475" s="68" t="e">
        <f t="shared" si="62"/>
        <v>#REF!</v>
      </c>
      <c r="AC475" s="444" t="s">
        <v>3394</v>
      </c>
      <c r="AD475" s="445" t="s">
        <v>1072</v>
      </c>
      <c r="AE475" s="446">
        <v>0.02</v>
      </c>
      <c r="AF475" s="447">
        <v>1093</v>
      </c>
    </row>
    <row r="476" spans="1:32" ht="43.8" thickBot="1">
      <c r="A476" s="24" t="e">
        <f t="shared" si="59"/>
        <v>#REF!</v>
      </c>
      <c r="B476" s="243" t="str">
        <f t="shared" si="63"/>
        <v>UNITED AIRLINES HOLDINGS INC</v>
      </c>
      <c r="C476" s="25" t="str">
        <f t="shared" si="64"/>
        <v>UAL UQ</v>
      </c>
      <c r="D476" s="25">
        <v>1</v>
      </c>
      <c r="E476" s="6" t="e">
        <f xml:space="preserve"> [2]!'TXT.US-PreClose'</f>
        <v>#REF!</v>
      </c>
      <c r="F476" s="78">
        <f t="shared" si="65"/>
        <v>1285</v>
      </c>
      <c r="G476" s="49" t="e">
        <f t="shared" si="66"/>
        <v>#REF!</v>
      </c>
      <c r="H476" s="6" t="e">
        <f xml:space="preserve"> [2]!'TXT.US-Price'</f>
        <v>#REF!</v>
      </c>
      <c r="I476" s="6" t="e">
        <f xml:space="preserve"> [2]!'TXT.US-BestBid1'</f>
        <v>#REF!</v>
      </c>
      <c r="J476" s="6" t="e">
        <f xml:space="preserve"> [2]!'TXT.US-BestAsk1'</f>
        <v>#REF!</v>
      </c>
      <c r="K476" s="65" t="e">
        <f t="shared" si="60"/>
        <v>#REF!</v>
      </c>
      <c r="L476" s="65" t="e">
        <f t="shared" si="61"/>
        <v>#REF!</v>
      </c>
      <c r="M476" s="68" t="e">
        <f t="shared" si="62"/>
        <v>#REF!</v>
      </c>
      <c r="AC476" s="440" t="s">
        <v>3395</v>
      </c>
      <c r="AD476" s="441" t="s">
        <v>3396</v>
      </c>
      <c r="AE476" s="442">
        <v>0.08</v>
      </c>
      <c r="AF476" s="443">
        <v>1285</v>
      </c>
    </row>
    <row r="477" spans="1:32" ht="16.8" thickBot="1">
      <c r="A477" s="24" t="e">
        <f t="shared" si="59"/>
        <v>#REF!</v>
      </c>
      <c r="B477" s="243" t="str">
        <f t="shared" si="63"/>
        <v>UDR INC</v>
      </c>
      <c r="C477" s="25" t="str">
        <f t="shared" si="64"/>
        <v>UDR UN</v>
      </c>
      <c r="D477" s="25">
        <v>1</v>
      </c>
      <c r="E477" s="6" t="e">
        <f xml:space="preserve"> [2]!'UA.US-PreClose'</f>
        <v>#REF!</v>
      </c>
      <c r="F477" s="78">
        <f t="shared" si="65"/>
        <v>1638</v>
      </c>
      <c r="G477" s="49" t="e">
        <f t="shared" si="66"/>
        <v>#REF!</v>
      </c>
      <c r="H477" s="6" t="e">
        <f xml:space="preserve"> [2]!'UA.US-Price'</f>
        <v>#REF!</v>
      </c>
      <c r="I477" s="6" t="e">
        <f xml:space="preserve"> [2]!'UA.US-BestBid1'</f>
        <v>#REF!</v>
      </c>
      <c r="J477" s="6" t="e">
        <f xml:space="preserve"> [2]!'UA.US-BestAsk1'</f>
        <v>#REF!</v>
      </c>
      <c r="K477" s="65" t="e">
        <f t="shared" si="60"/>
        <v>#REF!</v>
      </c>
      <c r="L477" s="65" t="e">
        <f t="shared" si="61"/>
        <v>#REF!</v>
      </c>
      <c r="M477" s="68" t="e">
        <f t="shared" si="62"/>
        <v>#REF!</v>
      </c>
      <c r="AC477" s="444" t="s">
        <v>3397</v>
      </c>
      <c r="AD477" s="445" t="s">
        <v>1073</v>
      </c>
      <c r="AE477" s="446">
        <v>0.05</v>
      </c>
      <c r="AF477" s="447">
        <v>1638</v>
      </c>
    </row>
    <row r="478" spans="1:32" ht="33" thickBot="1">
      <c r="A478" s="24" t="e">
        <f t="shared" si="59"/>
        <v>#REF!</v>
      </c>
      <c r="B478" s="243" t="str">
        <f t="shared" si="63"/>
        <v>UNIVERSAL HEALTH SERVICES-B</v>
      </c>
      <c r="C478" s="25" t="str">
        <f t="shared" si="64"/>
        <v>UHS UN</v>
      </c>
      <c r="D478" s="25">
        <v>1</v>
      </c>
      <c r="E478" s="6" t="e">
        <f xml:space="preserve"> [2]!'UAA.US-PreClose'</f>
        <v>#REF!</v>
      </c>
      <c r="F478" s="78">
        <f t="shared" si="65"/>
        <v>482</v>
      </c>
      <c r="G478" s="49" t="e">
        <f t="shared" si="66"/>
        <v>#REF!</v>
      </c>
      <c r="H478" s="6" t="e">
        <f xml:space="preserve"> [2]!'UAA.US-Price'</f>
        <v>#REF!</v>
      </c>
      <c r="I478" s="6" t="e">
        <f xml:space="preserve"> [2]!'UAA.US-BestBid1'</f>
        <v>#REF!</v>
      </c>
      <c r="J478" s="6" t="e">
        <f xml:space="preserve"> [2]!'UAA.US-BestAsk1'</f>
        <v>#REF!</v>
      </c>
      <c r="K478" s="65" t="e">
        <f t="shared" si="60"/>
        <v>#REF!</v>
      </c>
      <c r="L478" s="65" t="e">
        <f t="shared" si="61"/>
        <v>#REF!</v>
      </c>
      <c r="M478" s="68" t="e">
        <f t="shared" si="62"/>
        <v>#REF!</v>
      </c>
      <c r="AC478" s="440" t="s">
        <v>3398</v>
      </c>
      <c r="AD478" s="441" t="s">
        <v>1074</v>
      </c>
      <c r="AE478" s="442">
        <v>0.04</v>
      </c>
      <c r="AF478" s="442">
        <v>482</v>
      </c>
    </row>
    <row r="479" spans="1:32" ht="33" thickBot="1">
      <c r="A479" s="24" t="e">
        <f t="shared" si="59"/>
        <v>#REF!</v>
      </c>
      <c r="B479" s="243" t="str">
        <f t="shared" si="63"/>
        <v>ULTA BEAUTY INC</v>
      </c>
      <c r="C479" s="25" t="str">
        <f t="shared" si="64"/>
        <v>ULTA UQ</v>
      </c>
      <c r="D479" s="25">
        <v>1</v>
      </c>
      <c r="E479" s="6" t="e">
        <f xml:space="preserve"> [2]!'UAL.US-PreClose'</f>
        <v>#REF!</v>
      </c>
      <c r="F479" s="78">
        <f t="shared" si="65"/>
        <v>323</v>
      </c>
      <c r="G479" s="49" t="e">
        <f t="shared" si="66"/>
        <v>#REF!</v>
      </c>
      <c r="H479" s="6" t="e">
        <f xml:space="preserve"> [2]!'UAL.US-Price'</f>
        <v>#REF!</v>
      </c>
      <c r="I479" s="6" t="e">
        <f xml:space="preserve"> [2]!'UAL.US-BestBid1'</f>
        <v>#REF!</v>
      </c>
      <c r="J479" s="6" t="e">
        <f xml:space="preserve"> [2]!'UAL.US-BestAsk1'</f>
        <v>#REF!</v>
      </c>
      <c r="K479" s="65" t="e">
        <f t="shared" si="60"/>
        <v>#REF!</v>
      </c>
      <c r="L479" s="65" t="e">
        <f t="shared" si="61"/>
        <v>#REF!</v>
      </c>
      <c r="M479" s="68" t="e">
        <f t="shared" si="62"/>
        <v>#REF!</v>
      </c>
      <c r="AC479" s="444" t="s">
        <v>3399</v>
      </c>
      <c r="AD479" s="445" t="s">
        <v>1075</v>
      </c>
      <c r="AE479" s="446">
        <v>7.0000000000000007E-2</v>
      </c>
      <c r="AF479" s="446">
        <v>323</v>
      </c>
    </row>
    <row r="480" spans="1:32" ht="33" thickBot="1">
      <c r="A480" s="24" t="e">
        <f t="shared" si="59"/>
        <v>#REF!</v>
      </c>
      <c r="B480" s="243" t="str">
        <f t="shared" si="63"/>
        <v>UNITEDHEALTH GROUP INC</v>
      </c>
      <c r="C480" s="25" t="str">
        <f t="shared" si="64"/>
        <v>UNH UN</v>
      </c>
      <c r="D480" s="25">
        <v>1</v>
      </c>
      <c r="E480" s="6" t="e">
        <f xml:space="preserve"> [2]!'UDR.US-PreClose'</f>
        <v>#REF!</v>
      </c>
      <c r="F480" s="78">
        <f t="shared" si="65"/>
        <v>5524</v>
      </c>
      <c r="G480" s="49" t="e">
        <f t="shared" si="66"/>
        <v>#REF!</v>
      </c>
      <c r="H480" s="6" t="e">
        <f xml:space="preserve"> [2]!'UDR.US-Price'</f>
        <v>#REF!</v>
      </c>
      <c r="I480" s="6" t="e">
        <f xml:space="preserve"> [2]!'UDR.US-BestBid1'</f>
        <v>#REF!</v>
      </c>
      <c r="J480" s="6" t="e">
        <f xml:space="preserve"> [2]!'UDR.US-BestAsk1'</f>
        <v>#REF!</v>
      </c>
      <c r="K480" s="65" t="e">
        <f t="shared" si="60"/>
        <v>#REF!</v>
      </c>
      <c r="L480" s="65" t="e">
        <f t="shared" si="61"/>
        <v>#REF!</v>
      </c>
      <c r="M480" s="68" t="e">
        <f t="shared" si="62"/>
        <v>#REF!</v>
      </c>
      <c r="AC480" s="440" t="s">
        <v>3400</v>
      </c>
      <c r="AD480" s="441" t="s">
        <v>1076</v>
      </c>
      <c r="AE480" s="442">
        <v>0.96</v>
      </c>
      <c r="AF480" s="443">
        <v>5524</v>
      </c>
    </row>
    <row r="481" spans="1:32" ht="22.2" thickBot="1">
      <c r="A481" s="24" t="e">
        <f t="shared" si="59"/>
        <v>#REF!</v>
      </c>
      <c r="B481" s="243" t="str">
        <f t="shared" si="63"/>
        <v>UNUM GROUP</v>
      </c>
      <c r="C481" s="25" t="str">
        <f t="shared" si="64"/>
        <v>UNM UN</v>
      </c>
      <c r="D481" s="25">
        <v>1</v>
      </c>
      <c r="E481" s="6" t="e">
        <f xml:space="preserve"> [2]!'UHS.US-PreClose'</f>
        <v>#REF!</v>
      </c>
      <c r="F481" s="78">
        <f t="shared" si="65"/>
        <v>1232</v>
      </c>
      <c r="G481" s="49" t="e">
        <f t="shared" si="66"/>
        <v>#REF!</v>
      </c>
      <c r="H481" s="6" t="e">
        <f xml:space="preserve"> [2]!'UHS.US-Price'</f>
        <v>#REF!</v>
      </c>
      <c r="I481" s="6" t="e">
        <f xml:space="preserve"> [2]!'UHS.US-BestBid1'</f>
        <v>#REF!</v>
      </c>
      <c r="J481" s="6" t="e">
        <f xml:space="preserve"> [2]!'UHS.US-BestAsk1'</f>
        <v>#REF!</v>
      </c>
      <c r="K481" s="65" t="e">
        <f t="shared" si="60"/>
        <v>#REF!</v>
      </c>
      <c r="L481" s="65" t="e">
        <f t="shared" si="61"/>
        <v>#REF!</v>
      </c>
      <c r="M481" s="68" t="e">
        <f t="shared" si="62"/>
        <v>#REF!</v>
      </c>
      <c r="AC481" s="444" t="s">
        <v>3401</v>
      </c>
      <c r="AD481" s="445" t="s">
        <v>1077</v>
      </c>
      <c r="AE481" s="446">
        <v>0.03</v>
      </c>
      <c r="AF481" s="447">
        <v>1232</v>
      </c>
    </row>
    <row r="482" spans="1:32" ht="33" thickBot="1">
      <c r="A482" s="24" t="e">
        <f t="shared" si="59"/>
        <v>#REF!</v>
      </c>
      <c r="B482" s="243" t="str">
        <f t="shared" si="63"/>
        <v>UNION PACIFIC CORP</v>
      </c>
      <c r="C482" s="25" t="str">
        <f t="shared" si="64"/>
        <v>UNP UN</v>
      </c>
      <c r="D482" s="25">
        <v>1</v>
      </c>
      <c r="E482" s="6" t="e">
        <f xml:space="preserve"> [2]!'ULTA.US-PreClose'</f>
        <v>#REF!</v>
      </c>
      <c r="F482" s="78">
        <f t="shared" si="65"/>
        <v>4114</v>
      </c>
      <c r="G482" s="49" t="e">
        <f t="shared" si="66"/>
        <v>#REF!</v>
      </c>
      <c r="H482" s="6" t="e">
        <f xml:space="preserve"> [2]!'ULTA.US-Price'</f>
        <v>#REF!</v>
      </c>
      <c r="I482" s="6" t="e">
        <f xml:space="preserve"> [2]!'ULTA.US-BestBid1'</f>
        <v>#REF!</v>
      </c>
      <c r="J482" s="6" t="e">
        <f xml:space="preserve"> [2]!'ULTA.US-BestAsk1'</f>
        <v>#REF!</v>
      </c>
      <c r="K482" s="65" t="e">
        <f t="shared" si="60"/>
        <v>#REF!</v>
      </c>
      <c r="L482" s="65" t="e">
        <f t="shared" si="61"/>
        <v>#REF!</v>
      </c>
      <c r="M482" s="68" t="e">
        <f t="shared" si="62"/>
        <v>#REF!</v>
      </c>
      <c r="AC482" s="440" t="s">
        <v>3402</v>
      </c>
      <c r="AD482" s="441" t="s">
        <v>1078</v>
      </c>
      <c r="AE482" s="442">
        <v>0.47</v>
      </c>
      <c r="AF482" s="443">
        <v>4114</v>
      </c>
    </row>
    <row r="483" spans="1:32" ht="43.8" thickBot="1">
      <c r="A483" s="24" t="e">
        <f t="shared" si="59"/>
        <v>#VALUE!</v>
      </c>
      <c r="B483" s="243" t="str">
        <f t="shared" si="63"/>
        <v>UNITED PARCEL SERVICE-CL B</v>
      </c>
      <c r="C483" s="25" t="str">
        <f t="shared" si="64"/>
        <v>UPS UN</v>
      </c>
      <c r="D483" s="25">
        <v>1</v>
      </c>
      <c r="E483" s="6" t="str">
        <f xml:space="preserve"> [2]!'UNH.US-PreClose'</f>
        <v>N/A</v>
      </c>
      <c r="F483" s="78">
        <f t="shared" si="65"/>
        <v>4054</v>
      </c>
      <c r="G483" s="49" t="e">
        <f t="shared" si="66"/>
        <v>#VALUE!</v>
      </c>
      <c r="H483" s="6" t="str">
        <f xml:space="preserve"> [2]!'UNH.US-Price'</f>
        <v>N/A</v>
      </c>
      <c r="I483" s="6" t="str">
        <f xml:space="preserve"> [2]!'UNH.US-BestBid1'</f>
        <v>N/A</v>
      </c>
      <c r="J483" s="6" t="str">
        <f xml:space="preserve"> [2]!'UNH.US-BestAsk1'</f>
        <v>N/A</v>
      </c>
      <c r="K483" s="65" t="e">
        <f t="shared" si="60"/>
        <v>#VALUE!</v>
      </c>
      <c r="L483" s="65" t="e">
        <f t="shared" si="61"/>
        <v>#VALUE!</v>
      </c>
      <c r="M483" s="68" t="e">
        <f t="shared" si="62"/>
        <v>#VALUE!</v>
      </c>
      <c r="AC483" s="444" t="s">
        <v>3403</v>
      </c>
      <c r="AD483" s="445" t="s">
        <v>1079</v>
      </c>
      <c r="AE483" s="446">
        <v>0.28000000000000003</v>
      </c>
      <c r="AF483" s="447">
        <v>4054</v>
      </c>
    </row>
    <row r="484" spans="1:32" ht="33" thickBot="1">
      <c r="A484" s="24" t="e">
        <f t="shared" si="59"/>
        <v>#REF!</v>
      </c>
      <c r="B484" s="243" t="str">
        <f t="shared" si="63"/>
        <v>UNITED RENTALS INC</v>
      </c>
      <c r="C484" s="25" t="str">
        <f t="shared" si="64"/>
        <v>URI UN</v>
      </c>
      <c r="D484" s="25">
        <v>1</v>
      </c>
      <c r="E484" s="6" t="e">
        <f xml:space="preserve"> [2]!'UNM.US-PreClose'</f>
        <v>#REF!</v>
      </c>
      <c r="F484" s="78">
        <f t="shared" si="65"/>
        <v>457</v>
      </c>
      <c r="G484" s="49" t="e">
        <f t="shared" si="66"/>
        <v>#REF!</v>
      </c>
      <c r="H484" s="6" t="e">
        <f xml:space="preserve"> [2]!'UNM.US-Price'</f>
        <v>#REF!</v>
      </c>
      <c r="I484" s="6" t="e">
        <f xml:space="preserve"> [2]!'UNM.US-BestBid1'</f>
        <v>#REF!</v>
      </c>
      <c r="J484" s="6" t="e">
        <f xml:space="preserve"> [2]!'UNM.US-BestAsk1'</f>
        <v>#REF!</v>
      </c>
      <c r="K484" s="65" t="e">
        <f t="shared" si="60"/>
        <v>#REF!</v>
      </c>
      <c r="L484" s="65" t="e">
        <f t="shared" si="61"/>
        <v>#REF!</v>
      </c>
      <c r="M484" s="68" t="e">
        <f t="shared" si="62"/>
        <v>#REF!</v>
      </c>
      <c r="AC484" s="440" t="s">
        <v>3404</v>
      </c>
      <c r="AD484" s="441" t="s">
        <v>1080</v>
      </c>
      <c r="AE484" s="442">
        <v>0.04</v>
      </c>
      <c r="AF484" s="442">
        <v>457</v>
      </c>
    </row>
    <row r="485" spans="1:32" ht="22.2" thickBot="1">
      <c r="A485" s="24" t="e">
        <f t="shared" si="59"/>
        <v>#REF!</v>
      </c>
      <c r="B485" s="243" t="str">
        <f t="shared" si="63"/>
        <v>US BANCORP</v>
      </c>
      <c r="C485" s="25" t="str">
        <f t="shared" si="64"/>
        <v>USB UN</v>
      </c>
      <c r="D485" s="25">
        <v>1</v>
      </c>
      <c r="E485" s="6" t="e">
        <f xml:space="preserve"> [2]!'UNP.US-PreClose'</f>
        <v>#REF!</v>
      </c>
      <c r="F485" s="78">
        <f t="shared" si="65"/>
        <v>8699</v>
      </c>
      <c r="G485" s="49" t="e">
        <f t="shared" si="66"/>
        <v>#REF!</v>
      </c>
      <c r="H485" s="6" t="e">
        <f xml:space="preserve"> [2]!'UNP.US-Price'</f>
        <v>#REF!</v>
      </c>
      <c r="I485" s="6" t="e">
        <f xml:space="preserve"> [2]!'UNP.US-BestBid1'</f>
        <v>#REF!</v>
      </c>
      <c r="J485" s="6" t="e">
        <f xml:space="preserve"> [2]!'UNP.US-BestAsk1'</f>
        <v>#REF!</v>
      </c>
      <c r="K485" s="65" t="e">
        <f t="shared" si="60"/>
        <v>#REF!</v>
      </c>
      <c r="L485" s="65" t="e">
        <f t="shared" si="61"/>
        <v>#REF!</v>
      </c>
      <c r="M485" s="68" t="e">
        <f t="shared" si="62"/>
        <v>#REF!</v>
      </c>
      <c r="AC485" s="444" t="s">
        <v>3405</v>
      </c>
      <c r="AD485" s="445" t="s">
        <v>1081</v>
      </c>
      <c r="AE485" s="446">
        <v>0.31</v>
      </c>
      <c r="AF485" s="447">
        <v>8699</v>
      </c>
    </row>
    <row r="486" spans="1:32" ht="33" thickBot="1">
      <c r="A486" s="24" t="e">
        <f t="shared" si="59"/>
        <v>#REF!</v>
      </c>
      <c r="B486" s="243" t="str">
        <f t="shared" si="63"/>
        <v>UNITED TECHNOLOGIES CORP</v>
      </c>
      <c r="C486" s="25" t="str">
        <f t="shared" si="64"/>
        <v>UTX UN</v>
      </c>
      <c r="D486" s="25">
        <v>1</v>
      </c>
      <c r="E486" s="6" t="e">
        <f xml:space="preserve"> [2]!'UPS.US-PreClose'</f>
        <v>#REF!</v>
      </c>
      <c r="F486" s="78">
        <f t="shared" si="65"/>
        <v>4715</v>
      </c>
      <c r="G486" s="49" t="e">
        <f t="shared" si="66"/>
        <v>#REF!</v>
      </c>
      <c r="H486" s="6" t="e">
        <f xml:space="preserve"> [2]!'UPS.US-Price'</f>
        <v>#REF!</v>
      </c>
      <c r="I486" s="6" t="e">
        <f xml:space="preserve"> [2]!'UPS.US-BestBid1'</f>
        <v>#REF!</v>
      </c>
      <c r="J486" s="6" t="e">
        <f xml:space="preserve"> [2]!'UPS.US-BestAsk1'</f>
        <v>#REF!</v>
      </c>
      <c r="K486" s="65" t="e">
        <f t="shared" si="60"/>
        <v>#REF!</v>
      </c>
      <c r="L486" s="65" t="e">
        <f t="shared" si="61"/>
        <v>#REF!</v>
      </c>
      <c r="M486" s="68" t="e">
        <f t="shared" si="62"/>
        <v>#REF!</v>
      </c>
      <c r="AC486" s="440" t="s">
        <v>3406</v>
      </c>
      <c r="AD486" s="441" t="s">
        <v>1082</v>
      </c>
      <c r="AE486" s="442">
        <v>0.41</v>
      </c>
      <c r="AF486" s="443">
        <v>4715</v>
      </c>
    </row>
    <row r="487" spans="1:32" ht="33" thickBot="1">
      <c r="A487" s="24" t="e">
        <f t="shared" si="59"/>
        <v>#REF!</v>
      </c>
      <c r="B487" s="243" t="str">
        <f t="shared" si="63"/>
        <v>VISA INC-CLASS A SHARES</v>
      </c>
      <c r="C487" s="25" t="str">
        <f t="shared" si="64"/>
        <v>V UN</v>
      </c>
      <c r="D487" s="25">
        <v>1</v>
      </c>
      <c r="E487" s="6" t="e">
        <f xml:space="preserve"> [2]!'URI.US-PreClose'</f>
        <v>#REF!</v>
      </c>
      <c r="F487" s="78">
        <f t="shared" si="65"/>
        <v>10108</v>
      </c>
      <c r="G487" s="49" t="e">
        <f t="shared" si="66"/>
        <v>#REF!</v>
      </c>
      <c r="H487" s="6" t="e">
        <f xml:space="preserve"> [2]!'URI.US-Price'</f>
        <v>#REF!</v>
      </c>
      <c r="I487" s="6" t="e">
        <f xml:space="preserve"> [2]!'URI.US-BestBid1'</f>
        <v>#REF!</v>
      </c>
      <c r="J487" s="6" t="e">
        <f xml:space="preserve"> [2]!'URI.US-BestAsk1'</f>
        <v>#REF!</v>
      </c>
      <c r="K487" s="65" t="e">
        <f t="shared" si="60"/>
        <v>#REF!</v>
      </c>
      <c r="L487" s="65" t="e">
        <f t="shared" si="61"/>
        <v>#REF!</v>
      </c>
      <c r="M487" s="68" t="e">
        <f t="shared" si="62"/>
        <v>#REF!</v>
      </c>
      <c r="AC487" s="444" t="s">
        <v>3407</v>
      </c>
      <c r="AD487" s="445" t="s">
        <v>1083</v>
      </c>
      <c r="AE487" s="446">
        <v>1.22</v>
      </c>
      <c r="AF487" s="447">
        <v>10108</v>
      </c>
    </row>
    <row r="488" spans="1:32" ht="43.8" thickBot="1">
      <c r="A488" s="24" t="e">
        <f t="shared" si="59"/>
        <v>#REF!</v>
      </c>
      <c r="B488" s="243" t="str">
        <f t="shared" si="63"/>
        <v>VARIAN MEDICAL SYSTEMS INC</v>
      </c>
      <c r="C488" s="25" t="str">
        <f t="shared" si="64"/>
        <v>VAR UN</v>
      </c>
      <c r="D488" s="25">
        <v>1</v>
      </c>
      <c r="E488" s="6" t="e">
        <f xml:space="preserve"> [2]!'USB.US-PreClose'</f>
        <v>#REF!</v>
      </c>
      <c r="F488" s="78">
        <f t="shared" si="65"/>
        <v>529</v>
      </c>
      <c r="G488" s="49" t="e">
        <f t="shared" si="66"/>
        <v>#REF!</v>
      </c>
      <c r="H488" s="6" t="e">
        <f xml:space="preserve"> [2]!'USB.US-Price'</f>
        <v>#REF!</v>
      </c>
      <c r="I488" s="6" t="e">
        <f xml:space="preserve"> [2]!'USB.US-BestBid1'</f>
        <v>#REF!</v>
      </c>
      <c r="J488" s="6" t="e">
        <f xml:space="preserve"> [2]!'USB.US-BestAsk1'</f>
        <v>#REF!</v>
      </c>
      <c r="K488" s="65" t="e">
        <f t="shared" si="60"/>
        <v>#REF!</v>
      </c>
      <c r="L488" s="65" t="e">
        <f t="shared" si="61"/>
        <v>#REF!</v>
      </c>
      <c r="M488" s="68" t="e">
        <f t="shared" si="62"/>
        <v>#REF!</v>
      </c>
      <c r="AC488" s="440" t="s">
        <v>3408</v>
      </c>
      <c r="AD488" s="441" t="s">
        <v>1084</v>
      </c>
      <c r="AE488" s="442">
        <v>0.05</v>
      </c>
      <c r="AF488" s="442">
        <v>529</v>
      </c>
    </row>
    <row r="489" spans="1:32" ht="16.8" thickBot="1">
      <c r="A489" s="24" t="e">
        <f t="shared" si="59"/>
        <v>#VALUE!</v>
      </c>
      <c r="B489" s="243" t="str">
        <f t="shared" si="63"/>
        <v>VF CORP</v>
      </c>
      <c r="C489" s="25" t="str">
        <f t="shared" si="64"/>
        <v>VFC UN</v>
      </c>
      <c r="D489" s="25">
        <v>1</v>
      </c>
      <c r="E489" s="6" t="str">
        <f xml:space="preserve"> [2]!'UTX.US-PreClose'</f>
        <v>N/A</v>
      </c>
      <c r="F489" s="78">
        <f t="shared" si="65"/>
        <v>1893</v>
      </c>
      <c r="G489" s="49" t="e">
        <f t="shared" si="66"/>
        <v>#VALUE!</v>
      </c>
      <c r="H489" s="6" t="str">
        <f xml:space="preserve"> [2]!'UTX.US-Price'</f>
        <v>N/A</v>
      </c>
      <c r="I489" s="6" t="str">
        <f xml:space="preserve"> [2]!'UTX.US-BestBid1'</f>
        <v>N/A</v>
      </c>
      <c r="J489" s="6" t="str">
        <f xml:space="preserve"> [2]!'UTX.US-BestAsk1'</f>
        <v>N/A</v>
      </c>
      <c r="K489" s="65" t="e">
        <f t="shared" si="60"/>
        <v>#VALUE!</v>
      </c>
      <c r="L489" s="65" t="e">
        <f t="shared" si="61"/>
        <v>#VALUE!</v>
      </c>
      <c r="M489" s="68" t="e">
        <f t="shared" si="62"/>
        <v>#VALUE!</v>
      </c>
      <c r="AC489" s="444" t="s">
        <v>3409</v>
      </c>
      <c r="AD489" s="445" t="s">
        <v>1085</v>
      </c>
      <c r="AE489" s="446">
        <v>0.11</v>
      </c>
      <c r="AF489" s="447">
        <v>1893</v>
      </c>
    </row>
    <row r="490" spans="1:32" ht="33" thickBot="1">
      <c r="A490" s="24" t="e">
        <f t="shared" si="59"/>
        <v>#VALUE!</v>
      </c>
      <c r="B490" s="243" t="str">
        <f t="shared" si="63"/>
        <v>VIACOM INC-CLASS B</v>
      </c>
      <c r="C490" s="25" t="str">
        <f t="shared" si="64"/>
        <v>VIAB UQ</v>
      </c>
      <c r="D490" s="25">
        <v>1</v>
      </c>
      <c r="E490" s="6" t="str">
        <f xml:space="preserve"> [2]!'V.US-PreClose'</f>
        <v>N/A</v>
      </c>
      <c r="F490" s="78">
        <f t="shared" si="65"/>
        <v>2056</v>
      </c>
      <c r="G490" s="49" t="e">
        <f t="shared" si="66"/>
        <v>#VALUE!</v>
      </c>
      <c r="H490" s="6" t="str">
        <f xml:space="preserve"> [2]!'V.US-Price'</f>
        <v>N/A</v>
      </c>
      <c r="I490" s="6" t="str">
        <f xml:space="preserve"> [2]!'V.US-BestBid1'</f>
        <v>N/A</v>
      </c>
      <c r="J490" s="6" t="str">
        <f xml:space="preserve"> [2]!'V.US-BestAsk1'</f>
        <v>N/A</v>
      </c>
      <c r="K490" s="65" t="e">
        <f t="shared" si="60"/>
        <v>#VALUE!</v>
      </c>
      <c r="L490" s="65" t="e">
        <f t="shared" si="61"/>
        <v>#VALUE!</v>
      </c>
      <c r="M490" s="68" t="e">
        <f t="shared" si="62"/>
        <v>#VALUE!</v>
      </c>
      <c r="AC490" s="440" t="s">
        <v>3410</v>
      </c>
      <c r="AD490" s="441" t="s">
        <v>1086</v>
      </c>
      <c r="AE490" s="442">
        <v>0.04</v>
      </c>
      <c r="AF490" s="443">
        <v>2056</v>
      </c>
    </row>
    <row r="491" spans="1:32" ht="33" thickBot="1">
      <c r="A491" s="24" t="e">
        <f t="shared" si="59"/>
        <v>#REF!</v>
      </c>
      <c r="B491" s="243" t="str">
        <f t="shared" si="63"/>
        <v>VALERO ENERGY CORP</v>
      </c>
      <c r="C491" s="25" t="str">
        <f t="shared" si="64"/>
        <v>VLO UN</v>
      </c>
      <c r="D491" s="25">
        <v>1</v>
      </c>
      <c r="E491" s="6" t="e">
        <f xml:space="preserve"> [2]!'VAR.US-PreClose'</f>
        <v>#REF!</v>
      </c>
      <c r="F491" s="78">
        <f t="shared" si="65"/>
        <v>2425</v>
      </c>
      <c r="G491" s="49" t="e">
        <f t="shared" si="66"/>
        <v>#REF!</v>
      </c>
      <c r="H491" s="6" t="e">
        <f xml:space="preserve"> [2]!'VAR.US-Price'</f>
        <v>#REF!</v>
      </c>
      <c r="I491" s="6" t="e">
        <f xml:space="preserve"> [2]!'VAR.US-BestBid1'</f>
        <v>#REF!</v>
      </c>
      <c r="J491" s="6" t="e">
        <f xml:space="preserve"> [2]!'VAR.US-BestAsk1'</f>
        <v>#REF!</v>
      </c>
      <c r="K491" s="65" t="e">
        <f t="shared" si="60"/>
        <v>#REF!</v>
      </c>
      <c r="L491" s="65" t="e">
        <f t="shared" si="61"/>
        <v>#REF!</v>
      </c>
      <c r="M491" s="68" t="e">
        <f t="shared" si="62"/>
        <v>#REF!</v>
      </c>
      <c r="AC491" s="444" t="s">
        <v>3411</v>
      </c>
      <c r="AD491" s="445" t="s">
        <v>1087</v>
      </c>
      <c r="AE491" s="446">
        <v>0.14000000000000001</v>
      </c>
      <c r="AF491" s="447">
        <v>2425</v>
      </c>
    </row>
    <row r="492" spans="1:32" ht="33" thickBot="1">
      <c r="A492" s="24" t="e">
        <f t="shared" si="59"/>
        <v>#REF!</v>
      </c>
      <c r="B492" s="243" t="str">
        <f t="shared" si="63"/>
        <v>VULCAN MATERIALS CO</v>
      </c>
      <c r="C492" s="25" t="str">
        <f t="shared" si="64"/>
        <v>VMC UN</v>
      </c>
      <c r="D492" s="25">
        <v>1</v>
      </c>
      <c r="E492" s="6" t="e">
        <f xml:space="preserve"> [2]!'VFC.US-PreClose'</f>
        <v>#REF!</v>
      </c>
      <c r="F492" s="78">
        <f t="shared" si="65"/>
        <v>768</v>
      </c>
      <c r="G492" s="49" t="e">
        <f t="shared" si="66"/>
        <v>#REF!</v>
      </c>
      <c r="H492" s="6" t="e">
        <f xml:space="preserve"> [2]!'VFC.US-Price'</f>
        <v>#REF!</v>
      </c>
      <c r="I492" s="6" t="e">
        <f xml:space="preserve"> [2]!'VFC.US-BestBid1'</f>
        <v>#REF!</v>
      </c>
      <c r="J492" s="6" t="e">
        <f xml:space="preserve"> [2]!'VFC.US-BestAsk1'</f>
        <v>#REF!</v>
      </c>
      <c r="K492" s="65" t="e">
        <f t="shared" si="60"/>
        <v>#REF!</v>
      </c>
      <c r="L492" s="65" t="e">
        <f t="shared" si="61"/>
        <v>#REF!</v>
      </c>
      <c r="M492" s="68" t="e">
        <f t="shared" si="62"/>
        <v>#REF!</v>
      </c>
      <c r="AC492" s="440" t="s">
        <v>3412</v>
      </c>
      <c r="AD492" s="441" t="s">
        <v>1088</v>
      </c>
      <c r="AE492" s="442">
        <v>7.0000000000000007E-2</v>
      </c>
      <c r="AF492" s="442">
        <v>768</v>
      </c>
    </row>
    <row r="493" spans="1:32" ht="33" thickBot="1">
      <c r="A493" s="24" t="e">
        <f t="shared" si="59"/>
        <v>#REF!</v>
      </c>
      <c r="B493" s="243" t="str">
        <f t="shared" si="63"/>
        <v>VORNADO REALTY TRUST</v>
      </c>
      <c r="C493" s="25" t="str">
        <f t="shared" si="64"/>
        <v>VNO UN</v>
      </c>
      <c r="D493" s="25">
        <v>1</v>
      </c>
      <c r="E493" s="6" t="e">
        <f xml:space="preserve"> [2]!'VIAB.US-PreClose'</f>
        <v>#REF!</v>
      </c>
      <c r="F493" s="78">
        <f t="shared" si="65"/>
        <v>1009</v>
      </c>
      <c r="G493" s="49" t="e">
        <f t="shared" si="66"/>
        <v>#REF!</v>
      </c>
      <c r="H493" s="6" t="e">
        <f xml:space="preserve"> [2]!'VIAB.US-Price'</f>
        <v>#REF!</v>
      </c>
      <c r="I493" s="6" t="e">
        <f xml:space="preserve"> [2]!'VIAB.US-BestBid1'</f>
        <v>#REF!</v>
      </c>
      <c r="J493" s="6" t="e">
        <f xml:space="preserve"> [2]!'VIAB.US-BestAsk1'</f>
        <v>#REF!</v>
      </c>
      <c r="K493" s="65" t="e">
        <f t="shared" si="60"/>
        <v>#REF!</v>
      </c>
      <c r="L493" s="65" t="e">
        <f t="shared" si="61"/>
        <v>#REF!</v>
      </c>
      <c r="M493" s="68" t="e">
        <f t="shared" si="62"/>
        <v>#REF!</v>
      </c>
      <c r="AC493" s="444" t="s">
        <v>3413</v>
      </c>
      <c r="AD493" s="445" t="s">
        <v>1089</v>
      </c>
      <c r="AE493" s="446">
        <v>0.04</v>
      </c>
      <c r="AF493" s="447">
        <v>1009</v>
      </c>
    </row>
    <row r="494" spans="1:32" ht="33" thickBot="1">
      <c r="A494" s="24" t="e">
        <f t="shared" si="59"/>
        <v>#REF!</v>
      </c>
      <c r="B494" s="243" t="str">
        <f t="shared" si="63"/>
        <v>VERISK ANALYTICS INC</v>
      </c>
      <c r="C494" s="25" t="str">
        <f t="shared" si="64"/>
        <v>VRSK UQ</v>
      </c>
      <c r="D494" s="25">
        <v>1</v>
      </c>
      <c r="E494" s="6" t="e">
        <f xml:space="preserve"> [2]!'VLO.US-PreClose'</f>
        <v>#REF!</v>
      </c>
      <c r="F494" s="78">
        <f t="shared" si="65"/>
        <v>951</v>
      </c>
      <c r="G494" s="49" t="e">
        <f t="shared" si="66"/>
        <v>#REF!</v>
      </c>
      <c r="H494" s="6" t="e">
        <f xml:space="preserve"> [2]!'VLO.US-Price'</f>
        <v>#REF!</v>
      </c>
      <c r="I494" s="6" t="e">
        <f xml:space="preserve"> [2]!'VLO.US-BestBid1'</f>
        <v>#REF!</v>
      </c>
      <c r="J494" s="6" t="e">
        <f xml:space="preserve"> [2]!'VLO.US-BestAsk1'</f>
        <v>#REF!</v>
      </c>
      <c r="K494" s="65" t="e">
        <f t="shared" si="60"/>
        <v>#REF!</v>
      </c>
      <c r="L494" s="65" t="e">
        <f t="shared" si="61"/>
        <v>#REF!</v>
      </c>
      <c r="M494" s="68" t="e">
        <f t="shared" si="62"/>
        <v>#REF!</v>
      </c>
      <c r="AC494" s="440" t="s">
        <v>3414</v>
      </c>
      <c r="AD494" s="441" t="s">
        <v>1090</v>
      </c>
      <c r="AE494" s="442">
        <v>0.1</v>
      </c>
      <c r="AF494" s="442">
        <v>951</v>
      </c>
    </row>
    <row r="495" spans="1:32" ht="22.2" thickBot="1">
      <c r="A495" s="24" t="e">
        <f t="shared" si="59"/>
        <v>#REF!</v>
      </c>
      <c r="B495" s="243" t="str">
        <f t="shared" si="63"/>
        <v>VERISIGN INC</v>
      </c>
      <c r="C495" s="25" t="str">
        <f t="shared" si="64"/>
        <v>VRSN UQ</v>
      </c>
      <c r="D495" s="25">
        <v>1</v>
      </c>
      <c r="E495" s="6" t="e">
        <f xml:space="preserve"> [2]!'VMC.US-PreClose'</f>
        <v>#REF!</v>
      </c>
      <c r="F495" s="78">
        <f t="shared" si="65"/>
        <v>610</v>
      </c>
      <c r="G495" s="49" t="e">
        <f t="shared" si="66"/>
        <v>#REF!</v>
      </c>
      <c r="H495" s="6" t="e">
        <f xml:space="preserve"> [2]!'VMC.US-Price'</f>
        <v>#REF!</v>
      </c>
      <c r="I495" s="6" t="e">
        <f xml:space="preserve"> [2]!'VMC.US-BestBid1'</f>
        <v>#REF!</v>
      </c>
      <c r="J495" s="6" t="e">
        <f xml:space="preserve"> [2]!'VMC.US-BestAsk1'</f>
        <v>#REF!</v>
      </c>
      <c r="K495" s="65" t="e">
        <f t="shared" si="60"/>
        <v>#REF!</v>
      </c>
      <c r="L495" s="65" t="e">
        <f t="shared" si="61"/>
        <v>#REF!</v>
      </c>
      <c r="M495" s="68" t="e">
        <f t="shared" si="62"/>
        <v>#REF!</v>
      </c>
      <c r="AC495" s="444" t="s">
        <v>3415</v>
      </c>
      <c r="AD495" s="445" t="s">
        <v>1091</v>
      </c>
      <c r="AE495" s="446">
        <v>0.09</v>
      </c>
      <c r="AF495" s="446">
        <v>610</v>
      </c>
    </row>
    <row r="496" spans="1:32" ht="43.8" thickBot="1">
      <c r="A496" s="24" t="e">
        <f t="shared" si="59"/>
        <v>#REF!</v>
      </c>
      <c r="B496" s="243" t="str">
        <f t="shared" si="63"/>
        <v>VERTEX PHARMACEUTICALS INC</v>
      </c>
      <c r="C496" s="25" t="str">
        <f t="shared" si="64"/>
        <v>VRTX UQ</v>
      </c>
      <c r="D496" s="25">
        <v>1</v>
      </c>
      <c r="E496" s="6" t="e">
        <f xml:space="preserve"> [2]!'VNO.US-PreClose'</f>
        <v>#REF!</v>
      </c>
      <c r="F496" s="78">
        <f t="shared" si="65"/>
        <v>1489</v>
      </c>
      <c r="G496" s="49" t="e">
        <f t="shared" si="66"/>
        <v>#REF!</v>
      </c>
      <c r="H496" s="6" t="e">
        <f xml:space="preserve"> [2]!'VNO.US-Price'</f>
        <v>#REF!</v>
      </c>
      <c r="I496" s="6" t="e">
        <f xml:space="preserve"> [2]!'VNO.US-BestBid1'</f>
        <v>#REF!</v>
      </c>
      <c r="J496" s="6" t="e">
        <f xml:space="preserve"> [2]!'VNO.US-BestAsk1'</f>
        <v>#REF!</v>
      </c>
      <c r="K496" s="65" t="e">
        <f t="shared" si="60"/>
        <v>#REF!</v>
      </c>
      <c r="L496" s="65" t="e">
        <f t="shared" si="61"/>
        <v>#REF!</v>
      </c>
      <c r="M496" s="68" t="e">
        <f t="shared" si="62"/>
        <v>#REF!</v>
      </c>
      <c r="AC496" s="440" t="s">
        <v>3416</v>
      </c>
      <c r="AD496" s="441" t="s">
        <v>1092</v>
      </c>
      <c r="AE496" s="442">
        <v>0.18</v>
      </c>
      <c r="AF496" s="443">
        <v>1489</v>
      </c>
    </row>
    <row r="497" spans="1:32" ht="22.2" thickBot="1">
      <c r="A497" s="24" t="e">
        <f t="shared" si="59"/>
        <v>#REF!</v>
      </c>
      <c r="B497" s="243" t="str">
        <f t="shared" si="63"/>
        <v>VENTAS INC</v>
      </c>
      <c r="C497" s="25" t="str">
        <f t="shared" si="64"/>
        <v>VTR UN</v>
      </c>
      <c r="D497" s="25">
        <v>1</v>
      </c>
      <c r="E497" s="6" t="e">
        <f xml:space="preserve"> [2]!'VRSK.US-PreClose'</f>
        <v>#REF!</v>
      </c>
      <c r="F497" s="78">
        <f t="shared" si="65"/>
        <v>2147</v>
      </c>
      <c r="G497" s="49" t="e">
        <f t="shared" si="66"/>
        <v>#REF!</v>
      </c>
      <c r="H497" s="6" t="e">
        <f xml:space="preserve"> [2]!'VRSK.US-Price'</f>
        <v>#REF!</v>
      </c>
      <c r="I497" s="6" t="e">
        <f xml:space="preserve"> [2]!'VRSK.US-BestBid1'</f>
        <v>#REF!</v>
      </c>
      <c r="J497" s="6" t="e">
        <f xml:space="preserve"> [2]!'VRSK.US-BestAsk1'</f>
        <v>#REF!</v>
      </c>
      <c r="K497" s="65" t="e">
        <f t="shared" si="60"/>
        <v>#REF!</v>
      </c>
      <c r="L497" s="65" t="e">
        <f t="shared" si="61"/>
        <v>#REF!</v>
      </c>
      <c r="M497" s="68" t="e">
        <f t="shared" si="62"/>
        <v>#REF!</v>
      </c>
      <c r="AC497" s="444" t="s">
        <v>3417</v>
      </c>
      <c r="AD497" s="445" t="s">
        <v>1093</v>
      </c>
      <c r="AE497" s="446">
        <v>0.1</v>
      </c>
      <c r="AF497" s="447">
        <v>2147</v>
      </c>
    </row>
    <row r="498" spans="1:32" ht="43.8" thickBot="1">
      <c r="A498" s="24" t="e">
        <f t="shared" si="59"/>
        <v>#REF!</v>
      </c>
      <c r="B498" s="243" t="str">
        <f t="shared" si="63"/>
        <v>VERIZON COMMUNICATIONS INC</v>
      </c>
      <c r="C498" s="25" t="str">
        <f t="shared" si="64"/>
        <v>VZ UN</v>
      </c>
      <c r="D498" s="25">
        <v>1</v>
      </c>
      <c r="E498" s="6" t="e">
        <f xml:space="preserve"> [2]!'VRSN.US-PreClose'</f>
        <v>#REF!</v>
      </c>
      <c r="F498" s="78">
        <f t="shared" si="65"/>
        <v>24039</v>
      </c>
      <c r="G498" s="49" t="e">
        <f t="shared" si="66"/>
        <v>#REF!</v>
      </c>
      <c r="H498" s="6" t="e">
        <f xml:space="preserve"> [2]!'VRSN.US-Price'</f>
        <v>#REF!</v>
      </c>
      <c r="I498" s="6" t="e">
        <f xml:space="preserve"> [2]!'VRSN.US-BestBid1'</f>
        <v>#REF!</v>
      </c>
      <c r="J498" s="6" t="e">
        <f xml:space="preserve"> [2]!'VRSN.US-BestAsk1'</f>
        <v>#REF!</v>
      </c>
      <c r="K498" s="65" t="e">
        <f t="shared" si="60"/>
        <v>#REF!</v>
      </c>
      <c r="L498" s="65" t="e">
        <f t="shared" si="61"/>
        <v>#REF!</v>
      </c>
      <c r="M498" s="68" t="e">
        <f t="shared" si="62"/>
        <v>#REF!</v>
      </c>
      <c r="AC498" s="440" t="s">
        <v>3418</v>
      </c>
      <c r="AD498" s="441" t="s">
        <v>1094</v>
      </c>
      <c r="AE498" s="442">
        <v>0.91</v>
      </c>
      <c r="AF498" s="443">
        <v>24039</v>
      </c>
    </row>
    <row r="499" spans="1:32" ht="22.2" thickBot="1">
      <c r="A499" s="24" t="e">
        <f t="shared" si="59"/>
        <v>#REF!</v>
      </c>
      <c r="B499" s="243" t="str">
        <f t="shared" si="63"/>
        <v>WABTEC CORP</v>
      </c>
      <c r="C499" s="25" t="str">
        <f t="shared" si="64"/>
        <v>WAB UN</v>
      </c>
      <c r="D499" s="25">
        <v>1</v>
      </c>
      <c r="E499" s="6" t="e">
        <f xml:space="preserve"> [2]!'VRTX.US-PreClose'</f>
        <v>#REF!</v>
      </c>
      <c r="F499" s="78">
        <f t="shared" si="65"/>
        <v>940</v>
      </c>
      <c r="G499" s="49" t="e">
        <f t="shared" si="66"/>
        <v>#REF!</v>
      </c>
      <c r="H499" s="6" t="e">
        <f xml:space="preserve"> [2]!'VRTX.US-Price'</f>
        <v>#REF!</v>
      </c>
      <c r="I499" s="6" t="e">
        <f xml:space="preserve"> [2]!'VRTX.US-BestBid1'</f>
        <v>#REF!</v>
      </c>
      <c r="J499" s="6" t="e">
        <f xml:space="preserve"> [2]!'VRTX.US-BestAsk1'</f>
        <v>#REF!</v>
      </c>
      <c r="K499" s="65" t="e">
        <f t="shared" si="60"/>
        <v>#REF!</v>
      </c>
      <c r="L499" s="65" t="e">
        <f t="shared" si="61"/>
        <v>#REF!</v>
      </c>
      <c r="M499" s="68" t="e">
        <f t="shared" si="62"/>
        <v>#REF!</v>
      </c>
      <c r="AC499" s="444" t="s">
        <v>3419</v>
      </c>
      <c r="AD499" s="445" t="s">
        <v>3420</v>
      </c>
      <c r="AE499" s="446">
        <v>0.04</v>
      </c>
      <c r="AF499" s="446">
        <v>940</v>
      </c>
    </row>
    <row r="500" spans="1:32" ht="22.2" thickBot="1">
      <c r="A500" s="24" t="e">
        <f t="shared" si="59"/>
        <v>#VALUE!</v>
      </c>
      <c r="B500" s="243" t="str">
        <f t="shared" si="63"/>
        <v>WATERS CORP</v>
      </c>
      <c r="C500" s="25" t="str">
        <f t="shared" si="64"/>
        <v>WAT UN</v>
      </c>
      <c r="D500" s="25">
        <v>1</v>
      </c>
      <c r="E500" s="6" t="str">
        <f xml:space="preserve"> [2]!'VTR.US-PreClose'</f>
        <v>N/A</v>
      </c>
      <c r="F500" s="78">
        <f t="shared" si="65"/>
        <v>404</v>
      </c>
      <c r="G500" s="49" t="e">
        <f t="shared" si="66"/>
        <v>#VALUE!</v>
      </c>
      <c r="H500" s="6" t="str">
        <f xml:space="preserve"> [2]!'VTR.US-Price'</f>
        <v>N/A</v>
      </c>
      <c r="I500" s="6" t="str">
        <f xml:space="preserve"> [2]!'VTR.US-BestBid1'</f>
        <v>N/A</v>
      </c>
      <c r="J500" s="6" t="str">
        <f xml:space="preserve"> [2]!'VTR.US-BestAsk1'</f>
        <v>N/A</v>
      </c>
      <c r="K500" s="65" t="e">
        <f t="shared" si="60"/>
        <v>#VALUE!</v>
      </c>
      <c r="L500" s="65" t="e">
        <f t="shared" si="61"/>
        <v>#VALUE!</v>
      </c>
      <c r="M500" s="68" t="e">
        <f t="shared" si="62"/>
        <v>#VALUE!</v>
      </c>
      <c r="AC500" s="440" t="s">
        <v>3421</v>
      </c>
      <c r="AD500" s="441" t="s">
        <v>1095</v>
      </c>
      <c r="AE500" s="442">
        <v>0.06</v>
      </c>
      <c r="AF500" s="442">
        <v>404</v>
      </c>
    </row>
    <row r="501" spans="1:32" ht="43.8" thickBot="1">
      <c r="A501" s="24" t="e">
        <f t="shared" si="59"/>
        <v>#VALUE!</v>
      </c>
      <c r="B501" s="243" t="str">
        <f t="shared" si="63"/>
        <v>WALGREENS BOOTS ALLIANCE INC</v>
      </c>
      <c r="C501" s="25" t="str">
        <f t="shared" si="64"/>
        <v>WBA UQ</v>
      </c>
      <c r="D501" s="25">
        <v>1</v>
      </c>
      <c r="E501" s="6" t="str">
        <f xml:space="preserve"> [2]!'VZ.US-PreClose'</f>
        <v>N/A</v>
      </c>
      <c r="F501" s="78">
        <f t="shared" si="65"/>
        <v>4517</v>
      </c>
      <c r="G501" s="49" t="e">
        <f t="shared" si="66"/>
        <v>#VALUE!</v>
      </c>
      <c r="H501" s="6" t="str">
        <f xml:space="preserve"> [2]!'VZ.US-Price'</f>
        <v>N/A</v>
      </c>
      <c r="I501" s="6" t="str">
        <f xml:space="preserve"> [2]!'VZ.US-BestBid1'</f>
        <v>N/A</v>
      </c>
      <c r="J501" s="6" t="str">
        <f xml:space="preserve"> [2]!'VZ.US-BestAsk1'</f>
        <v>N/A</v>
      </c>
      <c r="K501" s="65" t="e">
        <f t="shared" si="60"/>
        <v>#VALUE!</v>
      </c>
      <c r="L501" s="65" t="e">
        <f t="shared" si="61"/>
        <v>#VALUE!</v>
      </c>
      <c r="M501" s="68" t="e">
        <f t="shared" si="62"/>
        <v>#VALUE!</v>
      </c>
      <c r="AC501" s="444" t="s">
        <v>3422</v>
      </c>
      <c r="AD501" s="445" t="s">
        <v>1096</v>
      </c>
      <c r="AE501" s="446">
        <v>0.17</v>
      </c>
      <c r="AF501" s="447">
        <v>4517</v>
      </c>
    </row>
    <row r="502" spans="1:32" ht="33" thickBot="1">
      <c r="A502" s="24" t="e">
        <f t="shared" si="59"/>
        <v>#REF!</v>
      </c>
      <c r="B502" s="243" t="str">
        <f t="shared" si="63"/>
        <v>WELLCARE HEALTH PLANS INC</v>
      </c>
      <c r="C502" s="25" t="str">
        <f t="shared" si="64"/>
        <v>WCG UN</v>
      </c>
      <c r="D502" s="25">
        <v>1</v>
      </c>
      <c r="E502" s="6" t="e">
        <f xml:space="preserve"> [2]!'WAT.US-PreClose'</f>
        <v>#REF!</v>
      </c>
      <c r="F502" s="78">
        <f t="shared" si="65"/>
        <v>292</v>
      </c>
      <c r="G502" s="49" t="e">
        <f t="shared" si="66"/>
        <v>#REF!</v>
      </c>
      <c r="H502" s="6" t="e">
        <f xml:space="preserve"> [2]!'WAT.US-Price'</f>
        <v>#REF!</v>
      </c>
      <c r="I502" s="6" t="e">
        <f xml:space="preserve"> [2]!'WAT.US-BestBid1'</f>
        <v>#REF!</v>
      </c>
      <c r="J502" s="6" t="e">
        <f xml:space="preserve"> [2]!'WAT.US-BestAsk1'</f>
        <v>#REF!</v>
      </c>
      <c r="K502" s="65" t="e">
        <f t="shared" si="60"/>
        <v>#REF!</v>
      </c>
      <c r="L502" s="65" t="e">
        <f t="shared" si="61"/>
        <v>#REF!</v>
      </c>
      <c r="M502" s="68" t="e">
        <f t="shared" si="62"/>
        <v>#REF!</v>
      </c>
      <c r="AC502" s="440" t="s">
        <v>3423</v>
      </c>
      <c r="AD502" s="441" t="s">
        <v>3424</v>
      </c>
      <c r="AE502" s="442">
        <v>0.06</v>
      </c>
      <c r="AF502" s="442">
        <v>292</v>
      </c>
    </row>
    <row r="503" spans="1:32" ht="33" thickBot="1">
      <c r="A503" s="24" t="e">
        <f t="shared" si="59"/>
        <v>#REF!</v>
      </c>
      <c r="B503" s="243" t="str">
        <f t="shared" si="63"/>
        <v>WESTERN DIGITAL CORP</v>
      </c>
      <c r="C503" s="25" t="str">
        <f t="shared" si="64"/>
        <v>WDC UQ</v>
      </c>
      <c r="D503" s="25">
        <v>1</v>
      </c>
      <c r="E503" s="6" t="e">
        <f xml:space="preserve"> [2]!'WBA.US-PreClose'</f>
        <v>#REF!</v>
      </c>
      <c r="F503" s="78">
        <f t="shared" si="65"/>
        <v>1703</v>
      </c>
      <c r="G503" s="49" t="e">
        <f t="shared" si="66"/>
        <v>#REF!</v>
      </c>
      <c r="H503" s="6" t="e">
        <f xml:space="preserve"> [2]!'WBA.US-Price'</f>
        <v>#REF!</v>
      </c>
      <c r="I503" s="6" t="e">
        <f xml:space="preserve"> [2]!'WBA.US-BestBid1'</f>
        <v>#REF!</v>
      </c>
      <c r="J503" s="6" t="e">
        <f xml:space="preserve"> [2]!'WBA.US-BestAsk1'</f>
        <v>#REF!</v>
      </c>
      <c r="K503" s="65" t="e">
        <f t="shared" si="60"/>
        <v>#REF!</v>
      </c>
      <c r="L503" s="65" t="e">
        <f t="shared" si="61"/>
        <v>#REF!</v>
      </c>
      <c r="M503" s="68" t="e">
        <f t="shared" si="62"/>
        <v>#REF!</v>
      </c>
      <c r="AC503" s="444" t="s">
        <v>3425</v>
      </c>
      <c r="AD503" s="445" t="s">
        <v>1097</v>
      </c>
      <c r="AE503" s="446">
        <v>0.06</v>
      </c>
      <c r="AF503" s="447">
        <v>1703</v>
      </c>
    </row>
    <row r="504" spans="1:32" ht="33" thickBot="1">
      <c r="A504" s="24" t="e">
        <f t="shared" si="59"/>
        <v>#REF!</v>
      </c>
      <c r="B504" s="243" t="str">
        <f t="shared" si="63"/>
        <v>WEC ENERGY GROUP INC</v>
      </c>
      <c r="C504" s="25" t="str">
        <f t="shared" si="64"/>
        <v>WEC UN</v>
      </c>
      <c r="D504" s="25">
        <v>1</v>
      </c>
      <c r="E504" s="6" t="e">
        <f xml:space="preserve"> [2]!'WDC.US-PreClose'</f>
        <v>#REF!</v>
      </c>
      <c r="F504" s="78">
        <f t="shared" si="65"/>
        <v>1833</v>
      </c>
      <c r="G504" s="49" t="e">
        <f t="shared" si="66"/>
        <v>#REF!</v>
      </c>
      <c r="H504" s="6" t="e">
        <f xml:space="preserve"> [2]!'WDC.US-Price'</f>
        <v>#REF!</v>
      </c>
      <c r="I504" s="6" t="e">
        <f xml:space="preserve"> [2]!'WDC.US-BestBid1'</f>
        <v>#REF!</v>
      </c>
      <c r="J504" s="6" t="e">
        <f xml:space="preserve"> [2]!'WDC.US-BestAsk1'</f>
        <v>#REF!</v>
      </c>
      <c r="K504" s="65" t="e">
        <f t="shared" si="60"/>
        <v>#REF!</v>
      </c>
      <c r="L504" s="65" t="e">
        <f t="shared" si="61"/>
        <v>#REF!</v>
      </c>
      <c r="M504" s="68" t="e">
        <f t="shared" si="62"/>
        <v>#REF!</v>
      </c>
      <c r="AC504" s="440" t="s">
        <v>3426</v>
      </c>
      <c r="AD504" s="441" t="s">
        <v>1098</v>
      </c>
      <c r="AE504" s="442">
        <v>0.11</v>
      </c>
      <c r="AF504" s="443">
        <v>1833</v>
      </c>
    </row>
    <row r="505" spans="1:32" ht="22.2" thickBot="1">
      <c r="A505" s="24" t="e">
        <f t="shared" si="59"/>
        <v>#REF!</v>
      </c>
      <c r="B505" s="243" t="str">
        <f t="shared" si="63"/>
        <v>WELLTOWER INC</v>
      </c>
      <c r="C505" s="25" t="str">
        <f t="shared" si="64"/>
        <v>WELL UN</v>
      </c>
      <c r="D505" s="25">
        <v>1</v>
      </c>
      <c r="E505" s="6" t="e">
        <f xml:space="preserve"> [2]!'WEC.US-PreClose'</f>
        <v>#REF!</v>
      </c>
      <c r="F505" s="78">
        <f t="shared" si="65"/>
        <v>2354</v>
      </c>
      <c r="G505" s="49" t="e">
        <f t="shared" si="66"/>
        <v>#REF!</v>
      </c>
      <c r="H505" s="6" t="e">
        <f xml:space="preserve"> [2]!'WEC.US-Price'</f>
        <v>#REF!</v>
      </c>
      <c r="I505" s="6" t="e">
        <f xml:space="preserve"> [2]!'WEC.US-BestBid1'</f>
        <v>#REF!</v>
      </c>
      <c r="J505" s="6" t="e">
        <f xml:space="preserve"> [2]!'WEC.US-BestAsk1'</f>
        <v>#REF!</v>
      </c>
      <c r="K505" s="65" t="e">
        <f t="shared" si="60"/>
        <v>#REF!</v>
      </c>
      <c r="L505" s="65" t="e">
        <f t="shared" si="61"/>
        <v>#REF!</v>
      </c>
      <c r="M505" s="68" t="e">
        <f t="shared" si="62"/>
        <v>#REF!</v>
      </c>
      <c r="AC505" s="444" t="s">
        <v>3427</v>
      </c>
      <c r="AD505" s="445" t="s">
        <v>863</v>
      </c>
      <c r="AE505" s="446">
        <v>0.13</v>
      </c>
      <c r="AF505" s="447">
        <v>2354</v>
      </c>
    </row>
    <row r="506" spans="1:32" ht="33" thickBot="1">
      <c r="A506" s="24" t="e">
        <f t="shared" si="59"/>
        <v>#REF!</v>
      </c>
      <c r="B506" s="243" t="str">
        <f t="shared" si="63"/>
        <v>WELLS FARGO &amp; CO</v>
      </c>
      <c r="C506" s="25" t="str">
        <f t="shared" si="64"/>
        <v>WFC UN</v>
      </c>
      <c r="D506" s="25">
        <v>1</v>
      </c>
      <c r="E506" s="6" t="e">
        <f xml:space="preserve"> [2]!'WFC.US-PreClose'</f>
        <v>#REF!</v>
      </c>
      <c r="F506" s="78">
        <f t="shared" si="65"/>
        <v>23511</v>
      </c>
      <c r="G506" s="49" t="e">
        <f t="shared" si="66"/>
        <v>#REF!</v>
      </c>
      <c r="H506" s="6" t="e">
        <f xml:space="preserve"> [2]!'WFC.US-Price'</f>
        <v>#REF!</v>
      </c>
      <c r="I506" s="6" t="e">
        <f xml:space="preserve"> [2]!'WFC.US-BestBid1'</f>
        <v>#REF!</v>
      </c>
      <c r="J506" s="6" t="e">
        <f xml:space="preserve"> [2]!'WFC.US-BestAsk1'</f>
        <v>#REF!</v>
      </c>
      <c r="K506" s="65" t="e">
        <f t="shared" si="60"/>
        <v>#REF!</v>
      </c>
      <c r="L506" s="65" t="e">
        <f t="shared" si="61"/>
        <v>#REF!</v>
      </c>
      <c r="M506" s="68" t="e">
        <f t="shared" si="62"/>
        <v>#REF!</v>
      </c>
      <c r="AC506" s="440" t="s">
        <v>3428</v>
      </c>
      <c r="AD506" s="441" t="s">
        <v>1099</v>
      </c>
      <c r="AE506" s="442">
        <v>0.74</v>
      </c>
      <c r="AF506" s="443">
        <v>23511</v>
      </c>
    </row>
    <row r="507" spans="1:32" ht="22.2" thickBot="1">
      <c r="A507" s="24" t="e">
        <f t="shared" si="59"/>
        <v>#REF!</v>
      </c>
      <c r="B507" s="243" t="str">
        <f t="shared" si="63"/>
        <v>WHIRLPOOL CORP</v>
      </c>
      <c r="C507" s="25" t="str">
        <f t="shared" si="64"/>
        <v>WHR UN</v>
      </c>
      <c r="D507" s="25">
        <v>1</v>
      </c>
      <c r="E507" s="6" t="e">
        <f xml:space="preserve"> [2]!'WHR.US-PreClose'</f>
        <v>#REF!</v>
      </c>
      <c r="F507" s="78">
        <f t="shared" si="65"/>
        <v>368</v>
      </c>
      <c r="G507" s="49" t="e">
        <f t="shared" si="66"/>
        <v>#REF!</v>
      </c>
      <c r="H507" s="6" t="e">
        <f xml:space="preserve"> [2]!'WHR.US-Price'</f>
        <v>#REF!</v>
      </c>
      <c r="I507" s="6" t="e">
        <f xml:space="preserve"> [2]!'WHR.US-BestBid1'</f>
        <v>#REF!</v>
      </c>
      <c r="J507" s="6" t="e">
        <f xml:space="preserve"> [2]!'WHR.US-BestAsk1'</f>
        <v>#REF!</v>
      </c>
      <c r="K507" s="65" t="e">
        <f t="shared" si="60"/>
        <v>#REF!</v>
      </c>
      <c r="L507" s="65" t="e">
        <f t="shared" si="61"/>
        <v>#REF!</v>
      </c>
      <c r="M507" s="68" t="e">
        <f t="shared" si="62"/>
        <v>#REF!</v>
      </c>
      <c r="AC507" s="444" t="s">
        <v>3429</v>
      </c>
      <c r="AD507" s="445" t="s">
        <v>1100</v>
      </c>
      <c r="AE507" s="446">
        <v>0.04</v>
      </c>
      <c r="AF507" s="446">
        <v>368</v>
      </c>
    </row>
    <row r="508" spans="1:32" ht="43.8" thickBot="1">
      <c r="A508" s="24" t="e">
        <f t="shared" si="59"/>
        <v>#REF!</v>
      </c>
      <c r="B508" s="243" t="str">
        <f t="shared" si="63"/>
        <v>WILLIS TOWERS WATSON PLC</v>
      </c>
      <c r="C508" s="25" t="str">
        <f t="shared" si="64"/>
        <v>WLTW UQ</v>
      </c>
      <c r="D508" s="25">
        <v>1</v>
      </c>
      <c r="E508" s="6" t="e">
        <f xml:space="preserve"> [2]!'WLTW.US-PreClose'</f>
        <v>#REF!</v>
      </c>
      <c r="F508" s="78">
        <f t="shared" si="65"/>
        <v>751</v>
      </c>
      <c r="G508" s="49" t="e">
        <f t="shared" si="66"/>
        <v>#REF!</v>
      </c>
      <c r="H508" s="6" t="e">
        <f xml:space="preserve"> [2]!'WLTW.US-Price'</f>
        <v>#REF!</v>
      </c>
      <c r="I508" s="6" t="e">
        <f xml:space="preserve"> [2]!'WLTW.US-BestBid1'</f>
        <v>#REF!</v>
      </c>
      <c r="J508" s="6" t="e">
        <f xml:space="preserve"> [2]!'WLTW.US-BestAsk1'</f>
        <v>#REF!</v>
      </c>
      <c r="K508" s="65" t="e">
        <f t="shared" si="60"/>
        <v>#REF!</v>
      </c>
      <c r="L508" s="65" t="e">
        <f t="shared" si="61"/>
        <v>#REF!</v>
      </c>
      <c r="M508" s="68" t="e">
        <f t="shared" si="62"/>
        <v>#REF!</v>
      </c>
      <c r="AC508" s="440" t="s">
        <v>3430</v>
      </c>
      <c r="AD508" s="441" t="s">
        <v>1101</v>
      </c>
      <c r="AE508" s="442">
        <v>0.1</v>
      </c>
      <c r="AF508" s="442">
        <v>751</v>
      </c>
    </row>
    <row r="509" spans="1:32" ht="33" thickBot="1">
      <c r="A509" s="24" t="e">
        <f t="shared" si="59"/>
        <v>#REF!</v>
      </c>
      <c r="B509" s="243" t="str">
        <f t="shared" si="63"/>
        <v>WASTE MANAGEMENT INC</v>
      </c>
      <c r="C509" s="25" t="str">
        <f t="shared" si="64"/>
        <v>WM UN</v>
      </c>
      <c r="D509" s="25">
        <v>1</v>
      </c>
      <c r="E509" s="6" t="e">
        <f xml:space="preserve"> [2]!'WM.US-PreClose'</f>
        <v>#REF!</v>
      </c>
      <c r="F509" s="78">
        <f t="shared" si="65"/>
        <v>2271</v>
      </c>
      <c r="G509" s="49" t="e">
        <f t="shared" si="66"/>
        <v>#REF!</v>
      </c>
      <c r="H509" s="6" t="e">
        <f xml:space="preserve"> [2]!'WM.US-Price'</f>
        <v>#REF!</v>
      </c>
      <c r="I509" s="6" t="e">
        <f xml:space="preserve"> [2]!'WM.US-BestBid1'</f>
        <v>#REF!</v>
      </c>
      <c r="J509" s="6" t="e">
        <f xml:space="preserve"> [2]!'WM.US-BestAsk1'</f>
        <v>#REF!</v>
      </c>
      <c r="K509" s="65" t="e">
        <f t="shared" si="60"/>
        <v>#REF!</v>
      </c>
      <c r="L509" s="65" t="e">
        <f t="shared" si="61"/>
        <v>#REF!</v>
      </c>
      <c r="M509" s="68" t="e">
        <f t="shared" si="62"/>
        <v>#REF!</v>
      </c>
      <c r="AC509" s="444" t="s">
        <v>3431</v>
      </c>
      <c r="AD509" s="445" t="s">
        <v>1102</v>
      </c>
      <c r="AE509" s="446">
        <v>0.18</v>
      </c>
      <c r="AF509" s="447">
        <v>2271</v>
      </c>
    </row>
    <row r="510" spans="1:32" ht="22.2" thickBot="1">
      <c r="A510" s="24" t="e">
        <f t="shared" si="59"/>
        <v>#REF!</v>
      </c>
      <c r="B510" s="243" t="str">
        <f t="shared" si="63"/>
        <v>WILLIAMS COS INC</v>
      </c>
      <c r="C510" s="25" t="str">
        <f t="shared" si="64"/>
        <v>WMB UN</v>
      </c>
      <c r="D510" s="25">
        <v>1</v>
      </c>
      <c r="E510" s="6" t="e">
        <f xml:space="preserve"> [2]!'WMB.US-PreClose'</f>
        <v>#REF!</v>
      </c>
      <c r="F510" s="78">
        <f t="shared" si="65"/>
        <v>7043</v>
      </c>
      <c r="G510" s="49" t="e">
        <f t="shared" si="66"/>
        <v>#REF!</v>
      </c>
      <c r="H510" s="6" t="e">
        <f xml:space="preserve"> [2]!'WMB.US-Price'</f>
        <v>#REF!</v>
      </c>
      <c r="I510" s="6" t="e">
        <f xml:space="preserve"> [2]!'WMB.US-BestBid1'</f>
        <v>#REF!</v>
      </c>
      <c r="J510" s="6" t="e">
        <f xml:space="preserve"> [2]!'WMB.US-BestAsk1'</f>
        <v>#REF!</v>
      </c>
      <c r="K510" s="65" t="e">
        <f t="shared" si="60"/>
        <v>#REF!</v>
      </c>
      <c r="L510" s="65" t="e">
        <f t="shared" si="61"/>
        <v>#REF!</v>
      </c>
      <c r="M510" s="68" t="e">
        <f t="shared" si="62"/>
        <v>#REF!</v>
      </c>
      <c r="AC510" s="440" t="s">
        <v>3432</v>
      </c>
      <c r="AD510" s="441" t="s">
        <v>1103</v>
      </c>
      <c r="AE510" s="442">
        <v>0.14000000000000001</v>
      </c>
      <c r="AF510" s="443">
        <v>7043</v>
      </c>
    </row>
    <row r="511" spans="1:32" ht="22.2" thickBot="1">
      <c r="A511" s="24" t="e">
        <f t="shared" si="59"/>
        <v>#VALUE!</v>
      </c>
      <c r="B511" s="243" t="str">
        <f t="shared" si="63"/>
        <v>WALMART INC</v>
      </c>
      <c r="C511" s="25" t="str">
        <f t="shared" si="64"/>
        <v>WMT UN</v>
      </c>
      <c r="D511" s="25">
        <v>1</v>
      </c>
      <c r="E511" s="6" t="str">
        <f xml:space="preserve"> [2]!'WMT.US-PreClose'</f>
        <v>N/A</v>
      </c>
      <c r="F511" s="78">
        <f t="shared" si="65"/>
        <v>8131</v>
      </c>
      <c r="G511" s="49" t="e">
        <f t="shared" si="66"/>
        <v>#VALUE!</v>
      </c>
      <c r="H511" s="6" t="str">
        <f xml:space="preserve"> [2]!'WMT.US-Price'</f>
        <v>N/A</v>
      </c>
      <c r="I511" s="6" t="str">
        <f xml:space="preserve"> [2]!'WMT.US-BestBid1'</f>
        <v>N/A</v>
      </c>
      <c r="J511" s="6" t="str">
        <f xml:space="preserve"> [2]!'WMT.US-BestAsk1'</f>
        <v>N/A</v>
      </c>
      <c r="K511" s="65" t="e">
        <f t="shared" si="60"/>
        <v>#VALUE!</v>
      </c>
      <c r="L511" s="65" t="e">
        <f t="shared" si="61"/>
        <v>#VALUE!</v>
      </c>
      <c r="M511" s="68" t="e">
        <f t="shared" si="62"/>
        <v>#VALUE!</v>
      </c>
      <c r="AC511" s="444" t="s">
        <v>3433</v>
      </c>
      <c r="AD511" s="445" t="s">
        <v>3434</v>
      </c>
      <c r="AE511" s="446">
        <v>0.62</v>
      </c>
      <c r="AF511" s="447">
        <v>8131</v>
      </c>
    </row>
    <row r="512" spans="1:32" ht="22.2" thickBot="1">
      <c r="A512" s="24" t="e">
        <f t="shared" si="59"/>
        <v>#REF!</v>
      </c>
      <c r="B512" s="243" t="str">
        <f t="shared" si="63"/>
        <v>WESTROCK CO</v>
      </c>
      <c r="C512" s="25" t="str">
        <f t="shared" si="64"/>
        <v>WRK UN</v>
      </c>
      <c r="D512" s="25">
        <v>1</v>
      </c>
      <c r="E512" s="6" t="e">
        <f xml:space="preserve"> [2]!'WRK.US-PreClose'</f>
        <v>#REF!</v>
      </c>
      <c r="F512" s="78">
        <f t="shared" si="65"/>
        <v>1494</v>
      </c>
      <c r="G512" s="49" t="e">
        <f t="shared" si="66"/>
        <v>#REF!</v>
      </c>
      <c r="H512" s="6" t="e">
        <f xml:space="preserve"> [2]!'WRK.US-Price'</f>
        <v>#REF!</v>
      </c>
      <c r="I512" s="6" t="e">
        <f xml:space="preserve"> [2]!'WRK.US-BestBid1'</f>
        <v>#REF!</v>
      </c>
      <c r="J512" s="6" t="e">
        <f xml:space="preserve"> [2]!'WRK.US-BestAsk1'</f>
        <v>#REF!</v>
      </c>
      <c r="K512" s="65" t="e">
        <f t="shared" si="60"/>
        <v>#REF!</v>
      </c>
      <c r="L512" s="65" t="e">
        <f t="shared" si="61"/>
        <v>#REF!</v>
      </c>
      <c r="M512" s="68" t="e">
        <f t="shared" si="62"/>
        <v>#REF!</v>
      </c>
      <c r="AC512" s="440" t="s">
        <v>3435</v>
      </c>
      <c r="AD512" s="441" t="s">
        <v>1104</v>
      </c>
      <c r="AE512" s="442">
        <v>0.04</v>
      </c>
      <c r="AF512" s="443">
        <v>1494</v>
      </c>
    </row>
    <row r="513" spans="1:32" ht="22.2" thickBot="1">
      <c r="A513" s="24" t="e">
        <f t="shared" si="59"/>
        <v>#VALUE!</v>
      </c>
      <c r="B513" s="243" t="str">
        <f t="shared" si="63"/>
        <v>WESTERN UNION CO</v>
      </c>
      <c r="C513" s="25" t="str">
        <f t="shared" si="64"/>
        <v>WU UN</v>
      </c>
      <c r="D513" s="25">
        <v>1</v>
      </c>
      <c r="E513" s="6" t="str">
        <f xml:space="preserve"> [2]!'WU.US-PreClose'</f>
        <v>N/A</v>
      </c>
      <c r="F513" s="78">
        <f t="shared" si="65"/>
        <v>2503</v>
      </c>
      <c r="G513" s="49" t="e">
        <f t="shared" si="66"/>
        <v>#VALUE!</v>
      </c>
      <c r="H513" s="6" t="str">
        <f xml:space="preserve"> [2]!'WU.US-Price'</f>
        <v>N/A</v>
      </c>
      <c r="I513" s="6" t="str">
        <f xml:space="preserve"> [2]!'WU.US-BestBid1'</f>
        <v>N/A</v>
      </c>
      <c r="J513" s="6" t="str">
        <f xml:space="preserve"> [2]!'WU.US-BestAsk1'</f>
        <v>N/A</v>
      </c>
      <c r="K513" s="65" t="e">
        <f t="shared" si="60"/>
        <v>#VALUE!</v>
      </c>
      <c r="L513" s="65" t="e">
        <f t="shared" si="61"/>
        <v>#VALUE!</v>
      </c>
      <c r="M513" s="68" t="e">
        <f t="shared" si="62"/>
        <v>#VALUE!</v>
      </c>
      <c r="AC513" s="444" t="s">
        <v>3436</v>
      </c>
      <c r="AD513" s="445" t="s">
        <v>1105</v>
      </c>
      <c r="AE513" s="446">
        <v>0.03</v>
      </c>
      <c r="AF513" s="447">
        <v>2503</v>
      </c>
    </row>
    <row r="514" spans="1:32" ht="22.2" thickBot="1">
      <c r="A514" s="24" t="e">
        <f t="shared" si="59"/>
        <v>#REF!</v>
      </c>
      <c r="B514" s="243" t="str">
        <f t="shared" si="63"/>
        <v>WEYERHAEUSER CO</v>
      </c>
      <c r="C514" s="25" t="str">
        <f t="shared" si="64"/>
        <v>WY UN</v>
      </c>
      <c r="D514" s="25">
        <v>1</v>
      </c>
      <c r="E514" s="6" t="e">
        <f xml:space="preserve"> [2]!'WY.US-PreClose'</f>
        <v>#REF!</v>
      </c>
      <c r="F514" s="78">
        <f t="shared" si="65"/>
        <v>4329</v>
      </c>
      <c r="G514" s="49" t="e">
        <f t="shared" si="66"/>
        <v>#REF!</v>
      </c>
      <c r="H514" s="6" t="e">
        <f xml:space="preserve"> [2]!'WY.US-Price'</f>
        <v>#REF!</v>
      </c>
      <c r="I514" s="6" t="e">
        <f xml:space="preserve"> [2]!'WY.US-BestBid1'</f>
        <v>#REF!</v>
      </c>
      <c r="J514" s="6" t="e">
        <f xml:space="preserve"> [2]!'WY.US-BestAsk1'</f>
        <v>#REF!</v>
      </c>
      <c r="K514" s="65" t="e">
        <f t="shared" si="60"/>
        <v>#REF!</v>
      </c>
      <c r="L514" s="65" t="e">
        <f t="shared" si="61"/>
        <v>#REF!</v>
      </c>
      <c r="M514" s="68" t="e">
        <f t="shared" si="62"/>
        <v>#REF!</v>
      </c>
      <c r="AC514" s="440" t="s">
        <v>3437</v>
      </c>
      <c r="AD514" s="441" t="s">
        <v>1106</v>
      </c>
      <c r="AE514" s="442">
        <v>7.0000000000000007E-2</v>
      </c>
      <c r="AF514" s="443">
        <v>4329</v>
      </c>
    </row>
    <row r="515" spans="1:32" ht="33" thickBot="1">
      <c r="A515" s="24" t="e">
        <f t="shared" si="59"/>
        <v>#REF!</v>
      </c>
      <c r="B515" s="243" t="str">
        <f t="shared" si="63"/>
        <v>WYNN RESORTS LTD</v>
      </c>
      <c r="C515" s="25" t="str">
        <f t="shared" si="64"/>
        <v>WYNN UQ</v>
      </c>
      <c r="D515" s="25">
        <v>1</v>
      </c>
      <c r="E515" s="6" t="e">
        <f xml:space="preserve"> [2]!'WYN.US-PreClose'</f>
        <v>#REF!</v>
      </c>
      <c r="F515" s="78">
        <f t="shared" si="65"/>
        <v>563</v>
      </c>
      <c r="G515" s="49" t="e">
        <f t="shared" si="66"/>
        <v>#REF!</v>
      </c>
      <c r="H515" s="6" t="e">
        <f xml:space="preserve"> [2]!'WYN.US-Price'</f>
        <v>#REF!</v>
      </c>
      <c r="I515" s="6" t="e">
        <f xml:space="preserve"> [2]!'WYN.US-BestBid1'</f>
        <v>#REF!</v>
      </c>
      <c r="J515" s="6" t="e">
        <f xml:space="preserve"> [2]!'WYN.US-BestAsk1'</f>
        <v>#REF!</v>
      </c>
      <c r="K515" s="65" t="e">
        <f t="shared" si="60"/>
        <v>#REF!</v>
      </c>
      <c r="L515" s="65" t="e">
        <f t="shared" si="61"/>
        <v>#REF!</v>
      </c>
      <c r="M515" s="68" t="e">
        <f t="shared" si="62"/>
        <v>#REF!</v>
      </c>
      <c r="AC515" s="444" t="s">
        <v>3438</v>
      </c>
      <c r="AD515" s="445" t="s">
        <v>1107</v>
      </c>
      <c r="AE515" s="446">
        <v>0.05</v>
      </c>
      <c r="AF515" s="446">
        <v>563</v>
      </c>
    </row>
    <row r="516" spans="1:32" ht="22.2" thickBot="1">
      <c r="A516" s="24" t="e">
        <f t="shared" si="59"/>
        <v>#REF!</v>
      </c>
      <c r="B516" s="243" t="str">
        <f t="shared" si="63"/>
        <v>CIMAREX ENERGY CO</v>
      </c>
      <c r="C516" s="25" t="str">
        <f t="shared" si="64"/>
        <v>XEC UN</v>
      </c>
      <c r="D516" s="25">
        <v>1</v>
      </c>
      <c r="E516" s="6" t="e">
        <f xml:space="preserve"> [2]!'WYNN.US-PreClose'</f>
        <v>#REF!</v>
      </c>
      <c r="F516" s="78">
        <f t="shared" si="65"/>
        <v>590</v>
      </c>
      <c r="G516" s="49" t="e">
        <f t="shared" si="66"/>
        <v>#REF!</v>
      </c>
      <c r="H516" s="6" t="e">
        <f xml:space="preserve"> [2]!'WYNN.US-Price'</f>
        <v>#REF!</v>
      </c>
      <c r="I516" s="6" t="e">
        <f xml:space="preserve"> [2]!'WYNN.US-BestBid1'</f>
        <v>#REF!</v>
      </c>
      <c r="J516" s="6" t="e">
        <f xml:space="preserve"> [2]!'WYNN.US-BestAsk1'</f>
        <v>#REF!</v>
      </c>
      <c r="K516" s="65" t="e">
        <f t="shared" si="60"/>
        <v>#REF!</v>
      </c>
      <c r="L516" s="65" t="e">
        <f t="shared" si="61"/>
        <v>#REF!</v>
      </c>
      <c r="M516" s="68" t="e">
        <f t="shared" si="62"/>
        <v>#REF!</v>
      </c>
      <c r="AC516" s="440" t="s">
        <v>3439</v>
      </c>
      <c r="AD516" s="441" t="s">
        <v>1108</v>
      </c>
      <c r="AE516" s="442">
        <v>0.02</v>
      </c>
      <c r="AF516" s="442">
        <v>590</v>
      </c>
    </row>
    <row r="517" spans="1:32" ht="33" thickBot="1">
      <c r="A517" s="24" t="e">
        <f t="shared" si="59"/>
        <v>#REF!</v>
      </c>
      <c r="B517" s="243" t="str">
        <f t="shared" si="63"/>
        <v>XCEL ENERGY INC</v>
      </c>
      <c r="C517" s="25" t="str">
        <f t="shared" si="64"/>
        <v>XEL UQ</v>
      </c>
      <c r="D517" s="25">
        <v>1</v>
      </c>
      <c r="E517" s="6" t="e">
        <f xml:space="preserve"> [2]!'XEC.US-PreClose'</f>
        <v>#REF!</v>
      </c>
      <c r="F517" s="78">
        <f t="shared" si="65"/>
        <v>2992</v>
      </c>
      <c r="G517" s="49" t="e">
        <f t="shared" si="66"/>
        <v>#REF!</v>
      </c>
      <c r="H517" s="6" t="e">
        <f xml:space="preserve"> [2]!'XEC.US-Price'</f>
        <v>#REF!</v>
      </c>
      <c r="I517" s="6" t="e">
        <f xml:space="preserve"> [2]!'XEC.US-BestBid1'</f>
        <v>#REF!</v>
      </c>
      <c r="J517" s="6" t="e">
        <f xml:space="preserve"> [2]!'XEC.US-BestAsk1'</f>
        <v>#REF!</v>
      </c>
      <c r="K517" s="65" t="e">
        <f t="shared" si="60"/>
        <v>#REF!</v>
      </c>
      <c r="L517" s="65" t="e">
        <f t="shared" si="61"/>
        <v>#REF!</v>
      </c>
      <c r="M517" s="68" t="e">
        <f t="shared" si="62"/>
        <v>#REF!</v>
      </c>
      <c r="AC517" s="444" t="s">
        <v>3440</v>
      </c>
      <c r="AD517" s="445" t="s">
        <v>1109</v>
      </c>
      <c r="AE517" s="446">
        <v>0.12</v>
      </c>
      <c r="AF517" s="447">
        <v>2992</v>
      </c>
    </row>
    <row r="518" spans="1:32" ht="16.8" thickBot="1">
      <c r="A518" s="24" t="e">
        <f t="shared" si="59"/>
        <v>#REF!</v>
      </c>
      <c r="B518" s="243" t="str">
        <f t="shared" si="63"/>
        <v>XILINX INC</v>
      </c>
      <c r="C518" s="25" t="str">
        <f t="shared" si="64"/>
        <v>XLNX UQ</v>
      </c>
      <c r="D518" s="25">
        <v>1</v>
      </c>
      <c r="E518" s="6" t="e">
        <f xml:space="preserve"> [2]!'XEL.US-PreClose'</f>
        <v>#REF!</v>
      </c>
      <c r="F518" s="78">
        <f t="shared" si="65"/>
        <v>1476</v>
      </c>
      <c r="G518" s="49" t="e">
        <f t="shared" si="66"/>
        <v>#REF!</v>
      </c>
      <c r="H518" s="6" t="e">
        <f xml:space="preserve"> [2]!'XEL.US-Price'</f>
        <v>#REF!</v>
      </c>
      <c r="I518" s="6" t="e">
        <f xml:space="preserve"> [2]!'XEL.US-BestBid1'</f>
        <v>#REF!</v>
      </c>
      <c r="J518" s="6" t="e">
        <f xml:space="preserve"> [2]!'XEL.US-BestAsk1'</f>
        <v>#REF!</v>
      </c>
      <c r="K518" s="65" t="e">
        <f t="shared" si="60"/>
        <v>#REF!</v>
      </c>
      <c r="L518" s="65" t="e">
        <f t="shared" si="61"/>
        <v>#REF!</v>
      </c>
      <c r="M518" s="68" t="e">
        <f t="shared" si="62"/>
        <v>#REF!</v>
      </c>
      <c r="AC518" s="440" t="s">
        <v>3441</v>
      </c>
      <c r="AD518" s="441" t="s">
        <v>1110</v>
      </c>
      <c r="AE518" s="442">
        <v>0.12</v>
      </c>
      <c r="AF518" s="443">
        <v>1476</v>
      </c>
    </row>
    <row r="519" spans="1:32" ht="33" thickBot="1">
      <c r="A519" s="24" t="e">
        <f t="shared" si="59"/>
        <v>#REF!</v>
      </c>
      <c r="B519" s="243" t="str">
        <f t="shared" si="63"/>
        <v>EXXON MOBIL CORP</v>
      </c>
      <c r="C519" s="25" t="str">
        <f t="shared" si="64"/>
        <v>XOM UN</v>
      </c>
      <c r="D519" s="25">
        <v>1</v>
      </c>
      <c r="E519" s="6" t="e">
        <f xml:space="preserve"> [2]!'XL.US-PreClose'</f>
        <v>#REF!</v>
      </c>
      <c r="F519" s="78">
        <f t="shared" si="65"/>
        <v>24593</v>
      </c>
      <c r="G519" s="49" t="e">
        <f t="shared" si="66"/>
        <v>#REF!</v>
      </c>
      <c r="H519" s="6" t="e">
        <f xml:space="preserve"> [2]!'XL.US-Price'</f>
        <v>#REF!</v>
      </c>
      <c r="I519" s="6" t="e">
        <f xml:space="preserve"> [2]!'XL.US-BestBid1'</f>
        <v>#REF!</v>
      </c>
      <c r="J519" s="6" t="e">
        <f xml:space="preserve"> [2]!'XL.US-BestAsk1'</f>
        <v>#REF!</v>
      </c>
      <c r="K519" s="65" t="e">
        <f t="shared" si="60"/>
        <v>#REF!</v>
      </c>
      <c r="L519" s="65" t="e">
        <f t="shared" si="61"/>
        <v>#REF!</v>
      </c>
      <c r="M519" s="68" t="e">
        <f t="shared" si="62"/>
        <v>#REF!</v>
      </c>
      <c r="AC519" s="444" t="s">
        <v>3442</v>
      </c>
      <c r="AD519" s="445" t="s">
        <v>1111</v>
      </c>
      <c r="AE519" s="446">
        <v>1.27</v>
      </c>
      <c r="AF519" s="447">
        <v>24593</v>
      </c>
    </row>
    <row r="520" spans="1:32" ht="33" thickBot="1">
      <c r="A520" s="24" t="e">
        <f t="shared" si="59"/>
        <v>#REF!</v>
      </c>
      <c r="B520" s="243" t="str">
        <f t="shared" si="63"/>
        <v>DENTSPLY SIRONA INC</v>
      </c>
      <c r="C520" s="25" t="str">
        <f t="shared" si="64"/>
        <v>XRAY UQ</v>
      </c>
      <c r="D520" s="25">
        <v>1</v>
      </c>
      <c r="E520" s="6" t="e">
        <f xml:space="preserve"> [2]!'XLNX.US-PreClose'</f>
        <v>#REF!</v>
      </c>
      <c r="F520" s="78">
        <f t="shared" si="65"/>
        <v>1360</v>
      </c>
      <c r="G520" s="49" t="e">
        <f t="shared" si="66"/>
        <v>#REF!</v>
      </c>
      <c r="H520" s="6" t="e">
        <f xml:space="preserve"> [2]!'XLNX.US-Price'</f>
        <v>#REF!</v>
      </c>
      <c r="I520" s="6" t="e">
        <f xml:space="preserve"> [2]!'XLNX.US-BestBid1'</f>
        <v>#REF!</v>
      </c>
      <c r="J520" s="6" t="e">
        <f xml:space="preserve"> [2]!'XLNX.US-BestAsk1'</f>
        <v>#REF!</v>
      </c>
      <c r="K520" s="65" t="e">
        <f t="shared" si="60"/>
        <v>#REF!</v>
      </c>
      <c r="L520" s="65" t="e">
        <f t="shared" si="61"/>
        <v>#REF!</v>
      </c>
      <c r="M520" s="68" t="e">
        <f t="shared" si="62"/>
        <v>#REF!</v>
      </c>
      <c r="AC520" s="440" t="s">
        <v>3443</v>
      </c>
      <c r="AD520" s="441" t="s">
        <v>1112</v>
      </c>
      <c r="AE520" s="442">
        <v>0.05</v>
      </c>
      <c r="AF520" s="443">
        <v>1360</v>
      </c>
    </row>
    <row r="521" spans="1:32" ht="22.2" thickBot="1">
      <c r="A521" s="24" t="e">
        <f t="shared" si="59"/>
        <v>#VALUE!</v>
      </c>
      <c r="B521" s="243" t="str">
        <f t="shared" si="63"/>
        <v>XEROX CORP</v>
      </c>
      <c r="C521" s="25" t="str">
        <f t="shared" si="64"/>
        <v>XRX UN</v>
      </c>
      <c r="D521" s="25">
        <v>1</v>
      </c>
      <c r="E521" s="6" t="str">
        <f xml:space="preserve"> [2]!'XOM.US-PreClose'</f>
        <v>N/A</v>
      </c>
      <c r="F521" s="78">
        <f t="shared" si="65"/>
        <v>1136</v>
      </c>
      <c r="G521" s="49" t="e">
        <f t="shared" si="66"/>
        <v>#VALUE!</v>
      </c>
      <c r="H521" s="6" t="str">
        <f xml:space="preserve"> [2]!'XOM.US-Price'</f>
        <v>N/A</v>
      </c>
      <c r="I521" s="6" t="str">
        <f xml:space="preserve"> [2]!'XOM.US-BestBid1'</f>
        <v>N/A</v>
      </c>
      <c r="J521" s="6" t="str">
        <f xml:space="preserve"> [2]!'XOM.US-BestAsk1'</f>
        <v>N/A</v>
      </c>
      <c r="K521" s="65" t="e">
        <f t="shared" si="60"/>
        <v>#VALUE!</v>
      </c>
      <c r="L521" s="65" t="e">
        <f t="shared" si="61"/>
        <v>#VALUE!</v>
      </c>
      <c r="M521" s="68" t="e">
        <f t="shared" si="62"/>
        <v>#VALUE!</v>
      </c>
      <c r="AC521" s="444" t="s">
        <v>3444</v>
      </c>
      <c r="AD521" s="445" t="s">
        <v>1113</v>
      </c>
      <c r="AE521" s="446">
        <v>0.03</v>
      </c>
      <c r="AF521" s="447">
        <v>1136</v>
      </c>
    </row>
    <row r="522" spans="1:32" ht="16.8" thickBot="1">
      <c r="A522" s="24" t="e">
        <f t="shared" si="59"/>
        <v>#REF!</v>
      </c>
      <c r="B522" s="243" t="str">
        <f t="shared" si="63"/>
        <v>XYLEM INC</v>
      </c>
      <c r="C522" s="25" t="str">
        <f t="shared" si="64"/>
        <v>XYL UN</v>
      </c>
      <c r="D522" s="25">
        <v>1</v>
      </c>
      <c r="E522" s="6" t="e">
        <f xml:space="preserve"> [2]!'XRAY.US-PreClose'</f>
        <v>#REF!</v>
      </c>
      <c r="F522" s="78">
        <f t="shared" si="65"/>
        <v>1046</v>
      </c>
      <c r="G522" s="49" t="e">
        <f t="shared" si="66"/>
        <v>#REF!</v>
      </c>
      <c r="H522" s="6" t="e">
        <f xml:space="preserve"> [2]!'XRAY.US-Price'</f>
        <v>#REF!</v>
      </c>
      <c r="I522" s="6" t="e">
        <f xml:space="preserve"> [2]!'XRAY.US-BestBid1'</f>
        <v>#REF!</v>
      </c>
      <c r="J522" s="6" t="e">
        <f xml:space="preserve"> [2]!'XRAY.US-BestAsk1'</f>
        <v>#REF!</v>
      </c>
      <c r="K522" s="65" t="e">
        <f t="shared" si="60"/>
        <v>#REF!</v>
      </c>
      <c r="L522" s="65" t="e">
        <f t="shared" si="61"/>
        <v>#REF!</v>
      </c>
      <c r="M522" s="68" t="e">
        <f t="shared" si="62"/>
        <v>#REF!</v>
      </c>
      <c r="AC522" s="440" t="s">
        <v>3445</v>
      </c>
      <c r="AD522" s="441" t="s">
        <v>1114</v>
      </c>
      <c r="AE522" s="442">
        <v>0.06</v>
      </c>
      <c r="AF522" s="443">
        <v>1046</v>
      </c>
    </row>
    <row r="523" spans="1:32" ht="33" thickBot="1">
      <c r="A523" s="24" t="e">
        <f t="shared" si="59"/>
        <v>#REF!</v>
      </c>
      <c r="B523" s="243" t="str">
        <f t="shared" si="63"/>
        <v>YUM! BRANDS INC</v>
      </c>
      <c r="C523" s="25" t="str">
        <f t="shared" si="64"/>
        <v>YUM UN</v>
      </c>
      <c r="D523" s="25">
        <v>1</v>
      </c>
      <c r="E523" s="6" t="e">
        <f xml:space="preserve"> [2]!'XRX.US-PreClose'</f>
        <v>#REF!</v>
      </c>
      <c r="F523" s="78">
        <f t="shared" si="65"/>
        <v>1778</v>
      </c>
      <c r="G523" s="49" t="e">
        <f t="shared" si="66"/>
        <v>#REF!</v>
      </c>
      <c r="H523" s="6" t="e">
        <f xml:space="preserve"> [2]!'XRX.US-Price'</f>
        <v>#REF!</v>
      </c>
      <c r="I523" s="6" t="e">
        <f xml:space="preserve"> [2]!'XRX.US-BestBid1'</f>
        <v>#REF!</v>
      </c>
      <c r="J523" s="6" t="e">
        <f xml:space="preserve"> [2]!'XRX.US-BestAsk1'</f>
        <v>#REF!</v>
      </c>
      <c r="K523" s="65" t="e">
        <f t="shared" si="60"/>
        <v>#REF!</v>
      </c>
      <c r="L523" s="65" t="e">
        <f t="shared" si="61"/>
        <v>#REF!</v>
      </c>
      <c r="M523" s="68" t="e">
        <f t="shared" si="62"/>
        <v>#REF!</v>
      </c>
      <c r="AC523" s="444" t="s">
        <v>3446</v>
      </c>
      <c r="AD523" s="445" t="s">
        <v>1115</v>
      </c>
      <c r="AE523" s="446">
        <v>0.13</v>
      </c>
      <c r="AF523" s="447">
        <v>1778</v>
      </c>
    </row>
    <row r="524" spans="1:32" ht="43.8" thickBot="1">
      <c r="A524" s="24" t="e">
        <f t="shared" si="59"/>
        <v>#REF!</v>
      </c>
      <c r="B524" s="243" t="str">
        <f t="shared" si="63"/>
        <v>ZIMMER BIOMET HOLDINGS INC</v>
      </c>
      <c r="C524" s="25" t="str">
        <f t="shared" si="64"/>
        <v>ZBH UN</v>
      </c>
      <c r="D524" s="25">
        <v>1</v>
      </c>
      <c r="E524" s="6" t="e">
        <f xml:space="preserve"> [2]!'XYL.US-PreClose'</f>
        <v>#REF!</v>
      </c>
      <c r="F524" s="78">
        <f t="shared" si="65"/>
        <v>1190</v>
      </c>
      <c r="G524" s="49" t="e">
        <f t="shared" si="66"/>
        <v>#REF!</v>
      </c>
      <c r="H524" s="6" t="e">
        <f xml:space="preserve"> [2]!'XYL.US-Price'</f>
        <v>#REF!</v>
      </c>
      <c r="I524" s="6" t="e">
        <f xml:space="preserve"> [2]!'XYL.US-BestBid1'</f>
        <v>#REF!</v>
      </c>
      <c r="J524" s="6" t="e">
        <f xml:space="preserve"> [2]!'XYL.US-BestAsk1'</f>
        <v>#REF!</v>
      </c>
      <c r="K524" s="65" t="e">
        <f t="shared" si="60"/>
        <v>#REF!</v>
      </c>
      <c r="L524" s="65" t="e">
        <f t="shared" si="61"/>
        <v>#REF!</v>
      </c>
      <c r="M524" s="68" t="e">
        <f t="shared" si="62"/>
        <v>#REF!</v>
      </c>
      <c r="AC524" s="440" t="s">
        <v>3447</v>
      </c>
      <c r="AD524" s="441" t="s">
        <v>1116</v>
      </c>
      <c r="AE524" s="442">
        <v>0.1</v>
      </c>
      <c r="AF524" s="443">
        <v>1190</v>
      </c>
    </row>
    <row r="525" spans="1:32" ht="33" thickBot="1">
      <c r="A525" s="24" t="e">
        <f t="shared" si="59"/>
        <v>#REF!</v>
      </c>
      <c r="B525" s="243" t="str">
        <f t="shared" si="63"/>
        <v>ZIONS BANCORP NA</v>
      </c>
      <c r="C525" s="25" t="str">
        <f t="shared" si="64"/>
        <v>ZION UQ</v>
      </c>
      <c r="D525" s="25">
        <v>1</v>
      </c>
      <c r="E525" s="6" t="e">
        <f xml:space="preserve"> [2]!'YUM.US-PreClose'</f>
        <v>#REF!</v>
      </c>
      <c r="F525" s="78">
        <f t="shared" si="65"/>
        <v>1061</v>
      </c>
      <c r="G525" s="49" t="e">
        <f t="shared" si="66"/>
        <v>#REF!</v>
      </c>
      <c r="H525" s="6" t="e">
        <f xml:space="preserve"> [2]!'YUM.US-Price'</f>
        <v>#REF!</v>
      </c>
      <c r="I525" s="6" t="e">
        <f xml:space="preserve"> [2]!'YUM.US-BestBid1'</f>
        <v>#REF!</v>
      </c>
      <c r="J525" s="6" t="e">
        <f xml:space="preserve"> [2]!'YUM.US-BestAsk1'</f>
        <v>#REF!</v>
      </c>
      <c r="K525" s="65" t="e">
        <f t="shared" si="60"/>
        <v>#REF!</v>
      </c>
      <c r="L525" s="65" t="e">
        <f t="shared" si="61"/>
        <v>#REF!</v>
      </c>
      <c r="M525" s="68" t="e">
        <f t="shared" si="62"/>
        <v>#REF!</v>
      </c>
      <c r="AC525" s="444" t="s">
        <v>3448</v>
      </c>
      <c r="AD525" s="445" t="s">
        <v>3449</v>
      </c>
      <c r="AE525" s="446">
        <v>0.03</v>
      </c>
      <c r="AF525" s="447">
        <v>1061</v>
      </c>
    </row>
    <row r="526" spans="1:32" ht="16.8" thickBot="1">
      <c r="A526" s="24" t="e">
        <f t="shared" si="59"/>
        <v>#REF!</v>
      </c>
      <c r="B526" s="243" t="str">
        <f t="shared" si="63"/>
        <v>ZOETIS INC</v>
      </c>
      <c r="C526" s="25" t="str">
        <f t="shared" si="64"/>
        <v>ZTS UN</v>
      </c>
      <c r="D526" s="25">
        <v>1</v>
      </c>
      <c r="E526" s="6" t="e">
        <f xml:space="preserve"> [2]!'ZBH.US-PreClose'</f>
        <v>#REF!</v>
      </c>
      <c r="F526" s="78">
        <f t="shared" si="65"/>
        <v>2782</v>
      </c>
      <c r="G526" s="49" t="e">
        <f t="shared" si="66"/>
        <v>#REF!</v>
      </c>
      <c r="H526" s="6" t="e">
        <f xml:space="preserve"> [2]!'ZBH.US-Price'</f>
        <v>#REF!</v>
      </c>
      <c r="I526" s="6" t="e">
        <f xml:space="preserve"> [2]!'ZBH.US-BestBid1'</f>
        <v>#REF!</v>
      </c>
      <c r="J526" s="6" t="e">
        <f xml:space="preserve"> [2]!'ZBH.US-BestAsk1'</f>
        <v>#REF!</v>
      </c>
      <c r="K526" s="65" t="e">
        <f t="shared" si="60"/>
        <v>#REF!</v>
      </c>
      <c r="L526" s="65" t="e">
        <f t="shared" si="61"/>
        <v>#REF!</v>
      </c>
      <c r="M526" s="68" t="e">
        <f t="shared" si="62"/>
        <v>#REF!</v>
      </c>
      <c r="AC526" s="440" t="s">
        <v>3450</v>
      </c>
      <c r="AD526" s="441" t="s">
        <v>1117</v>
      </c>
      <c r="AE526" s="442">
        <v>0.21</v>
      </c>
      <c r="AF526" s="443">
        <v>2782</v>
      </c>
    </row>
    <row r="527" spans="1:32">
      <c r="A527" s="24"/>
      <c r="B527" s="243"/>
      <c r="C527" s="25"/>
      <c r="D527" s="25"/>
      <c r="E527" s="6"/>
      <c r="F527" s="6"/>
      <c r="G527" s="49"/>
      <c r="H527" s="6"/>
      <c r="I527" s="6"/>
      <c r="J527" s="6"/>
      <c r="K527" s="65"/>
      <c r="L527" s="65"/>
      <c r="M527" s="68"/>
    </row>
    <row r="528" spans="1:32">
      <c r="A528" s="24"/>
      <c r="B528" s="243"/>
      <c r="C528" s="25"/>
      <c r="D528" s="25"/>
      <c r="E528" s="6"/>
      <c r="F528" s="6"/>
      <c r="G528" s="49"/>
      <c r="H528" s="6"/>
      <c r="I528" s="6"/>
      <c r="J528" s="6"/>
      <c r="K528" s="65"/>
      <c r="L528" s="65"/>
      <c r="M528" s="68"/>
    </row>
  </sheetData>
  <mergeCells count="3">
    <mergeCell ref="F1:F2"/>
    <mergeCell ref="F3:F4"/>
    <mergeCell ref="F5:F6"/>
  </mergeCells>
  <phoneticPr fontId="8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688001" r:id="rId3" name="CommandButton1">
          <controlPr defaultSize="0" autoLine="0" r:id="rId4">
            <anchor moveWithCells="1">
              <from>
                <xdr:col>13</xdr:col>
                <xdr:colOff>388620</xdr:colOff>
                <xdr:row>22</xdr:row>
                <xdr:rowOff>190500</xdr:rowOff>
              </from>
              <to>
                <xdr:col>14</xdr:col>
                <xdr:colOff>754380</xdr:colOff>
                <xdr:row>24</xdr:row>
                <xdr:rowOff>365760</xdr:rowOff>
              </to>
            </anchor>
          </controlPr>
        </control>
      </mc:Choice>
      <mc:Fallback>
        <control shapeId="34688001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C43"/>
  <sheetViews>
    <sheetView zoomScale="70" zoomScaleNormal="70" zoomScaleSheetLayoutView="70" workbookViewId="0">
      <selection activeCell="F20" sqref="F20"/>
    </sheetView>
  </sheetViews>
  <sheetFormatPr defaultRowHeight="16.2"/>
  <cols>
    <col min="1" max="1" width="10.6640625" bestFit="1" customWidth="1"/>
    <col min="2" max="2" width="13.44140625" customWidth="1"/>
    <col min="3" max="3" width="15.6640625" customWidth="1"/>
    <col min="4" max="4" width="13.6640625" customWidth="1"/>
    <col min="5" max="5" width="13.21875" customWidth="1"/>
    <col min="6" max="6" width="19.109375" customWidth="1"/>
    <col min="7" max="7" width="18.77734375" customWidth="1"/>
    <col min="8" max="8" width="16" customWidth="1"/>
    <col min="9" max="9" width="15.44140625" customWidth="1"/>
    <col min="10" max="10" width="21.33203125" customWidth="1"/>
    <col min="11" max="11" width="18.88671875" customWidth="1"/>
    <col min="12" max="12" width="20.77734375" customWidth="1"/>
    <col min="13" max="13" width="18.6640625" customWidth="1"/>
    <col min="14" max="14" width="13.33203125" customWidth="1"/>
    <col min="15" max="15" width="14.77734375" customWidth="1"/>
    <col min="16" max="16" width="4.6640625" customWidth="1"/>
    <col min="17" max="17" width="20.33203125" customWidth="1"/>
    <col min="18" max="18" width="20.77734375" customWidth="1"/>
    <col min="19" max="19" width="16.88671875" customWidth="1"/>
    <col min="20" max="20" width="13.21875" customWidth="1"/>
    <col min="21" max="21" width="11.33203125" customWidth="1"/>
    <col min="22" max="22" width="10.88671875" customWidth="1"/>
    <col min="23" max="24" width="9" hidden="1" customWidth="1"/>
    <col min="25" max="25" width="10.21875" style="22" customWidth="1"/>
    <col min="29" max="29" width="17.88671875" bestFit="1" customWidth="1"/>
  </cols>
  <sheetData>
    <row r="1" spans="1:29">
      <c r="A1" s="16" t="s">
        <v>137</v>
      </c>
      <c r="B1" s="17" t="s">
        <v>322</v>
      </c>
      <c r="C1" s="17" t="s">
        <v>138</v>
      </c>
      <c r="D1" s="17" t="s">
        <v>139</v>
      </c>
      <c r="E1" s="18" t="s">
        <v>140</v>
      </c>
      <c r="F1" s="577" t="s">
        <v>21</v>
      </c>
      <c r="G1" s="38" t="s">
        <v>157</v>
      </c>
      <c r="H1" s="9" t="s">
        <v>52</v>
      </c>
      <c r="I1" s="10" t="s">
        <v>53</v>
      </c>
      <c r="J1" s="38" t="s">
        <v>324</v>
      </c>
      <c r="K1" s="17" t="s">
        <v>324</v>
      </c>
      <c r="L1" s="18" t="s">
        <v>324</v>
      </c>
      <c r="M1" s="80" t="s">
        <v>49</v>
      </c>
      <c r="N1" s="73" t="s">
        <v>151</v>
      </c>
      <c r="O1" s="81" t="s">
        <v>511</v>
      </c>
    </row>
    <row r="2" spans="1:29" ht="16.8" thickBot="1">
      <c r="A2" s="12" t="s">
        <v>76</v>
      </c>
      <c r="B2" s="79">
        <f>C2/100000000</f>
        <v>17.820933839999999</v>
      </c>
      <c r="C2" s="60">
        <v>1782093384</v>
      </c>
      <c r="D2" s="60">
        <v>100321</v>
      </c>
      <c r="E2" s="11">
        <f>'ETF Update'!C37</f>
        <v>17.760000000000002</v>
      </c>
      <c r="F2" s="578"/>
      <c r="G2" s="39">
        <f>J2/(D2*1000)</f>
        <v>17.751937434103816</v>
      </c>
      <c r="H2" s="40">
        <f>K2/(D2*1000)</f>
        <v>17.740469007752402</v>
      </c>
      <c r="I2" s="41">
        <f>L2/(D2*1000)</f>
        <v>17.754804540691669</v>
      </c>
      <c r="J2" s="75">
        <f>C2+(SUM(K10:K11)-SUM(G10:G11))-N10+C2*O10*(N2/O2-1)</f>
        <v>1780892115.3267288</v>
      </c>
      <c r="K2" s="76">
        <f>C2+(SUM(L10:L11)-SUM(G10:G11))-N10+C2*O10*(N2/O2-1)</f>
        <v>1779741591.3267288</v>
      </c>
      <c r="L2" s="77">
        <f>C2+(SUM(M10:M11)-SUM(G10:G11))-N10+C2*O10*(N2/O2-1)</f>
        <v>1781179746.3267288</v>
      </c>
      <c r="M2" s="80" t="s">
        <v>309</v>
      </c>
      <c r="N2" s="82">
        <v>30.15</v>
      </c>
      <c r="O2" s="82">
        <v>30.15</v>
      </c>
      <c r="Q2" s="204" t="s">
        <v>643</v>
      </c>
      <c r="R2" s="49">
        <v>5229612612</v>
      </c>
      <c r="S2" s="203"/>
      <c r="T2" s="203"/>
      <c r="U2" s="203"/>
      <c r="V2" s="22"/>
    </row>
    <row r="3" spans="1:29" ht="16.8" thickBot="1">
      <c r="A3" s="16" t="s">
        <v>137</v>
      </c>
      <c r="B3" s="57" t="s">
        <v>322</v>
      </c>
      <c r="C3" s="17" t="s">
        <v>138</v>
      </c>
      <c r="D3" s="17" t="s">
        <v>139</v>
      </c>
      <c r="E3" s="18" t="s">
        <v>140</v>
      </c>
      <c r="F3" s="577" t="s">
        <v>21</v>
      </c>
      <c r="G3" s="38" t="s">
        <v>157</v>
      </c>
      <c r="H3" s="9" t="s">
        <v>52</v>
      </c>
      <c r="I3" s="10" t="s">
        <v>53</v>
      </c>
      <c r="J3" s="38" t="s">
        <v>324</v>
      </c>
      <c r="K3" s="17" t="s">
        <v>324</v>
      </c>
      <c r="L3" s="18" t="s">
        <v>324</v>
      </c>
      <c r="M3" s="80" t="s">
        <v>646</v>
      </c>
      <c r="N3" s="82">
        <v>111.39</v>
      </c>
      <c r="O3" s="82">
        <v>111.39</v>
      </c>
      <c r="Q3" s="25" t="s">
        <v>552</v>
      </c>
      <c r="R3" s="25" t="s">
        <v>617</v>
      </c>
      <c r="S3" s="25" t="s">
        <v>615</v>
      </c>
      <c r="T3" s="25" t="s">
        <v>565</v>
      </c>
      <c r="U3" s="25" t="s">
        <v>566</v>
      </c>
      <c r="V3" s="25" t="s">
        <v>567</v>
      </c>
      <c r="W3" s="22"/>
    </row>
    <row r="4" spans="1:29" ht="16.8" thickBot="1">
      <c r="A4" s="12" t="s">
        <v>144</v>
      </c>
      <c r="B4" s="79">
        <f>C4/100000000</f>
        <v>75.535402899999994</v>
      </c>
      <c r="C4" s="60">
        <v>7553540290</v>
      </c>
      <c r="D4" s="60">
        <v>429687</v>
      </c>
      <c r="E4" s="11">
        <f>'ETF Update'!C62</f>
        <v>17.579999999999998</v>
      </c>
      <c r="F4" s="578"/>
      <c r="G4" s="39">
        <f>J4/D4/1000</f>
        <v>17.560421380537626</v>
      </c>
      <c r="H4" s="40">
        <f>K4/D4/1000</f>
        <v>17.573695497715146</v>
      </c>
      <c r="I4" s="41">
        <f>L4/D4/1000</f>
        <v>17.575243532476136</v>
      </c>
      <c r="J4" s="75">
        <f>C4+(SUM(K15:K16)-SUM(G15:G16))-N15+C4*O15*(N2/O2-1)</f>
        <v>7545484781.7390718</v>
      </c>
      <c r="K4" s="76">
        <f>C4+(SUM(L10:L10)-SUM(G10:G10))-N10+C4*O10*(N2/O2-1)</f>
        <v>7551188497.3267288</v>
      </c>
      <c r="L4" s="77">
        <f>C4+(SUM(M15)-SUM(G15))-N15+C4*O15*(N2/O2-1)</f>
        <v>7551853667.7390738</v>
      </c>
      <c r="M4" s="80" t="s">
        <v>647</v>
      </c>
      <c r="N4" s="82">
        <v>1.2</v>
      </c>
      <c r="O4" s="82">
        <v>1.2</v>
      </c>
      <c r="Q4" s="216" t="s">
        <v>548</v>
      </c>
      <c r="R4" s="217">
        <v>0</v>
      </c>
      <c r="S4" s="232"/>
      <c r="T4" s="241">
        <f>S4/$S$13</f>
        <v>0</v>
      </c>
      <c r="U4" s="218"/>
      <c r="V4" s="218"/>
      <c r="W4" s="22" t="s">
        <v>568</v>
      </c>
      <c r="Y4" s="22" t="s">
        <v>650</v>
      </c>
      <c r="AB4" s="471" t="s">
        <v>626</v>
      </c>
      <c r="AC4" s="471" t="s">
        <v>2884</v>
      </c>
    </row>
    <row r="5" spans="1:29" ht="16.8" thickBot="1">
      <c r="A5" s="16" t="s">
        <v>137</v>
      </c>
      <c r="B5" s="17" t="s">
        <v>322</v>
      </c>
      <c r="C5" s="17" t="s">
        <v>138</v>
      </c>
      <c r="D5" s="17" t="s">
        <v>139</v>
      </c>
      <c r="E5" s="18" t="s">
        <v>140</v>
      </c>
      <c r="F5" s="577" t="s">
        <v>21</v>
      </c>
      <c r="G5" s="38" t="s">
        <v>157</v>
      </c>
      <c r="H5" s="9" t="s">
        <v>52</v>
      </c>
      <c r="I5" s="10" t="s">
        <v>53</v>
      </c>
      <c r="J5" s="38" t="s">
        <v>324</v>
      </c>
      <c r="K5" s="17" t="s">
        <v>324</v>
      </c>
      <c r="L5" s="18" t="s">
        <v>324</v>
      </c>
      <c r="M5" s="80" t="s">
        <v>311</v>
      </c>
      <c r="N5" s="82">
        <v>4.5869999999999997</v>
      </c>
      <c r="O5" s="82">
        <v>4.5869999999999997</v>
      </c>
      <c r="Q5" s="219" t="s">
        <v>549</v>
      </c>
      <c r="R5" s="205">
        <f>AC5</f>
        <v>396268995</v>
      </c>
      <c r="S5" s="230">
        <f>R5</f>
        <v>396268995</v>
      </c>
      <c r="T5" s="207">
        <f>S5/$S$13</f>
        <v>0.20624236608008062</v>
      </c>
      <c r="U5" s="206"/>
      <c r="V5" s="206">
        <f>T5</f>
        <v>0.20624236608008062</v>
      </c>
      <c r="W5" s="23" t="e">
        <f>T6+T8+T10+#REF!</f>
        <v>#REF!</v>
      </c>
      <c r="Y5" s="23">
        <f>U6+U8</f>
        <v>0.36245393736417325</v>
      </c>
      <c r="AB5" s="479" t="s">
        <v>2879</v>
      </c>
      <c r="AC5" s="605">
        <v>396268995</v>
      </c>
    </row>
    <row r="6" spans="1:29" ht="16.8" thickBot="1">
      <c r="A6" s="87" t="s">
        <v>145</v>
      </c>
      <c r="B6" s="79">
        <f>C6/100000000</f>
        <v>9.1669709800000003</v>
      </c>
      <c r="C6" s="60">
        <v>916697098</v>
      </c>
      <c r="D6" s="60">
        <v>63703</v>
      </c>
      <c r="E6" s="11">
        <f>'ETF Update'!C63</f>
        <v>14.39</v>
      </c>
      <c r="F6" s="578"/>
      <c r="G6" s="39">
        <f>J6/D6/1000</f>
        <v>14.388629145472351</v>
      </c>
      <c r="H6" s="40">
        <f>L6/D6/1000</f>
        <v>14.388170054063783</v>
      </c>
      <c r="I6" s="41">
        <f>K6/D6/1000</f>
        <v>14.390465511106623</v>
      </c>
      <c r="J6" s="75">
        <f>C6+(SUM(K20:K20)-SUM(G20:G20))-N20+C6*O20*(N2/O2-1)</f>
        <v>916598842.45402515</v>
      </c>
      <c r="K6" s="76">
        <f>C6+(SUM(L20:L20)-SUM(G20:G20))-N20+C6*O20*(N2/O2-1)</f>
        <v>916715824.45402515</v>
      </c>
      <c r="L6" s="77">
        <f>C6+(SUM(M20:M20)-SUM(G20:G20))-N20+C6*O20*(N2/O2-1)</f>
        <v>916569596.95402515</v>
      </c>
      <c r="M6" s="80" t="s">
        <v>317</v>
      </c>
      <c r="N6" s="82">
        <v>3.8610000000000002</v>
      </c>
      <c r="O6" s="82">
        <v>3.8610000000000002</v>
      </c>
      <c r="Q6" s="219" t="s">
        <v>569</v>
      </c>
      <c r="R6" s="205">
        <f>AC6</f>
        <v>18046862.609999999</v>
      </c>
      <c r="S6" s="230">
        <f>R6*O2</f>
        <v>544112907.69149995</v>
      </c>
      <c r="T6" s="207">
        <f t="shared" ref="T6:T12" si="0">S6/$S$13</f>
        <v>0.28318928534140664</v>
      </c>
      <c r="U6" s="206">
        <f>T6</f>
        <v>0.28318928534140664</v>
      </c>
      <c r="V6" s="206"/>
      <c r="W6" s="22" t="s">
        <v>609</v>
      </c>
      <c r="AB6" s="479" t="s">
        <v>2879</v>
      </c>
      <c r="AC6" s="605">
        <v>18046862.609999999</v>
      </c>
    </row>
    <row r="7" spans="1:29" ht="42" thickBot="1">
      <c r="C7" s="606">
        <f>'ETF Update'!D42*1000</f>
        <v>0</v>
      </c>
      <c r="D7" s="607">
        <f>'ETF Update'!E42</f>
        <v>0</v>
      </c>
      <c r="Q7" s="6" t="s">
        <v>570</v>
      </c>
      <c r="R7" s="603">
        <f>AC8</f>
        <v>615940828</v>
      </c>
      <c r="S7" s="230">
        <f>R7</f>
        <v>615940828</v>
      </c>
      <c r="T7" s="207">
        <f t="shared" si="0"/>
        <v>0.3205728818931291</v>
      </c>
      <c r="U7" s="207"/>
      <c r="V7" s="207">
        <f>T7</f>
        <v>0.3205728818931291</v>
      </c>
      <c r="W7" s="22">
        <v>0</v>
      </c>
      <c r="AB7" s="479" t="s">
        <v>3451</v>
      </c>
      <c r="AC7" s="605">
        <v>100483603</v>
      </c>
    </row>
    <row r="8" spans="1:29" ht="16.8" thickBot="1">
      <c r="A8" s="86" t="s">
        <v>76</v>
      </c>
      <c r="B8" s="4">
        <f>A10+A11</f>
        <v>0.97534402439597412</v>
      </c>
      <c r="F8" s="56" t="s">
        <v>332</v>
      </c>
      <c r="G8" s="85"/>
      <c r="Q8" s="6" t="s">
        <v>558</v>
      </c>
      <c r="R8" s="205">
        <v>5051315</v>
      </c>
      <c r="S8" s="231">
        <f>R8*O2</f>
        <v>152297147.25</v>
      </c>
      <c r="T8" s="207">
        <f t="shared" si="0"/>
        <v>7.9264652022766613E-2</v>
      </c>
      <c r="U8" s="207">
        <f>T8</f>
        <v>7.9264652022766613E-2</v>
      </c>
      <c r="V8" s="207"/>
      <c r="W8" s="22"/>
      <c r="AB8" s="479" t="s">
        <v>2880</v>
      </c>
      <c r="AC8" s="605">
        <v>615940828</v>
      </c>
    </row>
    <row r="9" spans="1:29" s="22" customFormat="1" ht="28.2" thickBot="1">
      <c r="A9" s="57" t="s">
        <v>292</v>
      </c>
      <c r="B9" s="57" t="s">
        <v>293</v>
      </c>
      <c r="C9" s="57" t="s">
        <v>221</v>
      </c>
      <c r="D9" s="57" t="s">
        <v>294</v>
      </c>
      <c r="E9" s="57" t="s">
        <v>295</v>
      </c>
      <c r="F9" s="57" t="s">
        <v>296</v>
      </c>
      <c r="G9" s="57" t="s">
        <v>297</v>
      </c>
      <c r="H9" s="57" t="s">
        <v>222</v>
      </c>
      <c r="I9" s="57" t="s">
        <v>298</v>
      </c>
      <c r="J9" s="57" t="s">
        <v>299</v>
      </c>
      <c r="K9" s="57" t="s">
        <v>300</v>
      </c>
      <c r="L9" s="57" t="s">
        <v>301</v>
      </c>
      <c r="M9" s="57" t="s">
        <v>302</v>
      </c>
      <c r="N9" s="212" t="s">
        <v>586</v>
      </c>
      <c r="O9" s="212" t="s">
        <v>587</v>
      </c>
      <c r="Q9" s="6" t="s">
        <v>648</v>
      </c>
      <c r="R9" s="205">
        <f>AC7</f>
        <v>100483603</v>
      </c>
      <c r="S9" s="231">
        <f>R9</f>
        <v>100483603</v>
      </c>
      <c r="T9" s="207">
        <f t="shared" si="0"/>
        <v>5.2297747985485185E-2</v>
      </c>
      <c r="U9" s="207"/>
      <c r="V9" s="207">
        <f>T9</f>
        <v>5.2297747985485185E-2</v>
      </c>
      <c r="AB9" s="479" t="s">
        <v>2881</v>
      </c>
      <c r="AC9" s="605">
        <v>200667741</v>
      </c>
    </row>
    <row r="10" spans="1:29" ht="16.8" thickBot="1">
      <c r="A10" s="24">
        <f>G10/C2</f>
        <v>0.97534402439597412</v>
      </c>
      <c r="B10" s="25" t="s">
        <v>323</v>
      </c>
      <c r="C10" s="604" t="str">
        <f>"CL1908"</f>
        <v>CL1908</v>
      </c>
      <c r="D10" s="25">
        <v>1000</v>
      </c>
      <c r="E10" s="173">
        <f>VLOOKUP($C10,元大DDE!$A:$AU,19,FALSE)</f>
        <v>60.43</v>
      </c>
      <c r="F10" s="25">
        <v>954</v>
      </c>
      <c r="G10" s="46">
        <f>F10*E10*D10*O2</f>
        <v>1738154133</v>
      </c>
      <c r="H10" s="173">
        <f>VLOOKUP($C10,元大DDE!$A:$AU,5,FALSE)</f>
        <v>60.39</v>
      </c>
      <c r="I10" s="173">
        <f>VLOOKUP($C10,元大DDE!$A:$AU,13,FALSE)</f>
        <v>60.35</v>
      </c>
      <c r="J10" s="173">
        <f>VLOOKUP($C10,元大DDE!$A:$AU,14,FALSE)</f>
        <v>60.4</v>
      </c>
      <c r="K10" s="78">
        <f>IF(ISNUMBER(H10)=TRUE,H10*$F$10*$D$10,E10*$F$10*$D$10)*N2</f>
        <v>1737003609</v>
      </c>
      <c r="L10" s="78">
        <f>IF(ISNUMBER(I10)=TRUE,I10*$F$10*$D$10,F10*$F$10*$D$10)*N2</f>
        <v>1735853085</v>
      </c>
      <c r="M10" s="78">
        <f>IF(ISNUMBER(J10)=TRUE,J10*$F$10*$D$10,G10*$F$10*$D$10)*N2</f>
        <v>1737291240</v>
      </c>
      <c r="N10" s="595">
        <f>1.04%/365*(C2+SUM(K10:K11)-SUM(G10:G11))</f>
        <v>50744.673271232874</v>
      </c>
      <c r="O10" s="69">
        <f>Y5</f>
        <v>0.36245393736417325</v>
      </c>
      <c r="Q10" s="6" t="s">
        <v>649</v>
      </c>
      <c r="R10" s="205">
        <f>AC9</f>
        <v>200667741</v>
      </c>
      <c r="S10" s="231">
        <f>R10</f>
        <v>200667741</v>
      </c>
      <c r="T10" s="207">
        <f t="shared" si="0"/>
        <v>0.10443963626219308</v>
      </c>
      <c r="U10" s="207"/>
      <c r="V10" s="207">
        <f>T10</f>
        <v>0.10443963626219308</v>
      </c>
      <c r="W10" s="23"/>
      <c r="AB10" s="479" t="s">
        <v>2882</v>
      </c>
      <c r="AC10" s="605">
        <v>403802</v>
      </c>
    </row>
    <row r="11" spans="1:29" s="112" customFormat="1" ht="42" thickBot="1">
      <c r="A11" s="24">
        <f>G11/C2</f>
        <v>0</v>
      </c>
      <c r="B11" s="25" t="s">
        <v>323</v>
      </c>
      <c r="C11" s="604" t="str">
        <f>"CL1909"</f>
        <v>CL1909</v>
      </c>
      <c r="D11" s="25">
        <v>1000</v>
      </c>
      <c r="E11" s="173">
        <f>VLOOKUP($C11,元大DDE!$A:$AU,19,FALSE)</f>
        <v>60.5</v>
      </c>
      <c r="F11" s="25">
        <v>0</v>
      </c>
      <c r="G11" s="46">
        <f>F11*E11*D11*O2</f>
        <v>0</v>
      </c>
      <c r="H11" s="173">
        <f>VLOOKUP($C11,元大DDE!$A:$AU,5,FALSE)</f>
        <v>60.47</v>
      </c>
      <c r="I11" s="173">
        <f>VLOOKUP($C11,元大DDE!$A:$AU,13,FALSE)</f>
        <v>60.23</v>
      </c>
      <c r="J11" s="173">
        <f>VLOOKUP($C11,元大DDE!$A:$AU,14,FALSE)</f>
        <v>60.71</v>
      </c>
      <c r="K11" s="78">
        <f>IF(ISNUMBER(H11)=TRUE,H11*$F$11*$D$11,E11*$F$11*$D$11)*N2</f>
        <v>0</v>
      </c>
      <c r="L11" s="78">
        <f>IF(ISNUMBER(I11)=TRUE,I11*$F$11*$D$11,F11*$F$11*$D$11)*N2</f>
        <v>0</v>
      </c>
      <c r="M11" s="78">
        <f>IF(ISNUMBER(J11)=TRUE,J11*$F$11*$D$11,G11*$F$11*$D$11)*N2</f>
        <v>0</v>
      </c>
      <c r="N11"/>
      <c r="O11"/>
      <c r="Q11" s="6" t="s">
        <v>611</v>
      </c>
      <c r="R11" s="205">
        <f>AC10</f>
        <v>403802</v>
      </c>
      <c r="S11" s="231">
        <f>R11</f>
        <v>403802</v>
      </c>
      <c r="T11" s="207">
        <f t="shared" si="0"/>
        <v>2.1016299775829982E-4</v>
      </c>
      <c r="U11" s="207"/>
      <c r="V11" s="207">
        <f>T11</f>
        <v>2.1016299775829982E-4</v>
      </c>
      <c r="W11" s="22"/>
      <c r="Y11" s="22"/>
      <c r="AB11" s="479" t="s">
        <v>2885</v>
      </c>
      <c r="AC11" s="605">
        <v>-88799690</v>
      </c>
    </row>
    <row r="12" spans="1:29">
      <c r="A12" s="4"/>
      <c r="Q12" s="220" t="s">
        <v>571</v>
      </c>
      <c r="R12" s="242">
        <f>AC11</f>
        <v>-88799690</v>
      </c>
      <c r="S12" s="242">
        <f>R12</f>
        <v>-88799690</v>
      </c>
      <c r="T12" s="20">
        <f t="shared" si="0"/>
        <v>-4.6216732582819595E-2</v>
      </c>
      <c r="U12" s="20"/>
      <c r="V12" s="20">
        <f>T12</f>
        <v>-4.6216732582819595E-2</v>
      </c>
      <c r="W12" s="22"/>
    </row>
    <row r="13" spans="1:29">
      <c r="A13" s="86" t="s">
        <v>144</v>
      </c>
      <c r="B13" s="4">
        <f>A15+A16</f>
        <v>1.9618614712519127</v>
      </c>
      <c r="Q13" s="6" t="s">
        <v>562</v>
      </c>
      <c r="R13" s="228"/>
      <c r="S13" s="228">
        <f>SUM(S5:S12)</f>
        <v>1921375333.9414999</v>
      </c>
      <c r="T13" s="207">
        <f>SUM(T5:T12)</f>
        <v>1</v>
      </c>
      <c r="U13" s="207">
        <f>SUM(U5:U12)</f>
        <v>0.36245393736417325</v>
      </c>
      <c r="V13" s="207">
        <f>SUM(V5:V12)</f>
        <v>0.6375460626358268</v>
      </c>
      <c r="W13" s="22"/>
      <c r="Y13" s="23">
        <f>U13+V13</f>
        <v>1</v>
      </c>
    </row>
    <row r="14" spans="1:29" s="22" customFormat="1">
      <c r="A14" s="57" t="s">
        <v>292</v>
      </c>
      <c r="B14" s="57" t="s">
        <v>293</v>
      </c>
      <c r="C14" s="57" t="s">
        <v>221</v>
      </c>
      <c r="D14" s="57" t="s">
        <v>294</v>
      </c>
      <c r="E14" s="57" t="s">
        <v>295</v>
      </c>
      <c r="F14" s="57" t="s">
        <v>296</v>
      </c>
      <c r="G14" s="57" t="s">
        <v>297</v>
      </c>
      <c r="H14" s="57" t="s">
        <v>222</v>
      </c>
      <c r="I14" s="57" t="s">
        <v>298</v>
      </c>
      <c r="J14" s="57" t="s">
        <v>299</v>
      </c>
      <c r="K14" s="57" t="s">
        <v>300</v>
      </c>
      <c r="L14" s="57" t="s">
        <v>301</v>
      </c>
      <c r="M14" s="57" t="s">
        <v>302</v>
      </c>
      <c r="N14" s="212" t="s">
        <v>586</v>
      </c>
      <c r="O14" s="212" t="s">
        <v>587</v>
      </c>
      <c r="W14" s="234"/>
    </row>
    <row r="15" spans="1:29">
      <c r="A15" s="24">
        <f>G15/$C$4</f>
        <v>0.39244329515584009</v>
      </c>
      <c r="B15" s="25" t="s">
        <v>323</v>
      </c>
      <c r="C15" s="604" t="str">
        <f>"CL1908"</f>
        <v>CL1908</v>
      </c>
      <c r="D15" s="25">
        <v>1000</v>
      </c>
      <c r="E15" s="173">
        <f>VLOOKUP($C15,元大DDE!$A:$AU,19,FALSE)</f>
        <v>60.43</v>
      </c>
      <c r="F15" s="25">
        <v>1627</v>
      </c>
      <c r="G15" s="46">
        <f>F15*E15*D15*$O$2</f>
        <v>2964336241.5</v>
      </c>
      <c r="H15" s="173">
        <f>VLOOKUP($C15,元大DDE!$A:$AU,5,FALSE)</f>
        <v>60.39</v>
      </c>
      <c r="I15" s="173">
        <f>VLOOKUP($C15,元大DDE!$A:$AU,13,FALSE)</f>
        <v>60.35</v>
      </c>
      <c r="J15" s="173">
        <f>VLOOKUP($C15,元大DDE!$A:$AU,14,FALSE)</f>
        <v>60.4</v>
      </c>
      <c r="K15" s="78">
        <f>IF(ISNUMBER(H15)=TRUE,H15*F15*D15,E15*F15*D15)*$N$2</f>
        <v>2962374079.5</v>
      </c>
      <c r="L15" s="78">
        <f>IF(ISNUMBER(I15)=TRUE,I15*F15*D15,F15*F15*D15)*$N$2</f>
        <v>2960411917.5</v>
      </c>
      <c r="M15" s="78">
        <f>IF(ISNUMBER(J15)=TRUE,J15*F15*D15,G15*F15*D15)*$N$2</f>
        <v>2962864620</v>
      </c>
      <c r="N15" s="595">
        <f>1.04%/365*(C4+SUM(K15:K16)-SUM(G15:G16))</f>
        <v>215000.76092602737</v>
      </c>
      <c r="O15" s="69">
        <f>Y19</f>
        <v>0.4202914028825861</v>
      </c>
      <c r="W15" s="4">
        <f>U13+V13</f>
        <v>1</v>
      </c>
    </row>
    <row r="16" spans="1:29">
      <c r="A16" s="24">
        <f>G16/$C$4</f>
        <v>1.5694181760960726</v>
      </c>
      <c r="B16" s="25" t="s">
        <v>323</v>
      </c>
      <c r="C16" s="604" t="str">
        <f>"CL1909"</f>
        <v>CL1909</v>
      </c>
      <c r="D16" s="25">
        <v>1000</v>
      </c>
      <c r="E16" s="173">
        <f>VLOOKUP($C16,元大DDE!$A:$AU,19,FALSE)</f>
        <v>60.5</v>
      </c>
      <c r="F16" s="25">
        <v>6499</v>
      </c>
      <c r="G16" s="46">
        <f>F16*E16*D16*$O$2</f>
        <v>11854663425</v>
      </c>
      <c r="H16" s="173">
        <f>VLOOKUP($C16,元大DDE!$A:$AU,5,FALSE)</f>
        <v>60.47</v>
      </c>
      <c r="I16" s="173">
        <f>VLOOKUP($C16,元大DDE!$A:$AU,13,FALSE)</f>
        <v>60.23</v>
      </c>
      <c r="J16" s="173">
        <f>VLOOKUP($C16,元大DDE!$A:$AU,14,FALSE)</f>
        <v>60.71</v>
      </c>
      <c r="K16" s="78">
        <f>IF(ISNUMBER(H16)=TRUE,H16*F16*D16,E16*F16*D16)*$N$2</f>
        <v>11848785079.499998</v>
      </c>
      <c r="L16" s="78">
        <f>IF(ISNUMBER(I16)=TRUE,I16*F16*D16,F16*F16*D16)*$N$2</f>
        <v>11801758315.499998</v>
      </c>
      <c r="M16" s="78">
        <f>IF(ISNUMBER(J16)=TRUE,J16*F16*D16,G16*F16*D16)*$N$2</f>
        <v>11895811843.5</v>
      </c>
      <c r="Q16" s="204" t="s">
        <v>644</v>
      </c>
      <c r="R16" s="49">
        <v>7705243942</v>
      </c>
      <c r="S16" s="203"/>
      <c r="T16" s="203"/>
      <c r="U16" s="203"/>
      <c r="V16" s="22"/>
    </row>
    <row r="17" spans="1:29" ht="16.8" thickBot="1">
      <c r="A17" s="4"/>
      <c r="F17" s="5"/>
      <c r="Q17" s="25" t="s">
        <v>552</v>
      </c>
      <c r="R17" s="25" t="s">
        <v>617</v>
      </c>
      <c r="S17" s="25" t="s">
        <v>615</v>
      </c>
      <c r="T17" s="25" t="s">
        <v>565</v>
      </c>
      <c r="U17" s="25" t="s">
        <v>566</v>
      </c>
      <c r="V17" s="25" t="s">
        <v>567</v>
      </c>
    </row>
    <row r="18" spans="1:29" s="22" customFormat="1" ht="16.8" thickBot="1">
      <c r="A18" s="86" t="s">
        <v>145</v>
      </c>
      <c r="B18" s="4">
        <f>A20+A21</f>
        <v>-0.96882580782425465</v>
      </c>
      <c r="C18"/>
      <c r="D18"/>
      <c r="E18"/>
      <c r="F18"/>
      <c r="G18"/>
      <c r="H18"/>
      <c r="I18"/>
      <c r="J18"/>
      <c r="K18"/>
      <c r="L18"/>
      <c r="M18"/>
      <c r="Q18" s="216" t="s">
        <v>548</v>
      </c>
      <c r="R18" s="217">
        <v>0</v>
      </c>
      <c r="S18" s="232"/>
      <c r="T18" s="218"/>
      <c r="U18" s="218"/>
      <c r="V18" s="218"/>
      <c r="Y18" s="22" t="s">
        <v>650</v>
      </c>
      <c r="AB18" s="471" t="s">
        <v>626</v>
      </c>
      <c r="AC18" s="471" t="s">
        <v>2884</v>
      </c>
    </row>
    <row r="19" spans="1:29" ht="16.8" thickBot="1">
      <c r="A19" s="57" t="s">
        <v>292</v>
      </c>
      <c r="B19" s="57" t="s">
        <v>293</v>
      </c>
      <c r="C19" s="57" t="s">
        <v>221</v>
      </c>
      <c r="D19" s="57" t="s">
        <v>294</v>
      </c>
      <c r="E19" s="57" t="s">
        <v>295</v>
      </c>
      <c r="F19" s="57" t="s">
        <v>296</v>
      </c>
      <c r="G19" s="57" t="s">
        <v>297</v>
      </c>
      <c r="H19" s="57" t="s">
        <v>222</v>
      </c>
      <c r="I19" s="57" t="s">
        <v>298</v>
      </c>
      <c r="J19" s="57" t="s">
        <v>299</v>
      </c>
      <c r="K19" s="57" t="s">
        <v>300</v>
      </c>
      <c r="L19" s="57" t="s">
        <v>301</v>
      </c>
      <c r="M19" s="57" t="s">
        <v>302</v>
      </c>
      <c r="N19" s="212" t="s">
        <v>586</v>
      </c>
      <c r="O19" s="212" t="s">
        <v>587</v>
      </c>
      <c r="Q19" s="219" t="s">
        <v>549</v>
      </c>
      <c r="R19" s="205">
        <f>AC19</f>
        <v>1240695205</v>
      </c>
      <c r="S19" s="230">
        <f>R19</f>
        <v>1240695205</v>
      </c>
      <c r="T19" s="206">
        <f>S19/$S$28</f>
        <v>0.16607003289653541</v>
      </c>
      <c r="U19" s="206"/>
      <c r="V19" s="206">
        <f>T19</f>
        <v>0.16607003289653541</v>
      </c>
      <c r="Y19" s="23">
        <f>U20+U22+U24+U26</f>
        <v>0.4202914028825861</v>
      </c>
      <c r="AB19" s="479" t="s">
        <v>2879</v>
      </c>
      <c r="AC19" s="597">
        <v>1240695205</v>
      </c>
    </row>
    <row r="20" spans="1:29" ht="16.8" thickBot="1">
      <c r="A20" s="24">
        <f>G20/$C$6</f>
        <v>-0.19279057050096607</v>
      </c>
      <c r="B20" s="25" t="s">
        <v>323</v>
      </c>
      <c r="C20" s="604" t="str">
        <f>"CL1908"</f>
        <v>CL1908</v>
      </c>
      <c r="D20" s="25">
        <v>1000</v>
      </c>
      <c r="E20" s="173">
        <f>VLOOKUP($C20,元大DDE!$A:$AU,19,FALSE)</f>
        <v>60.43</v>
      </c>
      <c r="F20" s="88">
        <v>-97</v>
      </c>
      <c r="G20" s="78">
        <f>F20*E20*D20*O2</f>
        <v>-176730556.5</v>
      </c>
      <c r="H20" s="173">
        <f>VLOOKUP($C20,元大DDE!$A:$AU,5,FALSE)</f>
        <v>60.39</v>
      </c>
      <c r="I20" s="173">
        <f>VLOOKUP($C20,元大DDE!$A:$AU,13,FALSE)</f>
        <v>60.35</v>
      </c>
      <c r="J20" s="173">
        <f>VLOOKUP($C20,元大DDE!$A:$AU,14,FALSE)</f>
        <v>60.4</v>
      </c>
      <c r="K20" s="78">
        <f>IF(ISNUMBER(H20)=TRUE,H20*$F$20*$D$20,E20*$F$20*$D$20)*N2</f>
        <v>-176613574.5</v>
      </c>
      <c r="L20" s="78">
        <f>IF(ISNUMBER(I20)=TRUE,I20*$F$20*$D$20,F20*$F$20*$D$20)*N2</f>
        <v>-176496592.5</v>
      </c>
      <c r="M20" s="78">
        <f>IF(ISNUMBER(J20)=TRUE,J20*$F$20*$D$20,G20*$F$20*$D$20)*N2</f>
        <v>-176642820</v>
      </c>
      <c r="N20" s="595">
        <f>1.04%/365*(C4+SUM(K20:K21)-SUM(G20:G21))</f>
        <v>215237.54597479451</v>
      </c>
      <c r="O20" s="69">
        <f>Y34</f>
        <v>0.16045037330243478</v>
      </c>
      <c r="Q20" s="219" t="s">
        <v>569</v>
      </c>
      <c r="R20" s="205">
        <f>AC20</f>
        <v>94047904.569999993</v>
      </c>
      <c r="S20" s="230">
        <f>R20*O2</f>
        <v>2835544322.7854996</v>
      </c>
      <c r="T20" s="206">
        <f t="shared" ref="T20:T27" si="1">S20/$S$28</f>
        <v>0.37954441757077001</v>
      </c>
      <c r="U20" s="206">
        <f>T20</f>
        <v>0.37954441757077001</v>
      </c>
      <c r="V20" s="206"/>
      <c r="W20" s="22"/>
      <c r="AB20" s="479" t="s">
        <v>2879</v>
      </c>
      <c r="AC20" s="597">
        <v>94047904.569999993</v>
      </c>
    </row>
    <row r="21" spans="1:29" ht="16.8" thickBot="1">
      <c r="A21" s="24">
        <f>G21/$C$6</f>
        <v>-0.77603523732328861</v>
      </c>
      <c r="B21" s="25" t="s">
        <v>323</v>
      </c>
      <c r="C21" s="604" t="str">
        <f>"CL1909"</f>
        <v>CL1909</v>
      </c>
      <c r="D21" s="25">
        <v>1000</v>
      </c>
      <c r="E21" s="173">
        <f>VLOOKUP($C21,元大DDE!$A:$AU,19,FALSE)</f>
        <v>60.5</v>
      </c>
      <c r="F21" s="88">
        <v>-390</v>
      </c>
      <c r="G21" s="78">
        <f>F21*E21*D21*$O$2</f>
        <v>-711389250</v>
      </c>
      <c r="H21" s="173">
        <f>VLOOKUP($C21,元大DDE!$A:$AU,5,FALSE)</f>
        <v>60.47</v>
      </c>
      <c r="I21" s="173">
        <f>VLOOKUP($C21,元大DDE!$A:$AU,13,FALSE)</f>
        <v>60.23</v>
      </c>
      <c r="J21" s="173">
        <f>VLOOKUP($C21,元大DDE!$A:$AU,14,FALSE)</f>
        <v>60.71</v>
      </c>
      <c r="K21" s="78">
        <f>IF(ISNUMBER(H21)=TRUE,H21*F21*D21,E21*F21*D21)*$N$2</f>
        <v>-711036495</v>
      </c>
      <c r="L21" s="78">
        <f>IF(ISNUMBER(I21)=TRUE,I21*F21*D21,F21*F21*D21)*$N$2</f>
        <v>-708214454.99999988</v>
      </c>
      <c r="M21" s="78">
        <f>IF(ISNUMBER(J21)=TRUE,J21*F21*D21,G21*F21*D21)*$N$2</f>
        <v>-713858535</v>
      </c>
      <c r="Q21" s="6" t="s">
        <v>570</v>
      </c>
      <c r="R21" s="205">
        <f>AC21</f>
        <v>1687072955</v>
      </c>
      <c r="S21" s="230">
        <f>R21</f>
        <v>1687072955</v>
      </c>
      <c r="T21" s="206">
        <f t="shared" si="1"/>
        <v>0.22581876677415319</v>
      </c>
      <c r="U21" s="207"/>
      <c r="V21" s="207">
        <f>T21</f>
        <v>0.22581876677415319</v>
      </c>
      <c r="W21" s="22" t="s">
        <v>568</v>
      </c>
      <c r="AB21" s="479" t="s">
        <v>2880</v>
      </c>
      <c r="AC21" s="597">
        <v>1687072955</v>
      </c>
    </row>
    <row r="22" spans="1:29" ht="16.8" thickBot="1">
      <c r="Q22" s="6" t="s">
        <v>558</v>
      </c>
      <c r="R22" s="205">
        <f>AC22</f>
        <v>10096759.189999999</v>
      </c>
      <c r="S22" s="231">
        <f>R22*O2</f>
        <v>304417289.57849997</v>
      </c>
      <c r="T22" s="206">
        <f t="shared" si="1"/>
        <v>4.0746985311816072E-2</v>
      </c>
      <c r="U22" s="207">
        <f>T22</f>
        <v>4.0746985311816072E-2</v>
      </c>
      <c r="V22" s="207"/>
      <c r="W22" s="23">
        <f>T20+T22+T24+T26</f>
        <v>0.4202914028825861</v>
      </c>
      <c r="AB22" s="479" t="s">
        <v>2880</v>
      </c>
      <c r="AC22" s="597">
        <v>10096759.189999999</v>
      </c>
    </row>
    <row r="23" spans="1:29" ht="28.2" thickBot="1">
      <c r="Q23" s="6" t="s">
        <v>613</v>
      </c>
      <c r="R23" s="205">
        <f>AC23</f>
        <v>1903221902</v>
      </c>
      <c r="S23" s="231">
        <f>R23</f>
        <v>1903221902</v>
      </c>
      <c r="T23" s="206">
        <f t="shared" si="1"/>
        <v>0.25475082244276642</v>
      </c>
      <c r="U23" s="207"/>
      <c r="V23" s="207">
        <f>T23</f>
        <v>0.25475082244276642</v>
      </c>
      <c r="W23" s="22" t="s">
        <v>609</v>
      </c>
      <c r="AB23" s="479" t="s">
        <v>2881</v>
      </c>
      <c r="AC23" s="597">
        <v>1903221902</v>
      </c>
    </row>
    <row r="24" spans="1:29" ht="16.8" thickBot="1">
      <c r="Q24" s="6" t="s">
        <v>614</v>
      </c>
      <c r="R24" s="205">
        <v>0</v>
      </c>
      <c r="S24" s="231">
        <f>R24*O2</f>
        <v>0</v>
      </c>
      <c r="T24" s="206">
        <f t="shared" si="1"/>
        <v>0</v>
      </c>
      <c r="U24" s="207">
        <f>T24</f>
        <v>0</v>
      </c>
      <c r="V24" s="207"/>
      <c r="W24" s="22">
        <v>0</v>
      </c>
      <c r="AB24" s="479" t="s">
        <v>2882</v>
      </c>
      <c r="AC24" s="597">
        <v>555146</v>
      </c>
    </row>
    <row r="25" spans="1:29" ht="42" thickBot="1">
      <c r="Q25" s="6" t="s">
        <v>611</v>
      </c>
      <c r="R25" s="205">
        <f>AC24</f>
        <v>555146</v>
      </c>
      <c r="S25" s="231">
        <f>R25</f>
        <v>555146</v>
      </c>
      <c r="T25" s="206">
        <f t="shared" si="1"/>
        <v>7.4307625362653065E-5</v>
      </c>
      <c r="U25" s="207"/>
      <c r="V25" s="207">
        <f>T25</f>
        <v>7.4307625362653065E-5</v>
      </c>
      <c r="W25" s="22"/>
      <c r="AB25" s="479" t="s">
        <v>2885</v>
      </c>
      <c r="AC25" s="597">
        <v>-500591187</v>
      </c>
    </row>
    <row r="26" spans="1:29">
      <c r="Q26" s="6" t="s">
        <v>612</v>
      </c>
      <c r="R26" s="205">
        <v>0</v>
      </c>
      <c r="S26" s="205">
        <f>R26*O2</f>
        <v>0</v>
      </c>
      <c r="T26" s="206">
        <f t="shared" si="1"/>
        <v>0</v>
      </c>
      <c r="U26" s="207">
        <f>T26</f>
        <v>0</v>
      </c>
      <c r="V26" s="207"/>
      <c r="W26" s="22"/>
    </row>
    <row r="27" spans="1:29">
      <c r="Q27" s="220" t="s">
        <v>571</v>
      </c>
      <c r="R27" s="205">
        <f>AC25</f>
        <v>-500591187</v>
      </c>
      <c r="S27" s="205">
        <f>R27</f>
        <v>-500591187</v>
      </c>
      <c r="T27" s="206">
        <f t="shared" si="1"/>
        <v>-6.7005332621403749E-2</v>
      </c>
      <c r="U27" s="207"/>
      <c r="V27" s="207">
        <f>T27</f>
        <v>-6.7005332621403749E-2</v>
      </c>
      <c r="W27" s="23"/>
    </row>
    <row r="28" spans="1:29">
      <c r="Q28" s="6" t="s">
        <v>562</v>
      </c>
      <c r="R28" s="228"/>
      <c r="S28" s="228">
        <f>SUM(S19:S27)</f>
        <v>7470915633.3639994</v>
      </c>
      <c r="T28" s="227">
        <f>SUM(T19:T27)</f>
        <v>1</v>
      </c>
      <c r="U28" s="207">
        <f>SUM(U19:U27)</f>
        <v>0.4202914028825861</v>
      </c>
      <c r="V28" s="207">
        <f>SUM(V19:V27)</f>
        <v>0.57970859711741385</v>
      </c>
      <c r="W28" s="22"/>
      <c r="Y28" s="23">
        <f>U28+V28</f>
        <v>1</v>
      </c>
    </row>
    <row r="29" spans="1:29">
      <c r="W29" s="22"/>
    </row>
    <row r="30" spans="1:29">
      <c r="W30" s="22"/>
    </row>
    <row r="31" spans="1:29">
      <c r="Q31" s="204" t="s">
        <v>645</v>
      </c>
      <c r="R31" s="49">
        <v>1398652528</v>
      </c>
      <c r="S31" s="203"/>
      <c r="T31" s="203"/>
      <c r="U31" s="203"/>
      <c r="V31" s="22"/>
      <c r="W31" s="234"/>
    </row>
    <row r="32" spans="1:29" ht="16.8" thickBot="1">
      <c r="Q32" s="25" t="s">
        <v>572</v>
      </c>
      <c r="R32" s="25" t="s">
        <v>616</v>
      </c>
      <c r="S32" s="25" t="s">
        <v>564</v>
      </c>
      <c r="T32" s="25" t="s">
        <v>565</v>
      </c>
      <c r="U32" s="25" t="s">
        <v>651</v>
      </c>
      <c r="V32" s="25" t="s">
        <v>546</v>
      </c>
      <c r="W32" s="4">
        <f>U28+V28</f>
        <v>1</v>
      </c>
    </row>
    <row r="33" spans="17:29" ht="16.8" thickBot="1">
      <c r="Q33" s="216" t="s">
        <v>547</v>
      </c>
      <c r="R33" s="217">
        <v>0</v>
      </c>
      <c r="S33" s="232"/>
      <c r="T33" s="218"/>
      <c r="U33" s="218"/>
      <c r="V33" s="218"/>
      <c r="Y33" s="22" t="s">
        <v>650</v>
      </c>
      <c r="AB33" s="471" t="s">
        <v>626</v>
      </c>
      <c r="AC33" s="471" t="s">
        <v>2884</v>
      </c>
    </row>
    <row r="34" spans="17:29" ht="16.8" thickBot="1">
      <c r="Q34" s="219" t="s">
        <v>580</v>
      </c>
      <c r="R34" s="205">
        <f>AC34</f>
        <v>389993541</v>
      </c>
      <c r="S34" s="230">
        <f>R34</f>
        <v>389993541</v>
      </c>
      <c r="T34" s="206">
        <f>S34/$S$43</f>
        <v>0.42643239657133064</v>
      </c>
      <c r="U34" s="206"/>
      <c r="V34" s="206">
        <f>T34</f>
        <v>0.42643239657133064</v>
      </c>
      <c r="Y34" s="23">
        <f>U35+U37+U39+U41</f>
        <v>0.16045037330243478</v>
      </c>
      <c r="AB34" s="479" t="s">
        <v>2879</v>
      </c>
      <c r="AC34" s="597">
        <v>389993541</v>
      </c>
    </row>
    <row r="35" spans="17:29" ht="16.8" thickBot="1">
      <c r="Q35" s="219" t="s">
        <v>569</v>
      </c>
      <c r="R35" s="205">
        <f>AC35</f>
        <v>2287996.96</v>
      </c>
      <c r="S35" s="230">
        <f>R35*O2</f>
        <v>68983108.343999997</v>
      </c>
      <c r="T35" s="206">
        <f t="shared" ref="T35:T42" si="2">S35/$S$43</f>
        <v>7.542851129955426E-2</v>
      </c>
      <c r="U35" s="206">
        <f>T35</f>
        <v>7.542851129955426E-2</v>
      </c>
      <c r="V35" s="206"/>
      <c r="AB35" s="479" t="s">
        <v>2879</v>
      </c>
      <c r="AC35" s="597">
        <v>2287996.96</v>
      </c>
    </row>
    <row r="36" spans="17:29" ht="16.8" thickBot="1">
      <c r="Q36" s="6" t="s">
        <v>550</v>
      </c>
      <c r="R36" s="205">
        <f>AC36</f>
        <v>264868129</v>
      </c>
      <c r="S36" s="230">
        <f>R36</f>
        <v>264868129</v>
      </c>
      <c r="T36" s="206">
        <f t="shared" si="2"/>
        <v>0.28961595295967829</v>
      </c>
      <c r="U36" s="207"/>
      <c r="V36" s="207">
        <f>T36</f>
        <v>0.28961595295967829</v>
      </c>
      <c r="AB36" s="479" t="s">
        <v>2880</v>
      </c>
      <c r="AC36" s="597">
        <v>264868129</v>
      </c>
    </row>
    <row r="37" spans="17:29" ht="16.8" thickBot="1">
      <c r="Q37" s="6" t="s">
        <v>579</v>
      </c>
      <c r="R37" s="205">
        <f>AC37</f>
        <v>2578995.11</v>
      </c>
      <c r="S37" s="231">
        <f>R37*O2</f>
        <v>77756702.566499993</v>
      </c>
      <c r="T37" s="206">
        <f t="shared" si="2"/>
        <v>8.5021862002880533E-2</v>
      </c>
      <c r="U37" s="207">
        <f>T37</f>
        <v>8.5021862002880533E-2</v>
      </c>
      <c r="V37" s="207"/>
      <c r="AB37" s="479" t="s">
        <v>2880</v>
      </c>
      <c r="AC37" s="597">
        <v>2578995.11</v>
      </c>
    </row>
    <row r="38" spans="17:29" ht="28.2" thickBot="1">
      <c r="Q38" s="6" t="s">
        <v>613</v>
      </c>
      <c r="R38" s="205">
        <f>AC38</f>
        <v>130274497</v>
      </c>
      <c r="S38" s="231">
        <f>R38</f>
        <v>130274497</v>
      </c>
      <c r="T38" s="206">
        <f t="shared" si="2"/>
        <v>0.14244663084775197</v>
      </c>
      <c r="U38" s="207"/>
      <c r="V38" s="207">
        <f>T38</f>
        <v>0.14244663084775197</v>
      </c>
      <c r="AB38" s="479" t="s">
        <v>2881</v>
      </c>
      <c r="AC38" s="597">
        <v>130274497</v>
      </c>
    </row>
    <row r="39" spans="17:29" ht="28.2" thickBot="1">
      <c r="Q39" s="6" t="s">
        <v>614</v>
      </c>
      <c r="R39" s="205">
        <v>0</v>
      </c>
      <c r="S39" s="231">
        <f>R39*O2</f>
        <v>0</v>
      </c>
      <c r="T39" s="206">
        <f t="shared" si="2"/>
        <v>0</v>
      </c>
      <c r="U39" s="207">
        <f>T39</f>
        <v>0</v>
      </c>
      <c r="V39" s="207"/>
      <c r="AB39" s="479" t="s">
        <v>2883</v>
      </c>
      <c r="AC39" s="597">
        <v>-17326464</v>
      </c>
    </row>
    <row r="40" spans="17:29">
      <c r="Q40" s="6" t="s">
        <v>611</v>
      </c>
      <c r="R40" s="205">
        <v>0</v>
      </c>
      <c r="S40" s="231">
        <f>R40</f>
        <v>0</v>
      </c>
      <c r="T40" s="206">
        <f t="shared" si="2"/>
        <v>0</v>
      </c>
      <c r="U40" s="207"/>
      <c r="V40" s="207">
        <f>T40</f>
        <v>0</v>
      </c>
    </row>
    <row r="41" spans="17:29">
      <c r="Q41" s="6" t="s">
        <v>612</v>
      </c>
      <c r="R41" s="205">
        <v>0</v>
      </c>
      <c r="S41" s="205">
        <f>R41*O2</f>
        <v>0</v>
      </c>
      <c r="T41" s="206">
        <f t="shared" si="2"/>
        <v>0</v>
      </c>
      <c r="U41" s="207">
        <f>T41</f>
        <v>0</v>
      </c>
      <c r="V41" s="207"/>
    </row>
    <row r="42" spans="17:29">
      <c r="Q42" s="220" t="s">
        <v>561</v>
      </c>
      <c r="R42" s="205">
        <f>AC39</f>
        <v>-17326464</v>
      </c>
      <c r="S42" s="205">
        <f>R42</f>
        <v>-17326464</v>
      </c>
      <c r="T42" s="206">
        <f t="shared" si="2"/>
        <v>-1.8945353681195671E-2</v>
      </c>
      <c r="U42" s="207"/>
      <c r="V42" s="207">
        <f>T42</f>
        <v>-1.8945353681195671E-2</v>
      </c>
    </row>
    <row r="43" spans="17:29">
      <c r="Q43" s="6" t="s">
        <v>551</v>
      </c>
      <c r="R43" s="228"/>
      <c r="S43" s="228">
        <f>SUM(S34:S42)</f>
        <v>914549513.91049993</v>
      </c>
      <c r="T43" s="206">
        <f>SUM(T34:T42)</f>
        <v>1</v>
      </c>
      <c r="U43" s="207">
        <f>SUM(U34:U42)</f>
        <v>0.16045037330243478</v>
      </c>
      <c r="V43" s="207">
        <f>SUM(V34:V42)</f>
        <v>0.83954962669756528</v>
      </c>
      <c r="Y43" s="23">
        <f>U43+V43</f>
        <v>1</v>
      </c>
    </row>
  </sheetData>
  <mergeCells count="3">
    <mergeCell ref="F1:F2"/>
    <mergeCell ref="F3:F4"/>
    <mergeCell ref="F5:F6"/>
  </mergeCells>
  <phoneticPr fontId="0" type="noConversion"/>
  <pageMargins left="0.75" right="0.75" top="1" bottom="1" header="0.5" footer="0.5"/>
  <pageSetup paperSize="9" scale="22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AA44"/>
  <sheetViews>
    <sheetView zoomScale="70" zoomScaleNormal="70" zoomScaleSheetLayoutView="70" workbookViewId="0">
      <selection activeCell="C11" sqref="C11"/>
    </sheetView>
  </sheetViews>
  <sheetFormatPr defaultColWidth="9" defaultRowHeight="16.2"/>
  <cols>
    <col min="1" max="1" width="10.6640625" style="112" bestFit="1" customWidth="1"/>
    <col min="2" max="2" width="13.44140625" style="112" customWidth="1"/>
    <col min="3" max="3" width="17.77734375" style="112" customWidth="1"/>
    <col min="4" max="4" width="18.109375" style="112" customWidth="1"/>
    <col min="5" max="5" width="13.21875" style="112" customWidth="1"/>
    <col min="6" max="6" width="19.109375" style="112" customWidth="1"/>
    <col min="7" max="7" width="18.77734375" style="112" customWidth="1"/>
    <col min="8" max="8" width="16" style="112" customWidth="1"/>
    <col min="9" max="9" width="15.44140625" style="112" customWidth="1"/>
    <col min="10" max="10" width="21.33203125" style="112" customWidth="1"/>
    <col min="11" max="11" width="18.88671875" style="112" customWidth="1"/>
    <col min="12" max="12" width="20.77734375" style="112" customWidth="1"/>
    <col min="13" max="13" width="18.6640625" style="112" customWidth="1"/>
    <col min="14" max="14" width="11.88671875" style="112" customWidth="1"/>
    <col min="15" max="15" width="14.88671875" style="112" customWidth="1"/>
    <col min="16" max="16" width="13.88671875" style="112" customWidth="1"/>
    <col min="17" max="17" width="20.33203125" style="234" customWidth="1"/>
    <col min="18" max="18" width="20.77734375" style="234" customWidth="1"/>
    <col min="19" max="19" width="16.88671875" style="234" customWidth="1"/>
    <col min="20" max="20" width="13.21875" style="234" customWidth="1"/>
    <col min="21" max="21" width="11.33203125" style="234" customWidth="1"/>
    <col min="22" max="22" width="10.88671875" style="234" customWidth="1"/>
    <col min="23" max="24" width="9" style="234" hidden="1" customWidth="1"/>
    <col min="25" max="25" width="10.21875" style="22" customWidth="1"/>
    <col min="26" max="26" width="11.21875" style="112" customWidth="1"/>
    <col min="27" max="27" width="14.88671875" style="112" customWidth="1"/>
    <col min="28" max="16384" width="9" style="112"/>
  </cols>
  <sheetData>
    <row r="1" spans="1:27">
      <c r="A1" s="16" t="s">
        <v>137</v>
      </c>
      <c r="B1" s="17" t="s">
        <v>322</v>
      </c>
      <c r="C1" s="17" t="s">
        <v>138</v>
      </c>
      <c r="D1" s="17" t="s">
        <v>139</v>
      </c>
      <c r="E1" s="18" t="s">
        <v>140</v>
      </c>
      <c r="F1" s="577" t="s">
        <v>21</v>
      </c>
      <c r="G1" s="38" t="s">
        <v>157</v>
      </c>
      <c r="H1" s="9" t="s">
        <v>52</v>
      </c>
      <c r="I1" s="10" t="s">
        <v>53</v>
      </c>
      <c r="J1" s="38" t="s">
        <v>324</v>
      </c>
      <c r="K1" s="17" t="s">
        <v>324</v>
      </c>
      <c r="L1" s="18" t="s">
        <v>324</v>
      </c>
      <c r="M1" s="80" t="s">
        <v>49</v>
      </c>
      <c r="N1" s="73" t="s">
        <v>151</v>
      </c>
      <c r="O1" s="81" t="s">
        <v>511</v>
      </c>
    </row>
    <row r="2" spans="1:27" ht="16.8" thickBot="1">
      <c r="A2" s="12" t="s">
        <v>414</v>
      </c>
      <c r="B2" s="79">
        <f>C2/100000000</f>
        <v>11.418112539999999</v>
      </c>
      <c r="C2" s="60">
        <f>'ETF Update'!D36*1000</f>
        <v>1141811254</v>
      </c>
      <c r="D2" s="14">
        <f>'ETF Update'!E36</f>
        <v>55514</v>
      </c>
      <c r="E2" s="113">
        <f>'ETF Update'!C36</f>
        <v>20.57</v>
      </c>
      <c r="F2" s="578"/>
      <c r="G2" s="39">
        <f>J2/(D2*1000)</f>
        <v>20.739104957250266</v>
      </c>
      <c r="H2" s="40">
        <f>K2/(D2*1000)</f>
        <v>20.625291612868669</v>
      </c>
      <c r="I2" s="41">
        <f>L2/(D2*1000)</f>
        <v>20.757461948279555</v>
      </c>
      <c r="J2" s="75">
        <f>C2+(SUM(K10:K11)-SUM(G10:G11))-N10+C2*O10*(N2/O2-1)</f>
        <v>1151310672.5967913</v>
      </c>
      <c r="K2" s="76">
        <f>C2+(SUM(L10:L11)-SUM(G10:G11))-N10+C2*O10*(N2/O2-1)</f>
        <v>1144992438.5967913</v>
      </c>
      <c r="L2" s="77">
        <f>C2+(SUM(M10:M11)-SUM(G10:G11))-N10+C2*O10*(N2/O2-1)</f>
        <v>1152329742.5967913</v>
      </c>
      <c r="M2" s="80" t="s">
        <v>309</v>
      </c>
      <c r="N2" s="82">
        <v>30.15</v>
      </c>
      <c r="O2" s="82">
        <v>30.15</v>
      </c>
      <c r="Q2" s="204" t="s">
        <v>652</v>
      </c>
      <c r="R2" s="49">
        <v>1079557097</v>
      </c>
      <c r="V2" s="22"/>
    </row>
    <row r="3" spans="1:27" ht="16.8" thickBot="1">
      <c r="A3" s="16" t="s">
        <v>137</v>
      </c>
      <c r="B3" s="57" t="s">
        <v>322</v>
      </c>
      <c r="C3" s="17" t="s">
        <v>138</v>
      </c>
      <c r="D3" s="17" t="s">
        <v>139</v>
      </c>
      <c r="E3" s="18" t="s">
        <v>140</v>
      </c>
      <c r="F3" s="577" t="s">
        <v>21</v>
      </c>
      <c r="G3" s="38" t="s">
        <v>157</v>
      </c>
      <c r="H3" s="9" t="s">
        <v>52</v>
      </c>
      <c r="I3" s="10" t="s">
        <v>53</v>
      </c>
      <c r="J3" s="38" t="s">
        <v>324</v>
      </c>
      <c r="K3" s="17" t="s">
        <v>324</v>
      </c>
      <c r="L3" s="18" t="s">
        <v>324</v>
      </c>
      <c r="M3" s="80" t="s">
        <v>646</v>
      </c>
      <c r="N3" s="82">
        <v>111.39</v>
      </c>
      <c r="O3" s="82">
        <v>111.39</v>
      </c>
      <c r="Q3" s="25" t="s">
        <v>552</v>
      </c>
      <c r="R3" s="25" t="s">
        <v>617</v>
      </c>
      <c r="S3" s="25" t="s">
        <v>615</v>
      </c>
      <c r="T3" s="25" t="s">
        <v>565</v>
      </c>
      <c r="U3" s="25" t="s">
        <v>566</v>
      </c>
      <c r="V3" s="25" t="s">
        <v>567</v>
      </c>
      <c r="W3" s="22"/>
    </row>
    <row r="4" spans="1:27" ht="16.8" thickBot="1">
      <c r="A4" s="12" t="s">
        <v>434</v>
      </c>
      <c r="B4" s="79">
        <f>C4/100000000</f>
        <v>15.592128130000001</v>
      </c>
      <c r="C4" s="60">
        <v>1559212813</v>
      </c>
      <c r="D4" s="60">
        <v>77573</v>
      </c>
      <c r="E4" s="113">
        <f>'ETF Update'!C90</f>
        <v>20.100000000000001</v>
      </c>
      <c r="F4" s="578"/>
      <c r="G4" s="39">
        <f>J4/D4/1000</f>
        <v>20.436352838732972</v>
      </c>
      <c r="H4" s="40">
        <f>K4/D4/1000</f>
        <v>20.123165709677224</v>
      </c>
      <c r="I4" s="41">
        <f>L4/D4/1000</f>
        <v>20.169319753767834</v>
      </c>
      <c r="J4" s="75">
        <f>C4+(SUM(K15:K16)-SUM(G15:G16))-N15+C4*O15*(N2/O2-1)</f>
        <v>1585309198.7590327</v>
      </c>
      <c r="K4" s="76">
        <f>C4+(SUM(L10:L10)-SUM(G10:G10))-N10+C4*O10*(N2/O2-1)</f>
        <v>1561014333.5967913</v>
      </c>
      <c r="L4" s="77">
        <f>C4+(SUM(M15)-SUM(G15))-N15+C4*O15*(N2/O2-1)</f>
        <v>1564594641.2590322</v>
      </c>
      <c r="M4" s="80" t="s">
        <v>647</v>
      </c>
      <c r="N4" s="82">
        <v>1.2</v>
      </c>
      <c r="O4" s="82">
        <v>1.2</v>
      </c>
      <c r="Q4" s="216" t="s">
        <v>548</v>
      </c>
      <c r="R4" s="217">
        <v>0</v>
      </c>
      <c r="S4" s="232"/>
      <c r="T4" s="241">
        <f>S4/$S$13</f>
        <v>0</v>
      </c>
      <c r="U4" s="218"/>
      <c r="V4" s="218"/>
      <c r="W4" s="22" t="s">
        <v>568</v>
      </c>
      <c r="Y4" s="22" t="s">
        <v>650</v>
      </c>
      <c r="Z4" s="439" t="s">
        <v>626</v>
      </c>
      <c r="AA4" s="439" t="s">
        <v>2884</v>
      </c>
    </row>
    <row r="5" spans="1:27" ht="16.8" thickBot="1">
      <c r="A5" s="16" t="s">
        <v>137</v>
      </c>
      <c r="B5" s="57" t="s">
        <v>322</v>
      </c>
      <c r="C5" s="17" t="s">
        <v>138</v>
      </c>
      <c r="D5" s="17" t="s">
        <v>139</v>
      </c>
      <c r="E5" s="18" t="s">
        <v>140</v>
      </c>
      <c r="F5" s="577" t="s">
        <v>21</v>
      </c>
      <c r="G5" s="38" t="s">
        <v>157</v>
      </c>
      <c r="H5" s="9" t="s">
        <v>52</v>
      </c>
      <c r="I5" s="10" t="s">
        <v>53</v>
      </c>
      <c r="J5" s="38" t="s">
        <v>324</v>
      </c>
      <c r="K5" s="17" t="s">
        <v>324</v>
      </c>
      <c r="L5" s="18" t="s">
        <v>324</v>
      </c>
      <c r="M5" s="80" t="s">
        <v>311</v>
      </c>
      <c r="N5" s="82">
        <v>4.5869999999999997</v>
      </c>
      <c r="O5" s="82">
        <v>4.5869999999999997</v>
      </c>
      <c r="Q5" s="219" t="s">
        <v>549</v>
      </c>
      <c r="R5" s="205">
        <f>AA5</f>
        <v>398126374</v>
      </c>
      <c r="S5" s="230">
        <f>R5</f>
        <v>398126374</v>
      </c>
      <c r="T5" s="207">
        <f>S5/$S$13</f>
        <v>0.34842959485191355</v>
      </c>
      <c r="U5" s="206"/>
      <c r="V5" s="206">
        <f>T5</f>
        <v>0.34842959485191355</v>
      </c>
      <c r="W5" s="23" t="e">
        <f>T6+T8+T10+#REF!</f>
        <v>#REF!</v>
      </c>
      <c r="Y5" s="23">
        <f>U6+U8</f>
        <v>0.12155959451470041</v>
      </c>
      <c r="Z5" s="444" t="s">
        <v>2879</v>
      </c>
      <c r="AA5" s="594">
        <v>398126374</v>
      </c>
    </row>
    <row r="6" spans="1:27" ht="16.8" thickBot="1">
      <c r="A6" s="87" t="s">
        <v>416</v>
      </c>
      <c r="B6" s="79">
        <f>C6/100000000</f>
        <v>0.91604649000000005</v>
      </c>
      <c r="C6" s="60">
        <v>91604649</v>
      </c>
      <c r="D6" s="60">
        <v>5103</v>
      </c>
      <c r="E6" s="113">
        <f>'ETF Update'!C64</f>
        <v>17.95</v>
      </c>
      <c r="F6" s="578"/>
      <c r="G6" s="39">
        <f>J6/D6/1000</f>
        <v>17.7915960310382</v>
      </c>
      <c r="H6" s="40">
        <f>L6/D6/1000</f>
        <v>17.912893209168711</v>
      </c>
      <c r="I6" s="41">
        <f>K6/D6/1000</f>
        <v>17.914783861726033</v>
      </c>
      <c r="J6" s="75">
        <f>C6+(SUM(K20:K21)-SUM(G20:G21))-N20+C6*O20*(N2/O2-1)</f>
        <v>90790514.546387926</v>
      </c>
      <c r="K6" s="76">
        <f>C6+(SUM(L20:L20)-SUM(G20:G20))-N20+C6*O20*(N2/O2-1)</f>
        <v>91419142.046387941</v>
      </c>
      <c r="L6" s="77">
        <f>C6+(SUM(M20:M20)-SUM(G20:G20))-N20+C6*O20*(N2/O2-1)</f>
        <v>91409494.046387941</v>
      </c>
      <c r="M6" s="80" t="s">
        <v>317</v>
      </c>
      <c r="N6" s="82">
        <v>3.8610000000000002</v>
      </c>
      <c r="O6" s="82">
        <v>3.8610000000000002</v>
      </c>
      <c r="Q6" s="219" t="s">
        <v>569</v>
      </c>
      <c r="R6" s="205">
        <f>AA6</f>
        <v>4134732.73</v>
      </c>
      <c r="S6" s="230">
        <f>R6*O2</f>
        <v>124662191.80949999</v>
      </c>
      <c r="T6" s="207">
        <f t="shared" ref="T6:T12" si="0">S6/$S$13</f>
        <v>0.10910102877418419</v>
      </c>
      <c r="U6" s="206">
        <f>T6</f>
        <v>0.10910102877418419</v>
      </c>
      <c r="V6" s="206"/>
      <c r="W6" s="22" t="s">
        <v>609</v>
      </c>
      <c r="Z6" s="444" t="s">
        <v>2879</v>
      </c>
      <c r="AA6" s="594">
        <v>4134732.73</v>
      </c>
    </row>
    <row r="7" spans="1:27" ht="16.8" thickBot="1">
      <c r="Q7" s="6" t="s">
        <v>570</v>
      </c>
      <c r="R7" s="205">
        <f>AA7</f>
        <v>223154226</v>
      </c>
      <c r="S7" s="230">
        <f>R7</f>
        <v>223154226</v>
      </c>
      <c r="T7" s="207">
        <f t="shared" si="0"/>
        <v>0.19529863287749016</v>
      </c>
      <c r="U7" s="207"/>
      <c r="V7" s="207">
        <f>T7</f>
        <v>0.19529863287749016</v>
      </c>
      <c r="W7" s="22">
        <v>0</v>
      </c>
      <c r="Z7" s="444" t="s">
        <v>2880</v>
      </c>
      <c r="AA7" s="594">
        <v>223154226</v>
      </c>
    </row>
    <row r="8" spans="1:27" ht="16.8" thickBot="1">
      <c r="A8" s="86" t="s">
        <v>414</v>
      </c>
      <c r="G8" s="85"/>
      <c r="Q8" s="6" t="s">
        <v>558</v>
      </c>
      <c r="R8" s="205">
        <f>AA8</f>
        <v>472157.23</v>
      </c>
      <c r="S8" s="231">
        <f>R8*O2</f>
        <v>14235540.484499998</v>
      </c>
      <c r="T8" s="207">
        <f t="shared" si="0"/>
        <v>1.2458565740516219E-2</v>
      </c>
      <c r="U8" s="207">
        <f>T8</f>
        <v>1.2458565740516219E-2</v>
      </c>
      <c r="V8" s="207"/>
      <c r="W8" s="22"/>
      <c r="Z8" s="444" t="s">
        <v>2880</v>
      </c>
      <c r="AA8" s="594">
        <v>472157.23</v>
      </c>
    </row>
    <row r="9" spans="1:27" s="22" customFormat="1" ht="16.8" thickBot="1">
      <c r="A9" s="57" t="s">
        <v>292</v>
      </c>
      <c r="B9" s="57" t="s">
        <v>293</v>
      </c>
      <c r="C9" s="57" t="s">
        <v>221</v>
      </c>
      <c r="D9" s="57" t="s">
        <v>294</v>
      </c>
      <c r="E9" s="57" t="s">
        <v>295</v>
      </c>
      <c r="F9" s="57" t="s">
        <v>296</v>
      </c>
      <c r="G9" s="57" t="s">
        <v>297</v>
      </c>
      <c r="H9" s="57" t="s">
        <v>222</v>
      </c>
      <c r="I9" s="57" t="s">
        <v>298</v>
      </c>
      <c r="J9" s="57" t="s">
        <v>299</v>
      </c>
      <c r="K9" s="57" t="s">
        <v>300</v>
      </c>
      <c r="L9" s="57" t="s">
        <v>301</v>
      </c>
      <c r="M9" s="57" t="s">
        <v>302</v>
      </c>
      <c r="N9" s="212" t="s">
        <v>586</v>
      </c>
      <c r="O9" s="212" t="s">
        <v>587</v>
      </c>
      <c r="Q9" s="6" t="s">
        <v>648</v>
      </c>
      <c r="R9" s="205">
        <v>0</v>
      </c>
      <c r="S9" s="231">
        <f>R9</f>
        <v>0</v>
      </c>
      <c r="T9" s="207">
        <f t="shared" si="0"/>
        <v>0</v>
      </c>
      <c r="U9" s="207"/>
      <c r="V9" s="207">
        <f>T9</f>
        <v>0</v>
      </c>
      <c r="Z9" s="444" t="s">
        <v>2881</v>
      </c>
      <c r="AA9" s="594">
        <v>381888201</v>
      </c>
    </row>
    <row r="10" spans="1:27" ht="22.2" customHeight="1" thickBot="1">
      <c r="A10" s="24">
        <f>G10/C2</f>
        <v>0.1929728851665356</v>
      </c>
      <c r="B10" s="25" t="s">
        <v>469</v>
      </c>
      <c r="C10" s="25" t="s">
        <v>2877</v>
      </c>
      <c r="D10" s="25">
        <f>1*100</f>
        <v>100</v>
      </c>
      <c r="E10" s="173">
        <f>VLOOKUP($C10,元大DDE!$A:$AU,19,FALSE)</f>
        <v>1405.4</v>
      </c>
      <c r="F10" s="25">
        <v>52</v>
      </c>
      <c r="G10" s="46">
        <f>F10*E10*D10*O2</f>
        <v>220338612</v>
      </c>
      <c r="H10" s="173">
        <f>VLOOKUP($C10,元大DDE!$A:$AU,5,FALSE)</f>
        <v>1417.8</v>
      </c>
      <c r="I10" s="173">
        <f>VLOOKUP($C10,元大DDE!$A:$AU,13,FALSE)</f>
        <v>1417.1</v>
      </c>
      <c r="J10" s="173">
        <f>VLOOKUP($C10,元大DDE!$A:$AU,14,FALSE)</f>
        <v>1417.9</v>
      </c>
      <c r="K10" s="78">
        <f>IF(ISNUMBER(H10)=TRUE,H10*$F$10*$D$10,E10*$F$10*$D$10)*N2</f>
        <v>222282683.99999997</v>
      </c>
      <c r="L10" s="78">
        <f>IF(ISNUMBER(I10)=TRUE,I10*$F$10*$D$10,F10*$F$10*$D$10)*N2</f>
        <v>222172938</v>
      </c>
      <c r="M10" s="78">
        <f>IF(ISNUMBER(J10)=TRUE,J10*$F$10*$D$10,G10*$F$10*$D$10)*N2</f>
        <v>222298362</v>
      </c>
      <c r="N10" s="595">
        <f>1.04%/365*(C2+SUM(K10:K11)-SUM(G10:G11))</f>
        <v>32805.403208767122</v>
      </c>
      <c r="O10" s="69">
        <f>Y5</f>
        <v>0.12155959451470041</v>
      </c>
      <c r="Q10" s="6" t="s">
        <v>649</v>
      </c>
      <c r="R10" s="205">
        <f>AA8</f>
        <v>472157.23</v>
      </c>
      <c r="S10" s="231">
        <f>R10</f>
        <v>472157.23</v>
      </c>
      <c r="T10" s="207">
        <f t="shared" si="0"/>
        <v>4.1321942754614328E-4</v>
      </c>
      <c r="U10" s="207">
        <f>T10</f>
        <v>4.1321942754614328E-4</v>
      </c>
      <c r="V10" s="207"/>
      <c r="W10" s="23"/>
      <c r="Z10" s="444" t="s">
        <v>2882</v>
      </c>
      <c r="AA10" s="594">
        <v>92073</v>
      </c>
    </row>
    <row r="11" spans="1:27" ht="16.8" thickBot="1">
      <c r="A11" s="24">
        <f>G11/C2</f>
        <v>0.77870202529988364</v>
      </c>
      <c r="B11" s="25" t="s">
        <v>469</v>
      </c>
      <c r="C11" s="25" t="s">
        <v>2878</v>
      </c>
      <c r="D11" s="25">
        <f>1*100</f>
        <v>100</v>
      </c>
      <c r="E11" s="173">
        <f>VLOOKUP($C11,元大DDE!$A:$AU,19,FALSE)</f>
        <v>1417.8</v>
      </c>
      <c r="F11" s="25">
        <v>208</v>
      </c>
      <c r="G11" s="46">
        <f>F11*E11*D11*O2</f>
        <v>889130735.99999988</v>
      </c>
      <c r="H11" s="173">
        <f>VLOOKUP($C11,元大DDE!$A:$AU,5,FALSE)</f>
        <v>1429.9</v>
      </c>
      <c r="I11" s="173">
        <f>VLOOKUP($C11,元大DDE!$A:$AU,13,FALSE)</f>
        <v>1420</v>
      </c>
      <c r="J11" s="173">
        <f>VLOOKUP($C11,元大DDE!$A:$AU,14,FALSE)</f>
        <v>1431.5</v>
      </c>
      <c r="K11" s="78">
        <f>IF(ISNUMBER(H11)=TRUE,H11*$F$11*$D$11,E11*$F$11*$D$11)*N2</f>
        <v>896718888</v>
      </c>
      <c r="L11" s="78">
        <f>IF(ISNUMBER(I11)=TRUE,I11*$F$11*$D$11,F11*$F$11*$D$11)*N2</f>
        <v>890510400</v>
      </c>
      <c r="M11" s="78">
        <f>IF(ISNUMBER(J11)=TRUE,J11*$F$11*$D$11,G11*$F$11*$D$11)*N2</f>
        <v>897722280</v>
      </c>
      <c r="Q11" s="6" t="s">
        <v>611</v>
      </c>
      <c r="R11" s="205">
        <f>AA9</f>
        <v>381888201</v>
      </c>
      <c r="S11" s="231">
        <f>R11</f>
        <v>381888201</v>
      </c>
      <c r="T11" s="207">
        <f t="shared" si="0"/>
        <v>0.33421837849194114</v>
      </c>
      <c r="U11" s="207"/>
      <c r="V11" s="207">
        <f>T11</f>
        <v>0.33421837849194114</v>
      </c>
      <c r="W11" s="22"/>
      <c r="Z11" s="444" t="s">
        <v>2883</v>
      </c>
      <c r="AA11" s="594">
        <v>-2981976</v>
      </c>
    </row>
    <row r="12" spans="1:27">
      <c r="A12" s="4"/>
      <c r="Q12" s="220" t="s">
        <v>571</v>
      </c>
      <c r="R12" s="242">
        <f>AA10</f>
        <v>92073</v>
      </c>
      <c r="S12" s="242">
        <f>R12</f>
        <v>92073</v>
      </c>
      <c r="T12" s="20">
        <f t="shared" si="0"/>
        <v>8.0579836408427031E-5</v>
      </c>
      <c r="U12" s="20"/>
      <c r="V12" s="20">
        <f>T12</f>
        <v>8.0579836408427031E-5</v>
      </c>
      <c r="W12" s="22"/>
    </row>
    <row r="13" spans="1:27">
      <c r="A13" s="86" t="s">
        <v>434</v>
      </c>
      <c r="B13" s="4">
        <f>A15+A16</f>
        <v>1.9512756447570316</v>
      </c>
      <c r="Q13" s="6" t="s">
        <v>562</v>
      </c>
      <c r="R13" s="228"/>
      <c r="S13" s="228">
        <f>SUM(S5:S12)</f>
        <v>1142630763.5240002</v>
      </c>
      <c r="T13" s="207">
        <f>SUM(T5:T12)</f>
        <v>0.99999999999999978</v>
      </c>
      <c r="U13" s="207">
        <f>SUM(U5:U12)</f>
        <v>0.12197281394224656</v>
      </c>
      <c r="V13" s="207">
        <f>SUM(V5:V12)</f>
        <v>0.87802718605775332</v>
      </c>
      <c r="W13" s="22"/>
      <c r="Y13" s="23">
        <f>U13+V13</f>
        <v>0.99999999999999989</v>
      </c>
    </row>
    <row r="14" spans="1:27" s="22" customFormat="1">
      <c r="A14" s="57" t="s">
        <v>292</v>
      </c>
      <c r="B14" s="57" t="s">
        <v>293</v>
      </c>
      <c r="C14" s="57" t="s">
        <v>221</v>
      </c>
      <c r="D14" s="57" t="s">
        <v>294</v>
      </c>
      <c r="E14" s="57" t="s">
        <v>295</v>
      </c>
      <c r="F14" s="57" t="s">
        <v>296</v>
      </c>
      <c r="G14" s="57" t="s">
        <v>297</v>
      </c>
      <c r="H14" s="57" t="s">
        <v>222</v>
      </c>
      <c r="I14" s="57" t="s">
        <v>298</v>
      </c>
      <c r="J14" s="57" t="s">
        <v>299</v>
      </c>
      <c r="K14" s="57" t="s">
        <v>300</v>
      </c>
      <c r="L14" s="57" t="s">
        <v>301</v>
      </c>
      <c r="M14" s="57" t="s">
        <v>302</v>
      </c>
      <c r="N14" s="212" t="s">
        <v>586</v>
      </c>
      <c r="O14" s="212" t="s">
        <v>587</v>
      </c>
      <c r="W14" s="234"/>
    </row>
    <row r="15" spans="1:27">
      <c r="A15" s="24">
        <f>G15/$C$4</f>
        <v>0.39133109920127368</v>
      </c>
      <c r="B15" s="25" t="s">
        <v>469</v>
      </c>
      <c r="C15" s="25" t="s">
        <v>2877</v>
      </c>
      <c r="D15" s="25">
        <f>1*100</f>
        <v>100</v>
      </c>
      <c r="E15" s="173">
        <f>VLOOKUP($C15,元大DDE!$A:$AU,19,FALSE)</f>
        <v>1405.4</v>
      </c>
      <c r="F15" s="25">
        <v>144</v>
      </c>
      <c r="G15" s="46">
        <f>F15*E15*D15*$O$2</f>
        <v>610168464</v>
      </c>
      <c r="H15" s="173">
        <f>VLOOKUP($C15,元大DDE!$A:$AU,5,FALSE)</f>
        <v>1417.8</v>
      </c>
      <c r="I15" s="173">
        <f>VLOOKUP($C15,元大DDE!$A:$AU,13,FALSE)</f>
        <v>1417.1</v>
      </c>
      <c r="J15" s="173">
        <f>VLOOKUP($C15,元大DDE!$A:$AU,14,FALSE)</f>
        <v>1417.9</v>
      </c>
      <c r="K15" s="78">
        <f>IF(ISNUMBER(H15)=TRUE,H15*F15*D15,E15*F15*D15)*$N$2</f>
        <v>615552048</v>
      </c>
      <c r="L15" s="78">
        <f>IF(ISNUMBER(I15)=TRUE,I15*F15*D15,F15*F15*D15)*$N$2</f>
        <v>615248136</v>
      </c>
      <c r="M15" s="78">
        <f>IF(ISNUMBER(J15)=TRUE,J15*F15*D15,G15*F15*D15)*$N$2</f>
        <v>615595464</v>
      </c>
      <c r="N15" s="595">
        <f>1.04%/365*(C4+SUM(K15:K16)-SUM(G15:G16))</f>
        <v>45171.740967671234</v>
      </c>
      <c r="O15" s="69">
        <f>Y20</f>
        <v>0.14633113012259916</v>
      </c>
      <c r="W15" s="4">
        <f>U13+V13</f>
        <v>0.99999999999999989</v>
      </c>
    </row>
    <row r="16" spans="1:27" s="388" customFormat="1">
      <c r="A16" s="24">
        <f>G16/$C$4</f>
        <v>1.5599445455557579</v>
      </c>
      <c r="B16" s="25" t="s">
        <v>469</v>
      </c>
      <c r="C16" s="25" t="s">
        <v>2878</v>
      </c>
      <c r="D16" s="25">
        <f>1*100</f>
        <v>100</v>
      </c>
      <c r="E16" s="173">
        <f>VLOOKUP($C16,元大DDE!$A:$AU,19,FALSE)</f>
        <v>1417.8</v>
      </c>
      <c r="F16" s="25">
        <v>569</v>
      </c>
      <c r="G16" s="46">
        <f>F16*E16*D16*$O$2</f>
        <v>2432285523</v>
      </c>
      <c r="H16" s="173">
        <f>VLOOKUP($C16,元大DDE!$A:$AU,5,FALSE)</f>
        <v>1429.9</v>
      </c>
      <c r="I16" s="173">
        <f>VLOOKUP($C16,元大DDE!$A:$AU,13,FALSE)</f>
        <v>1420</v>
      </c>
      <c r="J16" s="173">
        <f>VLOOKUP($C16,元大DDE!$A:$AU,14,FALSE)</f>
        <v>1431.5</v>
      </c>
      <c r="K16" s="78">
        <f>IF(ISNUMBER(H16)=TRUE,H16*F16*D16,E16*F16*D16)*$N$2</f>
        <v>2453043496.5000005</v>
      </c>
      <c r="L16" s="78">
        <f>IF(ISNUMBER(I16)=TRUE,I16*F16*D16,F16*F16*D16)*$N$2</f>
        <v>2436059700</v>
      </c>
      <c r="M16" s="78">
        <f>IF(ISNUMBER(J16)=TRUE,J16*F16*D16,G16*F16*D16)*$N$2</f>
        <v>2455788352.5</v>
      </c>
      <c r="W16" s="4">
        <f>U14+V14</f>
        <v>0</v>
      </c>
      <c r="Y16" s="22"/>
    </row>
    <row r="17" spans="1:27">
      <c r="A17" s="4"/>
      <c r="F17" s="5"/>
      <c r="Q17" s="204" t="s">
        <v>653</v>
      </c>
      <c r="R17" s="49">
        <v>231474494</v>
      </c>
      <c r="V17" s="22"/>
    </row>
    <row r="18" spans="1:27" ht="16.8" thickBot="1">
      <c r="A18" s="86" t="s">
        <v>416</v>
      </c>
      <c r="B18" s="4">
        <f>A20+A21</f>
        <v>-0.97831784716515868</v>
      </c>
      <c r="Q18" s="25" t="s">
        <v>552</v>
      </c>
      <c r="R18" s="25" t="s">
        <v>617</v>
      </c>
      <c r="S18" s="25" t="s">
        <v>615</v>
      </c>
      <c r="T18" s="25" t="s">
        <v>565</v>
      </c>
      <c r="U18" s="25" t="s">
        <v>566</v>
      </c>
      <c r="V18" s="25" t="s">
        <v>567</v>
      </c>
    </row>
    <row r="19" spans="1:27" s="22" customFormat="1" ht="16.8" thickBot="1">
      <c r="A19" s="57" t="s">
        <v>292</v>
      </c>
      <c r="B19" s="57" t="s">
        <v>293</v>
      </c>
      <c r="C19" s="57" t="s">
        <v>221</v>
      </c>
      <c r="D19" s="57" t="s">
        <v>294</v>
      </c>
      <c r="E19" s="57" t="s">
        <v>295</v>
      </c>
      <c r="F19" s="57" t="s">
        <v>296</v>
      </c>
      <c r="G19" s="57" t="s">
        <v>297</v>
      </c>
      <c r="H19" s="57" t="s">
        <v>222</v>
      </c>
      <c r="I19" s="57" t="s">
        <v>298</v>
      </c>
      <c r="J19" s="57" t="s">
        <v>299</v>
      </c>
      <c r="K19" s="57" t="s">
        <v>300</v>
      </c>
      <c r="L19" s="57" t="s">
        <v>301</v>
      </c>
      <c r="M19" s="57" t="s">
        <v>302</v>
      </c>
      <c r="N19" s="212" t="s">
        <v>586</v>
      </c>
      <c r="O19" s="212" t="s">
        <v>587</v>
      </c>
      <c r="Q19" s="216" t="s">
        <v>548</v>
      </c>
      <c r="R19" s="217">
        <v>0</v>
      </c>
      <c r="S19" s="232"/>
      <c r="T19" s="218"/>
      <c r="U19" s="218"/>
      <c r="V19" s="218"/>
      <c r="Y19" s="22" t="s">
        <v>650</v>
      </c>
      <c r="Z19" s="439" t="s">
        <v>626</v>
      </c>
      <c r="AA19" s="439" t="s">
        <v>2884</v>
      </c>
    </row>
    <row r="20" spans="1:27" ht="16.8" thickBot="1">
      <c r="A20" s="24">
        <f>G20/$C$6</f>
        <v>-0.18502471419327202</v>
      </c>
      <c r="B20" s="25" t="s">
        <v>469</v>
      </c>
      <c r="C20" s="25" t="s">
        <v>2877</v>
      </c>
      <c r="D20" s="25">
        <f>1*100</f>
        <v>100</v>
      </c>
      <c r="E20" s="173">
        <f>VLOOKUP($C20,元大DDE!$A:$AU,19,FALSE)</f>
        <v>1405.4</v>
      </c>
      <c r="F20" s="88">
        <v>-4</v>
      </c>
      <c r="G20" s="78">
        <f>F20*E20*D20*$O$2</f>
        <v>-16949124</v>
      </c>
      <c r="H20" s="173">
        <f>VLOOKUP($C20,元大DDE!$A:$AU,5,FALSE)</f>
        <v>1417.8</v>
      </c>
      <c r="I20" s="173">
        <f>VLOOKUP($C20,元大DDE!$A:$AU,13,FALSE)</f>
        <v>1417.1</v>
      </c>
      <c r="J20" s="173">
        <f>VLOOKUP($C20,元大DDE!$A:$AU,14,FALSE)</f>
        <v>1417.9</v>
      </c>
      <c r="K20" s="78">
        <f>IF(ISNUMBER(H20)=TRUE,H20*F20*D20,E20*F20*D20)*$N$2</f>
        <v>-17098668</v>
      </c>
      <c r="L20" s="78">
        <f>IF(ISNUMBER(I20)=TRUE,I20*F20*D20,F20*F20*D20)*$N$2</f>
        <v>-17090226</v>
      </c>
      <c r="M20" s="78">
        <f>IF(ISNUMBER(J20)=TRUE,J20*F20*D20,G20*F20*D20)*$N$2</f>
        <v>-17099874</v>
      </c>
      <c r="N20" s="595">
        <f>1.04%/365*(C4+SUM(K20:K21)-SUM(G20:G21))</f>
        <v>44404.953612054793</v>
      </c>
      <c r="O20" s="69">
        <f>Y35</f>
        <v>7.0142569465309876E-2</v>
      </c>
      <c r="Q20" s="219" t="s">
        <v>549</v>
      </c>
      <c r="R20" s="205">
        <f>AA20</f>
        <v>510306176</v>
      </c>
      <c r="S20" s="230">
        <f>R20</f>
        <v>510306176</v>
      </c>
      <c r="T20" s="206">
        <f>S20/$S$29</f>
        <v>0.32843454356689905</v>
      </c>
      <c r="U20" s="206"/>
      <c r="V20" s="206">
        <f>T20</f>
        <v>0.32843454356689905</v>
      </c>
      <c r="Y20" s="23">
        <f>U21+U23+U25+U27</f>
        <v>0.14633113012259916</v>
      </c>
      <c r="Z20" s="444" t="s">
        <v>2879</v>
      </c>
      <c r="AA20" s="594">
        <v>510306176</v>
      </c>
    </row>
    <row r="21" spans="1:27" ht="16.8" thickBot="1">
      <c r="A21" s="24">
        <f>G21/$C$6</f>
        <v>-0.79329313297188664</v>
      </c>
      <c r="B21" s="25" t="s">
        <v>469</v>
      </c>
      <c r="C21" s="25" t="s">
        <v>2878</v>
      </c>
      <c r="D21" s="25">
        <f>1*100</f>
        <v>100</v>
      </c>
      <c r="E21" s="173">
        <f>VLOOKUP($C21,元大DDE!$A:$AU,19,FALSE)</f>
        <v>1417.8</v>
      </c>
      <c r="F21" s="88">
        <v>-17</v>
      </c>
      <c r="G21" s="78">
        <f>F21*E21*D21*$O$2</f>
        <v>-72669339</v>
      </c>
      <c r="H21" s="173">
        <f>VLOOKUP($C21,元大DDE!$A:$AU,5,FALSE)</f>
        <v>1429.9</v>
      </c>
      <c r="I21" s="173">
        <f>VLOOKUP($C21,元大DDE!$A:$AU,13,FALSE)</f>
        <v>1420</v>
      </c>
      <c r="J21" s="173">
        <f>VLOOKUP($C21,元大DDE!$A:$AU,14,FALSE)</f>
        <v>1431.5</v>
      </c>
      <c r="K21" s="78">
        <f>IF(ISNUMBER(H21)=TRUE,H21*F21*D21,E21*F21*D21)*$N$2</f>
        <v>-73289524.500000015</v>
      </c>
      <c r="L21" s="78">
        <f>IF(ISNUMBER(I21)=TRUE,I21*F21*D21,F21*F21*D21)*$N$2</f>
        <v>-72782100</v>
      </c>
      <c r="M21" s="78">
        <f>IF(ISNUMBER(J21)=TRUE,J21*F21*D21,G21*F21*D21)*$N$2</f>
        <v>-73371532.5</v>
      </c>
      <c r="Q21" s="219" t="s">
        <v>569</v>
      </c>
      <c r="R21" s="205">
        <f>AA21</f>
        <v>7541042.8099999996</v>
      </c>
      <c r="S21" s="230">
        <f>R21*O2</f>
        <v>227362440.72149998</v>
      </c>
      <c r="T21" s="206">
        <f t="shared" ref="T21:T28" si="1">S21/$S$29</f>
        <v>0.14633113012259916</v>
      </c>
      <c r="U21" s="206">
        <f>T21</f>
        <v>0.14633113012259916</v>
      </c>
      <c r="V21" s="206"/>
      <c r="W21" s="22"/>
      <c r="Z21" s="444" t="s">
        <v>2879</v>
      </c>
      <c r="AA21" s="594">
        <v>7541042.8099999996</v>
      </c>
    </row>
    <row r="22" spans="1:27" ht="16.8" thickBot="1">
      <c r="Q22" s="6" t="s">
        <v>570</v>
      </c>
      <c r="R22" s="205">
        <f>AA22</f>
        <v>478783487</v>
      </c>
      <c r="S22" s="230">
        <f>R22</f>
        <v>478783487</v>
      </c>
      <c r="T22" s="206">
        <f t="shared" si="1"/>
        <v>0.30814644896677351</v>
      </c>
      <c r="U22" s="207"/>
      <c r="V22" s="207">
        <f>T22</f>
        <v>0.30814644896677351</v>
      </c>
      <c r="W22" s="22" t="s">
        <v>568</v>
      </c>
      <c r="Z22" s="444" t="s">
        <v>2880</v>
      </c>
      <c r="AA22" s="594">
        <v>478783487</v>
      </c>
    </row>
    <row r="23" spans="1:27" ht="16.8" thickBot="1">
      <c r="Q23" s="6" t="s">
        <v>558</v>
      </c>
      <c r="R23" s="205">
        <v>0</v>
      </c>
      <c r="S23" s="231">
        <f>R23*O2</f>
        <v>0</v>
      </c>
      <c r="T23" s="206">
        <f t="shared" si="1"/>
        <v>0</v>
      </c>
      <c r="U23" s="207">
        <f>T23</f>
        <v>0</v>
      </c>
      <c r="V23" s="207"/>
      <c r="W23" s="23">
        <f>T21+T23+T25+T27</f>
        <v>0.14633113012259916</v>
      </c>
      <c r="Z23" s="444" t="s">
        <v>2881</v>
      </c>
      <c r="AA23" s="594">
        <v>350625149</v>
      </c>
    </row>
    <row r="24" spans="1:27" ht="16.8" thickBot="1">
      <c r="Q24" s="6" t="s">
        <v>613</v>
      </c>
      <c r="R24" s="205">
        <f>AA23</f>
        <v>350625149</v>
      </c>
      <c r="S24" s="231">
        <f>R24</f>
        <v>350625149</v>
      </c>
      <c r="T24" s="206">
        <f t="shared" si="1"/>
        <v>0.22566336875940721</v>
      </c>
      <c r="U24" s="207"/>
      <c r="V24" s="207">
        <f>T24</f>
        <v>0.22566336875940721</v>
      </c>
      <c r="W24" s="22" t="s">
        <v>609</v>
      </c>
      <c r="Z24" s="444" t="s">
        <v>2882</v>
      </c>
      <c r="AA24" s="594">
        <v>87909</v>
      </c>
    </row>
    <row r="25" spans="1:27" ht="16.8" thickBot="1">
      <c r="Q25" s="6" t="s">
        <v>614</v>
      </c>
      <c r="R25" s="205">
        <v>0</v>
      </c>
      <c r="S25" s="231">
        <f>R25*O2</f>
        <v>0</v>
      </c>
      <c r="T25" s="206">
        <f t="shared" si="1"/>
        <v>0</v>
      </c>
      <c r="U25" s="207">
        <f>T25</f>
        <v>0</v>
      </c>
      <c r="V25" s="207"/>
      <c r="W25" s="22">
        <v>0</v>
      </c>
      <c r="Z25" s="444" t="s">
        <v>2883</v>
      </c>
      <c r="AA25" s="594">
        <v>-13412105</v>
      </c>
    </row>
    <row r="26" spans="1:27">
      <c r="Q26" s="6" t="s">
        <v>611</v>
      </c>
      <c r="R26" s="205">
        <f>AA24</f>
        <v>87909</v>
      </c>
      <c r="S26" s="231">
        <f>R26</f>
        <v>87909</v>
      </c>
      <c r="T26" s="206">
        <f t="shared" si="1"/>
        <v>5.6578488852979363E-5</v>
      </c>
      <c r="U26" s="207"/>
      <c r="V26" s="207">
        <f>T26</f>
        <v>5.6578488852979363E-5</v>
      </c>
      <c r="W26" s="22"/>
    </row>
    <row r="27" spans="1:27">
      <c r="Q27" s="6" t="s">
        <v>612</v>
      </c>
      <c r="R27" s="205">
        <v>0</v>
      </c>
      <c r="S27" s="205">
        <f>R27*O2</f>
        <v>0</v>
      </c>
      <c r="T27" s="206">
        <f t="shared" si="1"/>
        <v>0</v>
      </c>
      <c r="U27" s="207">
        <f>T27</f>
        <v>0</v>
      </c>
      <c r="V27" s="207"/>
      <c r="W27" s="22"/>
    </row>
    <row r="28" spans="1:27">
      <c r="Q28" s="220" t="s">
        <v>571</v>
      </c>
      <c r="R28" s="205">
        <f>AA25</f>
        <v>-13412105</v>
      </c>
      <c r="S28" s="205">
        <f>R28</f>
        <v>-13412105</v>
      </c>
      <c r="T28" s="206">
        <f t="shared" si="1"/>
        <v>-8.6320699045318323E-3</v>
      </c>
      <c r="U28" s="207"/>
      <c r="V28" s="207">
        <f>T28</f>
        <v>-8.6320699045318323E-3</v>
      </c>
      <c r="W28" s="23"/>
    </row>
    <row r="29" spans="1:27">
      <c r="Q29" s="6" t="s">
        <v>562</v>
      </c>
      <c r="R29" s="228"/>
      <c r="S29" s="228">
        <f>SUM(S20:S28)</f>
        <v>1553753056.7214999</v>
      </c>
      <c r="T29" s="227">
        <f>SUM(T20:T28)</f>
        <v>0.99999999999999989</v>
      </c>
      <c r="U29" s="207">
        <f>SUM(U20:U28)</f>
        <v>0.14633113012259916</v>
      </c>
      <c r="V29" s="207">
        <f>SUM(V20:V28)</f>
        <v>0.85366886987740087</v>
      </c>
      <c r="W29" s="22"/>
      <c r="Y29" s="23">
        <f>U29+V29</f>
        <v>1</v>
      </c>
    </row>
    <row r="30" spans="1:27">
      <c r="W30" s="22"/>
    </row>
    <row r="31" spans="1:27">
      <c r="W31" s="22"/>
    </row>
    <row r="32" spans="1:27">
      <c r="Q32" s="204" t="s">
        <v>654</v>
      </c>
      <c r="R32" s="49">
        <v>154596694</v>
      </c>
      <c r="V32" s="22"/>
    </row>
    <row r="33" spans="17:27" ht="16.8" thickBot="1">
      <c r="Q33" s="25" t="s">
        <v>572</v>
      </c>
      <c r="R33" s="25" t="s">
        <v>616</v>
      </c>
      <c r="S33" s="25" t="s">
        <v>564</v>
      </c>
      <c r="T33" s="25" t="s">
        <v>565</v>
      </c>
      <c r="U33" s="25" t="s">
        <v>651</v>
      </c>
      <c r="V33" s="25" t="s">
        <v>546</v>
      </c>
      <c r="W33" s="4">
        <f>U29+V29</f>
        <v>1</v>
      </c>
    </row>
    <row r="34" spans="17:27" ht="16.8" thickBot="1">
      <c r="Q34" s="216" t="s">
        <v>547</v>
      </c>
      <c r="R34" s="217">
        <v>0</v>
      </c>
      <c r="S34" s="232"/>
      <c r="T34" s="218"/>
      <c r="U34" s="218"/>
      <c r="V34" s="218"/>
      <c r="Y34" s="22" t="s">
        <v>650</v>
      </c>
      <c r="Z34" s="439" t="s">
        <v>626</v>
      </c>
      <c r="AA34" s="439" t="s">
        <v>2884</v>
      </c>
    </row>
    <row r="35" spans="17:27" ht="16.8" thickBot="1">
      <c r="Q35" s="219" t="s">
        <v>580</v>
      </c>
      <c r="R35" s="205">
        <f>AA35</f>
        <v>37265885</v>
      </c>
      <c r="S35" s="230">
        <f>R35</f>
        <v>37265885</v>
      </c>
      <c r="T35" s="206">
        <f>S35/$S$44</f>
        <v>0.40190696180280339</v>
      </c>
      <c r="U35" s="206"/>
      <c r="V35" s="206">
        <f>T35</f>
        <v>0.40190696180280339</v>
      </c>
      <c r="Y35" s="23">
        <f>U36+U38+U40+U42</f>
        <v>7.0142569465309876E-2</v>
      </c>
      <c r="Z35" s="444" t="s">
        <v>2879</v>
      </c>
      <c r="AA35" s="594">
        <v>37265885</v>
      </c>
    </row>
    <row r="36" spans="17:27" ht="16.8" thickBot="1">
      <c r="Q36" s="219" t="s">
        <v>569</v>
      </c>
      <c r="R36" s="205">
        <f>AA36</f>
        <v>215714.96</v>
      </c>
      <c r="S36" s="230">
        <f>R36*O2</f>
        <v>6503806.0439999998</v>
      </c>
      <c r="T36" s="206">
        <f t="shared" ref="T36:T43" si="2">S36/$S$44</f>
        <v>7.0142569465309876E-2</v>
      </c>
      <c r="U36" s="206">
        <f>T36</f>
        <v>7.0142569465309876E-2</v>
      </c>
      <c r="V36" s="206"/>
      <c r="Z36" s="444" t="s">
        <v>2879</v>
      </c>
      <c r="AA36" s="594">
        <v>215714.96</v>
      </c>
    </row>
    <row r="37" spans="17:27" ht="16.8" thickBot="1">
      <c r="Q37" s="6" t="s">
        <v>550</v>
      </c>
      <c r="R37" s="205">
        <f>AA37</f>
        <v>18929075</v>
      </c>
      <c r="S37" s="230">
        <f>R37</f>
        <v>18929075</v>
      </c>
      <c r="T37" s="206">
        <f t="shared" si="2"/>
        <v>0.20414722535067664</v>
      </c>
      <c r="U37" s="207"/>
      <c r="V37" s="207">
        <f>T37</f>
        <v>0.20414722535067664</v>
      </c>
      <c r="Z37" s="444" t="s">
        <v>2880</v>
      </c>
      <c r="AA37" s="594">
        <v>18929075</v>
      </c>
    </row>
    <row r="38" spans="17:27" ht="16.8" thickBot="1">
      <c r="Q38" s="6" t="s">
        <v>579</v>
      </c>
      <c r="R38" s="205">
        <v>0</v>
      </c>
      <c r="S38" s="231">
        <f>R38*O2</f>
        <v>0</v>
      </c>
      <c r="T38" s="206">
        <f t="shared" si="2"/>
        <v>0</v>
      </c>
      <c r="U38" s="207">
        <f>T38</f>
        <v>0</v>
      </c>
      <c r="V38" s="207"/>
      <c r="Z38" s="444" t="s">
        <v>2881</v>
      </c>
      <c r="AA38" s="594">
        <v>30011318</v>
      </c>
    </row>
    <row r="39" spans="17:27">
      <c r="Q39" s="6" t="s">
        <v>613</v>
      </c>
      <c r="R39" s="205">
        <f>AA38</f>
        <v>30011318</v>
      </c>
      <c r="S39" s="231">
        <f>R39</f>
        <v>30011318</v>
      </c>
      <c r="T39" s="206">
        <f t="shared" si="2"/>
        <v>0.32366754840460077</v>
      </c>
      <c r="U39" s="207"/>
      <c r="V39" s="207">
        <f>T39</f>
        <v>0.32366754840460077</v>
      </c>
    </row>
    <row r="40" spans="17:27">
      <c r="Q40" s="6" t="s">
        <v>614</v>
      </c>
      <c r="R40" s="205">
        <v>0</v>
      </c>
      <c r="S40" s="231">
        <f>R40*O2</f>
        <v>0</v>
      </c>
      <c r="T40" s="206">
        <f t="shared" si="2"/>
        <v>0</v>
      </c>
      <c r="U40" s="207">
        <f>T40</f>
        <v>0</v>
      </c>
      <c r="V40" s="207"/>
    </row>
    <row r="41" spans="17:27">
      <c r="Q41" s="6" t="s">
        <v>611</v>
      </c>
      <c r="R41" s="205">
        <v>12582</v>
      </c>
      <c r="S41" s="231">
        <f>R41</f>
        <v>12582</v>
      </c>
      <c r="T41" s="206">
        <f t="shared" si="2"/>
        <v>1.3569497660938072E-4</v>
      </c>
      <c r="U41" s="207"/>
      <c r="V41" s="207">
        <f>T41</f>
        <v>1.3569497660938072E-4</v>
      </c>
    </row>
    <row r="42" spans="17:27">
      <c r="Q42" s="6" t="s">
        <v>612</v>
      </c>
      <c r="R42" s="205">
        <v>0</v>
      </c>
      <c r="S42" s="205">
        <f>R42*O2</f>
        <v>0</v>
      </c>
      <c r="T42" s="206">
        <f t="shared" si="2"/>
        <v>0</v>
      </c>
      <c r="U42" s="207">
        <f>T42</f>
        <v>0</v>
      </c>
      <c r="V42" s="207"/>
    </row>
    <row r="43" spans="17:27">
      <c r="Q43" s="220" t="s">
        <v>561</v>
      </c>
      <c r="R43" s="205">
        <v>0</v>
      </c>
      <c r="S43" s="205">
        <f>R43</f>
        <v>0</v>
      </c>
      <c r="T43" s="206">
        <f t="shared" si="2"/>
        <v>0</v>
      </c>
      <c r="U43" s="207"/>
      <c r="V43" s="207">
        <f>T43</f>
        <v>0</v>
      </c>
    </row>
    <row r="44" spans="17:27">
      <c r="Q44" s="6" t="s">
        <v>551</v>
      </c>
      <c r="R44" s="228"/>
      <c r="S44" s="228">
        <f>SUM(S35:S43)</f>
        <v>92722666.044</v>
      </c>
      <c r="T44" s="206">
        <f>SUM(T35:T43)</f>
        <v>1</v>
      </c>
      <c r="U44" s="207">
        <f>SUM(U35:U43)</f>
        <v>7.0142569465309876E-2</v>
      </c>
      <c r="V44" s="207">
        <f>SUM(V35:V43)</f>
        <v>0.92985743053469017</v>
      </c>
      <c r="Y44" s="23">
        <f>U44+V44</f>
        <v>1</v>
      </c>
    </row>
  </sheetData>
  <mergeCells count="3">
    <mergeCell ref="F1:F2"/>
    <mergeCell ref="F3:F4"/>
    <mergeCell ref="F5:F6"/>
  </mergeCells>
  <phoneticPr fontId="8" type="noConversion"/>
  <pageMargins left="0.75" right="0.75" top="1" bottom="1" header="0.5" footer="0.5"/>
  <pageSetup paperSize="9" scale="23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27"/>
  <sheetViews>
    <sheetView workbookViewId="0">
      <pane xSplit="4" ySplit="1" topLeftCell="E2" activePane="bottomRight" state="frozenSplit"/>
      <selection pane="topRight" activeCell="E1" sqref="E1"/>
      <selection pane="bottomLeft" activeCell="A2" sqref="A2"/>
      <selection pane="bottomRight" activeCell="A12" sqref="A12:A13"/>
    </sheetView>
  </sheetViews>
  <sheetFormatPr defaultRowHeight="16.2"/>
  <cols>
    <col min="1" max="1" width="10.44140625" style="590" bestFit="1" customWidth="1"/>
    <col min="2" max="2" width="18.44140625" style="590" customWidth="1"/>
    <col min="3" max="19" width="8.88671875" style="590"/>
    <col min="20" max="20" width="12.6640625" style="590" customWidth="1"/>
    <col min="21" max="46" width="8.88671875" style="590"/>
    <col min="47" max="47" width="8.21875" style="590" bestFit="1" customWidth="1"/>
    <col min="48" max="16384" width="8.88671875" style="590"/>
  </cols>
  <sheetData>
    <row r="1" spans="1:47">
      <c r="A1" s="590" t="s">
        <v>2835</v>
      </c>
      <c r="B1" s="590" t="s">
        <v>2836</v>
      </c>
      <c r="C1" s="590" t="s">
        <v>2837</v>
      </c>
      <c r="D1" s="590" t="s">
        <v>2838</v>
      </c>
      <c r="E1" s="590" t="s">
        <v>222</v>
      </c>
      <c r="F1" s="590" t="s">
        <v>232</v>
      </c>
      <c r="G1" s="590" t="s">
        <v>2839</v>
      </c>
      <c r="H1" s="590" t="s">
        <v>224</v>
      </c>
      <c r="I1" s="590" t="s">
        <v>2840</v>
      </c>
      <c r="J1" s="590" t="s">
        <v>2841</v>
      </c>
      <c r="K1" s="590" t="s">
        <v>2842</v>
      </c>
      <c r="L1" s="590" t="s">
        <v>2843</v>
      </c>
      <c r="M1" s="590" t="s">
        <v>355</v>
      </c>
      <c r="N1" s="590" t="s">
        <v>357</v>
      </c>
      <c r="O1" s="590" t="s">
        <v>2844</v>
      </c>
      <c r="P1" s="590" t="s">
        <v>2845</v>
      </c>
      <c r="Q1" s="590" t="s">
        <v>2846</v>
      </c>
      <c r="R1" s="590" t="s">
        <v>2847</v>
      </c>
      <c r="S1" s="590" t="s">
        <v>2848</v>
      </c>
      <c r="T1" s="590" t="s">
        <v>2849</v>
      </c>
      <c r="U1" s="590" t="s">
        <v>2850</v>
      </c>
      <c r="V1" s="590" t="s">
        <v>2851</v>
      </c>
      <c r="W1" s="590" t="s">
        <v>2852</v>
      </c>
      <c r="X1" s="590" t="s">
        <v>2853</v>
      </c>
      <c r="Y1" s="590" t="s">
        <v>2854</v>
      </c>
      <c r="Z1" s="590" t="s">
        <v>2855</v>
      </c>
      <c r="AA1" s="590" t="s">
        <v>2856</v>
      </c>
      <c r="AB1" s="590" t="s">
        <v>2857</v>
      </c>
      <c r="AC1" s="590" t="s">
        <v>2858</v>
      </c>
      <c r="AD1" s="590" t="s">
        <v>2859</v>
      </c>
      <c r="AE1" s="590" t="s">
        <v>2860</v>
      </c>
      <c r="AF1" s="590" t="s">
        <v>2861</v>
      </c>
      <c r="AG1" s="590" t="s">
        <v>2862</v>
      </c>
      <c r="AH1" s="590" t="s">
        <v>2863</v>
      </c>
      <c r="AI1" s="590" t="s">
        <v>2864</v>
      </c>
      <c r="AJ1" s="590" t="s">
        <v>2865</v>
      </c>
      <c r="AK1" s="590" t="s">
        <v>2866</v>
      </c>
      <c r="AL1" s="590" t="s">
        <v>2867</v>
      </c>
      <c r="AM1" s="590" t="s">
        <v>2868</v>
      </c>
      <c r="AN1" s="590" t="s">
        <v>2869</v>
      </c>
      <c r="AO1" s="590" t="s">
        <v>2870</v>
      </c>
      <c r="AP1" s="590" t="s">
        <v>2871</v>
      </c>
      <c r="AQ1" s="590" t="s">
        <v>2872</v>
      </c>
      <c r="AR1" s="590" t="s">
        <v>2873</v>
      </c>
      <c r="AS1" s="590" t="s">
        <v>2874</v>
      </c>
      <c r="AT1" s="590" t="s">
        <v>2875</v>
      </c>
      <c r="AU1" s="590" t="s">
        <v>2876</v>
      </c>
    </row>
    <row r="2" spans="1:47">
      <c r="A2" s="590" t="str">
        <f>"SCN1907"</f>
        <v>SCN1907</v>
      </c>
      <c r="B2" s="590" t="str">
        <f>[3]!SCN1907.402</f>
        <v>A50指數-1907</v>
      </c>
      <c r="C2" s="590">
        <f>[3]!SCN1907.122</f>
        <v>20190713</v>
      </c>
      <c r="D2" s="590">
        <f>[3]!SCN1907.123</f>
        <v>44458</v>
      </c>
      <c r="E2" s="590">
        <f>[3]!SCN1907.124</f>
        <v>13512.5</v>
      </c>
      <c r="F2" s="590">
        <f>[3]!SCN1907.125</f>
        <v>-40</v>
      </c>
      <c r="G2" s="590">
        <f>[3]!SCN1907.126</f>
        <v>-0.28999999999999998</v>
      </c>
      <c r="H2" s="590">
        <f>[3]!SCN1907.128</f>
        <v>2</v>
      </c>
      <c r="I2" s="590">
        <f>[3]!SCN1907.130</f>
        <v>13557.5</v>
      </c>
      <c r="J2" s="590">
        <f>[3]!SCN1907.131</f>
        <v>13567.5</v>
      </c>
      <c r="K2" s="590">
        <f>[3]!SCN1907.132</f>
        <v>13462.5</v>
      </c>
      <c r="L2" s="590">
        <f>[3]!SCN1907.133</f>
        <v>26834</v>
      </c>
      <c r="M2" s="590">
        <f>[3]!SCN1907.135</f>
        <v>13435</v>
      </c>
      <c r="N2" s="590">
        <f>[3]!SCN1907.136</f>
        <v>13550</v>
      </c>
      <c r="O2" s="590" t="str">
        <f>[3]!SCN1907.437</f>
        <v>***</v>
      </c>
      <c r="P2" s="590">
        <f>[3]!SCN1907.405</f>
        <v>13552.5</v>
      </c>
      <c r="Q2" s="590" t="str">
        <f>[3]!SCN1907.406</f>
        <v>***</v>
      </c>
      <c r="R2" s="590" t="str">
        <f>[3]!SCN1907.407</f>
        <v>***</v>
      </c>
      <c r="S2" s="590">
        <f>[3]!SCN1907.422</f>
        <v>13552.5</v>
      </c>
      <c r="T2" s="590">
        <f>[3]!SCN1907.423</f>
        <v>229715</v>
      </c>
      <c r="U2" s="590">
        <f>[3]!SCN1907.431</f>
        <v>20190730</v>
      </c>
      <c r="V2" s="590" t="str">
        <f>[3]!SCN1907.170</f>
        <v>***</v>
      </c>
      <c r="W2" s="590" t="str">
        <f>[3]!SCN1907.172</f>
        <v>***</v>
      </c>
      <c r="X2" s="590" t="str">
        <f>[3]!SCN1907.171</f>
        <v>***</v>
      </c>
      <c r="Y2" s="590" t="str">
        <f>[3]!SCN1907.173</f>
        <v>***</v>
      </c>
      <c r="Z2" s="590">
        <f>[3]!SCN1907.201</f>
        <v>13435</v>
      </c>
      <c r="AA2" s="590">
        <f>[3]!SCN1907.202</f>
        <v>13410</v>
      </c>
      <c r="AB2" s="590">
        <f>[3]!SCN1907.203</f>
        <v>13400</v>
      </c>
      <c r="AC2" s="590">
        <f>[3]!SCN1907.204</f>
        <v>13390</v>
      </c>
      <c r="AD2" s="590">
        <f>[3]!SCN1907.205</f>
        <v>13380</v>
      </c>
      <c r="AE2" s="590">
        <f>[3]!SCN1907.211</f>
        <v>13550</v>
      </c>
      <c r="AF2" s="590">
        <f>[3]!SCN1907.212</f>
        <v>13555</v>
      </c>
      <c r="AG2" s="590">
        <f>[3]!SCN1907.213</f>
        <v>13585</v>
      </c>
      <c r="AH2" s="590">
        <f>[3]!SCN1907.214</f>
        <v>13600</v>
      </c>
      <c r="AI2" s="590">
        <f>[3]!SCN1907.215</f>
        <v>13615</v>
      </c>
      <c r="AJ2" s="590">
        <f>[3]!SCN1907.221</f>
        <v>3</v>
      </c>
      <c r="AK2" s="590">
        <f>[3]!SCN1907.222</f>
        <v>1</v>
      </c>
      <c r="AL2" s="590">
        <f>[3]!SCN1907.223</f>
        <v>3</v>
      </c>
      <c r="AM2" s="590">
        <f>[3]!SCN1907.224</f>
        <v>1</v>
      </c>
      <c r="AN2" s="590">
        <f>[3]!SCN1907.225</f>
        <v>1</v>
      </c>
      <c r="AO2" s="590">
        <f>[3]!SCN1907.231</f>
        <v>1</v>
      </c>
      <c r="AP2" s="590">
        <f>[3]!SCN1907.232</f>
        <v>1</v>
      </c>
      <c r="AQ2" s="590">
        <f>[3]!SCN1907.233</f>
        <v>1</v>
      </c>
      <c r="AR2" s="590">
        <f>[3]!SCN1907.234</f>
        <v>1</v>
      </c>
      <c r="AS2" s="590">
        <f>[3]!SCN1907.235</f>
        <v>5</v>
      </c>
      <c r="AT2" s="590">
        <f>[3]!SCN1907.147</f>
        <v>13210</v>
      </c>
      <c r="AU2" s="590">
        <f>[3]!SCN1907.148</f>
        <v>12656</v>
      </c>
    </row>
    <row r="3" spans="1:47">
      <c r="A3" s="590" t="str">
        <f>"SCN1908"</f>
        <v>SCN1908</v>
      </c>
      <c r="B3" s="590" t="str">
        <f>[3]!SCN1908.402</f>
        <v>A50指數-1908</v>
      </c>
      <c r="C3" s="590">
        <f>[3]!SCN1908.122</f>
        <v>20190713</v>
      </c>
      <c r="D3" s="590">
        <f>[3]!SCN1908.123</f>
        <v>44425</v>
      </c>
      <c r="E3" s="590">
        <f>[3]!SCN1908.124</f>
        <v>13492.5</v>
      </c>
      <c r="F3" s="590">
        <f>[3]!SCN1908.125</f>
        <v>-50</v>
      </c>
      <c r="G3" s="590">
        <f>[3]!SCN1908.126</f>
        <v>-0.36</v>
      </c>
      <c r="H3" s="590">
        <f>[3]!SCN1908.128</f>
        <v>1</v>
      </c>
      <c r="I3" s="590">
        <f>[3]!SCN1908.130</f>
        <v>13520</v>
      </c>
      <c r="J3" s="590">
        <f>[3]!SCN1908.131</f>
        <v>13525</v>
      </c>
      <c r="K3" s="590">
        <f>[3]!SCN1908.132</f>
        <v>13450</v>
      </c>
      <c r="L3" s="590">
        <f>[3]!SCN1908.133</f>
        <v>595</v>
      </c>
      <c r="M3" s="590">
        <f>[3]!SCN1908.135</f>
        <v>12600</v>
      </c>
      <c r="N3" s="590">
        <f>[3]!SCN1908.136</f>
        <v>13660</v>
      </c>
      <c r="O3" s="590" t="str">
        <f>[3]!SCN1908.437</f>
        <v>***</v>
      </c>
      <c r="P3" s="590">
        <f>[3]!SCN1908.405</f>
        <v>13542.5</v>
      </c>
      <c r="Q3" s="590" t="str">
        <f>[3]!SCN1908.406</f>
        <v>***</v>
      </c>
      <c r="R3" s="590" t="str">
        <f>[3]!SCN1908.407</f>
        <v>***</v>
      </c>
      <c r="S3" s="590">
        <f>[3]!SCN1908.422</f>
        <v>13542.5</v>
      </c>
      <c r="T3" s="590">
        <f>[3]!SCN1908.423</f>
        <v>2788</v>
      </c>
      <c r="U3" s="590">
        <f>[3]!SCN1908.431</f>
        <v>20190829</v>
      </c>
      <c r="V3" s="590" t="str">
        <f>[3]!SCN1908.170</f>
        <v>***</v>
      </c>
      <c r="W3" s="590" t="str">
        <f>[3]!SCN1908.172</f>
        <v>***</v>
      </c>
      <c r="X3" s="590" t="str">
        <f>[3]!SCN1908.171</f>
        <v>***</v>
      </c>
      <c r="Y3" s="590" t="str">
        <f>[3]!SCN1908.173</f>
        <v>***</v>
      </c>
      <c r="Z3" s="590">
        <f>[3]!SCN1908.201</f>
        <v>12600</v>
      </c>
      <c r="AA3" s="590" t="str">
        <f>[3]!SCN1908.202</f>
        <v xml:space="preserve"> </v>
      </c>
      <c r="AB3" s="590" t="str">
        <f>[3]!SCN1908.203</f>
        <v xml:space="preserve"> </v>
      </c>
      <c r="AC3" s="590" t="str">
        <f>[3]!SCN1908.204</f>
        <v xml:space="preserve"> </v>
      </c>
      <c r="AD3" s="590" t="str">
        <f>[3]!SCN1908.205</f>
        <v xml:space="preserve"> </v>
      </c>
      <c r="AE3" s="590">
        <f>[3]!SCN1908.211</f>
        <v>13660</v>
      </c>
      <c r="AF3" s="590">
        <f>[3]!SCN1908.212</f>
        <v>13980</v>
      </c>
      <c r="AG3" s="590">
        <f>[3]!SCN1908.213</f>
        <v>13992.5</v>
      </c>
      <c r="AH3" s="590">
        <f>[3]!SCN1908.214</f>
        <v>13995</v>
      </c>
      <c r="AI3" s="590">
        <f>[3]!SCN1908.215</f>
        <v>14000</v>
      </c>
      <c r="AJ3" s="590">
        <f>[3]!SCN1908.221</f>
        <v>2</v>
      </c>
      <c r="AK3" s="590">
        <f>[3]!SCN1908.222</f>
        <v>0</v>
      </c>
      <c r="AL3" s="590">
        <f>[3]!SCN1908.223</f>
        <v>0</v>
      </c>
      <c r="AM3" s="590">
        <f>[3]!SCN1908.224</f>
        <v>0</v>
      </c>
      <c r="AN3" s="590">
        <f>[3]!SCN1908.225</f>
        <v>0</v>
      </c>
      <c r="AO3" s="590">
        <f>[3]!SCN1908.231</f>
        <v>10</v>
      </c>
      <c r="AP3" s="590">
        <f>[3]!SCN1908.232</f>
        <v>2</v>
      </c>
      <c r="AQ3" s="590">
        <f>[3]!SCN1908.233</f>
        <v>2</v>
      </c>
      <c r="AR3" s="590">
        <f>[3]!SCN1908.234</f>
        <v>2</v>
      </c>
      <c r="AS3" s="590">
        <f>[3]!SCN1908.235</f>
        <v>2</v>
      </c>
      <c r="AT3" s="590">
        <f>[3]!SCN1908.147</f>
        <v>281</v>
      </c>
      <c r="AU3" s="590">
        <f>[3]!SCN1908.148</f>
        <v>298</v>
      </c>
    </row>
    <row r="4" spans="1:47">
      <c r="A4" s="590" t="str">
        <f>"NQ1909"</f>
        <v>NQ1909</v>
      </c>
      <c r="B4" s="590" t="str">
        <f>[3]!NQ1909.402</f>
        <v>小那斯達克-1909</v>
      </c>
      <c r="C4" s="590">
        <f>[3]!NQ1909.122</f>
        <v>20190711</v>
      </c>
      <c r="D4" s="590">
        <f>[3]!NQ1909.123</f>
        <v>160000</v>
      </c>
      <c r="E4" s="590">
        <f>[3]!NQ1909.124</f>
        <v>7958.5</v>
      </c>
      <c r="F4" s="590">
        <f>[3]!NQ1909.125</f>
        <v>39.75</v>
      </c>
      <c r="G4" s="590">
        <f>[3]!NQ1909.126</f>
        <v>0.5</v>
      </c>
      <c r="H4" s="590">
        <f>[3]!NQ1909.128</f>
        <v>5</v>
      </c>
      <c r="I4" s="590">
        <f>[3]!NQ1909.130</f>
        <v>7917.25</v>
      </c>
      <c r="J4" s="590">
        <f>[3]!NQ1909.131</f>
        <v>7967.5</v>
      </c>
      <c r="K4" s="590">
        <f>[3]!NQ1909.132</f>
        <v>7911.75</v>
      </c>
      <c r="L4" s="590">
        <f>[3]!NQ1909.133</f>
        <v>298535</v>
      </c>
      <c r="M4" s="590">
        <f>[3]!NQ1909.135</f>
        <v>7957</v>
      </c>
      <c r="N4" s="590">
        <f>[3]!NQ1909.136</f>
        <v>7958.25</v>
      </c>
      <c r="O4" s="590" t="str">
        <f>[3]!NQ1909.437</f>
        <v>***</v>
      </c>
      <c r="P4" s="590">
        <f>[3]!NQ1909.405</f>
        <v>7918.75</v>
      </c>
      <c r="Q4" s="590" t="str">
        <f>[3]!NQ1909.406</f>
        <v>***</v>
      </c>
      <c r="R4" s="590" t="str">
        <f>[3]!NQ1909.407</f>
        <v>***</v>
      </c>
      <c r="S4" s="590">
        <f>[3]!NQ1909.422</f>
        <v>7917.75</v>
      </c>
      <c r="T4" s="590">
        <f>[3]!NQ1909.423</f>
        <v>403726</v>
      </c>
      <c r="U4" s="590">
        <f>[3]!NQ1909.431</f>
        <v>20190920</v>
      </c>
      <c r="V4" s="590" t="str">
        <f>[3]!NQ1909.170</f>
        <v>***</v>
      </c>
      <c r="W4" s="590" t="str">
        <f>[3]!NQ1909.172</f>
        <v>***</v>
      </c>
      <c r="X4" s="590" t="str">
        <f>[3]!NQ1909.171</f>
        <v>***</v>
      </c>
      <c r="Y4" s="590" t="str">
        <f>[3]!NQ1909.173</f>
        <v>***</v>
      </c>
      <c r="Z4" s="590">
        <f>[3]!NQ1909.201</f>
        <v>7957</v>
      </c>
      <c r="AA4" s="590">
        <f>[3]!NQ1909.202</f>
        <v>7956.25</v>
      </c>
      <c r="AB4" s="590">
        <f>[3]!NQ1909.203</f>
        <v>7956</v>
      </c>
      <c r="AC4" s="590">
        <f>[3]!NQ1909.204</f>
        <v>7955.75</v>
      </c>
      <c r="AD4" s="590">
        <f>[3]!NQ1909.205</f>
        <v>7955.5</v>
      </c>
      <c r="AE4" s="590">
        <f>[3]!NQ1909.211</f>
        <v>7958.25</v>
      </c>
      <c r="AF4" s="590">
        <f>[3]!NQ1909.212</f>
        <v>7958.5</v>
      </c>
      <c r="AG4" s="590">
        <f>[3]!NQ1909.213</f>
        <v>7958.75</v>
      </c>
      <c r="AH4" s="590">
        <f>[3]!NQ1909.214</f>
        <v>7959</v>
      </c>
      <c r="AI4" s="590">
        <f>[3]!NQ1909.215</f>
        <v>7959.25</v>
      </c>
      <c r="AJ4" s="590">
        <f>[3]!NQ1909.221</f>
        <v>1</v>
      </c>
      <c r="AK4" s="590">
        <f>[3]!NQ1909.222</f>
        <v>7</v>
      </c>
      <c r="AL4" s="590">
        <f>[3]!NQ1909.223</f>
        <v>7</v>
      </c>
      <c r="AM4" s="590">
        <f>[3]!NQ1909.224</f>
        <v>7</v>
      </c>
      <c r="AN4" s="590">
        <f>[3]!NQ1909.225</f>
        <v>8</v>
      </c>
      <c r="AO4" s="590">
        <f>[3]!NQ1909.231</f>
        <v>2</v>
      </c>
      <c r="AP4" s="590">
        <f>[3]!NQ1909.232</f>
        <v>4</v>
      </c>
      <c r="AQ4" s="590">
        <f>[3]!NQ1909.233</f>
        <v>10</v>
      </c>
      <c r="AR4" s="590">
        <f>[3]!NQ1909.234</f>
        <v>10</v>
      </c>
      <c r="AS4" s="590">
        <f>[3]!NQ1909.235</f>
        <v>7</v>
      </c>
      <c r="AT4" s="590">
        <f>[3]!NQ1909.147</f>
        <v>127319</v>
      </c>
      <c r="AU4" s="590">
        <f>[3]!NQ1909.148</f>
        <v>129095</v>
      </c>
    </row>
    <row r="5" spans="1:47">
      <c r="A5" s="590" t="str">
        <f>"NQ1912"</f>
        <v>NQ1912</v>
      </c>
      <c r="B5" s="590" t="str">
        <f>[3]!NQ1912.402</f>
        <v>小那斯達克-1912</v>
      </c>
      <c r="C5" s="590">
        <f>[3]!NQ1912.122</f>
        <v>20190711</v>
      </c>
      <c r="D5" s="590">
        <f>[3]!NQ1912.123</f>
        <v>153623</v>
      </c>
      <c r="E5" s="590">
        <f>[3]!NQ1912.124</f>
        <v>7981.5</v>
      </c>
      <c r="F5" s="590">
        <f>[3]!NQ1912.125</f>
        <v>41</v>
      </c>
      <c r="G5" s="590">
        <f>[3]!NQ1912.126</f>
        <v>0.51</v>
      </c>
      <c r="H5" s="590">
        <f>[3]!NQ1912.128</f>
        <v>1</v>
      </c>
      <c r="I5" s="590">
        <f>[3]!NQ1912.130</f>
        <v>7948</v>
      </c>
      <c r="J5" s="590">
        <f>[3]!NQ1912.131</f>
        <v>7989.75</v>
      </c>
      <c r="K5" s="590">
        <f>[3]!NQ1912.132</f>
        <v>7941</v>
      </c>
      <c r="L5" s="590">
        <f>[3]!NQ1912.133</f>
        <v>412</v>
      </c>
      <c r="M5" s="590">
        <f>[3]!NQ1912.135</f>
        <v>7956.5</v>
      </c>
      <c r="N5" s="590">
        <f>[3]!NQ1912.136</f>
        <v>8038.75</v>
      </c>
      <c r="O5" s="590" t="str">
        <f>[3]!NQ1912.437</f>
        <v>***</v>
      </c>
      <c r="P5" s="590">
        <f>[3]!NQ1912.405</f>
        <v>7940.5</v>
      </c>
      <c r="Q5" s="590" t="str">
        <f>[3]!NQ1912.406</f>
        <v>***</v>
      </c>
      <c r="R5" s="590" t="str">
        <f>[3]!NQ1912.407</f>
        <v>***</v>
      </c>
      <c r="S5" s="590">
        <f>[3]!NQ1912.422</f>
        <v>7941.75</v>
      </c>
      <c r="T5" s="590">
        <f>[3]!NQ1912.423</f>
        <v>596</v>
      </c>
      <c r="U5" s="590">
        <f>[3]!NQ1912.431</f>
        <v>20191220</v>
      </c>
      <c r="V5" s="590" t="str">
        <f>[3]!NQ1912.170</f>
        <v>***</v>
      </c>
      <c r="W5" s="590" t="str">
        <f>[3]!NQ1912.172</f>
        <v>***</v>
      </c>
      <c r="X5" s="590" t="str">
        <f>[3]!NQ1912.171</f>
        <v>***</v>
      </c>
      <c r="Y5" s="590" t="str">
        <f>[3]!NQ1912.173</f>
        <v>***</v>
      </c>
      <c r="Z5" s="590">
        <f>[3]!NQ1912.201</f>
        <v>7956.5</v>
      </c>
      <c r="AA5" s="590">
        <f>[3]!NQ1912.202</f>
        <v>7930</v>
      </c>
      <c r="AB5" s="590">
        <f>[3]!NQ1912.203</f>
        <v>7906.75</v>
      </c>
      <c r="AC5" s="590">
        <f>[3]!NQ1912.204</f>
        <v>7735</v>
      </c>
      <c r="AD5" s="590">
        <f>[3]!NQ1912.205</f>
        <v>7655.5</v>
      </c>
      <c r="AE5" s="590">
        <f>[3]!NQ1912.211</f>
        <v>8038.75</v>
      </c>
      <c r="AF5" s="590">
        <f>[3]!NQ1912.212</f>
        <v>8044.5</v>
      </c>
      <c r="AG5" s="590">
        <f>[3]!NQ1912.213</f>
        <v>8100</v>
      </c>
      <c r="AH5" s="590">
        <f>[3]!NQ1912.214</f>
        <v>9000</v>
      </c>
      <c r="AI5" s="590" t="str">
        <f>[3]!NQ1912.215</f>
        <v xml:space="preserve"> </v>
      </c>
      <c r="AJ5" s="590">
        <f>[3]!NQ1912.221</f>
        <v>1</v>
      </c>
      <c r="AK5" s="590">
        <f>[3]!NQ1912.222</f>
        <v>3</v>
      </c>
      <c r="AL5" s="590">
        <f>[3]!NQ1912.223</f>
        <v>1</v>
      </c>
      <c r="AM5" s="590">
        <f>[3]!NQ1912.224</f>
        <v>1</v>
      </c>
      <c r="AN5" s="590">
        <f>[3]!NQ1912.225</f>
        <v>1</v>
      </c>
      <c r="AO5" s="590">
        <f>[3]!NQ1912.231</f>
        <v>1</v>
      </c>
      <c r="AP5" s="590">
        <f>[3]!NQ1912.232</f>
        <v>1</v>
      </c>
      <c r="AQ5" s="590">
        <f>[3]!NQ1912.233</f>
        <v>1</v>
      </c>
      <c r="AR5" s="590">
        <f>[3]!NQ1912.234</f>
        <v>1</v>
      </c>
      <c r="AS5" s="590">
        <f>[3]!NQ1912.235</f>
        <v>0</v>
      </c>
      <c r="AT5" s="590">
        <f>[3]!NQ1912.147</f>
        <v>132</v>
      </c>
      <c r="AU5" s="590">
        <f>[3]!NQ1912.148</f>
        <v>177</v>
      </c>
    </row>
    <row r="6" spans="1:47">
      <c r="A6" s="590" t="str">
        <f>"ES1909"</f>
        <v>ES1909</v>
      </c>
      <c r="B6" s="590" t="str">
        <f>[3]!ES1909.402</f>
        <v>小SP指數-1909</v>
      </c>
      <c r="C6" s="590">
        <f>[3]!ES1909.122</f>
        <v>20190711</v>
      </c>
      <c r="D6" s="590">
        <f>[3]!ES1909.123</f>
        <v>160000</v>
      </c>
      <c r="E6" s="590">
        <f>[3]!ES1909.124</f>
        <v>3014.25</v>
      </c>
      <c r="F6" s="590">
        <f>[3]!ES1909.125</f>
        <v>10.25</v>
      </c>
      <c r="G6" s="590">
        <f>[3]!ES1909.126</f>
        <v>0.34</v>
      </c>
      <c r="H6" s="590">
        <f>[3]!ES1909.128</f>
        <v>1</v>
      </c>
      <c r="I6" s="590">
        <f>[3]!ES1909.130</f>
        <v>3003</v>
      </c>
      <c r="J6" s="590">
        <f>[3]!ES1909.131</f>
        <v>3018</v>
      </c>
      <c r="K6" s="590">
        <f>[3]!ES1909.132</f>
        <v>3002.25</v>
      </c>
      <c r="L6" s="590">
        <f>[3]!ES1909.133</f>
        <v>934769</v>
      </c>
      <c r="M6" s="590">
        <f>[3]!ES1909.135</f>
        <v>3014</v>
      </c>
      <c r="N6" s="590">
        <f>[3]!ES1909.136</f>
        <v>3014.25</v>
      </c>
      <c r="O6" s="590" t="str">
        <f>[3]!ES1909.437</f>
        <v>***</v>
      </c>
      <c r="P6" s="590">
        <f>[3]!ES1909.405</f>
        <v>3004</v>
      </c>
      <c r="Q6" s="590" t="str">
        <f>[3]!ES1909.406</f>
        <v>***</v>
      </c>
      <c r="R6" s="590" t="str">
        <f>[3]!ES1909.407</f>
        <v>***</v>
      </c>
      <c r="S6" s="590">
        <f>[3]!ES1909.422</f>
        <v>3004</v>
      </c>
      <c r="T6" s="590">
        <f>[3]!ES1909.423</f>
        <v>1149273</v>
      </c>
      <c r="U6" s="590">
        <f>[3]!ES1909.431</f>
        <v>20190920</v>
      </c>
      <c r="V6" s="590" t="str">
        <f>[3]!ES1909.170</f>
        <v>***</v>
      </c>
      <c r="W6" s="590" t="str">
        <f>[3]!ES1909.172</f>
        <v>***</v>
      </c>
      <c r="X6" s="590" t="str">
        <f>[3]!ES1909.171</f>
        <v>***</v>
      </c>
      <c r="Y6" s="590" t="str">
        <f>[3]!ES1909.173</f>
        <v>***</v>
      </c>
      <c r="Z6" s="590">
        <f>[3]!ES1909.201</f>
        <v>3014</v>
      </c>
      <c r="AA6" s="590">
        <f>[3]!ES1909.202</f>
        <v>3013.75</v>
      </c>
      <c r="AB6" s="590">
        <f>[3]!ES1909.203</f>
        <v>3013.5</v>
      </c>
      <c r="AC6" s="590">
        <f>[3]!ES1909.204</f>
        <v>3013.25</v>
      </c>
      <c r="AD6" s="590">
        <f>[3]!ES1909.205</f>
        <v>3013</v>
      </c>
      <c r="AE6" s="590">
        <f>[3]!ES1909.211</f>
        <v>3014.25</v>
      </c>
      <c r="AF6" s="590">
        <f>[3]!ES1909.212</f>
        <v>3014.5</v>
      </c>
      <c r="AG6" s="590">
        <f>[3]!ES1909.213</f>
        <v>3014.75</v>
      </c>
      <c r="AH6" s="590">
        <f>[3]!ES1909.214</f>
        <v>3015</v>
      </c>
      <c r="AI6" s="590">
        <f>[3]!ES1909.215</f>
        <v>3015.25</v>
      </c>
      <c r="AJ6" s="590">
        <f>[3]!ES1909.221</f>
        <v>35</v>
      </c>
      <c r="AK6" s="590">
        <f>[3]!ES1909.222</f>
        <v>15</v>
      </c>
      <c r="AL6" s="590">
        <f>[3]!ES1909.223</f>
        <v>19</v>
      </c>
      <c r="AM6" s="590">
        <f>[3]!ES1909.224</f>
        <v>20</v>
      </c>
      <c r="AN6" s="590">
        <f>[3]!ES1909.225</f>
        <v>34</v>
      </c>
      <c r="AO6" s="590">
        <f>[3]!ES1909.231</f>
        <v>5</v>
      </c>
      <c r="AP6" s="590">
        <f>[3]!ES1909.232</f>
        <v>18</v>
      </c>
      <c r="AQ6" s="590">
        <f>[3]!ES1909.233</f>
        <v>17</v>
      </c>
      <c r="AR6" s="590">
        <f>[3]!ES1909.234</f>
        <v>26</v>
      </c>
      <c r="AS6" s="590">
        <f>[3]!ES1909.235</f>
        <v>31</v>
      </c>
      <c r="AT6" s="590">
        <f>[3]!ES1909.147</f>
        <v>450442</v>
      </c>
      <c r="AU6" s="590">
        <f>[3]!ES1909.148</f>
        <v>465344</v>
      </c>
    </row>
    <row r="7" spans="1:47">
      <c r="A7" s="590" t="str">
        <f>"ES1912"</f>
        <v>ES1912</v>
      </c>
      <c r="B7" s="590" t="str">
        <f>[3]!ES1912.402</f>
        <v>小SP指數-1912</v>
      </c>
      <c r="C7" s="590">
        <f>[3]!ES1912.122</f>
        <v>20190711</v>
      </c>
      <c r="D7" s="590">
        <f>[3]!ES1912.123</f>
        <v>155859</v>
      </c>
      <c r="E7" s="590">
        <f>[3]!ES1912.124</f>
        <v>3016.75</v>
      </c>
      <c r="F7" s="590">
        <f>[3]!ES1912.125</f>
        <v>10.75</v>
      </c>
      <c r="G7" s="590">
        <f>[3]!ES1912.126</f>
        <v>0.35</v>
      </c>
      <c r="H7" s="590">
        <f>[3]!ES1912.128</f>
        <v>1</v>
      </c>
      <c r="I7" s="590">
        <f>[3]!ES1912.130</f>
        <v>3005.75</v>
      </c>
      <c r="J7" s="590">
        <f>[3]!ES1912.131</f>
        <v>3020</v>
      </c>
      <c r="K7" s="590">
        <f>[3]!ES1912.132</f>
        <v>3005</v>
      </c>
      <c r="L7" s="590">
        <f>[3]!ES1912.133</f>
        <v>3974</v>
      </c>
      <c r="M7" s="590">
        <f>[3]!ES1912.135</f>
        <v>3014.5</v>
      </c>
      <c r="N7" s="590">
        <f>[3]!ES1912.136</f>
        <v>3020.25</v>
      </c>
      <c r="O7" s="590" t="str">
        <f>[3]!ES1912.437</f>
        <v>***</v>
      </c>
      <c r="P7" s="590">
        <f>[3]!ES1912.405</f>
        <v>3006</v>
      </c>
      <c r="Q7" s="590" t="str">
        <f>[3]!ES1912.406</f>
        <v>***</v>
      </c>
      <c r="R7" s="590" t="str">
        <f>[3]!ES1912.407</f>
        <v>***</v>
      </c>
      <c r="S7" s="590">
        <f>[3]!ES1912.422</f>
        <v>3006.25</v>
      </c>
      <c r="T7" s="590">
        <f>[3]!ES1912.423</f>
        <v>6069</v>
      </c>
      <c r="U7" s="590">
        <f>[3]!ES1912.431</f>
        <v>20191220</v>
      </c>
      <c r="V7" s="590" t="str">
        <f>[3]!ES1912.170</f>
        <v>***</v>
      </c>
      <c r="W7" s="590" t="str">
        <f>[3]!ES1912.172</f>
        <v>***</v>
      </c>
      <c r="X7" s="590" t="str">
        <f>[3]!ES1912.171</f>
        <v>***</v>
      </c>
      <c r="Y7" s="590" t="str">
        <f>[3]!ES1912.173</f>
        <v>***</v>
      </c>
      <c r="Z7" s="590">
        <f>[3]!ES1912.201</f>
        <v>3014.5</v>
      </c>
      <c r="AA7" s="590">
        <f>[3]!ES1912.202</f>
        <v>3011.75</v>
      </c>
      <c r="AB7" s="590">
        <f>[3]!ES1912.203</f>
        <v>3010.75</v>
      </c>
      <c r="AC7" s="590">
        <f>[3]!ES1912.204</f>
        <v>3001</v>
      </c>
      <c r="AD7" s="590">
        <f>[3]!ES1912.205</f>
        <v>3000</v>
      </c>
      <c r="AE7" s="590">
        <f>[3]!ES1912.211</f>
        <v>3020.25</v>
      </c>
      <c r="AF7" s="590">
        <f>[3]!ES1912.212</f>
        <v>3022</v>
      </c>
      <c r="AG7" s="590">
        <f>[3]!ES1912.213</f>
        <v>3024</v>
      </c>
      <c r="AH7" s="590">
        <f>[3]!ES1912.214</f>
        <v>3024.5</v>
      </c>
      <c r="AI7" s="590">
        <f>[3]!ES1912.215</f>
        <v>3025</v>
      </c>
      <c r="AJ7" s="590">
        <f>[3]!ES1912.221</f>
        <v>1</v>
      </c>
      <c r="AK7" s="590">
        <f>[3]!ES1912.222</f>
        <v>1</v>
      </c>
      <c r="AL7" s="590">
        <f>[3]!ES1912.223</f>
        <v>1</v>
      </c>
      <c r="AM7" s="590">
        <f>[3]!ES1912.224</f>
        <v>1</v>
      </c>
      <c r="AN7" s="590">
        <f>[3]!ES1912.225</f>
        <v>2</v>
      </c>
      <c r="AO7" s="590">
        <f>[3]!ES1912.231</f>
        <v>1</v>
      </c>
      <c r="AP7" s="590">
        <f>[3]!ES1912.232</f>
        <v>1</v>
      </c>
      <c r="AQ7" s="590">
        <f>[3]!ES1912.233</f>
        <v>1</v>
      </c>
      <c r="AR7" s="590">
        <f>[3]!ES1912.234</f>
        <v>1</v>
      </c>
      <c r="AS7" s="590">
        <f>[3]!ES1912.235</f>
        <v>1</v>
      </c>
      <c r="AT7" s="590">
        <f>[3]!ES1912.147</f>
        <v>752</v>
      </c>
      <c r="AU7" s="590">
        <f>[3]!ES1912.148</f>
        <v>756</v>
      </c>
    </row>
    <row r="8" spans="1:47">
      <c r="A8" s="590" t="str">
        <f>"YM1909"</f>
        <v>YM1909</v>
      </c>
      <c r="B8" s="590" t="str">
        <f>[3]!YM1909.402</f>
        <v>小道瓊指數-1909</v>
      </c>
      <c r="C8" s="590">
        <f>[3]!YM1909.122</f>
        <v>20190711</v>
      </c>
      <c r="D8" s="590">
        <f>[3]!YM1909.123</f>
        <v>155958</v>
      </c>
      <c r="E8" s="590">
        <f>[3]!YM1909.124</f>
        <v>27311</v>
      </c>
      <c r="F8" s="590">
        <f>[3]!YM1909.125</f>
        <v>234</v>
      </c>
      <c r="G8" s="590">
        <f>[3]!YM1909.126</f>
        <v>0.86</v>
      </c>
      <c r="H8" s="590">
        <f>[3]!YM1909.128</f>
        <v>1</v>
      </c>
      <c r="I8" s="590">
        <f>[3]!YM1909.130</f>
        <v>27072</v>
      </c>
      <c r="J8" s="590">
        <f>[3]!YM1909.131</f>
        <v>27330</v>
      </c>
      <c r="K8" s="590">
        <f>[3]!YM1909.132</f>
        <v>27070</v>
      </c>
      <c r="L8" s="590">
        <f>[3]!YM1909.133</f>
        <v>146896</v>
      </c>
      <c r="M8" s="590">
        <f>[3]!YM1909.135</f>
        <v>27309</v>
      </c>
      <c r="N8" s="590">
        <f>[3]!YM1909.136</f>
        <v>27311</v>
      </c>
      <c r="O8" s="590" t="str">
        <f>[3]!YM1909.437</f>
        <v>***</v>
      </c>
      <c r="P8" s="590">
        <f>[3]!YM1909.405</f>
        <v>27077</v>
      </c>
      <c r="Q8" s="590" t="str">
        <f>[3]!YM1909.406</f>
        <v>***</v>
      </c>
      <c r="R8" s="590" t="str">
        <f>[3]!YM1909.407</f>
        <v>***</v>
      </c>
      <c r="S8" s="590">
        <f>[3]!YM1909.422</f>
        <v>27082</v>
      </c>
      <c r="T8" s="590">
        <f>[3]!YM1909.423</f>
        <v>184591</v>
      </c>
      <c r="U8" s="590">
        <f>[3]!YM1909.431</f>
        <v>20190920</v>
      </c>
      <c r="V8" s="590" t="str">
        <f>[3]!YM1909.170</f>
        <v>***</v>
      </c>
      <c r="W8" s="590" t="str">
        <f>[3]!YM1909.172</f>
        <v>***</v>
      </c>
      <c r="X8" s="590" t="str">
        <f>[3]!YM1909.171</f>
        <v>***</v>
      </c>
      <c r="Y8" s="590" t="str">
        <f>[3]!YM1909.173</f>
        <v>***</v>
      </c>
      <c r="Z8" s="590">
        <f>[3]!YM1909.201</f>
        <v>27309</v>
      </c>
      <c r="AA8" s="590">
        <f>[3]!YM1909.202</f>
        <v>27308</v>
      </c>
      <c r="AB8" s="590">
        <f>[3]!YM1909.203</f>
        <v>27307</v>
      </c>
      <c r="AC8" s="590">
        <f>[3]!YM1909.204</f>
        <v>27306</v>
      </c>
      <c r="AD8" s="590">
        <f>[3]!YM1909.205</f>
        <v>27305</v>
      </c>
      <c r="AE8" s="590">
        <f>[3]!YM1909.211</f>
        <v>27311</v>
      </c>
      <c r="AF8" s="590">
        <f>[3]!YM1909.212</f>
        <v>27312</v>
      </c>
      <c r="AG8" s="590">
        <f>[3]!YM1909.213</f>
        <v>27313</v>
      </c>
      <c r="AH8" s="590">
        <f>[3]!YM1909.214</f>
        <v>27314</v>
      </c>
      <c r="AI8" s="590">
        <f>[3]!YM1909.215</f>
        <v>27315</v>
      </c>
      <c r="AJ8" s="590">
        <f>[3]!YM1909.221</f>
        <v>1</v>
      </c>
      <c r="AK8" s="590">
        <f>[3]!YM1909.222</f>
        <v>1</v>
      </c>
      <c r="AL8" s="590">
        <f>[3]!YM1909.223</f>
        <v>3</v>
      </c>
      <c r="AM8" s="590">
        <f>[3]!YM1909.224</f>
        <v>3</v>
      </c>
      <c r="AN8" s="590">
        <f>[3]!YM1909.225</f>
        <v>3</v>
      </c>
      <c r="AO8" s="590">
        <f>[3]!YM1909.231</f>
        <v>1</v>
      </c>
      <c r="AP8" s="590">
        <f>[3]!YM1909.232</f>
        <v>1</v>
      </c>
      <c r="AQ8" s="590">
        <f>[3]!YM1909.233</f>
        <v>3</v>
      </c>
      <c r="AR8" s="590">
        <f>[3]!YM1909.234</f>
        <v>3</v>
      </c>
      <c r="AS8" s="590">
        <f>[3]!YM1909.235</f>
        <v>3</v>
      </c>
      <c r="AT8" s="590">
        <f>[3]!YM1909.147</f>
        <v>64893</v>
      </c>
      <c r="AU8" s="590">
        <f>[3]!YM1909.148</f>
        <v>66930</v>
      </c>
    </row>
    <row r="9" spans="1:47">
      <c r="A9" s="590" t="str">
        <f>"YM1912"</f>
        <v>YM1912</v>
      </c>
      <c r="B9" s="590" t="str">
        <f>[3]!YM1912.402</f>
        <v>小道瓊指數-1912</v>
      </c>
      <c r="C9" s="590">
        <f>[3]!YM1912.122</f>
        <v>20190711</v>
      </c>
      <c r="D9" s="590">
        <f>[3]!YM1912.123</f>
        <v>150355</v>
      </c>
      <c r="E9" s="590">
        <f>[3]!YM1912.124</f>
        <v>27297</v>
      </c>
      <c r="F9" s="590">
        <f>[3]!YM1912.125</f>
        <v>238</v>
      </c>
      <c r="G9" s="590">
        <f>[3]!YM1912.126</f>
        <v>0.87</v>
      </c>
      <c r="H9" s="590">
        <f>[3]!YM1912.128</f>
        <v>1</v>
      </c>
      <c r="I9" s="590">
        <f>[3]!YM1912.130</f>
        <v>27090</v>
      </c>
      <c r="J9" s="590">
        <f>[3]!YM1912.131</f>
        <v>27316</v>
      </c>
      <c r="K9" s="590">
        <f>[3]!YM1912.132</f>
        <v>27090</v>
      </c>
      <c r="L9" s="590">
        <f>[3]!YM1912.133</f>
        <v>150</v>
      </c>
      <c r="M9" s="590">
        <f>[3]!YM1912.135</f>
        <v>27111</v>
      </c>
      <c r="N9" s="590">
        <f>[3]!YM1912.136</f>
        <v>27333</v>
      </c>
      <c r="O9" s="590" t="str">
        <f>[3]!YM1912.437</f>
        <v>***</v>
      </c>
      <c r="P9" s="590">
        <f>[3]!YM1912.405</f>
        <v>27059</v>
      </c>
      <c r="Q9" s="590" t="str">
        <f>[3]!YM1912.406</f>
        <v>***</v>
      </c>
      <c r="R9" s="590" t="str">
        <f>[3]!YM1912.407</f>
        <v>***</v>
      </c>
      <c r="S9" s="590">
        <f>[3]!YM1912.422</f>
        <v>27065</v>
      </c>
      <c r="T9" s="590">
        <f>[3]!YM1912.423</f>
        <v>148</v>
      </c>
      <c r="U9" s="590">
        <f>[3]!YM1912.431</f>
        <v>20191220</v>
      </c>
      <c r="V9" s="590" t="str">
        <f>[3]!YM1912.170</f>
        <v>***</v>
      </c>
      <c r="W9" s="590" t="str">
        <f>[3]!YM1912.172</f>
        <v>***</v>
      </c>
      <c r="X9" s="590" t="str">
        <f>[3]!YM1912.171</f>
        <v>***</v>
      </c>
      <c r="Y9" s="590" t="str">
        <f>[3]!YM1912.173</f>
        <v>***</v>
      </c>
      <c r="Z9" s="590">
        <f>[3]!YM1912.201</f>
        <v>27111</v>
      </c>
      <c r="AA9" s="590">
        <f>[3]!YM1912.202</f>
        <v>27100</v>
      </c>
      <c r="AB9" s="590">
        <f>[3]!YM1912.203</f>
        <v>26837</v>
      </c>
      <c r="AC9" s="590">
        <f>[3]!YM1912.204</f>
        <v>26765</v>
      </c>
      <c r="AD9" s="590">
        <f>[3]!YM1912.205</f>
        <v>26628</v>
      </c>
      <c r="AE9" s="590">
        <f>[3]!YM1912.211</f>
        <v>27333</v>
      </c>
      <c r="AF9" s="590">
        <f>[3]!YM1912.212</f>
        <v>27364</v>
      </c>
      <c r="AG9" s="590">
        <f>[3]!YM1912.213</f>
        <v>27369</v>
      </c>
      <c r="AH9" s="590">
        <f>[3]!YM1912.214</f>
        <v>27400</v>
      </c>
      <c r="AI9" s="590">
        <f>[3]!YM1912.215</f>
        <v>27444</v>
      </c>
      <c r="AJ9" s="590">
        <f>[3]!YM1912.221</f>
        <v>1</v>
      </c>
      <c r="AK9" s="590">
        <f>[3]!YM1912.222</f>
        <v>1</v>
      </c>
      <c r="AL9" s="590">
        <f>[3]!YM1912.223</f>
        <v>7</v>
      </c>
      <c r="AM9" s="590">
        <f>[3]!YM1912.224</f>
        <v>1</v>
      </c>
      <c r="AN9" s="590">
        <f>[3]!YM1912.225</f>
        <v>1</v>
      </c>
      <c r="AO9" s="590">
        <f>[3]!YM1912.231</f>
        <v>1</v>
      </c>
      <c r="AP9" s="590">
        <f>[3]!YM1912.232</f>
        <v>1</v>
      </c>
      <c r="AQ9" s="590">
        <f>[3]!YM1912.233</f>
        <v>1</v>
      </c>
      <c r="AR9" s="590">
        <f>[3]!YM1912.234</f>
        <v>2</v>
      </c>
      <c r="AS9" s="590">
        <f>[3]!YM1912.235</f>
        <v>1</v>
      </c>
      <c r="AT9" s="590">
        <f>[3]!YM1912.147</f>
        <v>15</v>
      </c>
      <c r="AU9" s="590">
        <f>[3]!YM1912.148</f>
        <v>104</v>
      </c>
    </row>
    <row r="10" spans="1:47">
      <c r="A10" s="590" t="str">
        <f>"NK1909"</f>
        <v>NK1909</v>
      </c>
      <c r="B10" s="590" t="str">
        <f>[3]!NK1909.402</f>
        <v>美元日經-1909</v>
      </c>
      <c r="C10" s="590">
        <f>[3]!NK1909.122</f>
        <v>20190711</v>
      </c>
      <c r="D10" s="590">
        <f>[3]!NK1909.123</f>
        <v>155926</v>
      </c>
      <c r="E10" s="590">
        <f>[3]!NK1909.124</f>
        <v>21575</v>
      </c>
      <c r="F10" s="590">
        <f>[3]!NK1909.125</f>
        <v>-35</v>
      </c>
      <c r="G10" s="590">
        <f>[3]!NK1909.126</f>
        <v>-0.16</v>
      </c>
      <c r="H10" s="590">
        <f>[3]!NK1909.128</f>
        <v>1</v>
      </c>
      <c r="I10" s="590">
        <f>[3]!NK1909.130</f>
        <v>21615</v>
      </c>
      <c r="J10" s="590">
        <f>[3]!NK1909.131</f>
        <v>21685</v>
      </c>
      <c r="K10" s="590">
        <f>[3]!NK1909.132</f>
        <v>21565</v>
      </c>
      <c r="L10" s="590">
        <f>[3]!NK1909.133</f>
        <v>4564</v>
      </c>
      <c r="M10" s="590">
        <f>[3]!NK1909.135</f>
        <v>21575</v>
      </c>
      <c r="N10" s="590">
        <f>[3]!NK1909.136</f>
        <v>21590</v>
      </c>
      <c r="O10" s="590" t="str">
        <f>[3]!NK1909.437</f>
        <v>***</v>
      </c>
      <c r="P10" s="590">
        <f>[3]!NK1909.405</f>
        <v>21610</v>
      </c>
      <c r="Q10" s="590" t="str">
        <f>[3]!NK1909.406</f>
        <v>***</v>
      </c>
      <c r="R10" s="590" t="str">
        <f>[3]!NK1909.407</f>
        <v>***</v>
      </c>
      <c r="S10" s="590">
        <f>[3]!NK1909.422</f>
        <v>21615</v>
      </c>
      <c r="T10" s="590">
        <f>[3]!NK1909.423</f>
        <v>8213</v>
      </c>
      <c r="U10" s="590">
        <f>[3]!NK1909.431</f>
        <v>20190913</v>
      </c>
      <c r="V10" s="590" t="str">
        <f>[3]!NK1909.170</f>
        <v>***</v>
      </c>
      <c r="W10" s="590" t="str">
        <f>[3]!NK1909.172</f>
        <v>***</v>
      </c>
      <c r="X10" s="590" t="str">
        <f>[3]!NK1909.171</f>
        <v>***</v>
      </c>
      <c r="Y10" s="590" t="str">
        <f>[3]!NK1909.173</f>
        <v>***</v>
      </c>
      <c r="Z10" s="590">
        <f>[3]!NK1909.201</f>
        <v>21575</v>
      </c>
      <c r="AA10" s="590">
        <f>[3]!NK1909.202</f>
        <v>21570</v>
      </c>
      <c r="AB10" s="590">
        <f>[3]!NK1909.203</f>
        <v>21565</v>
      </c>
      <c r="AC10" s="590">
        <f>[3]!NK1909.204</f>
        <v>21560</v>
      </c>
      <c r="AD10" s="590">
        <f>[3]!NK1909.205</f>
        <v>21555</v>
      </c>
      <c r="AE10" s="590">
        <f>[3]!NK1909.211</f>
        <v>21590</v>
      </c>
      <c r="AF10" s="590">
        <f>[3]!NK1909.212</f>
        <v>21595</v>
      </c>
      <c r="AG10" s="590">
        <f>[3]!NK1909.213</f>
        <v>21600</v>
      </c>
      <c r="AH10" s="590">
        <f>[3]!NK1909.214</f>
        <v>21605</v>
      </c>
      <c r="AI10" s="590">
        <f>[3]!NK1909.215</f>
        <v>21610</v>
      </c>
      <c r="AJ10" s="590">
        <f>[3]!NK1909.221</f>
        <v>1</v>
      </c>
      <c r="AK10" s="590">
        <f>[3]!NK1909.222</f>
        <v>2</v>
      </c>
      <c r="AL10" s="590">
        <f>[3]!NK1909.223</f>
        <v>1</v>
      </c>
      <c r="AM10" s="590">
        <f>[3]!NK1909.224</f>
        <v>1</v>
      </c>
      <c r="AN10" s="590">
        <f>[3]!NK1909.225</f>
        <v>1</v>
      </c>
      <c r="AO10" s="590">
        <f>[3]!NK1909.231</f>
        <v>2</v>
      </c>
      <c r="AP10" s="590">
        <f>[3]!NK1909.232</f>
        <v>2</v>
      </c>
      <c r="AQ10" s="590">
        <f>[3]!NK1909.233</f>
        <v>1</v>
      </c>
      <c r="AR10" s="590">
        <f>[3]!NK1909.234</f>
        <v>1</v>
      </c>
      <c r="AS10" s="590">
        <f>[3]!NK1909.235</f>
        <v>1</v>
      </c>
      <c r="AT10" s="590">
        <f>[3]!NK1909.147</f>
        <v>2260</v>
      </c>
      <c r="AU10" s="590">
        <f>[3]!NK1909.148</f>
        <v>2024</v>
      </c>
    </row>
    <row r="11" spans="1:47">
      <c r="A11" s="590" t="str">
        <f>"NK1912"</f>
        <v>NK1912</v>
      </c>
      <c r="B11" s="590" t="str">
        <f>[3]!NK1912.402</f>
        <v>美元日經-1912</v>
      </c>
      <c r="C11" s="590">
        <f>[3]!NK1912.122</f>
        <v>20190711</v>
      </c>
      <c r="D11" s="590">
        <f>[3]!NK1912.123</f>
        <v>143719</v>
      </c>
      <c r="E11" s="590">
        <f>[3]!NK1912.124</f>
        <v>21440</v>
      </c>
      <c r="F11" s="590">
        <f>[3]!NK1912.125</f>
        <v>-50</v>
      </c>
      <c r="G11" s="590">
        <f>[3]!NK1912.126</f>
        <v>-0.23</v>
      </c>
      <c r="H11" s="590">
        <f>[3]!NK1912.128</f>
        <v>8</v>
      </c>
      <c r="I11" s="590">
        <f>[3]!NK1912.130</f>
        <v>21465</v>
      </c>
      <c r="J11" s="590">
        <f>[3]!NK1912.131</f>
        <v>21510</v>
      </c>
      <c r="K11" s="590">
        <f>[3]!NK1912.132</f>
        <v>21440</v>
      </c>
      <c r="L11" s="590">
        <f>[3]!NK1912.133</f>
        <v>1115</v>
      </c>
      <c r="M11" s="590">
        <f>[3]!NK1912.135</f>
        <v>20000</v>
      </c>
      <c r="N11" s="590">
        <f>[3]!NK1912.136</f>
        <v>22800</v>
      </c>
      <c r="O11" s="590" t="str">
        <f>[3]!NK1912.437</f>
        <v>***</v>
      </c>
      <c r="P11" s="590">
        <f>[3]!NK1912.405</f>
        <v>21490</v>
      </c>
      <c r="Q11" s="590" t="str">
        <f>[3]!NK1912.406</f>
        <v>***</v>
      </c>
      <c r="R11" s="590" t="str">
        <f>[3]!NK1912.407</f>
        <v>***</v>
      </c>
      <c r="S11" s="590" t="str">
        <f>[3]!NK1912.422</f>
        <v xml:space="preserve"> </v>
      </c>
      <c r="T11" s="590">
        <f>[3]!NK1912.423</f>
        <v>0</v>
      </c>
      <c r="U11" s="590">
        <f>[3]!NK1912.431</f>
        <v>20191213</v>
      </c>
      <c r="V11" s="590" t="str">
        <f>[3]!NK1912.170</f>
        <v>***</v>
      </c>
      <c r="W11" s="590" t="str">
        <f>[3]!NK1912.172</f>
        <v>***</v>
      </c>
      <c r="X11" s="590" t="str">
        <f>[3]!NK1912.171</f>
        <v>***</v>
      </c>
      <c r="Y11" s="590" t="str">
        <f>[3]!NK1912.173</f>
        <v>***</v>
      </c>
      <c r="Z11" s="590">
        <f>[3]!NK1912.201</f>
        <v>20000</v>
      </c>
      <c r="AA11" s="590" t="str">
        <f>[3]!NK1912.202</f>
        <v xml:space="preserve"> </v>
      </c>
      <c r="AB11" s="590" t="str">
        <f>[3]!NK1912.203</f>
        <v xml:space="preserve"> </v>
      </c>
      <c r="AC11" s="590" t="str">
        <f>[3]!NK1912.204</f>
        <v xml:space="preserve"> </v>
      </c>
      <c r="AD11" s="590" t="str">
        <f>[3]!NK1912.205</f>
        <v xml:space="preserve"> </v>
      </c>
      <c r="AE11" s="590">
        <f>[3]!NK1912.211</f>
        <v>22800</v>
      </c>
      <c r="AF11" s="590" t="str">
        <f>[3]!NK1912.212</f>
        <v xml:space="preserve"> </v>
      </c>
      <c r="AG11" s="590" t="str">
        <f>[3]!NK1912.213</f>
        <v xml:space="preserve"> </v>
      </c>
      <c r="AH11" s="590" t="str">
        <f>[3]!NK1912.214</f>
        <v xml:space="preserve"> </v>
      </c>
      <c r="AI11" s="590" t="str">
        <f>[3]!NK1912.215</f>
        <v xml:space="preserve"> </v>
      </c>
      <c r="AJ11" s="590">
        <f>[3]!NK1912.221</f>
        <v>3</v>
      </c>
      <c r="AK11" s="590">
        <f>[3]!NK1912.222</f>
        <v>0</v>
      </c>
      <c r="AL11" s="590">
        <f>[3]!NK1912.223</f>
        <v>0</v>
      </c>
      <c r="AM11" s="590">
        <f>[3]!NK1912.224</f>
        <v>0</v>
      </c>
      <c r="AN11" s="590">
        <f>[3]!NK1912.225</f>
        <v>0</v>
      </c>
      <c r="AO11" s="590">
        <f>[3]!NK1912.231</f>
        <v>5</v>
      </c>
      <c r="AP11" s="590">
        <f>[3]!NK1912.232</f>
        <v>0</v>
      </c>
      <c r="AQ11" s="590">
        <f>[3]!NK1912.233</f>
        <v>0</v>
      </c>
      <c r="AR11" s="590">
        <f>[3]!NK1912.234</f>
        <v>0</v>
      </c>
      <c r="AS11" s="590">
        <f>[3]!NK1912.235</f>
        <v>0</v>
      </c>
      <c r="AT11" s="590">
        <f>[3]!NK1912.147</f>
        <v>1</v>
      </c>
      <c r="AU11" s="590">
        <f>[3]!NK1912.148</f>
        <v>1099</v>
      </c>
    </row>
    <row r="12" spans="1:47">
      <c r="A12" s="590" t="str">
        <f>"CL1908"</f>
        <v>CL1908</v>
      </c>
      <c r="B12" s="590" t="str">
        <f>[3]!CL1908.402</f>
        <v>輕原油-1908</v>
      </c>
      <c r="C12" s="590">
        <f>[3]!CL1908.122</f>
        <v>20190711</v>
      </c>
      <c r="D12" s="590">
        <f>[3]!CL1908.123</f>
        <v>165959</v>
      </c>
      <c r="E12" s="590">
        <f>[3]!CL1908.124</f>
        <v>60.39</v>
      </c>
      <c r="F12" s="590">
        <f>[3]!CL1908.125</f>
        <v>0.19</v>
      </c>
      <c r="G12" s="590">
        <f>[3]!CL1908.126</f>
        <v>0.31</v>
      </c>
      <c r="H12" s="590">
        <f>[3]!CL1908.128</f>
        <v>2</v>
      </c>
      <c r="I12" s="590">
        <f>[3]!CL1908.130</f>
        <v>60.46</v>
      </c>
      <c r="J12" s="590">
        <f>[3]!CL1908.131</f>
        <v>60.74</v>
      </c>
      <c r="K12" s="590">
        <f>[3]!CL1908.132</f>
        <v>59.93</v>
      </c>
      <c r="L12" s="590">
        <f>[3]!CL1908.133</f>
        <v>448113</v>
      </c>
      <c r="M12" s="590">
        <f>[3]!CL1908.135</f>
        <v>60.35</v>
      </c>
      <c r="N12" s="590">
        <f>[3]!CL1908.136</f>
        <v>60.4</v>
      </c>
      <c r="O12" s="590" t="str">
        <f>[3]!CL1908.437</f>
        <v>***</v>
      </c>
      <c r="P12" s="590">
        <f>[3]!CL1908.405</f>
        <v>60.2</v>
      </c>
      <c r="Q12" s="590" t="str">
        <f>[3]!CL1908.406</f>
        <v>***</v>
      </c>
      <c r="R12" s="590" t="str">
        <f>[3]!CL1908.407</f>
        <v>***</v>
      </c>
      <c r="S12" s="590">
        <f>[3]!CL1908.422</f>
        <v>60.43</v>
      </c>
      <c r="T12" s="590">
        <f>[3]!CL1908.423</f>
        <v>544988</v>
      </c>
      <c r="U12" s="590">
        <f>[3]!CL1908.431</f>
        <v>20190722</v>
      </c>
      <c r="V12" s="590" t="str">
        <f>[3]!CL1908.170</f>
        <v>***</v>
      </c>
      <c r="W12" s="590" t="str">
        <f>[3]!CL1908.172</f>
        <v>***</v>
      </c>
      <c r="X12" s="590" t="str">
        <f>[3]!CL1908.171</f>
        <v>***</v>
      </c>
      <c r="Y12" s="590" t="str">
        <f>[3]!CL1908.173</f>
        <v>***</v>
      </c>
      <c r="Z12" s="590">
        <f>[3]!CL1908.201</f>
        <v>60.35</v>
      </c>
      <c r="AA12" s="590">
        <f>[3]!CL1908.202</f>
        <v>60.32</v>
      </c>
      <c r="AB12" s="590">
        <f>[3]!CL1908.203</f>
        <v>60.28</v>
      </c>
      <c r="AC12" s="590">
        <f>[3]!CL1908.204</f>
        <v>60.22</v>
      </c>
      <c r="AD12" s="590">
        <f>[3]!CL1908.205</f>
        <v>60.18</v>
      </c>
      <c r="AE12" s="590">
        <f>[3]!CL1908.211</f>
        <v>60.4</v>
      </c>
      <c r="AF12" s="590">
        <f>[3]!CL1908.212</f>
        <v>60.42</v>
      </c>
      <c r="AG12" s="590">
        <f>[3]!CL1908.213</f>
        <v>60.45</v>
      </c>
      <c r="AH12" s="590">
        <f>[3]!CL1908.214</f>
        <v>60.47</v>
      </c>
      <c r="AI12" s="590">
        <f>[3]!CL1908.215</f>
        <v>60.51</v>
      </c>
      <c r="AJ12" s="590">
        <f>[3]!CL1908.221</f>
        <v>2</v>
      </c>
      <c r="AK12" s="590">
        <f>[3]!CL1908.222</f>
        <v>1</v>
      </c>
      <c r="AL12" s="590">
        <f>[3]!CL1908.223</f>
        <v>1</v>
      </c>
      <c r="AM12" s="590">
        <f>[3]!CL1908.224</f>
        <v>1</v>
      </c>
      <c r="AN12" s="590">
        <f>[3]!CL1908.225</f>
        <v>4</v>
      </c>
      <c r="AO12" s="590">
        <f>[3]!CL1908.231</f>
        <v>1</v>
      </c>
      <c r="AP12" s="590">
        <f>[3]!CL1908.232</f>
        <v>1</v>
      </c>
      <c r="AQ12" s="590">
        <f>[3]!CL1908.233</f>
        <v>2</v>
      </c>
      <c r="AR12" s="590">
        <f>[3]!CL1908.234</f>
        <v>1</v>
      </c>
      <c r="AS12" s="590">
        <f>[3]!CL1908.235</f>
        <v>2</v>
      </c>
      <c r="AT12" s="590">
        <f>[3]!CL1908.147</f>
        <v>210327</v>
      </c>
      <c r="AU12" s="590">
        <f>[3]!CL1908.148</f>
        <v>216050</v>
      </c>
    </row>
    <row r="13" spans="1:47">
      <c r="A13" s="590" t="str">
        <f>"CL1909"</f>
        <v>CL1909</v>
      </c>
      <c r="B13" s="590" t="str">
        <f>[3]!CL1909.402</f>
        <v>輕原油-1909</v>
      </c>
      <c r="C13" s="590">
        <f>[3]!CL1909.122</f>
        <v>20190711</v>
      </c>
      <c r="D13" s="590">
        <f>[3]!CL1909.123</f>
        <v>165959</v>
      </c>
      <c r="E13" s="590">
        <f>[3]!CL1909.124</f>
        <v>60.47</v>
      </c>
      <c r="F13" s="590">
        <f>[3]!CL1909.125</f>
        <v>0.19</v>
      </c>
      <c r="G13" s="590">
        <f>[3]!CL1909.126</f>
        <v>0.31</v>
      </c>
      <c r="H13" s="590">
        <f>[3]!CL1909.128</f>
        <v>2</v>
      </c>
      <c r="I13" s="590">
        <f>[3]!CL1909.130</f>
        <v>60.5</v>
      </c>
      <c r="J13" s="590">
        <f>[3]!CL1909.131</f>
        <v>60.82</v>
      </c>
      <c r="K13" s="590">
        <f>[3]!CL1909.132</f>
        <v>60.03</v>
      </c>
      <c r="L13" s="590">
        <f>[3]!CL1909.133</f>
        <v>152221</v>
      </c>
      <c r="M13" s="590">
        <f>[3]!CL1909.135</f>
        <v>60.23</v>
      </c>
      <c r="N13" s="590">
        <f>[3]!CL1909.136</f>
        <v>60.71</v>
      </c>
      <c r="O13" s="590" t="str">
        <f>[3]!CL1909.437</f>
        <v>***</v>
      </c>
      <c r="P13" s="590">
        <f>[3]!CL1909.405</f>
        <v>60.28</v>
      </c>
      <c r="Q13" s="590" t="str">
        <f>[3]!CL1909.406</f>
        <v>***</v>
      </c>
      <c r="R13" s="590" t="str">
        <f>[3]!CL1909.407</f>
        <v>***</v>
      </c>
      <c r="S13" s="590">
        <f>[3]!CL1909.422</f>
        <v>60.5</v>
      </c>
      <c r="T13" s="590">
        <f>[3]!CL1909.423</f>
        <v>164524</v>
      </c>
      <c r="U13" s="590">
        <f>[3]!CL1909.431</f>
        <v>20190820</v>
      </c>
      <c r="V13" s="590" t="str">
        <f>[3]!CL1909.170</f>
        <v>***</v>
      </c>
      <c r="W13" s="590" t="str">
        <f>[3]!CL1909.172</f>
        <v>***</v>
      </c>
      <c r="X13" s="590" t="str">
        <f>[3]!CL1909.171</f>
        <v>***</v>
      </c>
      <c r="Y13" s="590" t="str">
        <f>[3]!CL1909.173</f>
        <v>***</v>
      </c>
      <c r="Z13" s="590">
        <f>[3]!CL1909.201</f>
        <v>60.23</v>
      </c>
      <c r="AA13" s="590">
        <f>[3]!CL1909.202</f>
        <v>60.15</v>
      </c>
      <c r="AB13" s="590">
        <f>[3]!CL1909.203</f>
        <v>60.1</v>
      </c>
      <c r="AC13" s="590">
        <f>[3]!CL1909.204</f>
        <v>60.08</v>
      </c>
      <c r="AD13" s="590">
        <f>[3]!CL1909.205</f>
        <v>60.02</v>
      </c>
      <c r="AE13" s="590">
        <f>[3]!CL1909.211</f>
        <v>60.71</v>
      </c>
      <c r="AF13" s="590">
        <f>[3]!CL1909.212</f>
        <v>60.75</v>
      </c>
      <c r="AG13" s="590">
        <f>[3]!CL1909.213</f>
        <v>60.77</v>
      </c>
      <c r="AH13" s="590">
        <f>[3]!CL1909.214</f>
        <v>60.78</v>
      </c>
      <c r="AI13" s="590">
        <f>[3]!CL1909.215</f>
        <v>60.79</v>
      </c>
      <c r="AJ13" s="590">
        <f>[3]!CL1909.221</f>
        <v>1</v>
      </c>
      <c r="AK13" s="590">
        <f>[3]!CL1909.222</f>
        <v>1</v>
      </c>
      <c r="AL13" s="590">
        <f>[3]!CL1909.223</f>
        <v>3</v>
      </c>
      <c r="AM13" s="590">
        <f>[3]!CL1909.224</f>
        <v>10</v>
      </c>
      <c r="AN13" s="590">
        <f>[3]!CL1909.225</f>
        <v>5</v>
      </c>
      <c r="AO13" s="590">
        <f>[3]!CL1909.231</f>
        <v>1</v>
      </c>
      <c r="AP13" s="590">
        <f>[3]!CL1909.232</f>
        <v>1</v>
      </c>
      <c r="AQ13" s="590">
        <f>[3]!CL1909.233</f>
        <v>2</v>
      </c>
      <c r="AR13" s="590">
        <f>[3]!CL1909.234</f>
        <v>1</v>
      </c>
      <c r="AS13" s="590">
        <f>[3]!CL1909.235</f>
        <v>1</v>
      </c>
      <c r="AT13" s="590">
        <f>[3]!CL1909.147</f>
        <v>63327</v>
      </c>
      <c r="AU13" s="590">
        <f>[3]!CL1909.148</f>
        <v>67531</v>
      </c>
    </row>
    <row r="14" spans="1:47">
      <c r="A14" s="590" t="str">
        <f>"GC1908"</f>
        <v>GC1908</v>
      </c>
      <c r="B14" s="590" t="str">
        <f>[3]!GC1908.402</f>
        <v>黃金-1908</v>
      </c>
      <c r="C14" s="590">
        <f>[3]!GC1908.122</f>
        <v>20190711</v>
      </c>
      <c r="D14" s="590">
        <f>[3]!GC1908.123</f>
        <v>165958</v>
      </c>
      <c r="E14" s="590">
        <f>[3]!GC1908.124</f>
        <v>1417.8</v>
      </c>
      <c r="F14" s="590">
        <f>[3]!GC1908.125</f>
        <v>11.1</v>
      </c>
      <c r="G14" s="590">
        <f>[3]!GC1908.126</f>
        <v>0.78</v>
      </c>
      <c r="H14" s="590">
        <f>[3]!GC1908.128</f>
        <v>1</v>
      </c>
      <c r="I14" s="590">
        <f>[3]!GC1908.130</f>
        <v>1406.2</v>
      </c>
      <c r="J14" s="590">
        <f>[3]!GC1908.131</f>
        <v>1418.9</v>
      </c>
      <c r="K14" s="590">
        <f>[3]!GC1908.132</f>
        <v>1404.5</v>
      </c>
      <c r="L14" s="590">
        <f>[3]!GC1908.133</f>
        <v>272092</v>
      </c>
      <c r="M14" s="590">
        <f>[3]!GC1908.135</f>
        <v>1417.1</v>
      </c>
      <c r="N14" s="590">
        <f>[3]!GC1908.136</f>
        <v>1417.9</v>
      </c>
      <c r="O14" s="590" t="str">
        <f>[3]!GC1908.437</f>
        <v>***</v>
      </c>
      <c r="P14" s="590">
        <f>[3]!GC1908.405</f>
        <v>1406.7</v>
      </c>
      <c r="Q14" s="590" t="str">
        <f>[3]!GC1908.406</f>
        <v>***</v>
      </c>
      <c r="R14" s="590" t="str">
        <f>[3]!GC1908.407</f>
        <v>***</v>
      </c>
      <c r="S14" s="590">
        <f>[3]!GC1908.422</f>
        <v>1405.4</v>
      </c>
      <c r="T14" s="590">
        <f>[3]!GC1908.423</f>
        <v>380765</v>
      </c>
      <c r="U14" s="590">
        <f>[3]!GC1908.431</f>
        <v>20190828</v>
      </c>
      <c r="V14" s="590" t="str">
        <f>[3]!GC1908.170</f>
        <v>***</v>
      </c>
      <c r="W14" s="590" t="str">
        <f>[3]!GC1908.172</f>
        <v>***</v>
      </c>
      <c r="X14" s="590" t="str">
        <f>[3]!GC1908.171</f>
        <v>***</v>
      </c>
      <c r="Y14" s="590" t="str">
        <f>[3]!GC1908.173</f>
        <v>***</v>
      </c>
      <c r="Z14" s="590">
        <f>[3]!GC1908.201</f>
        <v>1417.1</v>
      </c>
      <c r="AA14" s="590">
        <f>[3]!GC1908.202</f>
        <v>1417</v>
      </c>
      <c r="AB14" s="590">
        <f>[3]!GC1908.203</f>
        <v>1416.9</v>
      </c>
      <c r="AC14" s="590">
        <f>[3]!GC1908.204</f>
        <v>1416.8</v>
      </c>
      <c r="AD14" s="590">
        <f>[3]!GC1908.205</f>
        <v>1416.7</v>
      </c>
      <c r="AE14" s="590">
        <f>[3]!GC1908.211</f>
        <v>1417.9</v>
      </c>
      <c r="AF14" s="590">
        <f>[3]!GC1908.212</f>
        <v>1418</v>
      </c>
      <c r="AG14" s="590">
        <f>[3]!GC1908.213</f>
        <v>1418.1</v>
      </c>
      <c r="AH14" s="590">
        <f>[3]!GC1908.214</f>
        <v>1418.2</v>
      </c>
      <c r="AI14" s="590">
        <f>[3]!GC1908.215</f>
        <v>1418.3</v>
      </c>
      <c r="AJ14" s="590">
        <f>[3]!GC1908.221</f>
        <v>1</v>
      </c>
      <c r="AK14" s="590">
        <f>[3]!GC1908.222</f>
        <v>1</v>
      </c>
      <c r="AL14" s="590">
        <f>[3]!GC1908.223</f>
        <v>1</v>
      </c>
      <c r="AM14" s="590">
        <f>[3]!GC1908.224</f>
        <v>1</v>
      </c>
      <c r="AN14" s="590">
        <f>[3]!GC1908.225</f>
        <v>1</v>
      </c>
      <c r="AO14" s="590">
        <f>[3]!GC1908.231</f>
        <v>1</v>
      </c>
      <c r="AP14" s="590">
        <f>[3]!GC1908.232</f>
        <v>1</v>
      </c>
      <c r="AQ14" s="590">
        <f>[3]!GC1908.233</f>
        <v>1</v>
      </c>
      <c r="AR14" s="590">
        <f>[3]!GC1908.234</f>
        <v>1</v>
      </c>
      <c r="AS14" s="590">
        <f>[3]!GC1908.235</f>
        <v>1</v>
      </c>
      <c r="AT14" s="590">
        <f>[3]!GC1908.147</f>
        <v>126761</v>
      </c>
      <c r="AU14" s="590">
        <f>[3]!GC1908.148</f>
        <v>127630</v>
      </c>
    </row>
    <row r="15" spans="1:47">
      <c r="A15" s="590" t="str">
        <f>"GC1912"</f>
        <v>GC1912</v>
      </c>
      <c r="B15" s="590" t="str">
        <f>[3]!GC1912.402</f>
        <v>黃金-1912</v>
      </c>
      <c r="C15" s="590">
        <f>[3]!GC1912.122</f>
        <v>20190711</v>
      </c>
      <c r="D15" s="590">
        <f>[3]!GC1912.123</f>
        <v>165957</v>
      </c>
      <c r="E15" s="590">
        <f>[3]!GC1912.124</f>
        <v>1429.9</v>
      </c>
      <c r="F15" s="590">
        <f>[3]!GC1912.125</f>
        <v>10.6</v>
      </c>
      <c r="G15" s="590">
        <f>[3]!GC1912.126</f>
        <v>0.74</v>
      </c>
      <c r="H15" s="590">
        <f>[3]!GC1912.128</f>
        <v>8</v>
      </c>
      <c r="I15" s="590">
        <f>[3]!GC1912.130</f>
        <v>1418.4</v>
      </c>
      <c r="J15" s="590">
        <f>[3]!GC1912.131</f>
        <v>1431.4</v>
      </c>
      <c r="K15" s="590">
        <f>[3]!GC1912.132</f>
        <v>1417.2</v>
      </c>
      <c r="L15" s="590">
        <f>[3]!GC1912.133</f>
        <v>25896</v>
      </c>
      <c r="M15" s="590">
        <f>[3]!GC1912.135</f>
        <v>1420</v>
      </c>
      <c r="N15" s="590">
        <f>[3]!GC1912.136</f>
        <v>1431.5</v>
      </c>
      <c r="O15" s="590" t="str">
        <f>[3]!GC1912.437</f>
        <v>***</v>
      </c>
      <c r="P15" s="590">
        <f>[3]!GC1912.405</f>
        <v>1419.3</v>
      </c>
      <c r="Q15" s="590" t="str">
        <f>[3]!GC1912.406</f>
        <v>***</v>
      </c>
      <c r="R15" s="590" t="str">
        <f>[3]!GC1912.407</f>
        <v>***</v>
      </c>
      <c r="S15" s="590">
        <f>[3]!GC1912.422</f>
        <v>1417.8</v>
      </c>
      <c r="T15" s="590">
        <f>[3]!GC1912.423</f>
        <v>41724</v>
      </c>
      <c r="U15" s="590">
        <f>[3]!GC1912.431</f>
        <v>20191227</v>
      </c>
      <c r="V15" s="590" t="str">
        <f>[3]!GC1912.170</f>
        <v>***</v>
      </c>
      <c r="W15" s="590" t="str">
        <f>[3]!GC1912.172</f>
        <v>***</v>
      </c>
      <c r="X15" s="590" t="str">
        <f>[3]!GC1912.171</f>
        <v>***</v>
      </c>
      <c r="Y15" s="590" t="str">
        <f>[3]!GC1912.173</f>
        <v>***</v>
      </c>
      <c r="Z15" s="590">
        <f>[3]!GC1912.201</f>
        <v>1420</v>
      </c>
      <c r="AA15" s="590">
        <f>[3]!GC1912.202</f>
        <v>1418.5</v>
      </c>
      <c r="AB15" s="590">
        <f>[3]!GC1912.203</f>
        <v>1415</v>
      </c>
      <c r="AC15" s="590">
        <f>[3]!GC1912.204</f>
        <v>1413.5</v>
      </c>
      <c r="AD15" s="590">
        <f>[3]!GC1912.205</f>
        <v>1412.8</v>
      </c>
      <c r="AE15" s="590">
        <f>[3]!GC1912.211</f>
        <v>1431.5</v>
      </c>
      <c r="AF15" s="590">
        <f>[3]!GC1912.212</f>
        <v>1432.4</v>
      </c>
      <c r="AG15" s="590">
        <f>[3]!GC1912.213</f>
        <v>1433</v>
      </c>
      <c r="AH15" s="590">
        <f>[3]!GC1912.214</f>
        <v>1435</v>
      </c>
      <c r="AI15" s="590">
        <f>[3]!GC1912.215</f>
        <v>1437.2</v>
      </c>
      <c r="AJ15" s="590">
        <f>[3]!GC1912.221</f>
        <v>1</v>
      </c>
      <c r="AK15" s="590">
        <f>[3]!GC1912.222</f>
        <v>4</v>
      </c>
      <c r="AL15" s="590">
        <f>[3]!GC1912.223</f>
        <v>2</v>
      </c>
      <c r="AM15" s="590">
        <f>[3]!GC1912.224</f>
        <v>2</v>
      </c>
      <c r="AN15" s="590">
        <f>[3]!GC1912.225</f>
        <v>2</v>
      </c>
      <c r="AO15" s="590">
        <f>[3]!GC1912.231</f>
        <v>10</v>
      </c>
      <c r="AP15" s="590">
        <f>[3]!GC1912.232</f>
        <v>1</v>
      </c>
      <c r="AQ15" s="590">
        <f>[3]!GC1912.233</f>
        <v>1</v>
      </c>
      <c r="AR15" s="590">
        <f>[3]!GC1912.234</f>
        <v>1</v>
      </c>
      <c r="AS15" s="590">
        <f>[3]!GC1912.235</f>
        <v>1</v>
      </c>
      <c r="AT15" s="590">
        <f>[3]!GC1912.147</f>
        <v>9914</v>
      </c>
      <c r="AU15" s="590">
        <f>[3]!GC1912.148</f>
        <v>4441</v>
      </c>
    </row>
    <row r="16" spans="1:47">
      <c r="A16" s="590" t="str">
        <f>"UB1909"</f>
        <v>UB1909</v>
      </c>
      <c r="B16" s="590" t="str">
        <f>[3]!UB1909.402</f>
        <v>美國超長債-1909</v>
      </c>
      <c r="C16" s="590">
        <f>[3]!UB1909.122</f>
        <v>20190711</v>
      </c>
      <c r="D16" s="590">
        <f>[3]!UB1909.123</f>
        <v>155957</v>
      </c>
      <c r="E16" s="590">
        <f>[3]!UB1909.124</f>
        <v>173.28</v>
      </c>
      <c r="F16" s="590">
        <f>[3]!UB1909.125</f>
        <v>-0.08</v>
      </c>
      <c r="G16" s="590">
        <f>[3]!UB1909.126</f>
        <v>-0.14000000000000001</v>
      </c>
      <c r="H16" s="590">
        <f>[3]!UB1909.128</f>
        <v>5</v>
      </c>
      <c r="I16" s="590">
        <f>[3]!UB1909.130</f>
        <v>173.2</v>
      </c>
      <c r="J16" s="590">
        <f>[3]!UB1909.131</f>
        <v>174.12</v>
      </c>
      <c r="K16" s="590">
        <f>[3]!UB1909.132</f>
        <v>172.31</v>
      </c>
      <c r="L16" s="590">
        <f>[3]!UB1909.133</f>
        <v>111268</v>
      </c>
      <c r="M16" s="590">
        <f>[3]!UB1909.135</f>
        <v>173.26</v>
      </c>
      <c r="N16" s="590">
        <f>[3]!UB1909.136</f>
        <v>173.28</v>
      </c>
      <c r="O16" s="590" t="str">
        <f>[3]!UB1909.437</f>
        <v>***</v>
      </c>
      <c r="P16" s="590">
        <f>[3]!UB1909.405</f>
        <v>174.04</v>
      </c>
      <c r="Q16" s="590" t="str">
        <f>[3]!UB1909.406</f>
        <v>***</v>
      </c>
      <c r="R16" s="590" t="str">
        <f>[3]!UB1909.407</f>
        <v>***</v>
      </c>
      <c r="S16" s="590">
        <f>[3]!UB1909.422</f>
        <v>173.17</v>
      </c>
      <c r="T16" s="590">
        <f>[3]!UB1909.423</f>
        <v>191056</v>
      </c>
      <c r="U16" s="590">
        <f>[3]!UB1909.431</f>
        <v>20190919</v>
      </c>
      <c r="V16" s="590" t="str">
        <f>[3]!UB1909.170</f>
        <v>***</v>
      </c>
      <c r="W16" s="590" t="str">
        <f>[3]!UB1909.172</f>
        <v>***</v>
      </c>
      <c r="X16" s="590" t="str">
        <f>[3]!UB1909.171</f>
        <v>***</v>
      </c>
      <c r="Y16" s="590" t="str">
        <f>[3]!UB1909.173</f>
        <v>***</v>
      </c>
      <c r="Z16" s="590">
        <f>[3]!UB1909.201</f>
        <v>173.26</v>
      </c>
      <c r="AA16" s="590">
        <f>[3]!UB1909.202</f>
        <v>173.25</v>
      </c>
      <c r="AB16" s="590">
        <f>[3]!UB1909.203</f>
        <v>173.24</v>
      </c>
      <c r="AC16" s="590">
        <f>[3]!UB1909.204</f>
        <v>173.23</v>
      </c>
      <c r="AD16" s="590">
        <f>[3]!UB1909.205</f>
        <v>173.22</v>
      </c>
      <c r="AE16" s="590">
        <f>[3]!UB1909.211</f>
        <v>173.28</v>
      </c>
      <c r="AF16" s="590">
        <f>[3]!UB1909.212</f>
        <v>173.29</v>
      </c>
      <c r="AG16" s="590">
        <f>[3]!UB1909.213</f>
        <v>173.3</v>
      </c>
      <c r="AH16" s="590">
        <f>[3]!UB1909.214</f>
        <v>173.31</v>
      </c>
      <c r="AI16" s="590">
        <f>[3]!UB1909.215</f>
        <v>174</v>
      </c>
      <c r="AJ16" s="590">
        <f>[3]!UB1909.221</f>
        <v>18</v>
      </c>
      <c r="AK16" s="590">
        <f>[3]!UB1909.222</f>
        <v>9</v>
      </c>
      <c r="AL16" s="590">
        <f>[3]!UB1909.223</f>
        <v>8</v>
      </c>
      <c r="AM16" s="590">
        <f>[3]!UB1909.224</f>
        <v>34</v>
      </c>
      <c r="AN16" s="590">
        <f>[3]!UB1909.225</f>
        <v>40</v>
      </c>
      <c r="AO16" s="590">
        <f>[3]!UB1909.231</f>
        <v>7</v>
      </c>
      <c r="AP16" s="590">
        <f>[3]!UB1909.232</f>
        <v>38</v>
      </c>
      <c r="AQ16" s="590">
        <f>[3]!UB1909.233</f>
        <v>10</v>
      </c>
      <c r="AR16" s="590">
        <f>[3]!UB1909.234</f>
        <v>16</v>
      </c>
      <c r="AS16" s="590">
        <f>[3]!UB1909.235</f>
        <v>25</v>
      </c>
      <c r="AT16" s="590">
        <f>[3]!UB1909.147</f>
        <v>52753</v>
      </c>
      <c r="AU16" s="590">
        <f>[3]!UB1909.148</f>
        <v>56289</v>
      </c>
    </row>
    <row r="17" spans="1:47">
      <c r="A17" s="590" t="str">
        <f>"UB1912"</f>
        <v>UB1912</v>
      </c>
      <c r="B17" s="590" t="str">
        <f>[3]!UB1912.402</f>
        <v>美國超長債-1912</v>
      </c>
      <c r="C17" s="590">
        <f>[3]!UB1912.122</f>
        <v>20190711</v>
      </c>
      <c r="D17" s="590">
        <f>[3]!UB1912.123</f>
        <v>0</v>
      </c>
      <c r="E17" s="590" t="str">
        <f>[3]!UB1912.124</f>
        <v xml:space="preserve"> </v>
      </c>
      <c r="F17" s="590">
        <f>[3]!UB1912.125</f>
        <v>0</v>
      </c>
      <c r="G17" s="590">
        <f>[3]!UB1912.126</f>
        <v>0</v>
      </c>
      <c r="H17" s="590">
        <f>[3]!UB1912.128</f>
        <v>0</v>
      </c>
      <c r="I17" s="590" t="str">
        <f>[3]!UB1912.130</f>
        <v xml:space="preserve"> </v>
      </c>
      <c r="J17" s="590" t="str">
        <f>[3]!UB1912.131</f>
        <v xml:space="preserve"> </v>
      </c>
      <c r="K17" s="590" t="str">
        <f>[3]!UB1912.132</f>
        <v xml:space="preserve"> </v>
      </c>
      <c r="L17" s="590">
        <f>[3]!UB1912.133</f>
        <v>0</v>
      </c>
      <c r="M17" s="590">
        <f>[3]!UB1912.135</f>
        <v>173.13</v>
      </c>
      <c r="N17" s="590">
        <f>[3]!UB1912.136</f>
        <v>182.02</v>
      </c>
      <c r="O17" s="590" t="str">
        <f>[3]!UB1912.437</f>
        <v>***</v>
      </c>
      <c r="P17" s="590">
        <f>[3]!UB1912.405</f>
        <v>174.16</v>
      </c>
      <c r="Q17" s="590" t="str">
        <f>[3]!UB1912.406</f>
        <v>***</v>
      </c>
      <c r="R17" s="590" t="str">
        <f>[3]!UB1912.407</f>
        <v>***</v>
      </c>
      <c r="S17" s="590">
        <f>[3]!UB1912.422</f>
        <v>174.16</v>
      </c>
      <c r="T17" s="590">
        <f>[3]!UB1912.423</f>
        <v>0</v>
      </c>
      <c r="U17" s="590">
        <f>[3]!UB1912.431</f>
        <v>20191219</v>
      </c>
      <c r="V17" s="590" t="str">
        <f>[3]!UB1912.170</f>
        <v>***</v>
      </c>
      <c r="W17" s="590" t="str">
        <f>[3]!UB1912.172</f>
        <v>***</v>
      </c>
      <c r="X17" s="590" t="str">
        <f>[3]!UB1912.171</f>
        <v>***</v>
      </c>
      <c r="Y17" s="590" t="str">
        <f>[3]!UB1912.173</f>
        <v>***</v>
      </c>
      <c r="Z17" s="590">
        <f>[3]!UB1912.201</f>
        <v>173.13</v>
      </c>
      <c r="AA17" s="590" t="str">
        <f>[3]!UB1912.202</f>
        <v xml:space="preserve"> </v>
      </c>
      <c r="AB17" s="590" t="str">
        <f>[3]!UB1912.203</f>
        <v xml:space="preserve"> </v>
      </c>
      <c r="AC17" s="590" t="str">
        <f>[3]!UB1912.204</f>
        <v xml:space="preserve"> </v>
      </c>
      <c r="AD17" s="590" t="str">
        <f>[3]!UB1912.205</f>
        <v xml:space="preserve"> </v>
      </c>
      <c r="AE17" s="590">
        <f>[3]!UB1912.211</f>
        <v>182.02</v>
      </c>
      <c r="AF17" s="590" t="str">
        <f>[3]!UB1912.212</f>
        <v xml:space="preserve"> </v>
      </c>
      <c r="AG17" s="590" t="str">
        <f>[3]!UB1912.213</f>
        <v xml:space="preserve"> </v>
      </c>
      <c r="AH17" s="590" t="str">
        <f>[3]!UB1912.214</f>
        <v xml:space="preserve"> </v>
      </c>
      <c r="AI17" s="590" t="str">
        <f>[3]!UB1912.215</f>
        <v xml:space="preserve"> </v>
      </c>
      <c r="AJ17" s="590">
        <f>[3]!UB1912.221</f>
        <v>33</v>
      </c>
      <c r="AK17" s="590">
        <f>[3]!UB1912.222</f>
        <v>0</v>
      </c>
      <c r="AL17" s="590">
        <f>[3]!UB1912.223</f>
        <v>0</v>
      </c>
      <c r="AM17" s="590">
        <f>[3]!UB1912.224</f>
        <v>0</v>
      </c>
      <c r="AN17" s="590">
        <f>[3]!UB1912.225</f>
        <v>0</v>
      </c>
      <c r="AO17" s="590">
        <f>[3]!UB1912.231</f>
        <v>3</v>
      </c>
      <c r="AP17" s="590">
        <f>[3]!UB1912.232</f>
        <v>0</v>
      </c>
      <c r="AQ17" s="590">
        <f>[3]!UB1912.233</f>
        <v>0</v>
      </c>
      <c r="AR17" s="590">
        <f>[3]!UB1912.234</f>
        <v>0</v>
      </c>
      <c r="AS17" s="590">
        <f>[3]!UB1912.235</f>
        <v>0</v>
      </c>
      <c r="AT17" s="590">
        <f>[3]!UB1912.147</f>
        <v>0</v>
      </c>
      <c r="AU17" s="590">
        <f>[3]!UB1912.148</f>
        <v>0</v>
      </c>
    </row>
    <row r="18" spans="1:47">
      <c r="A18" s="590" t="str">
        <f>"UN1909"</f>
        <v>UN1909</v>
      </c>
      <c r="B18" s="590" t="str">
        <f>[3]!UN1909.402</f>
        <v>長期十年美債-1909</v>
      </c>
      <c r="C18" s="590">
        <f>[3]!UN1909.122</f>
        <v>20190711</v>
      </c>
      <c r="D18" s="590">
        <f>[3]!UN1909.123</f>
        <v>155958</v>
      </c>
      <c r="E18" s="590">
        <f>[3]!UN1909.124</f>
        <v>136.22499999999999</v>
      </c>
      <c r="F18" s="590">
        <f>[3]!UN1909.125</f>
        <v>-0.01</v>
      </c>
      <c r="G18" s="590">
        <f>[3]!UN1909.126</f>
        <v>-0.02</v>
      </c>
      <c r="H18" s="590">
        <f>[3]!UN1909.128</f>
        <v>4</v>
      </c>
      <c r="I18" s="590">
        <f>[3]!UN1909.130</f>
        <v>136.18</v>
      </c>
      <c r="J18" s="590">
        <f>[3]!UN1909.131</f>
        <v>136.29499999999999</v>
      </c>
      <c r="K18" s="590">
        <f>[3]!UN1909.132</f>
        <v>136.13499999999999</v>
      </c>
      <c r="L18" s="590">
        <f>[3]!UN1909.133</f>
        <v>147140</v>
      </c>
      <c r="M18" s="590">
        <f>[3]!UN1909.135</f>
        <v>136.22</v>
      </c>
      <c r="N18" s="590">
        <f>[3]!UN1909.136</f>
        <v>136.22999999999999</v>
      </c>
      <c r="O18" s="590" t="str">
        <f>[3]!UN1909.437</f>
        <v>***</v>
      </c>
      <c r="P18" s="590">
        <f>[3]!UN1909.405</f>
        <v>136.23500000000001</v>
      </c>
      <c r="Q18" s="590" t="str">
        <f>[3]!UN1909.406</f>
        <v>***</v>
      </c>
      <c r="R18" s="590" t="str">
        <f>[3]!UN1909.407</f>
        <v>***</v>
      </c>
      <c r="S18" s="590">
        <f>[3]!UN1909.422</f>
        <v>136.16499999999999</v>
      </c>
      <c r="T18" s="590">
        <f>[3]!UN1909.423</f>
        <v>241698</v>
      </c>
      <c r="U18" s="590">
        <f>[3]!UN1909.431</f>
        <v>20190919</v>
      </c>
      <c r="V18" s="590" t="str">
        <f>[3]!UN1909.170</f>
        <v>***</v>
      </c>
      <c r="W18" s="590" t="str">
        <f>[3]!UN1909.172</f>
        <v>***</v>
      </c>
      <c r="X18" s="590" t="str">
        <f>[3]!UN1909.171</f>
        <v>***</v>
      </c>
      <c r="Y18" s="590" t="str">
        <f>[3]!UN1909.173</f>
        <v>***</v>
      </c>
      <c r="Z18" s="590">
        <f>[3]!UN1909.201</f>
        <v>136.22</v>
      </c>
      <c r="AA18" s="590">
        <f>[3]!UN1909.202</f>
        <v>136.215</v>
      </c>
      <c r="AB18" s="590">
        <f>[3]!UN1909.203</f>
        <v>136.21</v>
      </c>
      <c r="AC18" s="590">
        <f>[3]!UN1909.204</f>
        <v>136.20500000000001</v>
      </c>
      <c r="AD18" s="590">
        <f>[3]!UN1909.205</f>
        <v>136.19999999999999</v>
      </c>
      <c r="AE18" s="590">
        <f>[3]!UN1909.211</f>
        <v>136.22999999999999</v>
      </c>
      <c r="AF18" s="590">
        <f>[3]!UN1909.212</f>
        <v>136.23500000000001</v>
      </c>
      <c r="AG18" s="590">
        <f>[3]!UN1909.213</f>
        <v>136.24</v>
      </c>
      <c r="AH18" s="590">
        <f>[3]!UN1909.214</f>
        <v>136.245</v>
      </c>
      <c r="AI18" s="590">
        <f>[3]!UN1909.215</f>
        <v>136.25</v>
      </c>
      <c r="AJ18" s="590">
        <f>[3]!UN1909.221</f>
        <v>64</v>
      </c>
      <c r="AK18" s="590">
        <f>[3]!UN1909.222</f>
        <v>127</v>
      </c>
      <c r="AL18" s="590">
        <f>[3]!UN1909.223</f>
        <v>109</v>
      </c>
      <c r="AM18" s="590">
        <f>[3]!UN1909.224</f>
        <v>166</v>
      </c>
      <c r="AN18" s="590">
        <f>[3]!UN1909.225</f>
        <v>253</v>
      </c>
      <c r="AO18" s="590">
        <f>[3]!UN1909.231</f>
        <v>47</v>
      </c>
      <c r="AP18" s="590">
        <f>[3]!UN1909.232</f>
        <v>85</v>
      </c>
      <c r="AQ18" s="590">
        <f>[3]!UN1909.233</f>
        <v>96</v>
      </c>
      <c r="AR18" s="590">
        <f>[3]!UN1909.234</f>
        <v>174</v>
      </c>
      <c r="AS18" s="590">
        <f>[3]!UN1909.235</f>
        <v>244</v>
      </c>
      <c r="AT18" s="590">
        <f>[3]!UN1909.147</f>
        <v>71922</v>
      </c>
      <c r="AU18" s="590">
        <f>[3]!UN1909.148</f>
        <v>69666</v>
      </c>
    </row>
    <row r="19" spans="1:47">
      <c r="A19" s="590" t="str">
        <f>"UN1912"</f>
        <v>UN1912</v>
      </c>
      <c r="B19" s="590" t="str">
        <f>[3]!UN1912.402</f>
        <v>長期十年美債-1912</v>
      </c>
      <c r="C19" s="590">
        <f>[3]!UN1912.122</f>
        <v>20190711</v>
      </c>
      <c r="D19" s="590">
        <f>[3]!UN1912.123</f>
        <v>0</v>
      </c>
      <c r="E19" s="590" t="str">
        <f>[3]!UN1912.124</f>
        <v xml:space="preserve"> </v>
      </c>
      <c r="F19" s="590">
        <f>[3]!UN1912.125</f>
        <v>0</v>
      </c>
      <c r="G19" s="590">
        <f>[3]!UN1912.126</f>
        <v>0</v>
      </c>
      <c r="H19" s="590">
        <f>[3]!UN1912.128</f>
        <v>0</v>
      </c>
      <c r="I19" s="590" t="str">
        <f>[3]!UN1912.130</f>
        <v xml:space="preserve"> </v>
      </c>
      <c r="J19" s="590" t="str">
        <f>[3]!UN1912.131</f>
        <v xml:space="preserve"> </v>
      </c>
      <c r="K19" s="590" t="str">
        <f>[3]!UN1912.132</f>
        <v xml:space="preserve"> </v>
      </c>
      <c r="L19" s="590">
        <f>[3]!UN1912.133</f>
        <v>0</v>
      </c>
      <c r="M19" s="590">
        <f>[3]!UN1912.135</f>
        <v>136.23500000000001</v>
      </c>
      <c r="N19" s="590">
        <f>[3]!UN1912.136</f>
        <v>137.185</v>
      </c>
      <c r="O19" s="590" t="str">
        <f>[3]!UN1912.437</f>
        <v>***</v>
      </c>
      <c r="P19" s="590">
        <f>[3]!UN1912.405</f>
        <v>136.31</v>
      </c>
      <c r="Q19" s="590" t="str">
        <f>[3]!UN1912.406</f>
        <v>***</v>
      </c>
      <c r="R19" s="590" t="str">
        <f>[3]!UN1912.407</f>
        <v>***</v>
      </c>
      <c r="S19" s="590">
        <f>[3]!UN1912.422</f>
        <v>136.31</v>
      </c>
      <c r="T19" s="590">
        <f>[3]!UN1912.423</f>
        <v>0</v>
      </c>
      <c r="U19" s="590">
        <f>[3]!UN1912.431</f>
        <v>20191219</v>
      </c>
      <c r="V19" s="590" t="str">
        <f>[3]!UN1912.170</f>
        <v>***</v>
      </c>
      <c r="W19" s="590" t="str">
        <f>[3]!UN1912.172</f>
        <v>***</v>
      </c>
      <c r="X19" s="590" t="str">
        <f>[3]!UN1912.171</f>
        <v>***</v>
      </c>
      <c r="Y19" s="590" t="str">
        <f>[3]!UN1912.173</f>
        <v>***</v>
      </c>
      <c r="Z19" s="590">
        <f>[3]!UN1912.201</f>
        <v>136.23500000000001</v>
      </c>
      <c r="AA19" s="590" t="str">
        <f>[3]!UN1912.202</f>
        <v xml:space="preserve"> </v>
      </c>
      <c r="AB19" s="590" t="str">
        <f>[3]!UN1912.203</f>
        <v xml:space="preserve"> </v>
      </c>
      <c r="AC19" s="590" t="str">
        <f>[3]!UN1912.204</f>
        <v xml:space="preserve"> </v>
      </c>
      <c r="AD19" s="590" t="str">
        <f>[3]!UN1912.205</f>
        <v xml:space="preserve"> </v>
      </c>
      <c r="AE19" s="590">
        <f>[3]!UN1912.211</f>
        <v>137.185</v>
      </c>
      <c r="AF19" s="590" t="str">
        <f>[3]!UN1912.212</f>
        <v xml:space="preserve"> </v>
      </c>
      <c r="AG19" s="590" t="str">
        <f>[3]!UN1912.213</f>
        <v xml:space="preserve"> </v>
      </c>
      <c r="AH19" s="590" t="str">
        <f>[3]!UN1912.214</f>
        <v xml:space="preserve"> </v>
      </c>
      <c r="AI19" s="590" t="str">
        <f>[3]!UN1912.215</f>
        <v xml:space="preserve"> </v>
      </c>
      <c r="AJ19" s="590">
        <f>[3]!UN1912.221</f>
        <v>33</v>
      </c>
      <c r="AK19" s="590">
        <f>[3]!UN1912.222</f>
        <v>0</v>
      </c>
      <c r="AL19" s="590">
        <f>[3]!UN1912.223</f>
        <v>0</v>
      </c>
      <c r="AM19" s="590">
        <f>[3]!UN1912.224</f>
        <v>0</v>
      </c>
      <c r="AN19" s="590">
        <f>[3]!UN1912.225</f>
        <v>0</v>
      </c>
      <c r="AO19" s="590">
        <f>[3]!UN1912.231</f>
        <v>30</v>
      </c>
      <c r="AP19" s="590">
        <f>[3]!UN1912.232</f>
        <v>0</v>
      </c>
      <c r="AQ19" s="590">
        <f>[3]!UN1912.233</f>
        <v>0</v>
      </c>
      <c r="AR19" s="590">
        <f>[3]!UN1912.234</f>
        <v>0</v>
      </c>
      <c r="AS19" s="590">
        <f>[3]!UN1912.235</f>
        <v>0</v>
      </c>
      <c r="AT19" s="590">
        <f>[3]!UN1912.147</f>
        <v>0</v>
      </c>
      <c r="AU19" s="590">
        <f>[3]!UN1912.148</f>
        <v>0</v>
      </c>
    </row>
    <row r="20" spans="1:47">
      <c r="A20" s="590" t="str">
        <f>"VX1907"</f>
        <v>VX1907</v>
      </c>
      <c r="B20" s="590" t="str">
        <f>[3]!VX1907.402</f>
        <v>VIX指數-1907</v>
      </c>
      <c r="C20" s="590">
        <f>[3]!VX1907.122</f>
        <v>20190711</v>
      </c>
      <c r="D20" s="590">
        <f>[3]!VX1907.123</f>
        <v>155959</v>
      </c>
      <c r="E20" s="590">
        <f>[3]!VX1907.124</f>
        <v>13.12</v>
      </c>
      <c r="F20" s="590">
        <f>[3]!VX1907.125</f>
        <v>-5.0000000000000001E-3</v>
      </c>
      <c r="G20" s="590">
        <f>[3]!VX1907.126</f>
        <v>-0.03</v>
      </c>
      <c r="H20" s="590">
        <f>[3]!VX1907.128</f>
        <v>1</v>
      </c>
      <c r="I20" s="590">
        <f>[3]!VX1907.130</f>
        <v>13.7</v>
      </c>
      <c r="J20" s="590">
        <f>[3]!VX1907.131</f>
        <v>13.7</v>
      </c>
      <c r="K20" s="590">
        <f>[3]!VX1907.132</f>
        <v>13.05</v>
      </c>
      <c r="L20" s="590">
        <f>[3]!VX1907.133</f>
        <v>57922</v>
      </c>
      <c r="M20" s="590">
        <f>[3]!VX1907.135</f>
        <v>13.1</v>
      </c>
      <c r="N20" s="590">
        <f>[3]!VX1907.136</f>
        <v>13.15</v>
      </c>
      <c r="O20" s="590" t="str">
        <f>[3]!VX1907.437</f>
        <v>***</v>
      </c>
      <c r="P20" s="590">
        <f>[3]!VX1907.405</f>
        <v>13.125</v>
      </c>
      <c r="Q20" s="590" t="str">
        <f>[3]!VX1907.406</f>
        <v>***</v>
      </c>
      <c r="R20" s="590" t="str">
        <f>[3]!VX1907.407</f>
        <v>***</v>
      </c>
      <c r="S20" s="590">
        <f>[3]!VX1907.422</f>
        <v>13.69</v>
      </c>
      <c r="T20" s="590">
        <f>[3]!VX1907.423</f>
        <v>72978</v>
      </c>
      <c r="U20" s="590">
        <f>[3]!VX1907.431</f>
        <v>20190717</v>
      </c>
      <c r="V20" s="590" t="str">
        <f>[3]!VX1907.170</f>
        <v>***</v>
      </c>
      <c r="W20" s="590" t="str">
        <f>[3]!VX1907.172</f>
        <v>***</v>
      </c>
      <c r="X20" s="590" t="str">
        <f>[3]!VX1907.171</f>
        <v>***</v>
      </c>
      <c r="Y20" s="590" t="str">
        <f>[3]!VX1907.173</f>
        <v>***</v>
      </c>
      <c r="Z20" s="590">
        <f>[3]!VX1907.201</f>
        <v>13.1</v>
      </c>
      <c r="AA20" s="590">
        <f>[3]!VX1907.202</f>
        <v>13.05</v>
      </c>
      <c r="AB20" s="590">
        <f>[3]!VX1907.203</f>
        <v>13</v>
      </c>
      <c r="AC20" s="590">
        <f>[3]!VX1907.204</f>
        <v>12.95</v>
      </c>
      <c r="AD20" s="590">
        <f>[3]!VX1907.205</f>
        <v>8.1</v>
      </c>
      <c r="AE20" s="590">
        <f>[3]!VX1907.211</f>
        <v>13.15</v>
      </c>
      <c r="AF20" s="590">
        <f>[3]!VX1907.212</f>
        <v>13.2</v>
      </c>
      <c r="AG20" s="590">
        <f>[3]!VX1907.213</f>
        <v>13.25</v>
      </c>
      <c r="AH20" s="590">
        <f>[3]!VX1907.214</f>
        <v>14.65</v>
      </c>
      <c r="AI20" s="590">
        <f>[3]!VX1907.215</f>
        <v>13.35</v>
      </c>
      <c r="AJ20" s="590">
        <f>[3]!VX1907.221</f>
        <v>89</v>
      </c>
      <c r="AK20" s="590">
        <f>[3]!VX1907.222</f>
        <v>6</v>
      </c>
      <c r="AL20" s="590">
        <f>[3]!VX1907.223</f>
        <v>42</v>
      </c>
      <c r="AM20" s="590">
        <f>[3]!VX1907.224</f>
        <v>56</v>
      </c>
      <c r="AN20" s="590">
        <f>[3]!VX1907.225</f>
        <v>20</v>
      </c>
      <c r="AO20" s="590">
        <f>[3]!VX1907.231</f>
        <v>222</v>
      </c>
      <c r="AP20" s="590">
        <f>[3]!VX1907.232</f>
        <v>113</v>
      </c>
      <c r="AQ20" s="590">
        <f>[3]!VX1907.233</f>
        <v>77</v>
      </c>
      <c r="AR20" s="590">
        <f>[3]!VX1907.234</f>
        <v>90</v>
      </c>
      <c r="AS20" s="590">
        <f>[3]!VX1907.235</f>
        <v>2</v>
      </c>
      <c r="AT20" s="590">
        <f>[3]!VX1907.147</f>
        <v>24480</v>
      </c>
      <c r="AU20" s="590">
        <f>[3]!VX1907.148</f>
        <v>21878</v>
      </c>
    </row>
    <row r="21" spans="1:47">
      <c r="A21" s="590" t="str">
        <f>"VX1908"</f>
        <v>VX1908</v>
      </c>
      <c r="B21" s="590" t="str">
        <f>[3]!VX1908.402</f>
        <v>VIX指數-1908</v>
      </c>
      <c r="C21" s="590">
        <f>[3]!VX1908.122</f>
        <v>20190711</v>
      </c>
      <c r="D21" s="590">
        <f>[3]!VX1908.123</f>
        <v>155959</v>
      </c>
      <c r="E21" s="590">
        <f>[3]!VX1908.124</f>
        <v>15.19</v>
      </c>
      <c r="F21" s="590">
        <f>[3]!VX1908.125</f>
        <v>-3.5000000000000003E-2</v>
      </c>
      <c r="G21" s="590">
        <f>[3]!VX1908.126</f>
        <v>-0.22</v>
      </c>
      <c r="H21" s="590">
        <f>[3]!VX1908.128</f>
        <v>6</v>
      </c>
      <c r="I21" s="590">
        <f>[3]!VX1908.130</f>
        <v>15.45</v>
      </c>
      <c r="J21" s="590">
        <f>[3]!VX1908.131</f>
        <v>15.5</v>
      </c>
      <c r="K21" s="590">
        <f>[3]!VX1908.132</f>
        <v>15.15</v>
      </c>
      <c r="L21" s="590">
        <f>[3]!VX1908.133</f>
        <v>70044</v>
      </c>
      <c r="M21" s="590">
        <f>[3]!VX1908.135</f>
        <v>15.15</v>
      </c>
      <c r="N21" s="590">
        <f>[3]!VX1908.136</f>
        <v>15.2</v>
      </c>
      <c r="O21" s="590" t="str">
        <f>[3]!VX1908.437</f>
        <v>***</v>
      </c>
      <c r="P21" s="590">
        <f>[3]!VX1908.405</f>
        <v>15.225</v>
      </c>
      <c r="Q21" s="590" t="str">
        <f>[3]!VX1908.406</f>
        <v>***</v>
      </c>
      <c r="R21" s="590" t="str">
        <f>[3]!VX1908.407</f>
        <v>***</v>
      </c>
      <c r="S21" s="590">
        <f>[3]!VX1908.422</f>
        <v>15.45</v>
      </c>
      <c r="T21" s="590">
        <f>[3]!VX1908.423</f>
        <v>75235</v>
      </c>
      <c r="U21" s="590">
        <f>[3]!VX1908.431</f>
        <v>20190821</v>
      </c>
      <c r="V21" s="590" t="str">
        <f>[3]!VX1908.170</f>
        <v>***</v>
      </c>
      <c r="W21" s="590" t="str">
        <f>[3]!VX1908.172</f>
        <v>***</v>
      </c>
      <c r="X21" s="590" t="str">
        <f>[3]!VX1908.171</f>
        <v>***</v>
      </c>
      <c r="Y21" s="590" t="str">
        <f>[3]!VX1908.173</f>
        <v>***</v>
      </c>
      <c r="Z21" s="590">
        <f>[3]!VX1908.201</f>
        <v>15.15</v>
      </c>
      <c r="AA21" s="590">
        <f>[3]!VX1908.202</f>
        <v>14.9</v>
      </c>
      <c r="AB21" s="590">
        <f>[3]!VX1908.203</f>
        <v>8.65</v>
      </c>
      <c r="AC21" s="590">
        <f>[3]!VX1908.204</f>
        <v>8.6</v>
      </c>
      <c r="AD21" s="590" t="str">
        <f>[3]!VX1908.205</f>
        <v xml:space="preserve"> </v>
      </c>
      <c r="AE21" s="590">
        <f>[3]!VX1908.211</f>
        <v>15.2</v>
      </c>
      <c r="AF21" s="590">
        <f>[3]!VX1908.212</f>
        <v>15.25</v>
      </c>
      <c r="AG21" s="590">
        <f>[3]!VX1908.213</f>
        <v>15.3</v>
      </c>
      <c r="AH21" s="590">
        <f>[3]!VX1908.214</f>
        <v>15.4</v>
      </c>
      <c r="AI21" s="590">
        <f>[3]!VX1908.215</f>
        <v>15.55</v>
      </c>
      <c r="AJ21" s="590">
        <f>[3]!VX1908.221</f>
        <v>59</v>
      </c>
      <c r="AK21" s="590">
        <f>[3]!VX1908.222</f>
        <v>1</v>
      </c>
      <c r="AL21" s="590">
        <f>[3]!VX1908.223</f>
        <v>35</v>
      </c>
      <c r="AM21" s="590">
        <f>[3]!VX1908.224</f>
        <v>35</v>
      </c>
      <c r="AN21" s="590">
        <f>[3]!VX1908.225</f>
        <v>0</v>
      </c>
      <c r="AO21" s="590">
        <f>[3]!VX1908.231</f>
        <v>19</v>
      </c>
      <c r="AP21" s="590">
        <f>[3]!VX1908.232</f>
        <v>220</v>
      </c>
      <c r="AQ21" s="590">
        <f>[3]!VX1908.233</f>
        <v>250</v>
      </c>
      <c r="AR21" s="590">
        <f>[3]!VX1908.234</f>
        <v>2</v>
      </c>
      <c r="AS21" s="590">
        <f>[3]!VX1908.235</f>
        <v>2</v>
      </c>
      <c r="AT21" s="590">
        <f>[3]!VX1908.147</f>
        <v>29698</v>
      </c>
      <c r="AU21" s="590">
        <f>[3]!VX1908.148</f>
        <v>24350</v>
      </c>
    </row>
    <row r="22" spans="1:47">
      <c r="A22" s="590" t="str">
        <f>"VX1909"</f>
        <v>VX1909</v>
      </c>
      <c r="B22" s="590" t="str">
        <f>[3]!VX1909.402</f>
        <v>VIX指數-1909</v>
      </c>
      <c r="C22" s="590">
        <f>[3]!VX1909.122</f>
        <v>20190711</v>
      </c>
      <c r="D22" s="590">
        <f>[3]!VX1909.123</f>
        <v>155959</v>
      </c>
      <c r="E22" s="590">
        <f>[3]!VX1909.124</f>
        <v>15.96</v>
      </c>
      <c r="F22" s="590">
        <f>[3]!VX1909.125</f>
        <v>-6.5000000000000002E-2</v>
      </c>
      <c r="G22" s="590">
        <f>[3]!VX1909.126</f>
        <v>-0.4</v>
      </c>
      <c r="H22" s="590">
        <f>[3]!VX1909.128</f>
        <v>6</v>
      </c>
      <c r="I22" s="590">
        <f>[3]!VX1909.130</f>
        <v>16.100000000000001</v>
      </c>
      <c r="J22" s="590">
        <f>[3]!VX1909.131</f>
        <v>16.149999999999999</v>
      </c>
      <c r="K22" s="590">
        <f>[3]!VX1909.132</f>
        <v>15.95</v>
      </c>
      <c r="L22" s="590">
        <f>[3]!VX1909.133</f>
        <v>25618</v>
      </c>
      <c r="M22" s="590">
        <f>[3]!VX1909.135</f>
        <v>15.95</v>
      </c>
      <c r="N22" s="590">
        <f>[3]!VX1909.136</f>
        <v>16</v>
      </c>
      <c r="O22" s="590" t="str">
        <f>[3]!VX1909.437</f>
        <v>***</v>
      </c>
      <c r="P22" s="590">
        <f>[3]!VX1909.405</f>
        <v>16.024999999999999</v>
      </c>
      <c r="Q22" s="590" t="str">
        <f>[3]!VX1909.406</f>
        <v>***</v>
      </c>
      <c r="R22" s="590" t="str">
        <f>[3]!VX1909.407</f>
        <v>***</v>
      </c>
      <c r="S22" s="590">
        <f>[3]!VX1909.422</f>
        <v>16.09</v>
      </c>
      <c r="T22" s="590">
        <f>[3]!VX1909.423</f>
        <v>23611</v>
      </c>
      <c r="U22" s="590">
        <f>[3]!VX1909.431</f>
        <v>20190918</v>
      </c>
      <c r="V22" s="590" t="str">
        <f>[3]!VX1909.170</f>
        <v>***</v>
      </c>
      <c r="W22" s="590" t="str">
        <f>[3]!VX1909.172</f>
        <v>***</v>
      </c>
      <c r="X22" s="590" t="str">
        <f>[3]!VX1909.171</f>
        <v>***</v>
      </c>
      <c r="Y22" s="590" t="str">
        <f>[3]!VX1909.173</f>
        <v>***</v>
      </c>
      <c r="Z22" s="590">
        <f>[3]!VX1909.201</f>
        <v>15.95</v>
      </c>
      <c r="AA22" s="590">
        <f>[3]!VX1909.202</f>
        <v>15.75</v>
      </c>
      <c r="AB22" s="590">
        <f>[3]!VX1909.203</f>
        <v>15.55</v>
      </c>
      <c r="AC22" s="590">
        <f>[3]!VX1909.204</f>
        <v>14.75</v>
      </c>
      <c r="AD22" s="590" t="str">
        <f>[3]!VX1909.205</f>
        <v xml:space="preserve"> </v>
      </c>
      <c r="AE22" s="590">
        <f>[3]!VX1909.211</f>
        <v>16</v>
      </c>
      <c r="AF22" s="590">
        <f>[3]!VX1909.212</f>
        <v>16.05</v>
      </c>
      <c r="AG22" s="590">
        <f>[3]!VX1909.213</f>
        <v>16.399999999999999</v>
      </c>
      <c r="AH22" s="590">
        <f>[3]!VX1909.214</f>
        <v>21.05</v>
      </c>
      <c r="AI22" s="590" t="str">
        <f>[3]!VX1909.215</f>
        <v xml:space="preserve"> </v>
      </c>
      <c r="AJ22" s="590">
        <f>[3]!VX1909.221</f>
        <v>91</v>
      </c>
      <c r="AK22" s="590">
        <f>[3]!VX1909.222</f>
        <v>5</v>
      </c>
      <c r="AL22" s="590">
        <f>[3]!VX1909.223</f>
        <v>3</v>
      </c>
      <c r="AM22" s="590">
        <f>[3]!VX1909.224</f>
        <v>6</v>
      </c>
      <c r="AN22" s="590">
        <f>[3]!VX1909.225</f>
        <v>0</v>
      </c>
      <c r="AO22" s="590">
        <f>[3]!VX1909.231</f>
        <v>17</v>
      </c>
      <c r="AP22" s="590">
        <f>[3]!VX1909.232</f>
        <v>8</v>
      </c>
      <c r="AQ22" s="590">
        <f>[3]!VX1909.233</f>
        <v>3</v>
      </c>
      <c r="AR22" s="590">
        <f>[3]!VX1909.234</f>
        <v>20</v>
      </c>
      <c r="AS22" s="590">
        <f>[3]!VX1909.235</f>
        <v>0</v>
      </c>
      <c r="AT22" s="590">
        <f>[3]!VX1909.147</f>
        <v>8164</v>
      </c>
      <c r="AU22" s="590">
        <f>[3]!VX1909.148</f>
        <v>7446</v>
      </c>
    </row>
    <row r="23" spans="1:47">
      <c r="A23" s="590" t="str">
        <f>"VX1910"</f>
        <v>VX1910</v>
      </c>
      <c r="B23" s="590" t="str">
        <f>[3]!VX1910.402</f>
        <v>VIX指數-1910</v>
      </c>
      <c r="C23" s="590">
        <f>[3]!VX1910.122</f>
        <v>20190711</v>
      </c>
      <c r="D23" s="590">
        <f>[3]!VX1910.123</f>
        <v>155904</v>
      </c>
      <c r="E23" s="590">
        <f>[3]!VX1910.124</f>
        <v>16.34</v>
      </c>
      <c r="F23" s="590">
        <f>[3]!VX1910.125</f>
        <v>-3.5000000000000003E-2</v>
      </c>
      <c r="G23" s="590">
        <f>[3]!VX1910.126</f>
        <v>-0.21</v>
      </c>
      <c r="H23" s="590">
        <f>[3]!VX1910.128</f>
        <v>5</v>
      </c>
      <c r="I23" s="590">
        <f>[3]!VX1910.130</f>
        <v>16.41</v>
      </c>
      <c r="J23" s="590">
        <f>[3]!VX1910.131</f>
        <v>16.47</v>
      </c>
      <c r="K23" s="590">
        <f>[3]!VX1910.132</f>
        <v>16.3</v>
      </c>
      <c r="L23" s="590">
        <f>[3]!VX1910.133</f>
        <v>11685</v>
      </c>
      <c r="M23" s="590">
        <f>[3]!VX1910.135</f>
        <v>16.350000000000001</v>
      </c>
      <c r="N23" s="590">
        <f>[3]!VX1910.136</f>
        <v>16.5</v>
      </c>
      <c r="O23" s="590" t="str">
        <f>[3]!VX1910.437</f>
        <v>***</v>
      </c>
      <c r="P23" s="590">
        <f>[3]!VX1910.405</f>
        <v>16.375</v>
      </c>
      <c r="Q23" s="590" t="str">
        <f>[3]!VX1910.406</f>
        <v>***</v>
      </c>
      <c r="R23" s="590" t="str">
        <f>[3]!VX1910.407</f>
        <v>***</v>
      </c>
      <c r="S23" s="590">
        <f>[3]!VX1910.422</f>
        <v>16.45</v>
      </c>
      <c r="T23" s="590">
        <f>[3]!VX1910.423</f>
        <v>14350</v>
      </c>
      <c r="U23" s="590">
        <f>[3]!VX1910.431</f>
        <v>20191016</v>
      </c>
      <c r="V23" s="590" t="str">
        <f>[3]!VX1910.170</f>
        <v>***</v>
      </c>
      <c r="W23" s="590" t="str">
        <f>[3]!VX1910.172</f>
        <v>***</v>
      </c>
      <c r="X23" s="590" t="str">
        <f>[3]!VX1910.171</f>
        <v>***</v>
      </c>
      <c r="Y23" s="590" t="str">
        <f>[3]!VX1910.173</f>
        <v>***</v>
      </c>
      <c r="Z23" s="590">
        <f>[3]!VX1910.201</f>
        <v>16.350000000000001</v>
      </c>
      <c r="AA23" s="590">
        <f>[3]!VX1910.202</f>
        <v>16.25</v>
      </c>
      <c r="AB23" s="590">
        <f>[3]!VX1910.203</f>
        <v>15.95</v>
      </c>
      <c r="AC23" s="590" t="str">
        <f>[3]!VX1910.204</f>
        <v xml:space="preserve"> </v>
      </c>
      <c r="AD23" s="590" t="str">
        <f>[3]!VX1910.205</f>
        <v xml:space="preserve"> </v>
      </c>
      <c r="AE23" s="590">
        <f>[3]!VX1910.211</f>
        <v>16.5</v>
      </c>
      <c r="AF23" s="590">
        <f>[3]!VX1910.212</f>
        <v>16.649999999999999</v>
      </c>
      <c r="AG23" s="590">
        <f>[3]!VX1910.213</f>
        <v>19.149999999999999</v>
      </c>
      <c r="AH23" s="590">
        <f>[3]!VX1910.214</f>
        <v>19.850000000000001</v>
      </c>
      <c r="AI23" s="590">
        <f>[3]!VX1910.215</f>
        <v>21.35</v>
      </c>
      <c r="AJ23" s="590">
        <f>[3]!VX1910.221</f>
        <v>43</v>
      </c>
      <c r="AK23" s="590">
        <f>[3]!VX1910.222</f>
        <v>30</v>
      </c>
      <c r="AL23" s="590">
        <f>[3]!VX1910.223</f>
        <v>6</v>
      </c>
      <c r="AM23" s="590">
        <f>[3]!VX1910.224</f>
        <v>0</v>
      </c>
      <c r="AN23" s="590">
        <f>[3]!VX1910.225</f>
        <v>0</v>
      </c>
      <c r="AO23" s="590">
        <f>[3]!VX1910.231</f>
        <v>30</v>
      </c>
      <c r="AP23" s="590">
        <f>[3]!VX1910.232</f>
        <v>100</v>
      </c>
      <c r="AQ23" s="590">
        <f>[3]!VX1910.233</f>
        <v>28</v>
      </c>
      <c r="AR23" s="590">
        <f>[3]!VX1910.234</f>
        <v>20</v>
      </c>
      <c r="AS23" s="590">
        <f>[3]!VX1910.235</f>
        <v>11</v>
      </c>
      <c r="AT23" s="590">
        <f>[3]!VX1910.147</f>
        <v>4174</v>
      </c>
      <c r="AU23" s="590">
        <f>[3]!VX1910.148</f>
        <v>3427</v>
      </c>
    </row>
    <row r="24" spans="1:47">
      <c r="A24" s="590" t="str">
        <f>"VX1911"</f>
        <v>VX1911</v>
      </c>
      <c r="B24" s="590" t="str">
        <f>[3]!VX1911.402</f>
        <v>VIX指數-1911</v>
      </c>
      <c r="C24" s="590">
        <f>[3]!VX1911.122</f>
        <v>20190711</v>
      </c>
      <c r="D24" s="590">
        <f>[3]!VX1911.123</f>
        <v>155904</v>
      </c>
      <c r="E24" s="590">
        <f>[3]!VX1911.124</f>
        <v>16.52</v>
      </c>
      <c r="F24" s="590">
        <f>[3]!VX1911.125</f>
        <v>-5.0000000000000001E-3</v>
      </c>
      <c r="G24" s="590">
        <f>[3]!VX1911.126</f>
        <v>-0.03</v>
      </c>
      <c r="H24" s="590">
        <f>[3]!VX1911.128</f>
        <v>5</v>
      </c>
      <c r="I24" s="590">
        <f>[3]!VX1911.130</f>
        <v>16.57</v>
      </c>
      <c r="J24" s="590">
        <f>[3]!VX1911.131</f>
        <v>16.62</v>
      </c>
      <c r="K24" s="590">
        <f>[3]!VX1911.132</f>
        <v>16.45</v>
      </c>
      <c r="L24" s="590">
        <f>[3]!VX1911.133</f>
        <v>6613</v>
      </c>
      <c r="M24" s="590">
        <f>[3]!VX1911.135</f>
        <v>16.5</v>
      </c>
      <c r="N24" s="590">
        <f>[3]!VX1911.136</f>
        <v>16.600000000000001</v>
      </c>
      <c r="O24" s="590" t="str">
        <f>[3]!VX1911.437</f>
        <v>***</v>
      </c>
      <c r="P24" s="590">
        <f>[3]!VX1911.405</f>
        <v>16.524999999999999</v>
      </c>
      <c r="Q24" s="590" t="str">
        <f>[3]!VX1911.406</f>
        <v>***</v>
      </c>
      <c r="R24" s="590" t="str">
        <f>[3]!VX1911.407</f>
        <v>***</v>
      </c>
      <c r="S24" s="590">
        <f>[3]!VX1911.422</f>
        <v>16.57</v>
      </c>
      <c r="T24" s="590">
        <f>[3]!VX1911.423</f>
        <v>9417</v>
      </c>
      <c r="U24" s="590">
        <f>[3]!VX1911.431</f>
        <v>20191120</v>
      </c>
      <c r="V24" s="590" t="str">
        <f>[3]!VX1911.170</f>
        <v>***</v>
      </c>
      <c r="W24" s="590" t="str">
        <f>[3]!VX1911.172</f>
        <v>***</v>
      </c>
      <c r="X24" s="590" t="str">
        <f>[3]!VX1911.171</f>
        <v>***</v>
      </c>
      <c r="Y24" s="590" t="str">
        <f>[3]!VX1911.173</f>
        <v>***</v>
      </c>
      <c r="Z24" s="590">
        <f>[3]!VX1911.201</f>
        <v>16.5</v>
      </c>
      <c r="AA24" s="590">
        <f>[3]!VX1911.202</f>
        <v>16.45</v>
      </c>
      <c r="AB24" s="590">
        <f>[3]!VX1911.203</f>
        <v>13.3</v>
      </c>
      <c r="AC24" s="590">
        <f>[3]!VX1911.204</f>
        <v>11.35</v>
      </c>
      <c r="AD24" s="590">
        <f>[3]!VX1911.205</f>
        <v>10.55</v>
      </c>
      <c r="AE24" s="590">
        <f>[3]!VX1911.211</f>
        <v>16.600000000000001</v>
      </c>
      <c r="AF24" s="590">
        <f>[3]!VX1911.212</f>
        <v>16.649999999999999</v>
      </c>
      <c r="AG24" s="590">
        <f>[3]!VX1911.213</f>
        <v>16.850000000000001</v>
      </c>
      <c r="AH24" s="590">
        <f>[3]!VX1911.214</f>
        <v>16.95</v>
      </c>
      <c r="AI24" s="590">
        <f>[3]!VX1911.215</f>
        <v>19.149999999999999</v>
      </c>
      <c r="AJ24" s="590">
        <f>[3]!VX1911.221</f>
        <v>53</v>
      </c>
      <c r="AK24" s="590">
        <f>[3]!VX1911.222</f>
        <v>175</v>
      </c>
      <c r="AL24" s="590">
        <f>[3]!VX1911.223</f>
        <v>20</v>
      </c>
      <c r="AM24" s="590">
        <f>[3]!VX1911.224</f>
        <v>100</v>
      </c>
      <c r="AN24" s="590">
        <f>[3]!VX1911.225</f>
        <v>10</v>
      </c>
      <c r="AO24" s="590">
        <f>[3]!VX1911.231</f>
        <v>53</v>
      </c>
      <c r="AP24" s="590">
        <f>[3]!VX1911.232</f>
        <v>101</v>
      </c>
      <c r="AQ24" s="590">
        <f>[3]!VX1911.233</f>
        <v>100</v>
      </c>
      <c r="AR24" s="590">
        <f>[3]!VX1911.234</f>
        <v>3</v>
      </c>
      <c r="AS24" s="590">
        <f>[3]!VX1911.235</f>
        <v>2</v>
      </c>
      <c r="AT24" s="590">
        <f>[3]!VX1911.147</f>
        <v>2316</v>
      </c>
      <c r="AU24" s="590">
        <f>[3]!VX1911.148</f>
        <v>1514</v>
      </c>
    </row>
    <row r="25" spans="1:47">
      <c r="A25" s="590" t="str">
        <f>"VX1912"</f>
        <v>VX1912</v>
      </c>
      <c r="B25" s="590" t="str">
        <f>[3]!VX1912.402</f>
        <v>VIX指數-1912</v>
      </c>
      <c r="C25" s="590">
        <f>[3]!VX1912.122</f>
        <v>20190711</v>
      </c>
      <c r="D25" s="590">
        <f>[3]!VX1912.123</f>
        <v>155326</v>
      </c>
      <c r="E25" s="590">
        <f>[3]!VX1912.124</f>
        <v>16.38</v>
      </c>
      <c r="F25" s="590">
        <f>[3]!VX1912.125</f>
        <v>5.0000000000000001E-3</v>
      </c>
      <c r="G25" s="590">
        <f>[3]!VX1912.126</f>
        <v>0.03</v>
      </c>
      <c r="H25" s="590">
        <f>[3]!VX1912.128</f>
        <v>1</v>
      </c>
      <c r="I25" s="590">
        <f>[3]!VX1912.130</f>
        <v>16.420000000000002</v>
      </c>
      <c r="J25" s="590">
        <f>[3]!VX1912.131</f>
        <v>16.45</v>
      </c>
      <c r="K25" s="590">
        <f>[3]!VX1912.132</f>
        <v>16.329999999999998</v>
      </c>
      <c r="L25" s="590">
        <f>[3]!VX1912.133</f>
        <v>2511</v>
      </c>
      <c r="M25" s="590">
        <f>[3]!VX1912.135</f>
        <v>16.350000000000001</v>
      </c>
      <c r="N25" s="590">
        <f>[3]!VX1912.136</f>
        <v>16.45</v>
      </c>
      <c r="O25" s="590" t="str">
        <f>[3]!VX1912.437</f>
        <v>***</v>
      </c>
      <c r="P25" s="590">
        <f>[3]!VX1912.405</f>
        <v>16.375</v>
      </c>
      <c r="Q25" s="590" t="str">
        <f>[3]!VX1912.406</f>
        <v>***</v>
      </c>
      <c r="R25" s="590" t="str">
        <f>[3]!VX1912.407</f>
        <v>***</v>
      </c>
      <c r="S25" s="590">
        <f>[3]!VX1912.422</f>
        <v>16.41</v>
      </c>
      <c r="T25" s="590">
        <f>[3]!VX1912.423</f>
        <v>3923</v>
      </c>
      <c r="U25" s="590">
        <f>[3]!VX1912.431</f>
        <v>20191218</v>
      </c>
      <c r="V25" s="590" t="str">
        <f>[3]!VX1912.170</f>
        <v>***</v>
      </c>
      <c r="W25" s="590" t="str">
        <f>[3]!VX1912.172</f>
        <v>***</v>
      </c>
      <c r="X25" s="590" t="str">
        <f>[3]!VX1912.171</f>
        <v>***</v>
      </c>
      <c r="Y25" s="590" t="str">
        <f>[3]!VX1912.173</f>
        <v>***</v>
      </c>
      <c r="Z25" s="590">
        <f>[3]!VX1912.201</f>
        <v>16.350000000000001</v>
      </c>
      <c r="AA25" s="590">
        <f>[3]!VX1912.202</f>
        <v>16.25</v>
      </c>
      <c r="AB25" s="590">
        <f>[3]!VX1912.203</f>
        <v>13.15</v>
      </c>
      <c r="AC25" s="590">
        <f>[3]!VX1912.204</f>
        <v>11.2</v>
      </c>
      <c r="AD25" s="590">
        <f>[3]!VX1912.205</f>
        <v>10.4</v>
      </c>
      <c r="AE25" s="590">
        <f>[3]!VX1912.211</f>
        <v>16.45</v>
      </c>
      <c r="AF25" s="590">
        <f>[3]!VX1912.212</f>
        <v>16.5</v>
      </c>
      <c r="AG25" s="590">
        <f>[3]!VX1912.213</f>
        <v>16.7</v>
      </c>
      <c r="AH25" s="590">
        <f>[3]!VX1912.214</f>
        <v>19</v>
      </c>
      <c r="AI25" s="590">
        <f>[3]!VX1912.215</f>
        <v>19.2</v>
      </c>
      <c r="AJ25" s="590">
        <f>[3]!VX1912.221</f>
        <v>54</v>
      </c>
      <c r="AK25" s="590">
        <f>[3]!VX1912.222</f>
        <v>20</v>
      </c>
      <c r="AL25" s="590">
        <f>[3]!VX1912.223</f>
        <v>20</v>
      </c>
      <c r="AM25" s="590">
        <f>[3]!VX1912.224</f>
        <v>100</v>
      </c>
      <c r="AN25" s="590">
        <f>[3]!VX1912.225</f>
        <v>10</v>
      </c>
      <c r="AO25" s="590">
        <f>[3]!VX1912.231</f>
        <v>10</v>
      </c>
      <c r="AP25" s="590">
        <f>[3]!VX1912.232</f>
        <v>82</v>
      </c>
      <c r="AQ25" s="590">
        <f>[3]!VX1912.233</f>
        <v>100</v>
      </c>
      <c r="AR25" s="590">
        <f>[3]!VX1912.234</f>
        <v>2</v>
      </c>
      <c r="AS25" s="590">
        <f>[3]!VX1912.235</f>
        <v>26</v>
      </c>
      <c r="AT25" s="590">
        <f>[3]!VX1912.147</f>
        <v>1299</v>
      </c>
      <c r="AU25" s="590">
        <f>[3]!VX1912.148</f>
        <v>643</v>
      </c>
    </row>
    <row r="26" spans="1:47">
      <c r="A26" s="590" t="str">
        <f>"VX2001"</f>
        <v>VX2001</v>
      </c>
      <c r="B26" s="590" t="str">
        <f>[3]!VX2001.402</f>
        <v>VIX指數-2001</v>
      </c>
      <c r="C26" s="590">
        <f>[3]!VX2001.122</f>
        <v>20190711</v>
      </c>
      <c r="D26" s="590">
        <f>[3]!VX2001.123</f>
        <v>155221</v>
      </c>
      <c r="E26" s="590">
        <f>[3]!VX2001.124</f>
        <v>16.920000000000002</v>
      </c>
      <c r="F26" s="590">
        <f>[3]!VX2001.125</f>
        <v>-5.0000000000000001E-3</v>
      </c>
      <c r="G26" s="590">
        <f>[3]!VX2001.126</f>
        <v>-0.02</v>
      </c>
      <c r="H26" s="590">
        <f>[3]!VX2001.128</f>
        <v>1</v>
      </c>
      <c r="I26" s="590">
        <f>[3]!VX2001.130</f>
        <v>16.95</v>
      </c>
      <c r="J26" s="590">
        <f>[3]!VX2001.131</f>
        <v>17</v>
      </c>
      <c r="K26" s="590">
        <f>[3]!VX2001.132</f>
        <v>16.87</v>
      </c>
      <c r="L26" s="590">
        <f>[3]!VX2001.133</f>
        <v>711</v>
      </c>
      <c r="M26" s="590">
        <f>[3]!VX2001.135</f>
        <v>16.899999999999999</v>
      </c>
      <c r="N26" s="590">
        <f>[3]!VX2001.136</f>
        <v>16.95</v>
      </c>
      <c r="O26" s="590" t="str">
        <f>[3]!VX2001.437</f>
        <v>***</v>
      </c>
      <c r="P26" s="590">
        <f>[3]!VX2001.405</f>
        <v>16.925000000000001</v>
      </c>
      <c r="Q26" s="590" t="str">
        <f>[3]!VX2001.406</f>
        <v>***</v>
      </c>
      <c r="R26" s="590" t="str">
        <f>[3]!VX2001.407</f>
        <v>***</v>
      </c>
      <c r="S26" s="590">
        <f>[3]!VX2001.422</f>
        <v>16.93</v>
      </c>
      <c r="T26" s="590">
        <f>[3]!VX2001.423</f>
        <v>987</v>
      </c>
      <c r="U26" s="590">
        <f>[3]!VX2001.431</f>
        <v>20200122</v>
      </c>
      <c r="V26" s="590" t="str">
        <f>[3]!VX2001.170</f>
        <v>***</v>
      </c>
      <c r="W26" s="590" t="str">
        <f>[3]!VX2001.172</f>
        <v>***</v>
      </c>
      <c r="X26" s="590" t="str">
        <f>[3]!VX2001.171</f>
        <v>***</v>
      </c>
      <c r="Y26" s="590" t="str">
        <f>[3]!VX2001.173</f>
        <v>***</v>
      </c>
      <c r="Z26" s="590">
        <f>[3]!VX2001.201</f>
        <v>16.899999999999999</v>
      </c>
      <c r="AA26" s="590">
        <f>[3]!VX2001.202</f>
        <v>16.850000000000001</v>
      </c>
      <c r="AB26" s="590">
        <f>[3]!VX2001.203</f>
        <v>16.8</v>
      </c>
      <c r="AC26" s="590">
        <f>[3]!VX2001.204</f>
        <v>16.55</v>
      </c>
      <c r="AD26" s="590" t="str">
        <f>[3]!VX2001.205</f>
        <v xml:space="preserve"> </v>
      </c>
      <c r="AE26" s="590">
        <f>[3]!VX2001.211</f>
        <v>16.95</v>
      </c>
      <c r="AF26" s="590">
        <f>[3]!VX2001.212</f>
        <v>17</v>
      </c>
      <c r="AG26" s="590">
        <f>[3]!VX2001.213</f>
        <v>17.05</v>
      </c>
      <c r="AH26" s="590">
        <f>[3]!VX2001.214</f>
        <v>17.100000000000001</v>
      </c>
      <c r="AI26" s="590">
        <f>[3]!VX2001.215</f>
        <v>17.350000000000001</v>
      </c>
      <c r="AJ26" s="590">
        <f>[3]!VX2001.221</f>
        <v>39</v>
      </c>
      <c r="AK26" s="590">
        <f>[3]!VX2001.222</f>
        <v>23</v>
      </c>
      <c r="AL26" s="590">
        <f>[3]!VX2001.223</f>
        <v>20</v>
      </c>
      <c r="AM26" s="590">
        <f>[3]!VX2001.224</f>
        <v>6</v>
      </c>
      <c r="AN26" s="590">
        <f>[3]!VX2001.225</f>
        <v>0</v>
      </c>
      <c r="AO26" s="590">
        <f>[3]!VX2001.231</f>
        <v>10</v>
      </c>
      <c r="AP26" s="590">
        <f>[3]!VX2001.232</f>
        <v>21</v>
      </c>
      <c r="AQ26" s="590">
        <f>[3]!VX2001.233</f>
        <v>21</v>
      </c>
      <c r="AR26" s="590">
        <f>[3]!VX2001.234</f>
        <v>16</v>
      </c>
      <c r="AS26" s="590">
        <f>[3]!VX2001.235</f>
        <v>6</v>
      </c>
      <c r="AT26" s="590">
        <f>[3]!VX2001.147</f>
        <v>324</v>
      </c>
      <c r="AU26" s="590">
        <f>[3]!VX2001.148</f>
        <v>175</v>
      </c>
    </row>
    <row r="27" spans="1:47">
      <c r="A27" s="590" t="str">
        <f>"VX2002"</f>
        <v>VX2002</v>
      </c>
      <c r="B27" s="590" t="str">
        <f>[3]!VX2002.402</f>
        <v>VIX指數-2002</v>
      </c>
      <c r="C27" s="590">
        <f>[3]!VX2002.122</f>
        <v>20190711</v>
      </c>
      <c r="D27" s="590">
        <f>[3]!VX2002.123</f>
        <v>155326</v>
      </c>
      <c r="E27" s="590">
        <f>[3]!VX2002.124</f>
        <v>17.12</v>
      </c>
      <c r="F27" s="590">
        <f>[3]!VX2002.125</f>
        <v>-0.03</v>
      </c>
      <c r="G27" s="590">
        <f>[3]!VX2002.126</f>
        <v>-0.17</v>
      </c>
      <c r="H27" s="590">
        <f>[3]!VX2002.128</f>
        <v>1</v>
      </c>
      <c r="I27" s="590">
        <f>[3]!VX2002.130</f>
        <v>17.100000000000001</v>
      </c>
      <c r="J27" s="590">
        <f>[3]!VX2002.131</f>
        <v>17.2</v>
      </c>
      <c r="K27" s="590">
        <f>[3]!VX2002.132</f>
        <v>17.09</v>
      </c>
      <c r="L27" s="590">
        <f>[3]!VX2002.133</f>
        <v>195</v>
      </c>
      <c r="M27" s="590">
        <f>[3]!VX2002.135</f>
        <v>17.100000000000001</v>
      </c>
      <c r="N27" s="590">
        <f>[3]!VX2002.136</f>
        <v>17.2</v>
      </c>
      <c r="O27" s="590" t="str">
        <f>[3]!VX2002.437</f>
        <v>***</v>
      </c>
      <c r="P27" s="590">
        <f>[3]!VX2002.405</f>
        <v>17.149999999999999</v>
      </c>
      <c r="Q27" s="590" t="str">
        <f>[3]!VX2002.406</f>
        <v>***</v>
      </c>
      <c r="R27" s="590" t="str">
        <f>[3]!VX2002.407</f>
        <v>***</v>
      </c>
      <c r="S27" s="590">
        <f>[3]!VX2002.422</f>
        <v>17.149999999999999</v>
      </c>
      <c r="T27" s="590">
        <f>[3]!VX2002.423</f>
        <v>369</v>
      </c>
      <c r="U27" s="590">
        <f>[3]!VX2002.431</f>
        <v>20200219</v>
      </c>
      <c r="V27" s="590" t="str">
        <f>[3]!VX2002.170</f>
        <v>***</v>
      </c>
      <c r="W27" s="590" t="str">
        <f>[3]!VX2002.172</f>
        <v>***</v>
      </c>
      <c r="X27" s="590" t="str">
        <f>[3]!VX2002.171</f>
        <v>***</v>
      </c>
      <c r="Y27" s="590" t="str">
        <f>[3]!VX2002.173</f>
        <v>***</v>
      </c>
      <c r="Z27" s="590">
        <f>[3]!VX2002.201</f>
        <v>17.100000000000001</v>
      </c>
      <c r="AA27" s="590">
        <f>[3]!VX2002.202</f>
        <v>17.05</v>
      </c>
      <c r="AB27" s="590">
        <f>[3]!VX2002.203</f>
        <v>17</v>
      </c>
      <c r="AC27" s="590">
        <f>[3]!VX2002.204</f>
        <v>16.95</v>
      </c>
      <c r="AD27" s="590">
        <f>[3]!VX2002.205</f>
        <v>16.899999999999999</v>
      </c>
      <c r="AE27" s="590">
        <f>[3]!VX2002.211</f>
        <v>17.2</v>
      </c>
      <c r="AF27" s="590">
        <f>[3]!VX2002.212</f>
        <v>17.25</v>
      </c>
      <c r="AG27" s="590">
        <f>[3]!VX2002.213</f>
        <v>17.55</v>
      </c>
      <c r="AH27" s="590" t="str">
        <f>[3]!VX2002.214</f>
        <v xml:space="preserve"> </v>
      </c>
      <c r="AI27" s="590" t="str">
        <f>[3]!VX2002.215</f>
        <v xml:space="preserve"> </v>
      </c>
      <c r="AJ27" s="590">
        <f>[3]!VX2002.221</f>
        <v>24</v>
      </c>
      <c r="AK27" s="590">
        <f>[3]!VX2002.222</f>
        <v>25</v>
      </c>
      <c r="AL27" s="590">
        <f>[3]!VX2002.223</f>
        <v>31</v>
      </c>
      <c r="AM27" s="590">
        <f>[3]!VX2002.224</f>
        <v>20</v>
      </c>
      <c r="AN27" s="590">
        <f>[3]!VX2002.225</f>
        <v>25</v>
      </c>
      <c r="AO27" s="590">
        <f>[3]!VX2002.231</f>
        <v>47</v>
      </c>
      <c r="AP27" s="590">
        <f>[3]!VX2002.232</f>
        <v>20</v>
      </c>
      <c r="AQ27" s="590">
        <f>[3]!VX2002.233</f>
        <v>3</v>
      </c>
      <c r="AR27" s="590">
        <f>[3]!VX2002.234</f>
        <v>0</v>
      </c>
      <c r="AS27" s="590">
        <f>[3]!VX2002.235</f>
        <v>0</v>
      </c>
      <c r="AT27" s="590">
        <f>[3]!VX2002.147</f>
        <v>53</v>
      </c>
      <c r="AU27" s="590">
        <f>[3]!VX2002.148</f>
        <v>71</v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Y43"/>
  <sheetViews>
    <sheetView view="pageBreakPreview" workbookViewId="0">
      <selection activeCell="B15" sqref="B15"/>
    </sheetView>
  </sheetViews>
  <sheetFormatPr defaultColWidth="9" defaultRowHeight="16.2"/>
  <cols>
    <col min="1" max="1" width="10.6640625" style="112" bestFit="1" customWidth="1"/>
    <col min="2" max="2" width="13.44140625" style="112" customWidth="1"/>
    <col min="3" max="3" width="15.6640625" style="112" customWidth="1"/>
    <col min="4" max="4" width="13.6640625" style="112" customWidth="1"/>
    <col min="5" max="5" width="13.21875" style="112" customWidth="1"/>
    <col min="6" max="6" width="19.109375" style="112" customWidth="1"/>
    <col min="7" max="7" width="18.77734375" style="112" customWidth="1"/>
    <col min="8" max="8" width="16" style="112" customWidth="1"/>
    <col min="9" max="9" width="15.44140625" style="112" customWidth="1"/>
    <col min="10" max="10" width="21.33203125" style="112" customWidth="1"/>
    <col min="11" max="11" width="18.88671875" style="112" customWidth="1"/>
    <col min="12" max="12" width="20.77734375" style="112" customWidth="1"/>
    <col min="13" max="13" width="18.6640625" style="112" customWidth="1"/>
    <col min="14" max="14" width="11.88671875" style="112" customWidth="1"/>
    <col min="15" max="15" width="11.6640625" style="112" customWidth="1"/>
    <col min="16" max="16" width="13.88671875" style="112" customWidth="1"/>
    <col min="17" max="17" width="20.33203125" style="234" customWidth="1"/>
    <col min="18" max="18" width="20.77734375" style="234" customWidth="1"/>
    <col min="19" max="19" width="16.88671875" style="234" customWidth="1"/>
    <col min="20" max="20" width="13.21875" style="234" customWidth="1"/>
    <col min="21" max="21" width="11.33203125" style="234" customWidth="1"/>
    <col min="22" max="22" width="10.88671875" style="234" customWidth="1"/>
    <col min="23" max="24" width="9" style="234" hidden="1" customWidth="1"/>
    <col min="25" max="25" width="10.21875" style="22" customWidth="1"/>
    <col min="26" max="16384" width="9" style="112"/>
  </cols>
  <sheetData>
    <row r="1" spans="1:25">
      <c r="A1" s="16" t="s">
        <v>137</v>
      </c>
      <c r="B1" s="17" t="s">
        <v>322</v>
      </c>
      <c r="C1" s="17" t="s">
        <v>138</v>
      </c>
      <c r="D1" s="17" t="s">
        <v>139</v>
      </c>
      <c r="E1" s="18" t="s">
        <v>140</v>
      </c>
      <c r="F1" s="577" t="s">
        <v>21</v>
      </c>
      <c r="G1" s="38" t="s">
        <v>157</v>
      </c>
      <c r="H1" s="9" t="s">
        <v>52</v>
      </c>
      <c r="I1" s="10" t="s">
        <v>53</v>
      </c>
      <c r="J1" s="38" t="s">
        <v>324</v>
      </c>
      <c r="K1" s="17" t="s">
        <v>324</v>
      </c>
      <c r="L1" s="18" t="s">
        <v>324</v>
      </c>
      <c r="M1" s="80" t="s">
        <v>49</v>
      </c>
      <c r="N1" s="73" t="s">
        <v>151</v>
      </c>
      <c r="O1" s="81" t="s">
        <v>511</v>
      </c>
    </row>
    <row r="2" spans="1:25" ht="16.8" thickBot="1">
      <c r="A2" s="12" t="s">
        <v>420</v>
      </c>
      <c r="B2" s="79">
        <f>C2/100000000</f>
        <v>0</v>
      </c>
      <c r="C2" s="60">
        <f>'ETF Update'!D91*1000</f>
        <v>0</v>
      </c>
      <c r="D2" s="14">
        <f>'ETF Update'!E91</f>
        <v>0</v>
      </c>
      <c r="E2" s="11">
        <f>'ETF Update'!C91</f>
        <v>19.43</v>
      </c>
      <c r="F2" s="578"/>
      <c r="G2" s="39" t="e">
        <f>J2/(D2*1000)</f>
        <v>#REF!</v>
      </c>
      <c r="H2" s="40" t="e">
        <f>K2/(D2*1000)</f>
        <v>#REF!</v>
      </c>
      <c r="I2" s="41" t="e">
        <f>L2/(D2*1000)</f>
        <v>#REF!</v>
      </c>
      <c r="J2" s="75" t="e">
        <f>C2+(SUM(K10:K11)-SUM(G10:G11))-N10+C2*O10*(N2/O2-1)</f>
        <v>#REF!</v>
      </c>
      <c r="K2" s="76" t="e">
        <f>C2+(SUM(L10:L11)-SUM(G10:G11))-N10+C2*O10*(N2/O2-1)</f>
        <v>#REF!</v>
      </c>
      <c r="L2" s="77" t="e">
        <f>C2+(SUM(M10:M11)-SUM(G10:G11))-N10+C2*O10*(N2/O2-1)</f>
        <v>#REF!</v>
      </c>
      <c r="M2" s="80" t="s">
        <v>309</v>
      </c>
      <c r="N2" s="82" t="e">
        <f>匯率報價!D16</f>
        <v>#REF!</v>
      </c>
      <c r="O2" s="82">
        <v>30.15</v>
      </c>
      <c r="Q2" s="204" t="s">
        <v>655</v>
      </c>
      <c r="R2" s="49">
        <v>120981025</v>
      </c>
      <c r="V2" s="22"/>
    </row>
    <row r="3" spans="1:25">
      <c r="A3" s="16" t="s">
        <v>137</v>
      </c>
      <c r="B3" s="57" t="s">
        <v>322</v>
      </c>
      <c r="C3" s="17" t="s">
        <v>138</v>
      </c>
      <c r="D3" s="17" t="s">
        <v>139</v>
      </c>
      <c r="E3" s="18" t="s">
        <v>140</v>
      </c>
      <c r="F3" s="577" t="s">
        <v>21</v>
      </c>
      <c r="G3" s="38" t="s">
        <v>157</v>
      </c>
      <c r="H3" s="9" t="s">
        <v>52</v>
      </c>
      <c r="I3" s="10" t="s">
        <v>53</v>
      </c>
      <c r="J3" s="38" t="s">
        <v>324</v>
      </c>
      <c r="K3" s="17" t="s">
        <v>324</v>
      </c>
      <c r="L3" s="18" t="s">
        <v>324</v>
      </c>
      <c r="M3" s="80" t="s">
        <v>646</v>
      </c>
      <c r="N3" s="82" t="e">
        <f>匯率報價!D2</f>
        <v>#REF!</v>
      </c>
      <c r="O3" s="82">
        <v>111.39</v>
      </c>
      <c r="Q3" s="25" t="s">
        <v>552</v>
      </c>
      <c r="R3" s="25" t="s">
        <v>617</v>
      </c>
      <c r="S3" s="25" t="s">
        <v>615</v>
      </c>
      <c r="T3" s="25" t="s">
        <v>565</v>
      </c>
      <c r="U3" s="25" t="s">
        <v>566</v>
      </c>
      <c r="V3" s="25" t="s">
        <v>567</v>
      </c>
      <c r="W3" s="22"/>
    </row>
    <row r="4" spans="1:25" ht="16.8" thickBot="1">
      <c r="A4" s="12" t="s">
        <v>421</v>
      </c>
      <c r="B4" s="79">
        <f>C4/100000000</f>
        <v>0</v>
      </c>
      <c r="C4" s="60">
        <f>'ETF Update'!D92*1000</f>
        <v>0</v>
      </c>
      <c r="D4" s="60">
        <f>'ETF Update'!E92</f>
        <v>0</v>
      </c>
      <c r="E4" s="11">
        <f>'ETF Update'!C92</f>
        <v>19.23</v>
      </c>
      <c r="F4" s="578"/>
      <c r="G4" s="39" t="e">
        <f>J4/D4/1000</f>
        <v>#REF!</v>
      </c>
      <c r="H4" s="40" t="e">
        <f>K4/D4/1000</f>
        <v>#REF!</v>
      </c>
      <c r="I4" s="41" t="e">
        <f>L4/D4/1000</f>
        <v>#REF!</v>
      </c>
      <c r="J4" s="75" t="e">
        <f>C4+(SUM(K15:K16)-SUM(G15:G16))-N10+C4*O10*(N2/O2-1)</f>
        <v>#REF!</v>
      </c>
      <c r="K4" s="76" t="e">
        <f>C4+(SUM(L15:L16)-SUM(G15:G16))-N10+C4*O10*(N2/O2-1)</f>
        <v>#REF!</v>
      </c>
      <c r="L4" s="77" t="e">
        <f>C4+(SUM(M15:M16)-SUM(G15:G16))-N15+C4*O15*(N2/O2-1)</f>
        <v>#REF!</v>
      </c>
      <c r="M4" s="80" t="s">
        <v>647</v>
      </c>
      <c r="N4" s="82" t="e">
        <f>匯率報價!D7</f>
        <v>#REF!</v>
      </c>
      <c r="O4" s="82">
        <v>1.2</v>
      </c>
      <c r="Q4" s="216" t="s">
        <v>548</v>
      </c>
      <c r="R4" s="217">
        <v>0</v>
      </c>
      <c r="S4" s="232"/>
      <c r="T4" s="241">
        <f>S4/$S$13</f>
        <v>0</v>
      </c>
      <c r="U4" s="218"/>
      <c r="V4" s="218"/>
      <c r="W4" s="22" t="s">
        <v>568</v>
      </c>
      <c r="Y4" s="22" t="s">
        <v>650</v>
      </c>
    </row>
    <row r="5" spans="1:25">
      <c r="A5" s="16" t="s">
        <v>137</v>
      </c>
      <c r="B5" s="57" t="s">
        <v>322</v>
      </c>
      <c r="C5" s="17" t="s">
        <v>138</v>
      </c>
      <c r="D5" s="17" t="s">
        <v>139</v>
      </c>
      <c r="E5" s="18" t="s">
        <v>140</v>
      </c>
      <c r="F5" s="577" t="s">
        <v>21</v>
      </c>
      <c r="G5" s="38" t="s">
        <v>157</v>
      </c>
      <c r="H5" s="9" t="s">
        <v>52</v>
      </c>
      <c r="I5" s="10" t="s">
        <v>53</v>
      </c>
      <c r="J5" s="38" t="s">
        <v>324</v>
      </c>
      <c r="K5" s="17" t="s">
        <v>324</v>
      </c>
      <c r="L5" s="18" t="s">
        <v>324</v>
      </c>
      <c r="M5" s="80" t="s">
        <v>311</v>
      </c>
      <c r="N5" s="82" t="e">
        <f>匯率報價!D17</f>
        <v>#REF!</v>
      </c>
      <c r="O5" s="82">
        <v>4.5869999999999997</v>
      </c>
      <c r="Q5" s="219" t="s">
        <v>549</v>
      </c>
      <c r="R5" s="205">
        <v>50018819</v>
      </c>
      <c r="S5" s="230">
        <f>R5</f>
        <v>50018819</v>
      </c>
      <c r="T5" s="207">
        <f>S5/$S$13</f>
        <v>0.41288646494324416</v>
      </c>
      <c r="U5" s="206"/>
      <c r="V5" s="206">
        <f>T5</f>
        <v>0.41288646494324416</v>
      </c>
      <c r="W5" s="23" t="e">
        <f>T6+T8+T10+#REF!</f>
        <v>#REF!</v>
      </c>
      <c r="Y5" s="23">
        <f>U6+U8+U10</f>
        <v>0.48372925942242279</v>
      </c>
    </row>
    <row r="6" spans="1:25" ht="16.8" thickBot="1">
      <c r="A6" s="87" t="s">
        <v>422</v>
      </c>
      <c r="B6" s="79">
        <f>C6/100000000</f>
        <v>0</v>
      </c>
      <c r="C6" s="60">
        <f>'ETF Update'!D93*1000</f>
        <v>0</v>
      </c>
      <c r="D6" s="60">
        <f>'ETF Update'!E93</f>
        <v>0</v>
      </c>
      <c r="E6" s="11">
        <f>'ETF Update'!C93</f>
        <v>19.190000000000001</v>
      </c>
      <c r="F6" s="578"/>
      <c r="G6" s="39" t="e">
        <f>J6/D6/1000</f>
        <v>#REF!</v>
      </c>
      <c r="H6" s="40" t="e">
        <f>L6/D6/1000</f>
        <v>#REF!</v>
      </c>
      <c r="I6" s="41" t="e">
        <f>K6/D6/1000</f>
        <v>#REF!</v>
      </c>
      <c r="J6" s="75" t="e">
        <f>C6+(SUM(K20:K21)-SUM(G20:G21))-N20+C6*O20*(N2/O2-1)</f>
        <v>#REF!</v>
      </c>
      <c r="K6" s="76" t="e">
        <f>C6+(SUM(L20:L21)-SUM(G20:G21))-N20+C6*O20*(N2/O2-1)</f>
        <v>#REF!</v>
      </c>
      <c r="L6" s="77" t="e">
        <f>C6+(SUM(M20:M21)-SUM(G20:G21))-N20+C6*O20*(N2/O2-1)</f>
        <v>#REF!</v>
      </c>
      <c r="M6" s="80" t="s">
        <v>317</v>
      </c>
      <c r="N6" s="82" t="e">
        <f>匯率報價!D18</f>
        <v>#REF!</v>
      </c>
      <c r="O6" s="82">
        <v>3.8610000000000002</v>
      </c>
      <c r="Q6" s="219" t="s">
        <v>569</v>
      </c>
      <c r="R6" s="205">
        <v>283072.93</v>
      </c>
      <c r="S6" s="230">
        <f>R6*O2</f>
        <v>8534648.8394999988</v>
      </c>
      <c r="T6" s="207">
        <f t="shared" ref="T6:T12" si="0">S6/$S$13</f>
        <v>7.0450303692158656E-2</v>
      </c>
      <c r="U6" s="206">
        <f>T6</f>
        <v>7.0450303692158656E-2</v>
      </c>
      <c r="V6" s="206"/>
      <c r="W6" s="22" t="s">
        <v>609</v>
      </c>
    </row>
    <row r="7" spans="1:25">
      <c r="Q7" s="6" t="s">
        <v>570</v>
      </c>
      <c r="R7" s="205">
        <v>12506234</v>
      </c>
      <c r="S7" s="230">
        <f>R7</f>
        <v>12506234</v>
      </c>
      <c r="T7" s="207">
        <f t="shared" si="0"/>
        <v>0.10323423961715306</v>
      </c>
      <c r="U7" s="207"/>
      <c r="V7" s="207">
        <f>T7</f>
        <v>0.10323423961715306</v>
      </c>
      <c r="W7" s="22">
        <v>0</v>
      </c>
    </row>
    <row r="8" spans="1:25" ht="16.8" thickBot="1">
      <c r="A8" s="12" t="s">
        <v>420</v>
      </c>
      <c r="F8" s="112" t="s">
        <v>332</v>
      </c>
      <c r="G8" s="85"/>
      <c r="Q8" s="6" t="s">
        <v>558</v>
      </c>
      <c r="R8" s="205">
        <v>0</v>
      </c>
      <c r="S8" s="231">
        <f>R8*O2</f>
        <v>0</v>
      </c>
      <c r="T8" s="207">
        <f t="shared" si="0"/>
        <v>0</v>
      </c>
      <c r="U8" s="207">
        <f>T8</f>
        <v>0</v>
      </c>
      <c r="V8" s="207"/>
      <c r="W8" s="22"/>
    </row>
    <row r="9" spans="1:25" s="22" customFormat="1">
      <c r="A9" s="57" t="s">
        <v>292</v>
      </c>
      <c r="B9" s="57" t="s">
        <v>293</v>
      </c>
      <c r="C9" s="57" t="s">
        <v>221</v>
      </c>
      <c r="D9" s="57" t="s">
        <v>294</v>
      </c>
      <c r="E9" s="57" t="s">
        <v>295</v>
      </c>
      <c r="F9" s="57" t="s">
        <v>296</v>
      </c>
      <c r="G9" s="57" t="s">
        <v>297</v>
      </c>
      <c r="H9" s="57" t="s">
        <v>222</v>
      </c>
      <c r="I9" s="57" t="s">
        <v>298</v>
      </c>
      <c r="J9" s="57" t="s">
        <v>299</v>
      </c>
      <c r="K9" s="57" t="s">
        <v>300</v>
      </c>
      <c r="L9" s="57" t="s">
        <v>301</v>
      </c>
      <c r="M9" s="57" t="s">
        <v>302</v>
      </c>
      <c r="N9" s="212" t="s">
        <v>586</v>
      </c>
      <c r="O9" s="212" t="s">
        <v>587</v>
      </c>
      <c r="Q9" s="6" t="s">
        <v>648</v>
      </c>
      <c r="R9" s="205">
        <v>0</v>
      </c>
      <c r="S9" s="231">
        <f>R9</f>
        <v>0</v>
      </c>
      <c r="T9" s="207">
        <f t="shared" si="0"/>
        <v>0</v>
      </c>
      <c r="U9" s="207"/>
      <c r="V9" s="207">
        <f>T9</f>
        <v>0</v>
      </c>
    </row>
    <row r="10" spans="1:25">
      <c r="A10" s="24" t="e">
        <f>G10/C2</f>
        <v>#DIV/0!</v>
      </c>
      <c r="B10" s="25" t="s">
        <v>491</v>
      </c>
      <c r="C10" s="25" t="s">
        <v>492</v>
      </c>
      <c r="D10" s="25">
        <v>1000</v>
      </c>
      <c r="E10" s="58">
        <f>群益海期報價!K18</f>
        <v>91.641999999999996</v>
      </c>
      <c r="F10" s="25">
        <v>0</v>
      </c>
      <c r="G10" s="46">
        <f>F10*E10*D10*O2</f>
        <v>0</v>
      </c>
      <c r="H10" s="58">
        <f>群益海期報價!H18</f>
        <v>91.284999999999997</v>
      </c>
      <c r="I10" s="58">
        <f>群益海期報價!L18</f>
        <v>91.275000000000006</v>
      </c>
      <c r="J10" s="58">
        <f>群益海期報價!N18</f>
        <v>91.28</v>
      </c>
      <c r="K10" s="78" t="e">
        <f>IF(ISNUMBER(H10)=TRUE,H10*$F$10*$D$10,E10*$F$10*$D$10)*N2</f>
        <v>#REF!</v>
      </c>
      <c r="L10" s="78" t="e">
        <f>IF(ISNUMBER(I10)=TRUE,I10*$F$10*$D$10,F10*$F$10*$D$10)*N2</f>
        <v>#REF!</v>
      </c>
      <c r="M10" s="78" t="e">
        <f>IF(ISNUMBER(J10)=TRUE,J10*$F$10*$D$10,G10*$F$10*$D$10)*N2</f>
        <v>#REF!</v>
      </c>
      <c r="N10" s="62" t="e">
        <f>1.04%/365*(C2+SUM(K10:K11)-SUM(G10:G11))</f>
        <v>#REF!</v>
      </c>
      <c r="O10" s="69">
        <f>Y5</f>
        <v>0.48372925942242279</v>
      </c>
      <c r="Q10" s="6" t="s">
        <v>649</v>
      </c>
      <c r="R10" s="205">
        <v>50066367</v>
      </c>
      <c r="S10" s="231">
        <f>R10</f>
        <v>50066367</v>
      </c>
      <c r="T10" s="207">
        <f t="shared" si="0"/>
        <v>0.41327895573026413</v>
      </c>
      <c r="U10" s="207">
        <f>T10</f>
        <v>0.41327895573026413</v>
      </c>
      <c r="V10" s="207"/>
      <c r="W10" s="23"/>
    </row>
    <row r="11" spans="1:25">
      <c r="A11" s="24" t="e">
        <f>G11/C2</f>
        <v>#DIV/0!</v>
      </c>
      <c r="B11" s="25" t="s">
        <v>491</v>
      </c>
      <c r="C11" s="25" t="s">
        <v>493</v>
      </c>
      <c r="D11" s="25">
        <v>1000</v>
      </c>
      <c r="E11" s="58">
        <f>群益海期報價!K19</f>
        <v>91.417000000000002</v>
      </c>
      <c r="F11" s="25">
        <v>44</v>
      </c>
      <c r="G11" s="46">
        <f>F11*E11*D11*O2</f>
        <v>121273792.19999999</v>
      </c>
      <c r="H11" s="58">
        <f>群益海期報價!H19</f>
        <v>91.11</v>
      </c>
      <c r="I11" s="58">
        <f>群益海期報價!L19</f>
        <v>91.07</v>
      </c>
      <c r="J11" s="58">
        <f>群益海期報價!N19</f>
        <v>91.08</v>
      </c>
      <c r="K11" s="78" t="e">
        <f>IF(ISNUMBER(H11)=TRUE,H11*$F$11*$D$11,E11*$F$11*$D$11)*N2</f>
        <v>#REF!</v>
      </c>
      <c r="L11" s="78" t="e">
        <f>IF(ISNUMBER(I11)=TRUE,I11*$F$11*$D$11,F11*$F$11*$D$11)*N2</f>
        <v>#REF!</v>
      </c>
      <c r="M11" s="78" t="e">
        <f>IF(ISNUMBER(J11)=TRUE,J11*$F$11*$D$11,G11*$F$11*$D$11)*N2</f>
        <v>#REF!</v>
      </c>
      <c r="Q11" s="6" t="s">
        <v>611</v>
      </c>
      <c r="R11" s="205">
        <v>18176</v>
      </c>
      <c r="S11" s="231">
        <f>R11</f>
        <v>18176</v>
      </c>
      <c r="T11" s="207">
        <f t="shared" si="0"/>
        <v>1.500360171800219E-4</v>
      </c>
      <c r="U11" s="207"/>
      <c r="V11" s="207">
        <f>T11</f>
        <v>1.500360171800219E-4</v>
      </c>
      <c r="W11" s="22"/>
    </row>
    <row r="12" spans="1:25">
      <c r="A12" s="4"/>
      <c r="Q12" s="220" t="s">
        <v>571</v>
      </c>
      <c r="R12" s="242">
        <v>0</v>
      </c>
      <c r="S12" s="242">
        <f>R12</f>
        <v>0</v>
      </c>
      <c r="T12" s="20">
        <f t="shared" si="0"/>
        <v>0</v>
      </c>
      <c r="U12" s="20"/>
      <c r="V12" s="20">
        <f>T12</f>
        <v>0</v>
      </c>
      <c r="W12" s="22"/>
    </row>
    <row r="13" spans="1:25" ht="16.8" thickBot="1">
      <c r="A13" s="12" t="s">
        <v>421</v>
      </c>
      <c r="Q13" s="6" t="s">
        <v>562</v>
      </c>
      <c r="R13" s="228"/>
      <c r="S13" s="228">
        <f>SUM(S5:S12)</f>
        <v>121144244.8395</v>
      </c>
      <c r="T13" s="207">
        <f>SUM(T5:T12)</f>
        <v>1</v>
      </c>
      <c r="U13" s="207">
        <f>SUM(U5:U12)</f>
        <v>0.48372925942242279</v>
      </c>
      <c r="V13" s="207">
        <f>SUM(V5:V12)</f>
        <v>0.51627074057757727</v>
      </c>
      <c r="W13" s="22"/>
      <c r="Y13" s="23">
        <f>U13+V13</f>
        <v>1</v>
      </c>
    </row>
    <row r="14" spans="1:25" s="22" customFormat="1">
      <c r="A14" s="57" t="s">
        <v>292</v>
      </c>
      <c r="B14" s="57" t="s">
        <v>293</v>
      </c>
      <c r="C14" s="57" t="s">
        <v>221</v>
      </c>
      <c r="D14" s="57" t="s">
        <v>294</v>
      </c>
      <c r="E14" s="57" t="s">
        <v>295</v>
      </c>
      <c r="F14" s="57" t="s">
        <v>296</v>
      </c>
      <c r="G14" s="57" t="s">
        <v>297</v>
      </c>
      <c r="H14" s="57" t="s">
        <v>222</v>
      </c>
      <c r="I14" s="57" t="s">
        <v>298</v>
      </c>
      <c r="J14" s="57" t="s">
        <v>299</v>
      </c>
      <c r="K14" s="57" t="s">
        <v>300</v>
      </c>
      <c r="L14" s="57" t="s">
        <v>301</v>
      </c>
      <c r="M14" s="57" t="s">
        <v>302</v>
      </c>
      <c r="N14" s="212" t="s">
        <v>586</v>
      </c>
      <c r="O14" s="212" t="s">
        <v>587</v>
      </c>
      <c r="W14" s="234"/>
    </row>
    <row r="15" spans="1:25">
      <c r="A15" s="24" t="e">
        <f>G15/C4</f>
        <v>#DIV/0!</v>
      </c>
      <c r="B15" s="25" t="s">
        <v>491</v>
      </c>
      <c r="C15" s="25" t="s">
        <v>492</v>
      </c>
      <c r="D15" s="25">
        <v>1000</v>
      </c>
      <c r="E15" s="58">
        <f>群益海期報價!K18</f>
        <v>91.641999999999996</v>
      </c>
      <c r="F15" s="25">
        <v>191</v>
      </c>
      <c r="G15" s="46">
        <f>F15*E15*D15*O2</f>
        <v>527734203.29999995</v>
      </c>
      <c r="H15" s="58">
        <f>群益海期報價!H18</f>
        <v>91.284999999999997</v>
      </c>
      <c r="I15" s="58">
        <f>群益海期報價!L18</f>
        <v>91.275000000000006</v>
      </c>
      <c r="J15" s="58">
        <f>群益海期報價!N18</f>
        <v>91.28</v>
      </c>
      <c r="K15" s="78" t="e">
        <f>IF(ISNUMBER(H15)=TRUE,H15*$F$15*$D$15,E15*$F$15*$D$15)*N2</f>
        <v>#REF!</v>
      </c>
      <c r="L15" s="78" t="e">
        <f>IF(ISNUMBER(I15)=TRUE,I15*$F$15*$D$15,F15*$F$15*$D$15)*N2</f>
        <v>#REF!</v>
      </c>
      <c r="M15" s="78" t="e">
        <f>IF(ISNUMBER(J15)=TRUE,J15*$F$15*$D$15,G15*$F$15*$D$15)*N2</f>
        <v>#REF!</v>
      </c>
      <c r="N15" s="62" t="e">
        <f>1.04%/365*(C4+SUM(K15:K15)-SUM(G15:G15))</f>
        <v>#REF!</v>
      </c>
      <c r="O15" s="69">
        <f>Y19</f>
        <v>0.10841935696867246</v>
      </c>
      <c r="W15" s="4">
        <f>U13+V13</f>
        <v>1</v>
      </c>
    </row>
    <row r="16" spans="1:25" s="119" customFormat="1">
      <c r="A16" s="24" t="e">
        <f>G16/C4</f>
        <v>#DIV/0!</v>
      </c>
      <c r="B16" s="25" t="s">
        <v>491</v>
      </c>
      <c r="C16" s="25" t="s">
        <v>494</v>
      </c>
      <c r="D16" s="25">
        <v>1000</v>
      </c>
      <c r="E16" s="58">
        <f>群益海期報價!K19</f>
        <v>91.417000000000002</v>
      </c>
      <c r="F16" s="25">
        <v>0</v>
      </c>
      <c r="G16" s="46">
        <f>F16*E16*D16*O3</f>
        <v>0</v>
      </c>
      <c r="H16" s="58">
        <f>群益海期報價!H19</f>
        <v>91.11</v>
      </c>
      <c r="I16" s="58">
        <f>群益海期報價!L19</f>
        <v>91.07</v>
      </c>
      <c r="J16" s="58">
        <f>群益海期報價!N19</f>
        <v>91.08</v>
      </c>
      <c r="K16" s="78" t="e">
        <f>IF(ISNUMBER(H16)=TRUE,H16*$F$16*$D$16,E16*$F$16*$D$16)*N3</f>
        <v>#REF!</v>
      </c>
      <c r="L16" s="78" t="e">
        <f>IF(ISNUMBER(I16)=TRUE,I16*$F$16*$D$16,F16*$F$16*$D$16)*N3</f>
        <v>#REF!</v>
      </c>
      <c r="M16" s="78" t="e">
        <f>IF(ISNUMBER(J16)=TRUE,J16*$F$16*$D$16,G16*$F$16*$D$16)*N3</f>
        <v>#REF!</v>
      </c>
      <c r="Q16" s="204" t="s">
        <v>656</v>
      </c>
      <c r="R16" s="49">
        <v>282393603</v>
      </c>
      <c r="S16" s="234"/>
      <c r="T16" s="234"/>
      <c r="U16" s="234"/>
      <c r="V16" s="22"/>
      <c r="W16" s="234"/>
      <c r="X16" s="234"/>
      <c r="Y16" s="22"/>
    </row>
    <row r="17" spans="1:25">
      <c r="A17" s="4"/>
      <c r="F17" s="5"/>
      <c r="Q17" s="25" t="s">
        <v>552</v>
      </c>
      <c r="R17" s="25" t="s">
        <v>617</v>
      </c>
      <c r="S17" s="25" t="s">
        <v>615</v>
      </c>
      <c r="T17" s="25" t="s">
        <v>565</v>
      </c>
      <c r="U17" s="25" t="s">
        <v>566</v>
      </c>
      <c r="V17" s="25" t="s">
        <v>567</v>
      </c>
    </row>
    <row r="18" spans="1:25" ht="16.8" thickBot="1">
      <c r="A18" s="87" t="s">
        <v>422</v>
      </c>
      <c r="Q18" s="216" t="s">
        <v>548</v>
      </c>
      <c r="R18" s="217">
        <v>0</v>
      </c>
      <c r="S18" s="232"/>
      <c r="T18" s="218"/>
      <c r="U18" s="218"/>
      <c r="V18" s="218"/>
      <c r="W18" s="22"/>
      <c r="X18" s="22"/>
      <c r="Y18" s="22" t="s">
        <v>650</v>
      </c>
    </row>
    <row r="19" spans="1:25" s="22" customFormat="1">
      <c r="A19" s="57" t="s">
        <v>292</v>
      </c>
      <c r="B19" s="57" t="s">
        <v>293</v>
      </c>
      <c r="C19" s="57" t="s">
        <v>221</v>
      </c>
      <c r="D19" s="57" t="s">
        <v>294</v>
      </c>
      <c r="E19" s="57" t="s">
        <v>295</v>
      </c>
      <c r="F19" s="57" t="s">
        <v>296</v>
      </c>
      <c r="G19" s="57" t="s">
        <v>297</v>
      </c>
      <c r="H19" s="57" t="s">
        <v>222</v>
      </c>
      <c r="I19" s="57" t="s">
        <v>298</v>
      </c>
      <c r="J19" s="57" t="s">
        <v>299</v>
      </c>
      <c r="K19" s="57" t="s">
        <v>300</v>
      </c>
      <c r="L19" s="57" t="s">
        <v>301</v>
      </c>
      <c r="M19" s="57" t="s">
        <v>302</v>
      </c>
      <c r="N19" s="212" t="s">
        <v>586</v>
      </c>
      <c r="O19" s="212" t="s">
        <v>587</v>
      </c>
      <c r="Q19" s="219" t="s">
        <v>549</v>
      </c>
      <c r="R19" s="205">
        <v>101018174</v>
      </c>
      <c r="S19" s="230">
        <f>R19</f>
        <v>101018174</v>
      </c>
      <c r="T19" s="206">
        <f>S19/$S$28</f>
        <v>0.35737664567893285</v>
      </c>
      <c r="U19" s="206"/>
      <c r="V19" s="206">
        <f>T19</f>
        <v>0.35737664567893285</v>
      </c>
      <c r="W19" s="234"/>
      <c r="X19" s="234"/>
      <c r="Y19" s="23">
        <f>U20+U22+U24+U26</f>
        <v>0.10841935696867246</v>
      </c>
    </row>
    <row r="20" spans="1:25">
      <c r="A20" s="24" t="e">
        <f>G20/C6</f>
        <v>#DIV/0!</v>
      </c>
      <c r="B20" s="25" t="s">
        <v>491</v>
      </c>
      <c r="C20" s="25" t="s">
        <v>492</v>
      </c>
      <c r="D20" s="25">
        <v>1000</v>
      </c>
      <c r="E20" s="58">
        <f>群益海期報價!K18</f>
        <v>91.641999999999996</v>
      </c>
      <c r="F20" s="88">
        <v>-40</v>
      </c>
      <c r="G20" s="78">
        <f>F20*E20*D20*O2</f>
        <v>-110520252</v>
      </c>
      <c r="H20" s="58">
        <f>群益海期報價!H18</f>
        <v>91.284999999999997</v>
      </c>
      <c r="I20" s="58">
        <f>群益海期報價!L18</f>
        <v>91.275000000000006</v>
      </c>
      <c r="J20" s="58">
        <f>群益海期報價!N18</f>
        <v>91.28</v>
      </c>
      <c r="K20" s="78" t="e">
        <f>IF(ISNUMBER(H20)=TRUE,H20*$F$20*$D$20,E20*$F$20*$D$20)*N2</f>
        <v>#REF!</v>
      </c>
      <c r="L20" s="78" t="e">
        <f>IF(ISNUMBER(I20)=TRUE,I20*$F$20*$D$20,F20*$F$20*$D$20)*N2</f>
        <v>#REF!</v>
      </c>
      <c r="M20" s="78" t="e">
        <f>IF(ISNUMBER(J20)=TRUE,J20*$F$20*$D$20,G20*$F$20*$D$20)*N2</f>
        <v>#REF!</v>
      </c>
      <c r="N20" s="62" t="e">
        <f>1.04%/365*(C4+SUM(K20:K20)-SUM(G20:G20))</f>
        <v>#REF!</v>
      </c>
      <c r="O20" s="69">
        <f>Y34</f>
        <v>7.507568808493971E-2</v>
      </c>
      <c r="Q20" s="219" t="s">
        <v>569</v>
      </c>
      <c r="R20" s="205">
        <v>1016466</v>
      </c>
      <c r="S20" s="230">
        <f>R20*O2</f>
        <v>30646449.899999999</v>
      </c>
      <c r="T20" s="206">
        <f t="shared" ref="T20:T27" si="1">S20/$S$28</f>
        <v>0.10841935696867246</v>
      </c>
      <c r="U20" s="206">
        <f>T20</f>
        <v>0.10841935696867246</v>
      </c>
      <c r="V20" s="206"/>
      <c r="W20" s="22"/>
    </row>
    <row r="21" spans="1:25" s="119" customFormat="1">
      <c r="A21" s="173" t="e">
        <f>G21/C6</f>
        <v>#DIV/0!</v>
      </c>
      <c r="B21" s="25" t="s">
        <v>491</v>
      </c>
      <c r="C21" s="25" t="s">
        <v>494</v>
      </c>
      <c r="D21" s="25">
        <v>1000</v>
      </c>
      <c r="E21" s="58">
        <f>群益海期報價!K19</f>
        <v>91.417000000000002</v>
      </c>
      <c r="F21" s="88">
        <v>0</v>
      </c>
      <c r="G21" s="78">
        <f>F21*E21*D21*O3</f>
        <v>0</v>
      </c>
      <c r="H21" s="58">
        <f>群益海期報價!H19</f>
        <v>91.11</v>
      </c>
      <c r="I21" s="58">
        <f>群益海期報價!L19</f>
        <v>91.07</v>
      </c>
      <c r="J21" s="58">
        <f>群益海期報價!N19</f>
        <v>91.08</v>
      </c>
      <c r="K21" s="78" t="e">
        <f>IF(ISNUMBER(H21)=TRUE,H21*$F$21*$D$21,E21*$F$21*$D$21)*N3</f>
        <v>#REF!</v>
      </c>
      <c r="L21" s="78" t="e">
        <f>IF(ISNUMBER(I21)=TRUE,I21*$F$21*$D$21,F21*$F$21*$D$21)*N3</f>
        <v>#REF!</v>
      </c>
      <c r="M21" s="78" t="e">
        <f>IF(ISNUMBER(J21)=TRUE,J21*$F$21*$D$21,G21*$F$21*$D$21)*N3</f>
        <v>#REF!</v>
      </c>
      <c r="Q21" s="6" t="s">
        <v>570</v>
      </c>
      <c r="R21" s="205">
        <v>100911724</v>
      </c>
      <c r="S21" s="230">
        <f>R21</f>
        <v>100911724</v>
      </c>
      <c r="T21" s="206">
        <f t="shared" si="1"/>
        <v>0.35700005261229789</v>
      </c>
      <c r="U21" s="207"/>
      <c r="V21" s="207">
        <f>T21</f>
        <v>0.35700005261229789</v>
      </c>
      <c r="W21" s="22" t="s">
        <v>568</v>
      </c>
      <c r="X21" s="234"/>
      <c r="Y21" s="22"/>
    </row>
    <row r="22" spans="1:25">
      <c r="Q22" s="6" t="s">
        <v>558</v>
      </c>
      <c r="R22" s="205">
        <v>0</v>
      </c>
      <c r="S22" s="231">
        <f>R22*O2</f>
        <v>0</v>
      </c>
      <c r="T22" s="206">
        <f t="shared" si="1"/>
        <v>0</v>
      </c>
      <c r="U22" s="207">
        <f>T22</f>
        <v>0</v>
      </c>
      <c r="V22" s="207"/>
      <c r="W22" s="23">
        <f>T20+T22+T24+T26</f>
        <v>0.10841935696867246</v>
      </c>
    </row>
    <row r="23" spans="1:25">
      <c r="Q23" s="6" t="s">
        <v>613</v>
      </c>
      <c r="R23" s="205">
        <v>50066367</v>
      </c>
      <c r="S23" s="231">
        <f>R23</f>
        <v>50066367</v>
      </c>
      <c r="T23" s="206">
        <f t="shared" si="1"/>
        <v>0.17712209190982225</v>
      </c>
      <c r="U23" s="207"/>
      <c r="V23" s="207">
        <f>T23</f>
        <v>0.17712209190982225</v>
      </c>
      <c r="W23" s="22" t="s">
        <v>609</v>
      </c>
    </row>
    <row r="24" spans="1:25">
      <c r="Q24" s="6" t="s">
        <v>614</v>
      </c>
      <c r="R24" s="205">
        <v>0</v>
      </c>
      <c r="S24" s="231">
        <f>R24*O2</f>
        <v>0</v>
      </c>
      <c r="T24" s="206">
        <f t="shared" si="1"/>
        <v>0</v>
      </c>
      <c r="U24" s="207">
        <f>T24</f>
        <v>0</v>
      </c>
      <c r="V24" s="207"/>
      <c r="W24" s="22">
        <v>0</v>
      </c>
    </row>
    <row r="25" spans="1:25">
      <c r="Q25" s="6" t="s">
        <v>611</v>
      </c>
      <c r="R25" s="205">
        <v>23137</v>
      </c>
      <c r="S25" s="231">
        <f>R25</f>
        <v>23137</v>
      </c>
      <c r="T25" s="206">
        <f t="shared" si="1"/>
        <v>8.1852830274614443E-5</v>
      </c>
      <c r="U25" s="207"/>
      <c r="V25" s="207">
        <f>T25</f>
        <v>8.1852830274614443E-5</v>
      </c>
      <c r="W25" s="22"/>
    </row>
    <row r="26" spans="1:25">
      <c r="Q26" s="6" t="s">
        <v>612</v>
      </c>
      <c r="R26" s="205">
        <v>0</v>
      </c>
      <c r="S26" s="205">
        <f>R26*O2</f>
        <v>0</v>
      </c>
      <c r="T26" s="206">
        <f t="shared" si="1"/>
        <v>0</v>
      </c>
      <c r="U26" s="207">
        <f>T26</f>
        <v>0</v>
      </c>
      <c r="V26" s="207"/>
      <c r="W26" s="22"/>
    </row>
    <row r="27" spans="1:25">
      <c r="Q27" s="220" t="s">
        <v>571</v>
      </c>
      <c r="R27" s="205">
        <v>0</v>
      </c>
      <c r="S27" s="205">
        <f>R27</f>
        <v>0</v>
      </c>
      <c r="T27" s="206">
        <f t="shared" si="1"/>
        <v>0</v>
      </c>
      <c r="U27" s="207"/>
      <c r="V27" s="207">
        <f>T27</f>
        <v>0</v>
      </c>
      <c r="W27" s="23"/>
    </row>
    <row r="28" spans="1:25">
      <c r="Q28" s="6" t="s">
        <v>562</v>
      </c>
      <c r="R28" s="228"/>
      <c r="S28" s="228">
        <f>SUM(S19:S27)</f>
        <v>282665851.89999998</v>
      </c>
      <c r="T28" s="227">
        <f>SUM(T19:T27)</f>
        <v>1</v>
      </c>
      <c r="U28" s="207">
        <f>SUM(U19:U27)</f>
        <v>0.10841935696867246</v>
      </c>
      <c r="V28" s="207">
        <f>SUM(V19:V27)</f>
        <v>0.89158064303132756</v>
      </c>
      <c r="W28" s="22"/>
      <c r="Y28" s="23">
        <f>U28+V28</f>
        <v>1</v>
      </c>
    </row>
    <row r="29" spans="1:25">
      <c r="W29" s="22"/>
    </row>
    <row r="30" spans="1:25">
      <c r="W30" s="22"/>
    </row>
    <row r="31" spans="1:25">
      <c r="Q31" s="204" t="s">
        <v>657</v>
      </c>
      <c r="R31" s="49">
        <v>111777001</v>
      </c>
      <c r="V31" s="22"/>
    </row>
    <row r="32" spans="1:25">
      <c r="Q32" s="25" t="s">
        <v>572</v>
      </c>
      <c r="R32" s="25" t="s">
        <v>616</v>
      </c>
      <c r="S32" s="25" t="s">
        <v>564</v>
      </c>
      <c r="T32" s="25" t="s">
        <v>565</v>
      </c>
      <c r="U32" s="25" t="s">
        <v>651</v>
      </c>
      <c r="V32" s="25" t="s">
        <v>546</v>
      </c>
      <c r="W32" s="4">
        <f>U28+V28</f>
        <v>1</v>
      </c>
    </row>
    <row r="33" spans="17:25">
      <c r="Q33" s="216" t="s">
        <v>547</v>
      </c>
      <c r="R33" s="217">
        <v>0</v>
      </c>
      <c r="S33" s="232"/>
      <c r="T33" s="218"/>
      <c r="U33" s="218"/>
      <c r="V33" s="218"/>
      <c r="Y33" s="22" t="s">
        <v>650</v>
      </c>
    </row>
    <row r="34" spans="17:25">
      <c r="Q34" s="219" t="s">
        <v>580</v>
      </c>
      <c r="R34" s="205">
        <v>42017343</v>
      </c>
      <c r="S34" s="230">
        <f>R34</f>
        <v>42017343</v>
      </c>
      <c r="T34" s="206">
        <f>S34/$S$43</f>
        <v>0.37522860309323053</v>
      </c>
      <c r="U34" s="206"/>
      <c r="V34" s="206">
        <f>T34</f>
        <v>0.37522860309323053</v>
      </c>
      <c r="Y34" s="23">
        <f>U35+U37+U39+U41</f>
        <v>7.507568808493971E-2</v>
      </c>
    </row>
    <row r="35" spans="17:25">
      <c r="Q35" s="219" t="s">
        <v>569</v>
      </c>
      <c r="R35" s="205">
        <v>217892.68</v>
      </c>
      <c r="S35" s="230">
        <f>R35*O2</f>
        <v>6569464.3019999992</v>
      </c>
      <c r="T35" s="206">
        <f t="shared" ref="T35:T42" si="2">S35/$S$43</f>
        <v>5.866746293572881E-2</v>
      </c>
      <c r="U35" s="206">
        <f>T35</f>
        <v>5.866746293572881E-2</v>
      </c>
      <c r="V35" s="206"/>
    </row>
    <row r="36" spans="17:25">
      <c r="Q36" s="6" t="s">
        <v>550</v>
      </c>
      <c r="R36" s="205">
        <v>11472856</v>
      </c>
      <c r="S36" s="230">
        <f>R36</f>
        <v>11472856</v>
      </c>
      <c r="T36" s="206">
        <f t="shared" si="2"/>
        <v>0.10245635309138391</v>
      </c>
      <c r="U36" s="207"/>
      <c r="V36" s="207">
        <f>T36</f>
        <v>0.10245635309138391</v>
      </c>
    </row>
    <row r="37" spans="17:25">
      <c r="Q37" s="6" t="s">
        <v>579</v>
      </c>
      <c r="R37" s="205">
        <v>60940.63</v>
      </c>
      <c r="S37" s="231">
        <f>R37*O2</f>
        <v>1837359.9944999998</v>
      </c>
      <c r="T37" s="206">
        <f t="shared" si="2"/>
        <v>1.6408225149210903E-2</v>
      </c>
      <c r="U37" s="207">
        <f>T37</f>
        <v>1.6408225149210903E-2</v>
      </c>
      <c r="V37" s="207"/>
    </row>
    <row r="38" spans="17:25">
      <c r="Q38" s="6" t="s">
        <v>613</v>
      </c>
      <c r="R38" s="205">
        <v>50066367</v>
      </c>
      <c r="S38" s="231">
        <f>R38</f>
        <v>50066367</v>
      </c>
      <c r="T38" s="206">
        <f t="shared" si="2"/>
        <v>0.44710901761120436</v>
      </c>
      <c r="U38" s="207"/>
      <c r="V38" s="207">
        <f>T38</f>
        <v>0.44710901761120436</v>
      </c>
    </row>
    <row r="39" spans="17:25">
      <c r="Q39" s="6" t="s">
        <v>614</v>
      </c>
      <c r="R39" s="205">
        <v>0</v>
      </c>
      <c r="S39" s="231">
        <f>R39*O2</f>
        <v>0</v>
      </c>
      <c r="T39" s="206">
        <f t="shared" si="2"/>
        <v>0</v>
      </c>
      <c r="U39" s="207">
        <f>T39</f>
        <v>0</v>
      </c>
      <c r="V39" s="207"/>
    </row>
    <row r="40" spans="17:25">
      <c r="Q40" s="6" t="s">
        <v>611</v>
      </c>
      <c r="R40" s="205">
        <v>14595</v>
      </c>
      <c r="S40" s="231">
        <f>R40</f>
        <v>14595</v>
      </c>
      <c r="T40" s="206">
        <f t="shared" si="2"/>
        <v>1.3033811924151651E-4</v>
      </c>
      <c r="U40" s="207"/>
      <c r="V40" s="207">
        <f>T40</f>
        <v>1.3033811924151651E-4</v>
      </c>
    </row>
    <row r="41" spans="17:25">
      <c r="Q41" s="6" t="s">
        <v>612</v>
      </c>
      <c r="R41" s="205">
        <v>0</v>
      </c>
      <c r="S41" s="205">
        <f>R41*O2</f>
        <v>0</v>
      </c>
      <c r="T41" s="206">
        <f t="shared" si="2"/>
        <v>0</v>
      </c>
      <c r="U41" s="207">
        <f>T41</f>
        <v>0</v>
      </c>
      <c r="V41" s="207"/>
    </row>
    <row r="42" spans="17:25">
      <c r="Q42" s="220" t="s">
        <v>561</v>
      </c>
      <c r="R42" s="205">
        <v>0</v>
      </c>
      <c r="S42" s="205">
        <f>R42</f>
        <v>0</v>
      </c>
      <c r="T42" s="206">
        <f t="shared" si="2"/>
        <v>0</v>
      </c>
      <c r="U42" s="207"/>
      <c r="V42" s="207">
        <f>T42</f>
        <v>0</v>
      </c>
    </row>
    <row r="43" spans="17:25">
      <c r="Q43" s="6" t="s">
        <v>551</v>
      </c>
      <c r="R43" s="228"/>
      <c r="S43" s="228">
        <f>SUM(S34:S42)</f>
        <v>111977985.2965</v>
      </c>
      <c r="T43" s="206">
        <f>SUM(T34:T42)</f>
        <v>1</v>
      </c>
      <c r="U43" s="207">
        <f>SUM(U34:U42)</f>
        <v>7.507568808493971E-2</v>
      </c>
      <c r="V43" s="207">
        <f>SUM(V34:V42)</f>
        <v>0.92492431191506042</v>
      </c>
      <c r="Y43" s="23">
        <f>U43+V43</f>
        <v>1.0000000000000002</v>
      </c>
    </row>
  </sheetData>
  <mergeCells count="3">
    <mergeCell ref="F1:F2"/>
    <mergeCell ref="F3:F4"/>
    <mergeCell ref="F5:F6"/>
  </mergeCells>
  <phoneticPr fontId="8" type="noConversion"/>
  <pageMargins left="0.75" right="0.75" top="1" bottom="1" header="0.5" footer="0.5"/>
  <pageSetup paperSize="9" scale="23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Y43"/>
  <sheetViews>
    <sheetView view="pageBreakPreview" workbookViewId="0">
      <selection activeCell="A2" sqref="A2"/>
    </sheetView>
  </sheetViews>
  <sheetFormatPr defaultColWidth="9" defaultRowHeight="16.2"/>
  <cols>
    <col min="1" max="1" width="10.6640625" style="119" bestFit="1" customWidth="1"/>
    <col min="2" max="2" width="13.44140625" style="119" customWidth="1"/>
    <col min="3" max="3" width="15.6640625" style="119" customWidth="1"/>
    <col min="4" max="4" width="13.6640625" style="119" customWidth="1"/>
    <col min="5" max="5" width="13.21875" style="119" customWidth="1"/>
    <col min="6" max="6" width="19.109375" style="119" customWidth="1"/>
    <col min="7" max="7" width="18.77734375" style="119" customWidth="1"/>
    <col min="8" max="8" width="16" style="119" customWidth="1"/>
    <col min="9" max="9" width="15.44140625" style="119" customWidth="1"/>
    <col min="10" max="10" width="21.33203125" style="119" customWidth="1"/>
    <col min="11" max="11" width="18.88671875" style="119" customWidth="1"/>
    <col min="12" max="12" width="20.77734375" style="119" customWidth="1"/>
    <col min="13" max="13" width="18.6640625" style="119" customWidth="1"/>
    <col min="14" max="14" width="11.88671875" style="119" customWidth="1"/>
    <col min="15" max="15" width="11.6640625" style="119" customWidth="1"/>
    <col min="16" max="16" width="13.88671875" style="119" customWidth="1"/>
    <col min="17" max="17" width="20.33203125" style="234" customWidth="1"/>
    <col min="18" max="18" width="20.77734375" style="234" customWidth="1"/>
    <col min="19" max="19" width="16.88671875" style="234" customWidth="1"/>
    <col min="20" max="20" width="13.21875" style="234" customWidth="1"/>
    <col min="21" max="21" width="11.33203125" style="234" customWidth="1"/>
    <col min="22" max="22" width="10.88671875" style="234" customWidth="1"/>
    <col min="23" max="24" width="9" style="234" hidden="1" customWidth="1"/>
    <col min="25" max="25" width="10.21875" style="22" customWidth="1"/>
    <col min="26" max="16384" width="9" style="119"/>
  </cols>
  <sheetData>
    <row r="1" spans="1:25">
      <c r="A1" s="16" t="s">
        <v>137</v>
      </c>
      <c r="B1" s="17" t="s">
        <v>322</v>
      </c>
      <c r="C1" s="17" t="s">
        <v>138</v>
      </c>
      <c r="D1" s="17" t="s">
        <v>139</v>
      </c>
      <c r="E1" s="18" t="s">
        <v>140</v>
      </c>
      <c r="F1" s="577" t="s">
        <v>21</v>
      </c>
      <c r="G1" s="38" t="s">
        <v>157</v>
      </c>
      <c r="H1" s="9" t="s">
        <v>52</v>
      </c>
      <c r="I1" s="10" t="s">
        <v>53</v>
      </c>
      <c r="J1" s="38" t="s">
        <v>324</v>
      </c>
      <c r="K1" s="17" t="s">
        <v>324</v>
      </c>
      <c r="L1" s="18" t="s">
        <v>324</v>
      </c>
      <c r="M1" s="80" t="s">
        <v>49</v>
      </c>
      <c r="N1" s="73" t="s">
        <v>151</v>
      </c>
      <c r="O1" s="81" t="s">
        <v>511</v>
      </c>
    </row>
    <row r="2" spans="1:25" ht="16.8" thickBot="1">
      <c r="A2" s="12"/>
      <c r="B2" s="79"/>
      <c r="C2" s="60"/>
      <c r="D2" s="14"/>
      <c r="E2" s="11"/>
      <c r="F2" s="578"/>
      <c r="G2" s="39"/>
      <c r="H2" s="40"/>
      <c r="I2" s="41"/>
      <c r="J2" s="75" t="e">
        <f>C2+(SUM(K10:K11)-SUM(G10:G11))-N10+C2*O10*(N2/O2-1)</f>
        <v>#REF!</v>
      </c>
      <c r="K2" s="76" t="e">
        <f>C2+(SUM(L10:L11)-SUM(G10:G11))-N10+C2*O10*(N2/O2-1)</f>
        <v>#REF!</v>
      </c>
      <c r="L2" s="77" t="e">
        <f>C2+(SUM(M10:M11)-SUM(G10:G11))-N10+C2*O10*(N2/O2-1)</f>
        <v>#REF!</v>
      </c>
      <c r="M2" s="80" t="s">
        <v>309</v>
      </c>
      <c r="N2" s="82" t="e">
        <f>匯率報價!D16</f>
        <v>#REF!</v>
      </c>
      <c r="O2" s="82">
        <v>30.15</v>
      </c>
      <c r="Q2" s="204"/>
      <c r="R2" s="49"/>
      <c r="V2" s="22"/>
    </row>
    <row r="3" spans="1:25">
      <c r="A3" s="16" t="s">
        <v>137</v>
      </c>
      <c r="B3" s="57" t="s">
        <v>322</v>
      </c>
      <c r="C3" s="17" t="s">
        <v>138</v>
      </c>
      <c r="D3" s="17" t="s">
        <v>139</v>
      </c>
      <c r="E3" s="18" t="s">
        <v>140</v>
      </c>
      <c r="F3" s="577" t="s">
        <v>21</v>
      </c>
      <c r="G3" s="38" t="s">
        <v>157</v>
      </c>
      <c r="H3" s="9" t="s">
        <v>52</v>
      </c>
      <c r="I3" s="10" t="s">
        <v>53</v>
      </c>
      <c r="J3" s="38" t="s">
        <v>324</v>
      </c>
      <c r="K3" s="17" t="s">
        <v>324</v>
      </c>
      <c r="L3" s="18" t="s">
        <v>324</v>
      </c>
      <c r="M3" s="80" t="s">
        <v>646</v>
      </c>
      <c r="N3" s="82" t="e">
        <f>匯率報價!D2</f>
        <v>#REF!</v>
      </c>
      <c r="O3" s="82">
        <v>111.39</v>
      </c>
      <c r="Q3" s="25" t="s">
        <v>552</v>
      </c>
      <c r="R3" s="25" t="s">
        <v>617</v>
      </c>
      <c r="S3" s="25" t="s">
        <v>615</v>
      </c>
      <c r="T3" s="25" t="s">
        <v>565</v>
      </c>
      <c r="U3" s="25" t="s">
        <v>566</v>
      </c>
      <c r="V3" s="25" t="s">
        <v>567</v>
      </c>
      <c r="W3" s="22"/>
    </row>
    <row r="4" spans="1:25" ht="16.8" thickBot="1">
      <c r="A4" s="12" t="s">
        <v>436</v>
      </c>
      <c r="B4" s="79">
        <f>C4/100000000</f>
        <v>0</v>
      </c>
      <c r="C4" s="60">
        <f>'ETF Update'!D88*1000</f>
        <v>0</v>
      </c>
      <c r="D4" s="60">
        <f>'ETF Update'!E88</f>
        <v>0</v>
      </c>
      <c r="E4" s="11">
        <f>'ETF Update'!C88</f>
        <v>18.25</v>
      </c>
      <c r="F4" s="578"/>
      <c r="G4" s="39" t="e">
        <f>J4/D4/1000</f>
        <v>#REF!</v>
      </c>
      <c r="H4" s="40" t="e">
        <f>K4/D4/1000</f>
        <v>#REF!</v>
      </c>
      <c r="I4" s="41" t="e">
        <f>L4/D4/1000</f>
        <v>#REF!</v>
      </c>
      <c r="J4" s="75" t="e">
        <f>C4+(SUM(K15:K16)-SUM(G15:G16))-N10+C4*O10*(N2/O2-1)</f>
        <v>#REF!</v>
      </c>
      <c r="K4" s="76" t="e">
        <f>C4+(SUM(L15:L16)-SUM(G15:G16))-N10+C4*O10*(N2/O2-1)</f>
        <v>#REF!</v>
      </c>
      <c r="L4" s="77" t="e">
        <f>C4+(SUM(M15:M16)-SUM(G15:G16))-N15+C4*O15*(N2/O2-1)</f>
        <v>#REF!</v>
      </c>
      <c r="M4" s="80" t="s">
        <v>647</v>
      </c>
      <c r="N4" s="82" t="e">
        <f>匯率報價!D7</f>
        <v>#REF!</v>
      </c>
      <c r="O4" s="82">
        <v>1.2</v>
      </c>
      <c r="Q4" s="216" t="s">
        <v>548</v>
      </c>
      <c r="R4" s="217">
        <v>0</v>
      </c>
      <c r="S4" s="232"/>
      <c r="T4" s="241" t="e">
        <f>S4/$S$13</f>
        <v>#DIV/0!</v>
      </c>
      <c r="U4" s="218"/>
      <c r="V4" s="218"/>
      <c r="W4" s="22" t="s">
        <v>568</v>
      </c>
      <c r="Y4" s="22" t="s">
        <v>650</v>
      </c>
    </row>
    <row r="5" spans="1:25">
      <c r="A5" s="16" t="s">
        <v>137</v>
      </c>
      <c r="B5" s="57" t="s">
        <v>322</v>
      </c>
      <c r="C5" s="17" t="s">
        <v>138</v>
      </c>
      <c r="D5" s="17" t="s">
        <v>139</v>
      </c>
      <c r="E5" s="18" t="s">
        <v>140</v>
      </c>
      <c r="F5" s="577" t="s">
        <v>21</v>
      </c>
      <c r="G5" s="38" t="s">
        <v>157</v>
      </c>
      <c r="H5" s="9" t="s">
        <v>52</v>
      </c>
      <c r="I5" s="10" t="s">
        <v>53</v>
      </c>
      <c r="J5" s="38" t="s">
        <v>324</v>
      </c>
      <c r="K5" s="17" t="s">
        <v>324</v>
      </c>
      <c r="L5" s="18" t="s">
        <v>324</v>
      </c>
      <c r="M5" s="80" t="s">
        <v>311</v>
      </c>
      <c r="N5" s="82" t="e">
        <f>匯率報價!D17</f>
        <v>#REF!</v>
      </c>
      <c r="O5" s="82">
        <v>4.5869999999999997</v>
      </c>
      <c r="Q5" s="219" t="s">
        <v>549</v>
      </c>
      <c r="R5" s="205">
        <v>0</v>
      </c>
      <c r="S5" s="230">
        <f>R5</f>
        <v>0</v>
      </c>
      <c r="T5" s="207" t="e">
        <f>S5/$S$13</f>
        <v>#DIV/0!</v>
      </c>
      <c r="U5" s="206"/>
      <c r="V5" s="206" t="e">
        <f>T5</f>
        <v>#DIV/0!</v>
      </c>
      <c r="W5" s="23" t="e">
        <f>T6+T8+T10+#REF!</f>
        <v>#DIV/0!</v>
      </c>
      <c r="Y5" s="23" t="e">
        <f>U6+U8+U10</f>
        <v>#DIV/0!</v>
      </c>
    </row>
    <row r="6" spans="1:25" ht="16.8" thickBot="1">
      <c r="A6" s="87" t="s">
        <v>437</v>
      </c>
      <c r="B6" s="79">
        <f>C6/100000000</f>
        <v>0</v>
      </c>
      <c r="C6" s="60">
        <f>'ETF Update'!D89*1000</f>
        <v>0</v>
      </c>
      <c r="D6" s="60">
        <f>'ETF Update'!E89</f>
        <v>0</v>
      </c>
      <c r="E6" s="11">
        <f>'ETF Update'!C89</f>
        <v>19.98</v>
      </c>
      <c r="F6" s="578"/>
      <c r="G6" s="39" t="e">
        <f>J6/D6/1000</f>
        <v>#REF!</v>
      </c>
      <c r="H6" s="40" t="e">
        <f>L6/D6/1000</f>
        <v>#REF!</v>
      </c>
      <c r="I6" s="41" t="e">
        <f>K6/D6/1000</f>
        <v>#REF!</v>
      </c>
      <c r="J6" s="75" t="e">
        <f>C6+(SUM(K20:K21)-SUM(G20:G21))-N20+C6*O20*(N2/O2-1)</f>
        <v>#REF!</v>
      </c>
      <c r="K6" s="76" t="e">
        <f>C6+(SUM(L20:L21)-SUM(G20:G21))-N20+C6*O20*(N2/O2-1)</f>
        <v>#REF!</v>
      </c>
      <c r="L6" s="77" t="e">
        <f>C6+(SUM(M20:M21)-SUM(G20:G21))-N20+C6*O20*(N2/O2-1)</f>
        <v>#REF!</v>
      </c>
      <c r="M6" s="80" t="s">
        <v>317</v>
      </c>
      <c r="N6" s="82" t="e">
        <f>匯率報價!D18</f>
        <v>#REF!</v>
      </c>
      <c r="O6" s="82">
        <v>3.8610000000000002</v>
      </c>
      <c r="Q6" s="219" t="s">
        <v>569</v>
      </c>
      <c r="R6" s="205">
        <v>0</v>
      </c>
      <c r="S6" s="230">
        <f>R6*O2</f>
        <v>0</v>
      </c>
      <c r="T6" s="207" t="e">
        <f t="shared" ref="T6:T12" si="0">S6/$S$13</f>
        <v>#DIV/0!</v>
      </c>
      <c r="U6" s="206" t="e">
        <f>T6</f>
        <v>#DIV/0!</v>
      </c>
      <c r="V6" s="206"/>
      <c r="W6" s="22" t="s">
        <v>609</v>
      </c>
    </row>
    <row r="7" spans="1:25">
      <c r="Q7" s="6" t="s">
        <v>570</v>
      </c>
      <c r="R7" s="205">
        <v>0</v>
      </c>
      <c r="S7" s="230">
        <f>R7</f>
        <v>0</v>
      </c>
      <c r="T7" s="207" t="e">
        <f t="shared" si="0"/>
        <v>#DIV/0!</v>
      </c>
      <c r="U7" s="207"/>
      <c r="V7" s="207" t="e">
        <f>T7</f>
        <v>#DIV/0!</v>
      </c>
      <c r="W7" s="22">
        <v>0</v>
      </c>
    </row>
    <row r="8" spans="1:25" ht="16.8" thickBot="1">
      <c r="A8" s="12"/>
      <c r="F8" s="119" t="s">
        <v>332</v>
      </c>
      <c r="G8" s="85"/>
      <c r="Q8" s="6" t="s">
        <v>558</v>
      </c>
      <c r="R8" s="205">
        <v>0</v>
      </c>
      <c r="S8" s="231">
        <f>R8*O2</f>
        <v>0</v>
      </c>
      <c r="T8" s="207" t="e">
        <f t="shared" si="0"/>
        <v>#DIV/0!</v>
      </c>
      <c r="U8" s="207" t="e">
        <f>T8</f>
        <v>#DIV/0!</v>
      </c>
      <c r="V8" s="207"/>
      <c r="W8" s="22"/>
    </row>
    <row r="9" spans="1:25" s="22" customFormat="1">
      <c r="A9" s="57" t="s">
        <v>292</v>
      </c>
      <c r="B9" s="57" t="s">
        <v>293</v>
      </c>
      <c r="C9" s="57" t="s">
        <v>221</v>
      </c>
      <c r="D9" s="57" t="s">
        <v>294</v>
      </c>
      <c r="E9" s="57" t="s">
        <v>295</v>
      </c>
      <c r="F9" s="57" t="s">
        <v>296</v>
      </c>
      <c r="G9" s="57" t="s">
        <v>297</v>
      </c>
      <c r="H9" s="57" t="s">
        <v>222</v>
      </c>
      <c r="I9" s="57" t="s">
        <v>298</v>
      </c>
      <c r="J9" s="57" t="s">
        <v>299</v>
      </c>
      <c r="K9" s="57" t="s">
        <v>300</v>
      </c>
      <c r="L9" s="57" t="s">
        <v>301</v>
      </c>
      <c r="M9" s="57" t="s">
        <v>302</v>
      </c>
      <c r="N9" s="212" t="s">
        <v>586</v>
      </c>
      <c r="O9" s="212" t="s">
        <v>587</v>
      </c>
      <c r="Q9" s="6" t="s">
        <v>648</v>
      </c>
      <c r="R9" s="205">
        <v>0</v>
      </c>
      <c r="S9" s="231">
        <f>R9</f>
        <v>0</v>
      </c>
      <c r="T9" s="207" t="e">
        <f t="shared" si="0"/>
        <v>#DIV/0!</v>
      </c>
      <c r="U9" s="207"/>
      <c r="V9" s="207" t="e">
        <f>T9</f>
        <v>#DIV/0!</v>
      </c>
    </row>
    <row r="10" spans="1:25">
      <c r="A10" s="24" t="e">
        <f>G10/C2</f>
        <v>#DIV/0!</v>
      </c>
      <c r="B10" s="25" t="s">
        <v>495</v>
      </c>
      <c r="C10" s="25" t="s">
        <v>496</v>
      </c>
      <c r="D10" s="25">
        <v>12.5</v>
      </c>
      <c r="E10" s="58">
        <f>群益海期報價!K14</f>
        <v>9205.5</v>
      </c>
      <c r="F10" s="25">
        <v>0</v>
      </c>
      <c r="G10" s="46">
        <f>F10*E10*D10*O2</f>
        <v>0</v>
      </c>
      <c r="H10" s="58">
        <f>群益海期報價!H14</f>
        <v>9282</v>
      </c>
      <c r="I10" s="58">
        <f>群益海期報價!L14</f>
        <v>9282</v>
      </c>
      <c r="J10" s="58">
        <f>群益海期報價!N14</f>
        <v>9282.5</v>
      </c>
      <c r="K10" s="78" t="e">
        <f>IF(ISNUMBER(H10)=TRUE,H10*$F$10*$D$10,E10*$F$10*$D$10)*N2</f>
        <v>#REF!</v>
      </c>
      <c r="L10" s="78" t="e">
        <f>IF(ISNUMBER(I10)=TRUE,I10*$F$10*$D$10,F10*$F$10*$D$10)*N2</f>
        <v>#REF!</v>
      </c>
      <c r="M10" s="78" t="e">
        <f>IF(ISNUMBER(J10)=TRUE,J10*$F$10*$D$10,G10*$F$10*$D$10)*N2</f>
        <v>#REF!</v>
      </c>
      <c r="N10" s="62" t="e">
        <f>1.04%/365*(C2+SUM(K10:K11)-SUM(G10:G11))</f>
        <v>#REF!</v>
      </c>
      <c r="O10" s="69" t="e">
        <f>Y5</f>
        <v>#DIV/0!</v>
      </c>
      <c r="Q10" s="6" t="s">
        <v>649</v>
      </c>
      <c r="R10" s="205">
        <v>0</v>
      </c>
      <c r="S10" s="231">
        <f>R10</f>
        <v>0</v>
      </c>
      <c r="T10" s="207" t="e">
        <f t="shared" si="0"/>
        <v>#DIV/0!</v>
      </c>
      <c r="U10" s="207" t="e">
        <f>T10</f>
        <v>#DIV/0!</v>
      </c>
      <c r="V10" s="207"/>
      <c r="W10" s="23"/>
    </row>
    <row r="11" spans="1:25">
      <c r="A11" s="24" t="e">
        <f>G11/C2</f>
        <v>#DIV/0!</v>
      </c>
      <c r="B11" s="25" t="s">
        <v>495</v>
      </c>
      <c r="C11" s="25" t="s">
        <v>497</v>
      </c>
      <c r="D11" s="25">
        <v>12.5</v>
      </c>
      <c r="E11" s="58">
        <f>群益海期報價!K15</f>
        <v>9244.5</v>
      </c>
      <c r="F11" s="25">
        <v>0</v>
      </c>
      <c r="G11" s="46">
        <f>F11*E11*D11*O2</f>
        <v>0</v>
      </c>
      <c r="H11" s="58">
        <f>群益海期報價!H15</f>
        <v>9320.5</v>
      </c>
      <c r="I11" s="58">
        <f>群益海期報價!L15</f>
        <v>9320</v>
      </c>
      <c r="J11" s="58">
        <f>群益海期報價!N15</f>
        <v>9321.5</v>
      </c>
      <c r="K11" s="78" t="e">
        <f>IF(ISNUMBER(H11)=TRUE,H11*$F$11*$D$11,E11*$F$11*$D$11)*N2</f>
        <v>#REF!</v>
      </c>
      <c r="L11" s="78" t="e">
        <f>IF(ISNUMBER(I11)=TRUE,I11*$F$11*$D$11,F11*$F$11*$D$11)*N2</f>
        <v>#REF!</v>
      </c>
      <c r="M11" s="78" t="e">
        <f>IF(ISNUMBER(J11)=TRUE,J11*$F$11*$D$11,G11*$F$11*$D$11)*N2</f>
        <v>#REF!</v>
      </c>
      <c r="Q11" s="6" t="s">
        <v>611</v>
      </c>
      <c r="R11" s="205">
        <v>0</v>
      </c>
      <c r="S11" s="231">
        <f>R11</f>
        <v>0</v>
      </c>
      <c r="T11" s="207" t="e">
        <f t="shared" si="0"/>
        <v>#DIV/0!</v>
      </c>
      <c r="U11" s="207"/>
      <c r="V11" s="207" t="e">
        <f>T11</f>
        <v>#DIV/0!</v>
      </c>
      <c r="W11" s="22"/>
    </row>
    <row r="12" spans="1:25">
      <c r="A12" s="4"/>
      <c r="Q12" s="220" t="s">
        <v>571</v>
      </c>
      <c r="R12" s="242">
        <v>0</v>
      </c>
      <c r="S12" s="242">
        <f>R12</f>
        <v>0</v>
      </c>
      <c r="T12" s="20" t="e">
        <f t="shared" si="0"/>
        <v>#DIV/0!</v>
      </c>
      <c r="U12" s="20"/>
      <c r="V12" s="20" t="e">
        <f>T12</f>
        <v>#DIV/0!</v>
      </c>
      <c r="W12" s="22"/>
    </row>
    <row r="13" spans="1:25" ht="16.8" thickBot="1">
      <c r="A13" s="12" t="s">
        <v>436</v>
      </c>
      <c r="Q13" s="6" t="s">
        <v>562</v>
      </c>
      <c r="R13" s="228"/>
      <c r="S13" s="228">
        <f>SUM(S5:S12)</f>
        <v>0</v>
      </c>
      <c r="T13" s="207" t="e">
        <f>SUM(T5:T12)</f>
        <v>#DIV/0!</v>
      </c>
      <c r="U13" s="207" t="e">
        <f>SUM(U5:U12)</f>
        <v>#DIV/0!</v>
      </c>
      <c r="V13" s="207" t="e">
        <f>SUM(V5:V12)</f>
        <v>#DIV/0!</v>
      </c>
      <c r="W13" s="22"/>
      <c r="Y13" s="23" t="e">
        <f>U13+V13</f>
        <v>#DIV/0!</v>
      </c>
    </row>
    <row r="14" spans="1:25" s="22" customFormat="1">
      <c r="A14" s="57" t="s">
        <v>292</v>
      </c>
      <c r="B14" s="57" t="s">
        <v>293</v>
      </c>
      <c r="C14" s="57" t="s">
        <v>221</v>
      </c>
      <c r="D14" s="57" t="s">
        <v>294</v>
      </c>
      <c r="E14" s="57" t="s">
        <v>295</v>
      </c>
      <c r="F14" s="57" t="s">
        <v>296</v>
      </c>
      <c r="G14" s="57" t="s">
        <v>297</v>
      </c>
      <c r="H14" s="57" t="s">
        <v>222</v>
      </c>
      <c r="I14" s="57" t="s">
        <v>298</v>
      </c>
      <c r="J14" s="57" t="s">
        <v>299</v>
      </c>
      <c r="K14" s="57" t="s">
        <v>300</v>
      </c>
      <c r="L14" s="57" t="s">
        <v>301</v>
      </c>
      <c r="M14" s="57" t="s">
        <v>302</v>
      </c>
      <c r="N14" s="212" t="s">
        <v>586</v>
      </c>
      <c r="O14" s="212" t="s">
        <v>587</v>
      </c>
      <c r="W14" s="234"/>
    </row>
    <row r="15" spans="1:25">
      <c r="A15" s="24" t="e">
        <f>G15/C4</f>
        <v>#DIV/0!</v>
      </c>
      <c r="B15" s="25" t="s">
        <v>495</v>
      </c>
      <c r="C15" s="25" t="s">
        <v>496</v>
      </c>
      <c r="D15" s="25">
        <v>12.5</v>
      </c>
      <c r="E15" s="58">
        <f>群益海期報價!K14</f>
        <v>9205.5</v>
      </c>
      <c r="F15" s="25">
        <v>0</v>
      </c>
      <c r="G15" s="46">
        <f>F15*E15*D15*O2</f>
        <v>0</v>
      </c>
      <c r="H15" s="58">
        <f>群益海期報價!H14</f>
        <v>9282</v>
      </c>
      <c r="I15" s="58">
        <f>群益海期報價!L14</f>
        <v>9282</v>
      </c>
      <c r="J15" s="58">
        <f>群益海期報價!N14</f>
        <v>9282.5</v>
      </c>
      <c r="K15" s="78" t="e">
        <f>IF(ISNUMBER(H15)=TRUE,H15*$F$15*$D$15,E15*$F$15*$D$15)*N2</f>
        <v>#REF!</v>
      </c>
      <c r="L15" s="78" t="e">
        <f>IF(ISNUMBER(I15)=TRUE,I15*$F$15*$D$15,F15*$F$15*$D$15)*N2</f>
        <v>#REF!</v>
      </c>
      <c r="M15" s="78" t="e">
        <f>IF(ISNUMBER(J15)=TRUE,J15*$F$15*$D$15,G15*$F$15*$D$15)*N2</f>
        <v>#REF!</v>
      </c>
      <c r="N15" s="62" t="e">
        <f>1.04%/365*(C4+SUM(K15:K15)-SUM(G15:G15))</f>
        <v>#REF!</v>
      </c>
      <c r="O15" s="69">
        <f>Y19</f>
        <v>5.7837354237227578E-2</v>
      </c>
      <c r="W15" s="4" t="e">
        <f>U13+V13</f>
        <v>#DIV/0!</v>
      </c>
    </row>
    <row r="16" spans="1:25">
      <c r="A16" s="24" t="e">
        <f>G16/C4</f>
        <v>#DIV/0!</v>
      </c>
      <c r="B16" s="25" t="s">
        <v>495</v>
      </c>
      <c r="C16" s="25" t="s">
        <v>497</v>
      </c>
      <c r="D16" s="25">
        <v>12.5</v>
      </c>
      <c r="E16" s="58">
        <f>群益海期報價!K15</f>
        <v>9244.5</v>
      </c>
      <c r="F16" s="25">
        <v>105</v>
      </c>
      <c r="G16" s="46">
        <f>F16*E16*D16*O3</f>
        <v>1351540122.1875</v>
      </c>
      <c r="H16" s="58">
        <f>群益海期報價!H15</f>
        <v>9320.5</v>
      </c>
      <c r="I16" s="58">
        <f>群益海期報價!L15</f>
        <v>9320</v>
      </c>
      <c r="J16" s="58">
        <f>群益海期報價!N15</f>
        <v>9321.5</v>
      </c>
      <c r="K16" s="78" t="e">
        <f>IF(ISNUMBER(H16)=TRUE,H16*$F$16*$D$16,E16*$F$16*$D$16)*N3</f>
        <v>#REF!</v>
      </c>
      <c r="L16" s="78" t="e">
        <f>IF(ISNUMBER(I16)=TRUE,I16*$F$16*$D$16,F16*$F$16*$D$16)*N3</f>
        <v>#REF!</v>
      </c>
      <c r="M16" s="78" t="e">
        <f>IF(ISNUMBER(J16)=TRUE,J16*$F$16*$D$16,G16*$F$16*$D$16)*N3</f>
        <v>#REF!</v>
      </c>
      <c r="Q16" s="204" t="s">
        <v>658</v>
      </c>
      <c r="R16" s="49">
        <v>174479117</v>
      </c>
      <c r="V16" s="22"/>
    </row>
    <row r="17" spans="1:25">
      <c r="A17" s="4"/>
      <c r="F17" s="5"/>
      <c r="Q17" s="25" t="s">
        <v>552</v>
      </c>
      <c r="R17" s="25" t="s">
        <v>617</v>
      </c>
      <c r="S17" s="25" t="s">
        <v>615</v>
      </c>
      <c r="T17" s="25" t="s">
        <v>565</v>
      </c>
      <c r="U17" s="25" t="s">
        <v>566</v>
      </c>
      <c r="V17" s="25" t="s">
        <v>567</v>
      </c>
    </row>
    <row r="18" spans="1:25" ht="16.8" thickBot="1">
      <c r="A18" s="87" t="s">
        <v>437</v>
      </c>
      <c r="Q18" s="216" t="s">
        <v>548</v>
      </c>
      <c r="R18" s="217">
        <v>0</v>
      </c>
      <c r="S18" s="232"/>
      <c r="T18" s="218"/>
      <c r="U18" s="218"/>
      <c r="V18" s="218"/>
      <c r="W18" s="22"/>
      <c r="X18" s="22"/>
      <c r="Y18" s="22" t="s">
        <v>650</v>
      </c>
    </row>
    <row r="19" spans="1:25" s="22" customFormat="1">
      <c r="A19" s="57" t="s">
        <v>292</v>
      </c>
      <c r="B19" s="57" t="s">
        <v>293</v>
      </c>
      <c r="C19" s="57" t="s">
        <v>221</v>
      </c>
      <c r="D19" s="57" t="s">
        <v>294</v>
      </c>
      <c r="E19" s="57" t="s">
        <v>295</v>
      </c>
      <c r="F19" s="57" t="s">
        <v>296</v>
      </c>
      <c r="G19" s="57" t="s">
        <v>297</v>
      </c>
      <c r="H19" s="57" t="s">
        <v>222</v>
      </c>
      <c r="I19" s="57" t="s">
        <v>298</v>
      </c>
      <c r="J19" s="57" t="s">
        <v>299</v>
      </c>
      <c r="K19" s="57" t="s">
        <v>300</v>
      </c>
      <c r="L19" s="57" t="s">
        <v>301</v>
      </c>
      <c r="M19" s="57" t="s">
        <v>302</v>
      </c>
      <c r="N19" s="212" t="s">
        <v>586</v>
      </c>
      <c r="O19" s="212" t="s">
        <v>587</v>
      </c>
      <c r="Q19" s="219" t="s">
        <v>549</v>
      </c>
      <c r="R19" s="205">
        <v>60000000</v>
      </c>
      <c r="S19" s="230">
        <f>R19</f>
        <v>60000000</v>
      </c>
      <c r="T19" s="206">
        <f>S19/$S$28</f>
        <v>0.3437218444413383</v>
      </c>
      <c r="U19" s="206"/>
      <c r="V19" s="206">
        <f>T19</f>
        <v>0.3437218444413383</v>
      </c>
      <c r="W19" s="234"/>
      <c r="X19" s="234"/>
      <c r="Y19" s="23">
        <f>U20+U22+U24+U26</f>
        <v>5.7837354237227578E-2</v>
      </c>
    </row>
    <row r="20" spans="1:25">
      <c r="A20" s="24" t="e">
        <f>G20/C6</f>
        <v>#DIV/0!</v>
      </c>
      <c r="B20" s="25" t="s">
        <v>495</v>
      </c>
      <c r="C20" s="25" t="s">
        <v>496</v>
      </c>
      <c r="D20" s="25">
        <v>12.5</v>
      </c>
      <c r="E20" s="58">
        <f>群益海期報價!K14</f>
        <v>9205.5</v>
      </c>
      <c r="F20" s="88">
        <v>0</v>
      </c>
      <c r="G20" s="78">
        <f>F20*E20*D20*O2</f>
        <v>0</v>
      </c>
      <c r="H20" s="58">
        <f>群益海期報價!H14</f>
        <v>9282</v>
      </c>
      <c r="I20" s="58">
        <f>群益海期報價!L14</f>
        <v>9282</v>
      </c>
      <c r="J20" s="58">
        <f>群益海期報價!N14</f>
        <v>9282.5</v>
      </c>
      <c r="K20" s="78" t="e">
        <f>IF(ISNUMBER(H20)=TRUE,H20*$F$20*$D$20,E20*$F$20*$D$20)*N2</f>
        <v>#REF!</v>
      </c>
      <c r="L20" s="78" t="e">
        <f>IF(ISNUMBER(I20)=TRUE,I20*$F$20*$D$20,F20*$F$20*$D$20)*N2</f>
        <v>#REF!</v>
      </c>
      <c r="M20" s="78" t="e">
        <f>IF(ISNUMBER(J20)=TRUE,J20*$F$20*$D$20,G20*$F$20*$D$20)*N2</f>
        <v>#REF!</v>
      </c>
      <c r="N20" s="62" t="e">
        <f>1.04%/365*(C4+SUM(K20:K20)-SUM(G20:G20))</f>
        <v>#REF!</v>
      </c>
      <c r="O20" s="69">
        <f>Y34</f>
        <v>7.7835055815212842E-2</v>
      </c>
      <c r="Q20" s="219" t="s">
        <v>569</v>
      </c>
      <c r="R20" s="205">
        <v>223876.5</v>
      </c>
      <c r="S20" s="230">
        <f>R20*O2</f>
        <v>6749876.4749999996</v>
      </c>
      <c r="T20" s="206">
        <f t="shared" ref="T20:T27" si="1">S20/$S$28</f>
        <v>3.8667999862303307E-2</v>
      </c>
      <c r="U20" s="206">
        <f>T20</f>
        <v>3.8667999862303307E-2</v>
      </c>
      <c r="V20" s="206"/>
      <c r="W20" s="22"/>
    </row>
    <row r="21" spans="1:25">
      <c r="A21" s="24" t="e">
        <f>G21/C6</f>
        <v>#DIV/0!</v>
      </c>
      <c r="B21" s="25" t="s">
        <v>495</v>
      </c>
      <c r="C21" s="25" t="s">
        <v>497</v>
      </c>
      <c r="D21" s="25">
        <v>12.5</v>
      </c>
      <c r="E21" s="58">
        <f>群益海期報價!K15</f>
        <v>9244.5</v>
      </c>
      <c r="F21" s="88">
        <v>-50</v>
      </c>
      <c r="G21" s="78">
        <f>F21*E21*D21*O3</f>
        <v>-643590534.375</v>
      </c>
      <c r="H21" s="58">
        <f>群益海期報價!H15</f>
        <v>9320.5</v>
      </c>
      <c r="I21" s="58">
        <f>群益海期報價!L15</f>
        <v>9320</v>
      </c>
      <c r="J21" s="58">
        <f>群益海期報價!N15</f>
        <v>9321.5</v>
      </c>
      <c r="K21" s="78" t="e">
        <f>IF(ISNUMBER(H21)=TRUE,H21*$F$21*$D$21,E21*$F$21*$D$21)*N3</f>
        <v>#REF!</v>
      </c>
      <c r="L21" s="78" t="e">
        <f>IF(ISNUMBER(I21)=TRUE,I21*$F$21*$D$21,F21*$F$21*$D$21)*N3</f>
        <v>#REF!</v>
      </c>
      <c r="M21" s="78" t="e">
        <f>IF(ISNUMBER(J21)=TRUE,J21*$F$21*$D$21,G21*$F$21*$D$21)*N3</f>
        <v>#REF!</v>
      </c>
      <c r="Q21" s="6" t="s">
        <v>570</v>
      </c>
      <c r="R21" s="205">
        <v>54463678</v>
      </c>
      <c r="S21" s="230">
        <f>R21</f>
        <v>54463678</v>
      </c>
      <c r="T21" s="206">
        <f t="shared" si="1"/>
        <v>0.31200593095365231</v>
      </c>
      <c r="U21" s="207"/>
      <c r="V21" s="207">
        <f>T21</f>
        <v>0.31200593095365231</v>
      </c>
      <c r="W21" s="22" t="s">
        <v>568</v>
      </c>
    </row>
    <row r="22" spans="1:25">
      <c r="Q22" s="6" t="s">
        <v>558</v>
      </c>
      <c r="R22" s="205">
        <v>110985</v>
      </c>
      <c r="S22" s="231">
        <f>R22*O2</f>
        <v>3346197.75</v>
      </c>
      <c r="T22" s="206">
        <f t="shared" si="1"/>
        <v>1.9169354374924268E-2</v>
      </c>
      <c r="U22" s="207">
        <f>T22</f>
        <v>1.9169354374924268E-2</v>
      </c>
      <c r="V22" s="207"/>
      <c r="W22" s="23">
        <f>T20+T22+T24+T26</f>
        <v>5.7837354237227578E-2</v>
      </c>
    </row>
    <row r="23" spans="1:25">
      <c r="Q23" s="6" t="s">
        <v>613</v>
      </c>
      <c r="R23" s="205">
        <v>50000000</v>
      </c>
      <c r="S23" s="231">
        <f>R23</f>
        <v>50000000</v>
      </c>
      <c r="T23" s="206">
        <f t="shared" si="1"/>
        <v>0.28643487036778187</v>
      </c>
      <c r="U23" s="207"/>
      <c r="V23" s="207">
        <f>T23</f>
        <v>0.28643487036778187</v>
      </c>
      <c r="W23" s="22" t="s">
        <v>609</v>
      </c>
    </row>
    <row r="24" spans="1:25">
      <c r="Q24" s="6" t="s">
        <v>614</v>
      </c>
      <c r="R24" s="205">
        <v>0</v>
      </c>
      <c r="S24" s="231">
        <f>R24*O2</f>
        <v>0</v>
      </c>
      <c r="T24" s="206">
        <f t="shared" si="1"/>
        <v>0</v>
      </c>
      <c r="U24" s="207">
        <f>T24</f>
        <v>0</v>
      </c>
      <c r="V24" s="207"/>
      <c r="W24" s="22">
        <v>0</v>
      </c>
    </row>
    <row r="25" spans="1:25">
      <c r="Q25" s="6" t="s">
        <v>611</v>
      </c>
      <c r="R25" s="205">
        <v>0</v>
      </c>
      <c r="S25" s="231">
        <f>R25</f>
        <v>0</v>
      </c>
      <c r="T25" s="206">
        <f t="shared" si="1"/>
        <v>0</v>
      </c>
      <c r="U25" s="207"/>
      <c r="V25" s="207">
        <f>T25</f>
        <v>0</v>
      </c>
      <c r="W25" s="22"/>
    </row>
    <row r="26" spans="1:25">
      <c r="Q26" s="6" t="s">
        <v>612</v>
      </c>
      <c r="R26" s="205">
        <v>0</v>
      </c>
      <c r="S26" s="205">
        <f>R26*O2</f>
        <v>0</v>
      </c>
      <c r="T26" s="206">
        <f t="shared" si="1"/>
        <v>0</v>
      </c>
      <c r="U26" s="207">
        <f>T26</f>
        <v>0</v>
      </c>
      <c r="V26" s="207"/>
      <c r="W26" s="22"/>
    </row>
    <row r="27" spans="1:25">
      <c r="Q27" s="220" t="s">
        <v>571</v>
      </c>
      <c r="R27" s="205">
        <v>0</v>
      </c>
      <c r="S27" s="205">
        <f>R27</f>
        <v>0</v>
      </c>
      <c r="T27" s="206">
        <f t="shared" si="1"/>
        <v>0</v>
      </c>
      <c r="U27" s="207"/>
      <c r="V27" s="207">
        <f>T27</f>
        <v>0</v>
      </c>
      <c r="W27" s="23"/>
    </row>
    <row r="28" spans="1:25">
      <c r="Q28" s="6" t="s">
        <v>562</v>
      </c>
      <c r="R28" s="228"/>
      <c r="S28" s="228">
        <f>SUM(S19:S27)</f>
        <v>174559752.22499999</v>
      </c>
      <c r="T28" s="227">
        <f>SUM(T19:T27)</f>
        <v>1</v>
      </c>
      <c r="U28" s="207">
        <f>SUM(U19:U27)</f>
        <v>5.7837354237227578E-2</v>
      </c>
      <c r="V28" s="207">
        <f>SUM(V19:V27)</f>
        <v>0.94216264576277253</v>
      </c>
      <c r="W28" s="22"/>
      <c r="Y28" s="23">
        <f>U28+V28</f>
        <v>1</v>
      </c>
    </row>
    <row r="29" spans="1:25">
      <c r="W29" s="22"/>
    </row>
    <row r="30" spans="1:25">
      <c r="W30" s="22"/>
    </row>
    <row r="31" spans="1:25">
      <c r="Q31" s="204" t="s">
        <v>659</v>
      </c>
      <c r="R31" s="49">
        <v>169864946</v>
      </c>
      <c r="V31" s="22"/>
    </row>
    <row r="32" spans="1:25">
      <c r="Q32" s="25" t="s">
        <v>572</v>
      </c>
      <c r="R32" s="25" t="s">
        <v>616</v>
      </c>
      <c r="S32" s="25" t="s">
        <v>564</v>
      </c>
      <c r="T32" s="25" t="s">
        <v>565</v>
      </c>
      <c r="U32" s="25" t="s">
        <v>651</v>
      </c>
      <c r="V32" s="25" t="s">
        <v>546</v>
      </c>
      <c r="W32" s="4">
        <f>U28+V28</f>
        <v>1</v>
      </c>
    </row>
    <row r="33" spans="17:25">
      <c r="Q33" s="216" t="s">
        <v>547</v>
      </c>
      <c r="R33" s="217">
        <v>0</v>
      </c>
      <c r="S33" s="232"/>
      <c r="T33" s="218"/>
      <c r="U33" s="218"/>
      <c r="V33" s="218"/>
      <c r="Y33" s="22" t="s">
        <v>650</v>
      </c>
    </row>
    <row r="34" spans="17:25">
      <c r="Q34" s="219" t="s">
        <v>580</v>
      </c>
      <c r="R34" s="205">
        <v>50000000</v>
      </c>
      <c r="S34" s="230">
        <f>R34</f>
        <v>50000000</v>
      </c>
      <c r="T34" s="206">
        <f>S34/$S$43</f>
        <v>0.29422103111538778</v>
      </c>
      <c r="U34" s="206"/>
      <c r="V34" s="206">
        <f>T34</f>
        <v>0.29422103111538778</v>
      </c>
      <c r="Y34" s="23">
        <f>U35+U37+U39+U41</f>
        <v>7.7835055815212842E-2</v>
      </c>
    </row>
    <row r="35" spans="17:25">
      <c r="Q35" s="219" t="s">
        <v>569</v>
      </c>
      <c r="R35" s="205">
        <v>428716.75</v>
      </c>
      <c r="S35" s="230">
        <f>R35*O2</f>
        <v>12925810.012499999</v>
      </c>
      <c r="T35" s="206">
        <f t="shared" ref="T35:T42" si="2">S35/$S$43</f>
        <v>7.6060902997587054E-2</v>
      </c>
      <c r="U35" s="206">
        <f>T35</f>
        <v>7.6060902997587054E-2</v>
      </c>
      <c r="V35" s="206"/>
    </row>
    <row r="36" spans="17:25">
      <c r="Q36" s="6" t="s">
        <v>550</v>
      </c>
      <c r="R36" s="205">
        <v>56712955</v>
      </c>
      <c r="S36" s="230">
        <f>R36</f>
        <v>56712955</v>
      </c>
      <c r="T36" s="206">
        <f t="shared" si="2"/>
        <v>0.33372288195401173</v>
      </c>
      <c r="U36" s="207"/>
      <c r="V36" s="207">
        <f>T36</f>
        <v>0.33372288195401173</v>
      </c>
    </row>
    <row r="37" spans="17:25">
      <c r="Q37" s="6" t="s">
        <v>579</v>
      </c>
      <c r="R37" s="205">
        <v>10000</v>
      </c>
      <c r="S37" s="231">
        <f>R37*O2</f>
        <v>301500</v>
      </c>
      <c r="T37" s="206">
        <f t="shared" si="2"/>
        <v>1.7741528176257882E-3</v>
      </c>
      <c r="U37" s="207">
        <f>T37</f>
        <v>1.7741528176257882E-3</v>
      </c>
      <c r="V37" s="207"/>
    </row>
    <row r="38" spans="17:25">
      <c r="Q38" s="6" t="s">
        <v>613</v>
      </c>
      <c r="R38" s="205">
        <v>50000000</v>
      </c>
      <c r="S38" s="231">
        <f>R38</f>
        <v>50000000</v>
      </c>
      <c r="T38" s="206">
        <f t="shared" si="2"/>
        <v>0.29422103111538778</v>
      </c>
      <c r="U38" s="207"/>
      <c r="V38" s="207">
        <f>T38</f>
        <v>0.29422103111538778</v>
      </c>
    </row>
    <row r="39" spans="17:25">
      <c r="Q39" s="6" t="s">
        <v>614</v>
      </c>
      <c r="R39" s="205">
        <v>0</v>
      </c>
      <c r="S39" s="231">
        <f>R39*O2</f>
        <v>0</v>
      </c>
      <c r="T39" s="206">
        <f t="shared" si="2"/>
        <v>0</v>
      </c>
      <c r="U39" s="207">
        <f>T39</f>
        <v>0</v>
      </c>
      <c r="V39" s="207"/>
    </row>
    <row r="40" spans="17:25">
      <c r="Q40" s="6" t="s">
        <v>611</v>
      </c>
      <c r="R40" s="205">
        <v>0</v>
      </c>
      <c r="S40" s="231">
        <f>R40</f>
        <v>0</v>
      </c>
      <c r="T40" s="206">
        <f t="shared" si="2"/>
        <v>0</v>
      </c>
      <c r="U40" s="207"/>
      <c r="V40" s="207">
        <f>T40</f>
        <v>0</v>
      </c>
    </row>
    <row r="41" spans="17:25">
      <c r="Q41" s="6" t="s">
        <v>612</v>
      </c>
      <c r="R41" s="205">
        <v>0</v>
      </c>
      <c r="S41" s="205">
        <f>R41*O2</f>
        <v>0</v>
      </c>
      <c r="T41" s="206">
        <f t="shared" si="2"/>
        <v>0</v>
      </c>
      <c r="U41" s="207">
        <f>T41</f>
        <v>0</v>
      </c>
      <c r="V41" s="207"/>
    </row>
    <row r="42" spans="17:25">
      <c r="Q42" s="220" t="s">
        <v>561</v>
      </c>
      <c r="R42" s="205">
        <v>0</v>
      </c>
      <c r="S42" s="205">
        <f>R42</f>
        <v>0</v>
      </c>
      <c r="T42" s="206">
        <f t="shared" si="2"/>
        <v>0</v>
      </c>
      <c r="U42" s="207"/>
      <c r="V42" s="207">
        <f>T42</f>
        <v>0</v>
      </c>
    </row>
    <row r="43" spans="17:25">
      <c r="Q43" s="6" t="s">
        <v>551</v>
      </c>
      <c r="R43" s="228"/>
      <c r="S43" s="228">
        <f>SUM(S34:S42)</f>
        <v>169940265.01249999</v>
      </c>
      <c r="T43" s="206">
        <f>SUM(T34:T42)</f>
        <v>1</v>
      </c>
      <c r="U43" s="207">
        <f>SUM(U34:U42)</f>
        <v>7.7835055815212842E-2</v>
      </c>
      <c r="V43" s="207">
        <f>SUM(V34:V42)</f>
        <v>0.92216494418478734</v>
      </c>
      <c r="Y43" s="23">
        <f>U43+V43</f>
        <v>1.0000000000000002</v>
      </c>
    </row>
  </sheetData>
  <mergeCells count="3">
    <mergeCell ref="F1:F2"/>
    <mergeCell ref="F3:F4"/>
    <mergeCell ref="F5:F6"/>
  </mergeCells>
  <phoneticPr fontId="8" type="noConversion"/>
  <pageMargins left="0.75" right="0.75" top="1" bottom="1" header="0.5" footer="0.5"/>
  <pageSetup paperSize="9" scale="23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Y44"/>
  <sheetViews>
    <sheetView tabSelected="1" view="pageBreakPreview" workbookViewId="0">
      <selection activeCell="A2" sqref="A2"/>
    </sheetView>
  </sheetViews>
  <sheetFormatPr defaultColWidth="9" defaultRowHeight="16.2"/>
  <cols>
    <col min="1" max="1" width="10.6640625" style="119" bestFit="1" customWidth="1"/>
    <col min="2" max="2" width="13.44140625" style="119" customWidth="1"/>
    <col min="3" max="3" width="15.6640625" style="119" customWidth="1"/>
    <col min="4" max="4" width="13.6640625" style="119" customWidth="1"/>
    <col min="5" max="5" width="13.21875" style="119" customWidth="1"/>
    <col min="6" max="6" width="19.109375" style="119" customWidth="1"/>
    <col min="7" max="7" width="18.77734375" style="119" customWidth="1"/>
    <col min="8" max="8" width="16" style="119" customWidth="1"/>
    <col min="9" max="9" width="15.44140625" style="119" customWidth="1"/>
    <col min="10" max="10" width="21.33203125" style="119" customWidth="1"/>
    <col min="11" max="11" width="18.88671875" style="119" customWidth="1"/>
    <col min="12" max="12" width="20.77734375" style="119" customWidth="1"/>
    <col min="13" max="13" width="18.6640625" style="119" customWidth="1"/>
    <col min="14" max="14" width="11.88671875" style="119" customWidth="1"/>
    <col min="15" max="15" width="11.6640625" style="119" customWidth="1"/>
    <col min="16" max="16" width="13.88671875" style="119" customWidth="1"/>
    <col min="17" max="17" width="20.33203125" style="234" customWidth="1"/>
    <col min="18" max="18" width="20.77734375" style="234" customWidth="1"/>
    <col min="19" max="19" width="16.88671875" style="234" customWidth="1"/>
    <col min="20" max="20" width="13.21875" style="234" customWidth="1"/>
    <col min="21" max="21" width="11.33203125" style="234" customWidth="1"/>
    <col min="22" max="22" width="10.88671875" style="234" customWidth="1"/>
    <col min="23" max="24" width="9" style="234" hidden="1" customWidth="1"/>
    <col min="25" max="25" width="10.21875" style="22" customWidth="1"/>
    <col min="26" max="16384" width="9" style="119"/>
  </cols>
  <sheetData>
    <row r="1" spans="1:25">
      <c r="A1" s="16" t="s">
        <v>137</v>
      </c>
      <c r="B1" s="17" t="s">
        <v>322</v>
      </c>
      <c r="C1" s="17" t="s">
        <v>138</v>
      </c>
      <c r="D1" s="17" t="s">
        <v>139</v>
      </c>
      <c r="E1" s="18" t="s">
        <v>140</v>
      </c>
      <c r="F1" s="577" t="s">
        <v>21</v>
      </c>
      <c r="G1" s="38" t="s">
        <v>157</v>
      </c>
      <c r="H1" s="9" t="s">
        <v>52</v>
      </c>
      <c r="I1" s="10" t="s">
        <v>53</v>
      </c>
      <c r="J1" s="38" t="s">
        <v>324</v>
      </c>
      <c r="K1" s="17" t="s">
        <v>324</v>
      </c>
      <c r="L1" s="18" t="s">
        <v>324</v>
      </c>
      <c r="M1" s="80" t="s">
        <v>49</v>
      </c>
      <c r="N1" s="73" t="s">
        <v>151</v>
      </c>
      <c r="O1" s="81" t="s">
        <v>511</v>
      </c>
    </row>
    <row r="2" spans="1:25" ht="16.8" thickBot="1">
      <c r="A2" s="12" t="s">
        <v>498</v>
      </c>
      <c r="B2" s="79">
        <f>C2/100000000</f>
        <v>0</v>
      </c>
      <c r="C2" s="60">
        <f>'ETF Update'!D72*1000</f>
        <v>0</v>
      </c>
      <c r="D2" s="60">
        <f>'ETF Update'!E72</f>
        <v>0</v>
      </c>
      <c r="E2" s="11">
        <f>'ETF Update'!C72</f>
        <v>21.887799999999999</v>
      </c>
      <c r="F2" s="578"/>
      <c r="G2" s="39" t="e">
        <f>J2/(D2*1000)</f>
        <v>#REF!</v>
      </c>
      <c r="H2" s="40" t="e">
        <f>K2/(D2*1000)</f>
        <v>#REF!</v>
      </c>
      <c r="I2" s="41" t="e">
        <f>L2/(D2*1000)</f>
        <v>#REF!</v>
      </c>
      <c r="J2" s="75" t="e">
        <f>C2+(SUM(K10:K11)-SUM(G10:G11))-N10+C2*O10*(N2/O2-1)</f>
        <v>#REF!</v>
      </c>
      <c r="K2" s="76" t="e">
        <f>C2+(SUM(L10:L11)-SUM(G10:G11))-N10+C2*O10*(N2/O2-1)</f>
        <v>#REF!</v>
      </c>
      <c r="L2" s="77" t="e">
        <f>C2+(SUM(M10:M11)-SUM(G10:G11))-N10+C2*O10*(N2/O2-1)</f>
        <v>#REF!</v>
      </c>
      <c r="M2" s="80" t="s">
        <v>309</v>
      </c>
      <c r="N2" s="82" t="e">
        <f>匯率報價!D16</f>
        <v>#REF!</v>
      </c>
      <c r="O2" s="82">
        <v>30.15</v>
      </c>
      <c r="Q2" s="204" t="s">
        <v>660</v>
      </c>
      <c r="R2" s="49">
        <v>116938047</v>
      </c>
      <c r="V2" s="22"/>
    </row>
    <row r="3" spans="1:25">
      <c r="A3" s="16" t="s">
        <v>137</v>
      </c>
      <c r="B3" s="57" t="s">
        <v>322</v>
      </c>
      <c r="C3" s="17" t="s">
        <v>138</v>
      </c>
      <c r="D3" s="17" t="s">
        <v>139</v>
      </c>
      <c r="E3" s="18" t="s">
        <v>140</v>
      </c>
      <c r="F3" s="577" t="s">
        <v>21</v>
      </c>
      <c r="G3" s="38" t="s">
        <v>157</v>
      </c>
      <c r="H3" s="9" t="s">
        <v>52</v>
      </c>
      <c r="I3" s="10" t="s">
        <v>53</v>
      </c>
      <c r="J3" s="38" t="s">
        <v>324</v>
      </c>
      <c r="K3" s="17" t="s">
        <v>324</v>
      </c>
      <c r="L3" s="18" t="s">
        <v>324</v>
      </c>
      <c r="M3" s="80" t="s">
        <v>646</v>
      </c>
      <c r="N3" s="82" t="e">
        <f>匯率報價!D2</f>
        <v>#REF!</v>
      </c>
      <c r="O3" s="82">
        <v>111.39</v>
      </c>
      <c r="Q3" s="25" t="s">
        <v>552</v>
      </c>
      <c r="R3" s="25" t="s">
        <v>617</v>
      </c>
      <c r="S3" s="25" t="s">
        <v>615</v>
      </c>
      <c r="T3" s="25" t="s">
        <v>565</v>
      </c>
      <c r="U3" s="25" t="s">
        <v>566</v>
      </c>
      <c r="V3" s="25" t="s">
        <v>567</v>
      </c>
      <c r="W3" s="22"/>
    </row>
    <row r="4" spans="1:25" ht="16.8" thickBot="1">
      <c r="A4" s="12" t="s">
        <v>430</v>
      </c>
      <c r="B4" s="79">
        <f>C4/100000000</f>
        <v>0</v>
      </c>
      <c r="C4" s="60">
        <f>'ETF Update'!D73*1000</f>
        <v>0</v>
      </c>
      <c r="D4" s="60">
        <f>'ETF Update'!E73</f>
        <v>0</v>
      </c>
      <c r="E4" s="11">
        <f>'ETF Update'!C73</f>
        <v>17.192299999999999</v>
      </c>
      <c r="F4" s="578"/>
      <c r="G4" s="39" t="e">
        <f>J4/D4/1000</f>
        <v>#REF!</v>
      </c>
      <c r="H4" s="40" t="e">
        <f>K4/D4/1000</f>
        <v>#REF!</v>
      </c>
      <c r="I4" s="41" t="e">
        <f>L4/D4/1000</f>
        <v>#REF!</v>
      </c>
      <c r="J4" s="75" t="e">
        <f>C4+(SUM(K15:K16)-SUM(G15:G16))-N10+C4*O10*(N2/O2-1)</f>
        <v>#REF!</v>
      </c>
      <c r="K4" s="76" t="e">
        <f>C4+(SUM(L15:L16)-SUM(G15:G16))-N10+C4*O10*(N2/O2-1)</f>
        <v>#REF!</v>
      </c>
      <c r="L4" s="77" t="e">
        <f>C4+(SUM(M15:M16)-SUM(G15:G16))-N15+C4*O15*(N2/O2-1)</f>
        <v>#REF!</v>
      </c>
      <c r="M4" s="80" t="s">
        <v>647</v>
      </c>
      <c r="N4" s="82" t="e">
        <f>匯率報價!D7</f>
        <v>#REF!</v>
      </c>
      <c r="O4" s="82">
        <v>1.2</v>
      </c>
      <c r="Q4" s="216" t="s">
        <v>548</v>
      </c>
      <c r="R4" s="217">
        <v>0</v>
      </c>
      <c r="S4" s="232"/>
      <c r="T4" s="241">
        <f>S4/$S$13</f>
        <v>0</v>
      </c>
      <c r="U4" s="218"/>
      <c r="V4" s="218"/>
      <c r="W4" s="22" t="s">
        <v>568</v>
      </c>
      <c r="Y4" s="22" t="s">
        <v>650</v>
      </c>
    </row>
    <row r="5" spans="1:25">
      <c r="A5" s="16" t="s">
        <v>137</v>
      </c>
      <c r="B5" s="57" t="s">
        <v>322</v>
      </c>
      <c r="C5" s="17" t="s">
        <v>138</v>
      </c>
      <c r="D5" s="17" t="s">
        <v>139</v>
      </c>
      <c r="E5" s="18" t="s">
        <v>140</v>
      </c>
      <c r="F5" s="577" t="s">
        <v>21</v>
      </c>
      <c r="G5" s="38" t="s">
        <v>157</v>
      </c>
      <c r="H5" s="9" t="s">
        <v>52</v>
      </c>
      <c r="I5" s="10" t="s">
        <v>53</v>
      </c>
      <c r="J5" s="38" t="s">
        <v>324</v>
      </c>
      <c r="K5" s="17" t="s">
        <v>324</v>
      </c>
      <c r="L5" s="18" t="s">
        <v>324</v>
      </c>
      <c r="M5" s="80" t="s">
        <v>311</v>
      </c>
      <c r="N5" s="82" t="e">
        <f>匯率報價!D17</f>
        <v>#REF!</v>
      </c>
      <c r="O5" s="82">
        <v>4.5869999999999997</v>
      </c>
      <c r="Q5" s="219" t="s">
        <v>549</v>
      </c>
      <c r="R5" s="205">
        <v>10004345</v>
      </c>
      <c r="S5" s="230">
        <f>R5</f>
        <v>10004345</v>
      </c>
      <c r="T5" s="207">
        <f>S5/$S$13</f>
        <v>8.5342572307012643E-2</v>
      </c>
      <c r="U5" s="206"/>
      <c r="V5" s="206">
        <f>T5</f>
        <v>8.5342572307012643E-2</v>
      </c>
      <c r="W5" s="23" t="e">
        <f>T6+T8+T10+#REF!</f>
        <v>#REF!</v>
      </c>
      <c r="Y5" s="23">
        <f>U6+U8+U10</f>
        <v>0.65093958992112655</v>
      </c>
    </row>
    <row r="6" spans="1:25" ht="16.8" thickBot="1">
      <c r="A6" s="87" t="s">
        <v>428</v>
      </c>
      <c r="B6" s="79">
        <f>C6/100000000</f>
        <v>0</v>
      </c>
      <c r="C6" s="60">
        <f>'ETF Update'!D71*1000</f>
        <v>0</v>
      </c>
      <c r="D6" s="60">
        <f>'ETF Update'!E71</f>
        <v>0</v>
      </c>
      <c r="E6" s="11">
        <f>'ETF Update'!C71</f>
        <v>41.608899999999998</v>
      </c>
      <c r="F6" s="578"/>
      <c r="G6" s="39" t="e">
        <f>J6/D6/1000</f>
        <v>#REF!</v>
      </c>
      <c r="H6" s="40" t="e">
        <f>L6/D6/1000</f>
        <v>#REF!</v>
      </c>
      <c r="I6" s="41" t="e">
        <f>K6/D6/1000</f>
        <v>#REF!</v>
      </c>
      <c r="J6" s="75" t="e">
        <f>C6+(SUM(K20:K21)-SUM(G20:G21))-N20+C6*O20*(N2/O2-1)</f>
        <v>#REF!</v>
      </c>
      <c r="K6" s="76" t="e">
        <f>C6+(SUM(L20:L21)-SUM(G20:G21))-N20+C6*O20*(N2/O2-1)</f>
        <v>#REF!</v>
      </c>
      <c r="L6" s="77" t="e">
        <f>C6+(SUM(M20:M21)-SUM(G20:G21))-N20+C6*O20*(N2/O2-1)</f>
        <v>#REF!</v>
      </c>
      <c r="M6" s="80" t="s">
        <v>317</v>
      </c>
      <c r="N6" s="82" t="e">
        <f>匯率報價!D18</f>
        <v>#REF!</v>
      </c>
      <c r="O6" s="82">
        <v>3.8610000000000002</v>
      </c>
      <c r="Q6" s="219" t="s">
        <v>569</v>
      </c>
      <c r="R6" s="205">
        <v>672352.63</v>
      </c>
      <c r="S6" s="230">
        <f>R6*O2</f>
        <v>20271431.794500001</v>
      </c>
      <c r="T6" s="207">
        <f t="shared" ref="T6:T12" si="0">S6/$S$13</f>
        <v>0.17292647681470316</v>
      </c>
      <c r="U6" s="206">
        <f>T6</f>
        <v>0.17292647681470316</v>
      </c>
      <c r="V6" s="206"/>
      <c r="W6" s="22" t="s">
        <v>609</v>
      </c>
    </row>
    <row r="7" spans="1:25">
      <c r="Q7" s="6" t="s">
        <v>570</v>
      </c>
      <c r="R7" s="205">
        <v>30914515</v>
      </c>
      <c r="S7" s="230">
        <f>R7</f>
        <v>30914515</v>
      </c>
      <c r="T7" s="207">
        <f t="shared" si="0"/>
        <v>0.26371783777186081</v>
      </c>
      <c r="U7" s="207"/>
      <c r="V7" s="207">
        <f>T7</f>
        <v>0.26371783777186081</v>
      </c>
      <c r="W7" s="22">
        <v>0</v>
      </c>
    </row>
    <row r="8" spans="1:25" ht="16.8" thickBot="1">
      <c r="A8" s="12" t="s">
        <v>498</v>
      </c>
      <c r="E8" s="251"/>
      <c r="F8" s="251"/>
      <c r="G8" s="251"/>
      <c r="Q8" s="6" t="s">
        <v>558</v>
      </c>
      <c r="R8" s="205">
        <v>200180.24</v>
      </c>
      <c r="S8" s="231">
        <f>R8*O2</f>
        <v>6035434.2359999996</v>
      </c>
      <c r="T8" s="207">
        <f t="shared" si="0"/>
        <v>5.1485577785457176E-2</v>
      </c>
      <c r="U8" s="207">
        <f>T8</f>
        <v>5.1485577785457176E-2</v>
      </c>
      <c r="V8" s="207"/>
      <c r="W8" s="22"/>
    </row>
    <row r="9" spans="1:25" s="22" customFormat="1">
      <c r="A9" s="57" t="s">
        <v>292</v>
      </c>
      <c r="B9" s="57" t="s">
        <v>293</v>
      </c>
      <c r="C9" s="57" t="s">
        <v>221</v>
      </c>
      <c r="D9" s="57" t="s">
        <v>294</v>
      </c>
      <c r="E9" s="57" t="s">
        <v>295</v>
      </c>
      <c r="F9" s="57" t="s">
        <v>296</v>
      </c>
      <c r="G9" s="57" t="s">
        <v>297</v>
      </c>
      <c r="H9" s="57" t="s">
        <v>222</v>
      </c>
      <c r="I9" s="57" t="s">
        <v>298</v>
      </c>
      <c r="J9" s="57" t="s">
        <v>299</v>
      </c>
      <c r="K9" s="57" t="s">
        <v>300</v>
      </c>
      <c r="L9" s="57" t="s">
        <v>301</v>
      </c>
      <c r="M9" s="57" t="s">
        <v>302</v>
      </c>
      <c r="N9" s="212" t="s">
        <v>586</v>
      </c>
      <c r="O9" s="212" t="s">
        <v>587</v>
      </c>
      <c r="Q9" s="6" t="s">
        <v>648</v>
      </c>
      <c r="R9" s="205">
        <v>0</v>
      </c>
      <c r="S9" s="231">
        <f>R9</f>
        <v>0</v>
      </c>
      <c r="T9" s="207">
        <f t="shared" si="0"/>
        <v>0</v>
      </c>
      <c r="U9" s="207"/>
      <c r="V9" s="207">
        <f>T9</f>
        <v>0</v>
      </c>
    </row>
    <row r="10" spans="1:25">
      <c r="A10" s="24" t="e">
        <f>G10/C2</f>
        <v>#DIV/0!</v>
      </c>
      <c r="B10" s="25" t="s">
        <v>503</v>
      </c>
      <c r="C10" s="25" t="s">
        <v>500</v>
      </c>
      <c r="D10" s="25">
        <v>1000</v>
      </c>
      <c r="E10" s="58">
        <f>群益海期報價!K25</f>
        <v>171.5625</v>
      </c>
      <c r="F10" s="25">
        <v>0</v>
      </c>
      <c r="G10" s="46">
        <f>F10*E10*D10*O2</f>
        <v>0</v>
      </c>
      <c r="H10" s="58">
        <f>群益海期報價!H25</f>
        <v>172.40625</v>
      </c>
      <c r="I10" s="58">
        <f>群益海期報價!L25</f>
        <v>172.34375</v>
      </c>
      <c r="J10" s="58">
        <f>群益海期報價!N25</f>
        <v>172.4375</v>
      </c>
      <c r="K10" s="78" t="e">
        <f>IF(ISNUMBER(H10)=TRUE,H10*$F$10*$D$10,E10*$F$10*$D$10)*N2</f>
        <v>#REF!</v>
      </c>
      <c r="L10" s="78" t="e">
        <f>IF(ISNUMBER(I10)=TRUE,I10*$F$10*$D$10,F10*$F$10*$D$10)*N2</f>
        <v>#REF!</v>
      </c>
      <c r="M10" s="78" t="e">
        <f>IF(ISNUMBER(J10)=TRUE,J10*$F$10*$D$10,G10*$F$10*$D$10)*N2</f>
        <v>#REF!</v>
      </c>
      <c r="N10" s="62" t="e">
        <f>1.04%/365*(C2+SUM(K10:K11)-SUM(G10:G11))</f>
        <v>#REF!</v>
      </c>
      <c r="O10" s="69">
        <f>Y5</f>
        <v>0.65093958992112655</v>
      </c>
      <c r="Q10" s="6" t="s">
        <v>649</v>
      </c>
      <c r="R10" s="205">
        <v>50000000</v>
      </c>
      <c r="S10" s="231">
        <f>R10</f>
        <v>50000000</v>
      </c>
      <c r="T10" s="207">
        <f t="shared" si="0"/>
        <v>0.42652753532096627</v>
      </c>
      <c r="U10" s="207">
        <f>T10</f>
        <v>0.42652753532096627</v>
      </c>
      <c r="V10" s="207"/>
      <c r="W10" s="23"/>
    </row>
    <row r="11" spans="1:25">
      <c r="A11" s="24" t="e">
        <f>G11/C2</f>
        <v>#DIV/0!</v>
      </c>
      <c r="B11" s="25" t="s">
        <v>503</v>
      </c>
      <c r="C11" s="25" t="s">
        <v>502</v>
      </c>
      <c r="D11" s="25">
        <v>1000</v>
      </c>
      <c r="E11" s="58">
        <f>群益海期報價!K26</f>
        <v>170.5625</v>
      </c>
      <c r="F11" s="25">
        <v>48</v>
      </c>
      <c r="G11" s="46">
        <f>F11*E11*D11*O2</f>
        <v>246838050</v>
      </c>
      <c r="H11" s="58">
        <f>群益海期報價!H26</f>
        <v>171.375</v>
      </c>
      <c r="I11" s="58">
        <f>群益海期報價!L26</f>
        <v>171.375</v>
      </c>
      <c r="J11" s="58">
        <f>群益海期報價!N26</f>
        <v>171.40625</v>
      </c>
      <c r="K11" s="78" t="e">
        <f>IF(ISNUMBER(H11)=TRUE,H11*$F$11*$D$11,E11*$F$11*$D$11)*N2</f>
        <v>#REF!</v>
      </c>
      <c r="L11" s="78" t="e">
        <f>IF(ISNUMBER(I11)=TRUE,I11*$F$11*$D$11,F11*$F$11*$D$11)*N2</f>
        <v>#REF!</v>
      </c>
      <c r="M11" s="78" t="e">
        <f>IF(ISNUMBER(J11)=TRUE,J11*$F$11*$D$11,G11*$F$11*$D$11)*N2</f>
        <v>#REF!</v>
      </c>
      <c r="Q11" s="6" t="s">
        <v>611</v>
      </c>
      <c r="R11" s="205">
        <v>0</v>
      </c>
      <c r="S11" s="231">
        <f>R11</f>
        <v>0</v>
      </c>
      <c r="T11" s="207">
        <f t="shared" si="0"/>
        <v>0</v>
      </c>
      <c r="U11" s="207"/>
      <c r="V11" s="207">
        <f>T11</f>
        <v>0</v>
      </c>
      <c r="W11" s="22"/>
    </row>
    <row r="12" spans="1:25">
      <c r="A12" s="4"/>
      <c r="Q12" s="220" t="s">
        <v>571</v>
      </c>
      <c r="R12" s="242">
        <v>0</v>
      </c>
      <c r="S12" s="242">
        <f>R12</f>
        <v>0</v>
      </c>
      <c r="T12" s="20">
        <f t="shared" si="0"/>
        <v>0</v>
      </c>
      <c r="U12" s="20"/>
      <c r="V12" s="20">
        <f>T12</f>
        <v>0</v>
      </c>
      <c r="W12" s="22"/>
    </row>
    <row r="13" spans="1:25" ht="16.8" thickBot="1">
      <c r="A13" s="12" t="s">
        <v>430</v>
      </c>
      <c r="Q13" s="6" t="s">
        <v>562</v>
      </c>
      <c r="R13" s="228"/>
      <c r="S13" s="228">
        <f>SUM(S5:S12)</f>
        <v>117225726.03049999</v>
      </c>
      <c r="T13" s="207">
        <f>SUM(T5:T12)</f>
        <v>1</v>
      </c>
      <c r="U13" s="207">
        <f>SUM(U5:U12)</f>
        <v>0.65093958992112655</v>
      </c>
      <c r="V13" s="207">
        <f>SUM(V5:V12)</f>
        <v>0.34906041007887345</v>
      </c>
      <c r="W13" s="22"/>
      <c r="Y13" s="23">
        <f>U13+V13</f>
        <v>1</v>
      </c>
    </row>
    <row r="14" spans="1:25" s="22" customFormat="1">
      <c r="A14" s="57" t="s">
        <v>292</v>
      </c>
      <c r="B14" s="57" t="s">
        <v>293</v>
      </c>
      <c r="C14" s="57" t="s">
        <v>221</v>
      </c>
      <c r="D14" s="57" t="s">
        <v>294</v>
      </c>
      <c r="E14" s="57" t="s">
        <v>295</v>
      </c>
      <c r="F14" s="57" t="s">
        <v>296</v>
      </c>
      <c r="G14" s="57" t="s">
        <v>297</v>
      </c>
      <c r="H14" s="57" t="s">
        <v>222</v>
      </c>
      <c r="I14" s="57" t="s">
        <v>298</v>
      </c>
      <c r="J14" s="57" t="s">
        <v>299</v>
      </c>
      <c r="K14" s="57" t="s">
        <v>300</v>
      </c>
      <c r="L14" s="57" t="s">
        <v>301</v>
      </c>
      <c r="M14" s="57" t="s">
        <v>302</v>
      </c>
      <c r="N14" s="212" t="s">
        <v>586</v>
      </c>
      <c r="O14" s="212" t="s">
        <v>587</v>
      </c>
      <c r="W14" s="234"/>
    </row>
    <row r="15" spans="1:25">
      <c r="A15" s="24" t="e">
        <f>G15/C4</f>
        <v>#DIV/0!</v>
      </c>
      <c r="B15" s="25" t="s">
        <v>503</v>
      </c>
      <c r="C15" s="25" t="s">
        <v>500</v>
      </c>
      <c r="D15" s="25">
        <v>1000</v>
      </c>
      <c r="E15" s="58">
        <f>群益海期報價!K25</f>
        <v>171.5625</v>
      </c>
      <c r="F15" s="88">
        <v>0</v>
      </c>
      <c r="G15" s="78">
        <f>F15*E15*D15*O2</f>
        <v>0</v>
      </c>
      <c r="H15" s="58">
        <f>群益海期報價!H25</f>
        <v>172.40625</v>
      </c>
      <c r="I15" s="58">
        <f>群益海期報價!L25</f>
        <v>172.34375</v>
      </c>
      <c r="J15" s="58">
        <f>群益海期報價!N25</f>
        <v>172.4375</v>
      </c>
      <c r="K15" s="78" t="e">
        <f>IF(ISNUMBER(H15)=TRUE,H15*$F$15*$D$15,E15*$F$15*$D$15)*N2</f>
        <v>#REF!</v>
      </c>
      <c r="L15" s="78" t="e">
        <f>IF(ISNUMBER(I15)=TRUE,I15*$F$15*$D$15,F15*$F$15*$D$15)*N2</f>
        <v>#REF!</v>
      </c>
      <c r="M15" s="78" t="e">
        <f>IF(ISNUMBER(J15)=TRUE,J15*$F$15*$D$15,G15*$F$15*$D$15)*N2</f>
        <v>#REF!</v>
      </c>
      <c r="N15" s="62" t="e">
        <f>1.04%/365*(C4+SUM(K15:K15)-SUM(G15:G15))</f>
        <v>#REF!</v>
      </c>
      <c r="O15" s="69">
        <f>Y19</f>
        <v>0.20331687470772375</v>
      </c>
      <c r="W15" s="4">
        <f>U13+V13</f>
        <v>1</v>
      </c>
    </row>
    <row r="16" spans="1:25">
      <c r="A16" s="24" t="e">
        <f>G16/C5</f>
        <v>#VALUE!</v>
      </c>
      <c r="B16" s="25" t="s">
        <v>503</v>
      </c>
      <c r="C16" s="25" t="s">
        <v>501</v>
      </c>
      <c r="D16" s="25">
        <v>1000</v>
      </c>
      <c r="E16" s="58">
        <f>群益海期報價!K26</f>
        <v>170.5625</v>
      </c>
      <c r="F16" s="88">
        <v>-35</v>
      </c>
      <c r="G16" s="78">
        <f>F16*E16*D16*O3</f>
        <v>-664963490.625</v>
      </c>
      <c r="H16" s="58">
        <f>群益海期報價!H26</f>
        <v>171.375</v>
      </c>
      <c r="I16" s="58">
        <f>群益海期報價!L26</f>
        <v>171.375</v>
      </c>
      <c r="J16" s="58">
        <f>群益海期報價!N26</f>
        <v>171.40625</v>
      </c>
      <c r="K16" s="78" t="e">
        <f>IF(ISNUMBER(H16)=TRUE,H16*$F$16*$D$16,E16*$F$16*$D$16)*N3</f>
        <v>#REF!</v>
      </c>
      <c r="L16" s="78" t="e">
        <f>IF(ISNUMBER(I16)=TRUE,I16*$F$16*$D$16,F16*$F$16*$D$16)*N3</f>
        <v>#REF!</v>
      </c>
      <c r="M16" s="78" t="e">
        <f>IF(ISNUMBER(J16)=TRUE,J16*$F$16*$D$16,G16*$F$16*$D$16)*N3</f>
        <v>#REF!</v>
      </c>
      <c r="Q16" s="204" t="s">
        <v>661</v>
      </c>
      <c r="R16" s="49">
        <v>170788469</v>
      </c>
      <c r="V16" s="22"/>
    </row>
    <row r="17" spans="1:25">
      <c r="A17" s="4"/>
      <c r="F17" s="5"/>
      <c r="Q17" s="25" t="s">
        <v>552</v>
      </c>
      <c r="R17" s="25" t="s">
        <v>617</v>
      </c>
      <c r="S17" s="25" t="s">
        <v>615</v>
      </c>
      <c r="T17" s="25" t="s">
        <v>565</v>
      </c>
      <c r="U17" s="25" t="s">
        <v>566</v>
      </c>
      <c r="V17" s="25" t="s">
        <v>567</v>
      </c>
    </row>
    <row r="18" spans="1:25" ht="16.8" thickBot="1">
      <c r="A18" s="87" t="s">
        <v>428</v>
      </c>
      <c r="Q18" s="216" t="s">
        <v>548</v>
      </c>
      <c r="R18" s="217">
        <v>0</v>
      </c>
      <c r="S18" s="232"/>
      <c r="T18" s="218"/>
      <c r="U18" s="218"/>
      <c r="V18" s="218"/>
      <c r="W18" s="22"/>
      <c r="X18" s="22"/>
      <c r="Y18" s="22" t="s">
        <v>650</v>
      </c>
    </row>
    <row r="19" spans="1:25" s="22" customFormat="1">
      <c r="A19" s="57" t="s">
        <v>292</v>
      </c>
      <c r="B19" s="57" t="s">
        <v>293</v>
      </c>
      <c r="C19" s="57" t="s">
        <v>221</v>
      </c>
      <c r="D19" s="57" t="s">
        <v>294</v>
      </c>
      <c r="E19" s="57" t="s">
        <v>295</v>
      </c>
      <c r="F19" s="57" t="s">
        <v>296</v>
      </c>
      <c r="G19" s="57" t="s">
        <v>297</v>
      </c>
      <c r="H19" s="57" t="s">
        <v>222</v>
      </c>
      <c r="I19" s="57" t="s">
        <v>298</v>
      </c>
      <c r="J19" s="57" t="s">
        <v>299</v>
      </c>
      <c r="K19" s="57" t="s">
        <v>300</v>
      </c>
      <c r="L19" s="57" t="s">
        <v>301</v>
      </c>
      <c r="M19" s="57" t="s">
        <v>302</v>
      </c>
      <c r="N19" s="212" t="s">
        <v>586</v>
      </c>
      <c r="O19" s="212" t="s">
        <v>587</v>
      </c>
      <c r="Q19" s="219" t="s">
        <v>549</v>
      </c>
      <c r="R19" s="205">
        <v>35005741</v>
      </c>
      <c r="S19" s="230">
        <f>R19</f>
        <v>35005741</v>
      </c>
      <c r="T19" s="206">
        <f>S19/$S$28</f>
        <v>0.20458752389593021</v>
      </c>
      <c r="U19" s="206"/>
      <c r="V19" s="206">
        <f>T19</f>
        <v>0.20458752389593021</v>
      </c>
      <c r="W19" s="234"/>
      <c r="X19" s="234"/>
      <c r="Y19" s="23">
        <f>U20+U22+U24+U26</f>
        <v>0.20331687470772375</v>
      </c>
    </row>
    <row r="20" spans="1:25">
      <c r="A20" s="24" t="e">
        <f>G20/C6</f>
        <v>#DIV/0!</v>
      </c>
      <c r="B20" s="25" t="s">
        <v>503</v>
      </c>
      <c r="C20" s="25" t="s">
        <v>500</v>
      </c>
      <c r="D20" s="25">
        <v>1000</v>
      </c>
      <c r="E20" s="58">
        <f>群益海期報價!K25</f>
        <v>171.5625</v>
      </c>
      <c r="F20" s="88">
        <v>1</v>
      </c>
      <c r="G20" s="78">
        <f>F20*E20*D20*O2</f>
        <v>5172609.375</v>
      </c>
      <c r="H20" s="58">
        <f>群益海期報價!H25</f>
        <v>172.40625</v>
      </c>
      <c r="I20" s="58">
        <f>群益海期報價!L25</f>
        <v>172.34375</v>
      </c>
      <c r="J20" s="58">
        <f>群益海期報價!N25</f>
        <v>172.4375</v>
      </c>
      <c r="K20" s="78" t="e">
        <f>IF(ISNUMBER(H20)=TRUE,H20*$F$20*$D$20,E20*$F$20*$D$20)*N2</f>
        <v>#REF!</v>
      </c>
      <c r="L20" s="78" t="e">
        <f>IF(ISNUMBER(I20)=TRUE,I20*$F$20*$D$20,F20*$F$20*$D$20)*N2</f>
        <v>#REF!</v>
      </c>
      <c r="M20" s="78" t="e">
        <f>IF(ISNUMBER(J20)=TRUE,J20*$F$20*$D$20,G20*$F$20*$D$20)*N2</f>
        <v>#REF!</v>
      </c>
      <c r="N20" s="62" t="e">
        <f>1.04%/365*(C4+SUM(K20:K20)-SUM(G20:G20))</f>
        <v>#REF!</v>
      </c>
      <c r="O20" s="69">
        <f>Y34</f>
        <v>0.98821008032341229</v>
      </c>
      <c r="Q20" s="219" t="s">
        <v>569</v>
      </c>
      <c r="R20" s="205">
        <v>1140873.6399999999</v>
      </c>
      <c r="S20" s="230">
        <f>R20*O2</f>
        <v>34397340.245999992</v>
      </c>
      <c r="T20" s="206">
        <f t="shared" ref="T20:T27" si="1">S20/$S$28</f>
        <v>0.20103178702987506</v>
      </c>
      <c r="U20" s="206">
        <f>T20</f>
        <v>0.20103178702987506</v>
      </c>
      <c r="V20" s="206"/>
      <c r="W20" s="22"/>
    </row>
    <row r="21" spans="1:25">
      <c r="A21" s="24" t="e">
        <f>G21/C7</f>
        <v>#DIV/0!</v>
      </c>
      <c r="B21" s="25" t="s">
        <v>503</v>
      </c>
      <c r="C21" s="25" t="s">
        <v>501</v>
      </c>
      <c r="D21" s="25">
        <v>1000</v>
      </c>
      <c r="E21" s="58">
        <f>群益海期報價!K26</f>
        <v>170.5625</v>
      </c>
      <c r="F21" s="88">
        <v>1</v>
      </c>
      <c r="G21" s="78">
        <f>F21*E21*D21*O3</f>
        <v>18998956.875</v>
      </c>
      <c r="H21" s="58">
        <f>群益海期報價!H26</f>
        <v>171.375</v>
      </c>
      <c r="I21" s="58">
        <f>群益海期報價!L26</f>
        <v>171.375</v>
      </c>
      <c r="J21" s="58">
        <f>群益海期報價!N26</f>
        <v>171.40625</v>
      </c>
      <c r="K21" s="78" t="e">
        <f>IF(ISNUMBER(H21)=TRUE,H21*$F$21*$D$21,E21*$F$21*$D$21)*N3</f>
        <v>#REF!</v>
      </c>
      <c r="L21" s="78" t="e">
        <f>IF(ISNUMBER(I21)=TRUE,I21*$F$21*$D$21,F21*$F$21*$D$21)*N3</f>
        <v>#REF!</v>
      </c>
      <c r="M21" s="78" t="e">
        <f>IF(ISNUMBER(J21)=TRUE,J21*$F$21*$D$21,G21*$F$21*$D$21)*N3</f>
        <v>#REF!</v>
      </c>
      <c r="Q21" s="6" t="s">
        <v>570</v>
      </c>
      <c r="R21" s="205">
        <v>21309918</v>
      </c>
      <c r="S21" s="230">
        <f>R21</f>
        <v>21309918</v>
      </c>
      <c r="T21" s="206">
        <f t="shared" si="1"/>
        <v>0.12454366722433653</v>
      </c>
      <c r="U21" s="207"/>
      <c r="V21" s="207">
        <f>T21</f>
        <v>0.12454366722433653</v>
      </c>
      <c r="W21" s="22" t="s">
        <v>568</v>
      </c>
    </row>
    <row r="22" spans="1:25">
      <c r="Q22" s="6" t="s">
        <v>558</v>
      </c>
      <c r="R22" s="205">
        <v>12968.08</v>
      </c>
      <c r="S22" s="231">
        <f>R22*O2</f>
        <v>390987.61199999996</v>
      </c>
      <c r="T22" s="206">
        <f t="shared" si="1"/>
        <v>2.2850876778486903E-3</v>
      </c>
      <c r="U22" s="207">
        <f>T22</f>
        <v>2.2850876778486903E-3</v>
      </c>
      <c r="V22" s="207"/>
      <c r="W22" s="23">
        <f>T20+T22+T24+T26</f>
        <v>0.20331687470772375</v>
      </c>
    </row>
    <row r="23" spans="1:25">
      <c r="Q23" s="6" t="s">
        <v>613</v>
      </c>
      <c r="R23" s="205">
        <v>80000000</v>
      </c>
      <c r="S23" s="231">
        <f>R23</f>
        <v>80000000</v>
      </c>
      <c r="T23" s="206">
        <f t="shared" si="1"/>
        <v>0.46755193417200958</v>
      </c>
      <c r="U23" s="207"/>
      <c r="V23" s="207">
        <f>T23</f>
        <v>0.46755193417200958</v>
      </c>
      <c r="W23" s="22" t="s">
        <v>609</v>
      </c>
    </row>
    <row r="24" spans="1:25">
      <c r="Q24" s="6" t="s">
        <v>614</v>
      </c>
      <c r="R24" s="205">
        <v>0</v>
      </c>
      <c r="S24" s="231">
        <f>R24*O2</f>
        <v>0</v>
      </c>
      <c r="T24" s="206">
        <f t="shared" si="1"/>
        <v>0</v>
      </c>
      <c r="U24" s="207">
        <f>T24</f>
        <v>0</v>
      </c>
      <c r="V24" s="207"/>
      <c r="W24" s="22">
        <v>0</v>
      </c>
    </row>
    <row r="25" spans="1:25">
      <c r="Q25" s="6" t="s">
        <v>611</v>
      </c>
      <c r="R25" s="205">
        <v>0</v>
      </c>
      <c r="S25" s="231">
        <f>R25</f>
        <v>0</v>
      </c>
      <c r="T25" s="206">
        <f t="shared" si="1"/>
        <v>0</v>
      </c>
      <c r="U25" s="207"/>
      <c r="V25" s="207">
        <f>T25</f>
        <v>0</v>
      </c>
      <c r="W25" s="22"/>
    </row>
    <row r="26" spans="1:25">
      <c r="Q26" s="6" t="s">
        <v>612</v>
      </c>
      <c r="R26" s="205">
        <v>0</v>
      </c>
      <c r="S26" s="205">
        <f>R26*O2</f>
        <v>0</v>
      </c>
      <c r="T26" s="206">
        <f t="shared" si="1"/>
        <v>0</v>
      </c>
      <c r="U26" s="207">
        <f>T26</f>
        <v>0</v>
      </c>
      <c r="V26" s="207"/>
      <c r="W26" s="22"/>
    </row>
    <row r="27" spans="1:25">
      <c r="Q27" s="220" t="s">
        <v>571</v>
      </c>
      <c r="R27" s="205">
        <v>0</v>
      </c>
      <c r="S27" s="205">
        <f>R27</f>
        <v>0</v>
      </c>
      <c r="T27" s="206">
        <f t="shared" si="1"/>
        <v>0</v>
      </c>
      <c r="U27" s="207"/>
      <c r="V27" s="207">
        <f>T27</f>
        <v>0</v>
      </c>
      <c r="W27" s="23"/>
    </row>
    <row r="28" spans="1:25">
      <c r="Q28" s="6" t="s">
        <v>562</v>
      </c>
      <c r="R28" s="228"/>
      <c r="S28" s="228">
        <f>SUM(S19:S27)</f>
        <v>171103986.85799998</v>
      </c>
      <c r="T28" s="227">
        <f>SUM(T19:T27)</f>
        <v>1</v>
      </c>
      <c r="U28" s="207">
        <f>SUM(U19:U27)</f>
        <v>0.20331687470772375</v>
      </c>
      <c r="V28" s="207">
        <f>SUM(V19:V27)</f>
        <v>0.79668312529227636</v>
      </c>
      <c r="W28" s="22"/>
      <c r="Y28" s="23">
        <f>U28+V28</f>
        <v>1</v>
      </c>
    </row>
    <row r="29" spans="1:25">
      <c r="W29" s="22"/>
    </row>
    <row r="30" spans="1:25">
      <c r="W30" s="22"/>
    </row>
    <row r="31" spans="1:25">
      <c r="Q31" s="204" t="s">
        <v>662</v>
      </c>
      <c r="R31" s="49">
        <v>25120226285</v>
      </c>
      <c r="V31" s="22"/>
    </row>
    <row r="32" spans="1:25">
      <c r="Q32" s="25" t="s">
        <v>572</v>
      </c>
      <c r="R32" s="25" t="s">
        <v>616</v>
      </c>
      <c r="S32" s="25" t="s">
        <v>564</v>
      </c>
      <c r="T32" s="25" t="s">
        <v>565</v>
      </c>
      <c r="U32" s="25" t="s">
        <v>651</v>
      </c>
      <c r="V32" s="25" t="s">
        <v>546</v>
      </c>
      <c r="W32" s="4">
        <f>U28+V28</f>
        <v>1</v>
      </c>
    </row>
    <row r="33" spans="17:25">
      <c r="Q33" s="216" t="s">
        <v>547</v>
      </c>
      <c r="R33" s="217">
        <v>0</v>
      </c>
      <c r="S33" s="232"/>
      <c r="T33" s="218"/>
      <c r="U33" s="218"/>
      <c r="V33" s="218"/>
      <c r="Y33" s="22" t="s">
        <v>650</v>
      </c>
    </row>
    <row r="34" spans="17:25">
      <c r="Q34" s="219" t="s">
        <v>580</v>
      </c>
      <c r="R34" s="205">
        <v>0</v>
      </c>
      <c r="S34" s="230">
        <f>R34</f>
        <v>0</v>
      </c>
      <c r="T34" s="206">
        <f t="shared" ref="T34:T43" si="2">S34/$S$44</f>
        <v>0</v>
      </c>
      <c r="U34" s="206"/>
      <c r="V34" s="206">
        <f>T34</f>
        <v>0</v>
      </c>
      <c r="Y34" s="23">
        <f>U35+U37+U39+U41+U42</f>
        <v>0.98821008032341229</v>
      </c>
    </row>
    <row r="35" spans="17:25">
      <c r="Q35" s="219" t="s">
        <v>569</v>
      </c>
      <c r="R35" s="205">
        <v>5.14</v>
      </c>
      <c r="S35" s="230">
        <f>R35*O2</f>
        <v>154.97099999999998</v>
      </c>
      <c r="T35" s="206">
        <f t="shared" si="2"/>
        <v>6.0577487959287177E-9</v>
      </c>
      <c r="U35" s="206">
        <f>T35</f>
        <v>6.0577487959287177E-9</v>
      </c>
      <c r="V35" s="206"/>
    </row>
    <row r="36" spans="17:25">
      <c r="Q36" s="6" t="s">
        <v>550</v>
      </c>
      <c r="R36" s="205">
        <v>301612976</v>
      </c>
      <c r="S36" s="230">
        <f>R36</f>
        <v>301612976</v>
      </c>
      <c r="T36" s="206">
        <f t="shared" si="2"/>
        <v>1.1789919676587733E-2</v>
      </c>
      <c r="U36" s="207"/>
      <c r="V36" s="207">
        <f>T36</f>
        <v>1.1789919676587733E-2</v>
      </c>
    </row>
    <row r="37" spans="17:25">
      <c r="Q37" s="6" t="s">
        <v>579</v>
      </c>
      <c r="R37" s="205">
        <v>0</v>
      </c>
      <c r="S37" s="231">
        <f>R37*O2</f>
        <v>0</v>
      </c>
      <c r="T37" s="206">
        <f t="shared" si="2"/>
        <v>0</v>
      </c>
      <c r="U37" s="207">
        <f>T37</f>
        <v>0</v>
      </c>
      <c r="V37" s="207"/>
    </row>
    <row r="38" spans="17:25">
      <c r="Q38" s="6" t="s">
        <v>613</v>
      </c>
      <c r="R38" s="205">
        <v>0</v>
      </c>
      <c r="S38" s="231">
        <f>R38</f>
        <v>0</v>
      </c>
      <c r="T38" s="206">
        <f t="shared" si="2"/>
        <v>0</v>
      </c>
      <c r="U38" s="207"/>
      <c r="V38" s="207">
        <f>T38</f>
        <v>0</v>
      </c>
    </row>
    <row r="39" spans="17:25">
      <c r="Q39" s="6" t="s">
        <v>614</v>
      </c>
      <c r="R39" s="205">
        <v>0</v>
      </c>
      <c r="S39" s="231">
        <f>R39*O2</f>
        <v>0</v>
      </c>
      <c r="T39" s="206">
        <f t="shared" si="2"/>
        <v>0</v>
      </c>
      <c r="U39" s="207">
        <f>T39</f>
        <v>0</v>
      </c>
      <c r="V39" s="207"/>
    </row>
    <row r="40" spans="17:25">
      <c r="Q40" s="6" t="s">
        <v>611</v>
      </c>
      <c r="R40" s="205">
        <v>0</v>
      </c>
      <c r="S40" s="231">
        <f>R40</f>
        <v>0</v>
      </c>
      <c r="T40" s="206">
        <f t="shared" si="2"/>
        <v>0</v>
      </c>
      <c r="U40" s="207"/>
      <c r="V40" s="207">
        <f>T40</f>
        <v>0</v>
      </c>
    </row>
    <row r="41" spans="17:25">
      <c r="Q41" s="6" t="s">
        <v>612</v>
      </c>
      <c r="R41" s="205">
        <v>5325219.95</v>
      </c>
      <c r="S41" s="205">
        <f>R41*O2</f>
        <v>160555381.49250001</v>
      </c>
      <c r="T41" s="206">
        <f t="shared" si="2"/>
        <v>6.2760398327175275E-3</v>
      </c>
      <c r="U41" s="207">
        <f>T41</f>
        <v>6.2760398327175275E-3</v>
      </c>
      <c r="V41" s="207"/>
    </row>
    <row r="42" spans="17:25">
      <c r="Q42" s="6" t="s">
        <v>663</v>
      </c>
      <c r="R42" s="205">
        <f>S42/O2</f>
        <v>833171051.9883914</v>
      </c>
      <c r="S42" s="205">
        <v>25120107217.450001</v>
      </c>
      <c r="T42" s="206">
        <f t="shared" si="2"/>
        <v>0.98193403443294591</v>
      </c>
      <c r="U42" s="207">
        <f>T42</f>
        <v>0.98193403443294591</v>
      </c>
      <c r="V42" s="207"/>
    </row>
    <row r="43" spans="17:25">
      <c r="Q43" s="220" t="s">
        <v>561</v>
      </c>
      <c r="R43" s="205">
        <v>0</v>
      </c>
      <c r="S43" s="205">
        <f>R43</f>
        <v>0</v>
      </c>
      <c r="T43" s="206">
        <f t="shared" si="2"/>
        <v>0</v>
      </c>
      <c r="U43" s="207"/>
      <c r="V43" s="207">
        <f>T43</f>
        <v>0</v>
      </c>
      <c r="Y43" s="23">
        <f>U44+V44</f>
        <v>1</v>
      </c>
    </row>
    <row r="44" spans="17:25">
      <c r="Q44" s="6" t="s">
        <v>551</v>
      </c>
      <c r="R44" s="228"/>
      <c r="S44" s="228">
        <f>SUM(S34:S43)</f>
        <v>25582275729.913502</v>
      </c>
      <c r="T44" s="206">
        <f>SUM(T34:T43)</f>
        <v>1</v>
      </c>
      <c r="U44" s="207">
        <f>SUM(U34:U43)</f>
        <v>0.98821008032341229</v>
      </c>
      <c r="V44" s="207">
        <f>SUM(V34:V43)</f>
        <v>1.1789919676587733E-2</v>
      </c>
    </row>
  </sheetData>
  <mergeCells count="3">
    <mergeCell ref="F1:F2"/>
    <mergeCell ref="F3:F4"/>
    <mergeCell ref="F5:F6"/>
  </mergeCells>
  <phoneticPr fontId="8" type="noConversion"/>
  <pageMargins left="0.75" right="0.75" top="1" bottom="1" header="0.5" footer="0.5"/>
  <pageSetup paperSize="9" scale="23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Y44"/>
  <sheetViews>
    <sheetView view="pageBreakPreview" workbookViewId="0">
      <selection activeCell="D16" sqref="D16"/>
    </sheetView>
  </sheetViews>
  <sheetFormatPr defaultColWidth="9" defaultRowHeight="16.2"/>
  <cols>
    <col min="1" max="1" width="10.6640625" style="174" bestFit="1" customWidth="1"/>
    <col min="2" max="2" width="13.44140625" style="174" customWidth="1"/>
    <col min="3" max="3" width="15.6640625" style="174" customWidth="1"/>
    <col min="4" max="4" width="13.6640625" style="174" customWidth="1"/>
    <col min="5" max="5" width="13.21875" style="174" customWidth="1"/>
    <col min="6" max="6" width="19.109375" style="174" customWidth="1"/>
    <col min="7" max="7" width="18.77734375" style="174" customWidth="1"/>
    <col min="8" max="8" width="16" style="174" customWidth="1"/>
    <col min="9" max="9" width="15.44140625" style="174" customWidth="1"/>
    <col min="10" max="10" width="21.33203125" style="174" customWidth="1"/>
    <col min="11" max="11" width="18.88671875" style="174" customWidth="1"/>
    <col min="12" max="12" width="20.77734375" style="174" customWidth="1"/>
    <col min="13" max="13" width="18.6640625" style="174" customWidth="1"/>
    <col min="14" max="14" width="11.88671875" style="174" customWidth="1"/>
    <col min="15" max="15" width="16.33203125" style="174" customWidth="1"/>
    <col min="16" max="16" width="5.77734375" style="174" customWidth="1"/>
    <col min="17" max="17" width="20.33203125" style="234" customWidth="1"/>
    <col min="18" max="18" width="20.77734375" style="234" customWidth="1"/>
    <col min="19" max="19" width="16.88671875" style="234" customWidth="1"/>
    <col min="20" max="20" width="13.21875" style="234" customWidth="1"/>
    <col min="21" max="21" width="11.33203125" style="234" customWidth="1"/>
    <col min="22" max="22" width="10.88671875" style="234" customWidth="1"/>
    <col min="23" max="24" width="9" style="234" hidden="1" customWidth="1"/>
    <col min="25" max="25" width="10.21875" style="22" customWidth="1"/>
    <col min="26" max="16384" width="9" style="174"/>
  </cols>
  <sheetData>
    <row r="1" spans="1:25">
      <c r="A1" s="16" t="s">
        <v>137</v>
      </c>
      <c r="B1" s="17" t="s">
        <v>322</v>
      </c>
      <c r="C1" s="17" t="s">
        <v>138</v>
      </c>
      <c r="D1" s="17" t="s">
        <v>139</v>
      </c>
      <c r="E1" s="18" t="s">
        <v>140</v>
      </c>
      <c r="F1" s="577" t="s">
        <v>21</v>
      </c>
      <c r="G1" s="38" t="s">
        <v>157</v>
      </c>
      <c r="H1" s="9" t="s">
        <v>52</v>
      </c>
      <c r="I1" s="10" t="s">
        <v>53</v>
      </c>
      <c r="J1" s="38" t="s">
        <v>324</v>
      </c>
      <c r="K1" s="17" t="s">
        <v>324</v>
      </c>
      <c r="L1" s="18" t="s">
        <v>324</v>
      </c>
      <c r="M1" s="80" t="s">
        <v>49</v>
      </c>
      <c r="N1" s="73" t="s">
        <v>151</v>
      </c>
      <c r="O1" s="81" t="s">
        <v>511</v>
      </c>
    </row>
    <row r="2" spans="1:25" ht="16.8" thickBot="1">
      <c r="A2" s="12" t="s">
        <v>498</v>
      </c>
      <c r="B2" s="79">
        <f>C2/100000000</f>
        <v>0</v>
      </c>
      <c r="C2" s="60">
        <f>'ETF Update'!D99*1000</f>
        <v>0</v>
      </c>
      <c r="D2" s="60">
        <f>'ETF Update'!E99</f>
        <v>0</v>
      </c>
      <c r="E2" s="11">
        <f>'ETF Update'!C99</f>
        <v>0</v>
      </c>
      <c r="F2" s="578"/>
      <c r="G2" s="39" t="e">
        <f>J2/(D2*1000)</f>
        <v>#REF!</v>
      </c>
      <c r="H2" s="40" t="e">
        <f>K2/(D2*1000)</f>
        <v>#REF!</v>
      </c>
      <c r="I2" s="41" t="e">
        <f>L2/(D2*1000)</f>
        <v>#REF!</v>
      </c>
      <c r="J2" s="75" t="e">
        <f>C2+(SUM(K10:K11)-SUM(G10:G11))-N10+C2*O10*(N2/O2-1)</f>
        <v>#REF!</v>
      </c>
      <c r="K2" s="76" t="e">
        <f>C2+(SUM(L10:L11)-SUM(G10:G11))-N10+C2*O10*(N2/O2-1)</f>
        <v>#REF!</v>
      </c>
      <c r="L2" s="77" t="e">
        <f>C2+(SUM(M10:M11)-SUM(G10:G11))-N10+C2*O10*(N2/O2-1)</f>
        <v>#REF!</v>
      </c>
      <c r="M2" s="80" t="s">
        <v>309</v>
      </c>
      <c r="N2" s="82" t="e">
        <f>匯率報價!D16</f>
        <v>#REF!</v>
      </c>
      <c r="O2" s="82">
        <v>30.15</v>
      </c>
      <c r="Q2" s="204" t="s">
        <v>660</v>
      </c>
      <c r="R2" s="49">
        <v>101032007</v>
      </c>
      <c r="V2" s="22"/>
    </row>
    <row r="3" spans="1:25">
      <c r="A3" s="16" t="s">
        <v>137</v>
      </c>
      <c r="B3" s="57" t="s">
        <v>322</v>
      </c>
      <c r="C3" s="17" t="s">
        <v>138</v>
      </c>
      <c r="D3" s="17" t="s">
        <v>139</v>
      </c>
      <c r="E3" s="18" t="s">
        <v>140</v>
      </c>
      <c r="F3" s="577" t="s">
        <v>21</v>
      </c>
      <c r="G3" s="38" t="s">
        <v>157</v>
      </c>
      <c r="H3" s="9" t="s">
        <v>52</v>
      </c>
      <c r="I3" s="10" t="s">
        <v>53</v>
      </c>
      <c r="J3" s="38" t="s">
        <v>324</v>
      </c>
      <c r="K3" s="17" t="s">
        <v>324</v>
      </c>
      <c r="L3" s="18" t="s">
        <v>324</v>
      </c>
      <c r="M3" s="80" t="s">
        <v>646</v>
      </c>
      <c r="N3" s="82" t="e">
        <f>匯率報價!D2</f>
        <v>#REF!</v>
      </c>
      <c r="O3" s="82">
        <v>111.39</v>
      </c>
      <c r="Q3" s="25" t="s">
        <v>552</v>
      </c>
      <c r="R3" s="25" t="s">
        <v>617</v>
      </c>
      <c r="S3" s="25" t="s">
        <v>615</v>
      </c>
      <c r="T3" s="25" t="s">
        <v>565</v>
      </c>
      <c r="U3" s="25" t="s">
        <v>566</v>
      </c>
      <c r="V3" s="25" t="s">
        <v>567</v>
      </c>
      <c r="W3" s="22"/>
    </row>
    <row r="4" spans="1:25" ht="16.8" thickBot="1">
      <c r="A4" s="12" t="s">
        <v>430</v>
      </c>
      <c r="B4" s="79">
        <f>C4/100000000</f>
        <v>0</v>
      </c>
      <c r="C4" s="60">
        <f>'ETF Update'!D100*1000</f>
        <v>0</v>
      </c>
      <c r="D4" s="60">
        <f>'ETF Update'!E100</f>
        <v>0</v>
      </c>
      <c r="E4" s="11">
        <f>'ETF Update'!C100</f>
        <v>0</v>
      </c>
      <c r="F4" s="578"/>
      <c r="G4" s="39" t="e">
        <f>J4/D4/1000</f>
        <v>#REF!</v>
      </c>
      <c r="H4" s="40" t="e">
        <f>K4/D4/1000</f>
        <v>#REF!</v>
      </c>
      <c r="I4" s="41" t="e">
        <f>L4/D4/1000</f>
        <v>#REF!</v>
      </c>
      <c r="J4" s="75" t="e">
        <f>C4+(SUM(K15:K16)-SUM(G15:G16))-N15+C4*O15*(N2/O2-1)</f>
        <v>#REF!</v>
      </c>
      <c r="K4" s="76" t="e">
        <f>C4+(SUM(L15:L16)-SUM(G15:G16))-N15+C4*O15*(N2/O2-1)</f>
        <v>#REF!</v>
      </c>
      <c r="L4" s="77" t="e">
        <f>C4+(SUM(M15:M16)-SUM(G15:G16))-N15+C4*O15*(N2/O2-1)</f>
        <v>#REF!</v>
      </c>
      <c r="M4" s="80" t="s">
        <v>647</v>
      </c>
      <c r="N4" s="82" t="e">
        <f>匯率報價!D7</f>
        <v>#REF!</v>
      </c>
      <c r="O4" s="82">
        <v>1.2</v>
      </c>
      <c r="Q4" s="216" t="s">
        <v>548</v>
      </c>
      <c r="R4" s="217">
        <v>0</v>
      </c>
      <c r="S4" s="232"/>
      <c r="T4" s="241">
        <f>S4/$S$13</f>
        <v>0</v>
      </c>
      <c r="U4" s="218"/>
      <c r="V4" s="218"/>
      <c r="W4" s="22" t="s">
        <v>568</v>
      </c>
      <c r="Y4" s="22" t="s">
        <v>650</v>
      </c>
    </row>
    <row r="5" spans="1:25">
      <c r="A5" s="16" t="s">
        <v>137</v>
      </c>
      <c r="B5" s="57" t="s">
        <v>322</v>
      </c>
      <c r="C5" s="17" t="s">
        <v>138</v>
      </c>
      <c r="D5" s="17" t="s">
        <v>139</v>
      </c>
      <c r="E5" s="18" t="s">
        <v>140</v>
      </c>
      <c r="F5" s="577" t="s">
        <v>21</v>
      </c>
      <c r="G5" s="38" t="s">
        <v>157</v>
      </c>
      <c r="H5" s="9" t="s">
        <v>52</v>
      </c>
      <c r="I5" s="10" t="s">
        <v>53</v>
      </c>
      <c r="J5" s="38" t="s">
        <v>324</v>
      </c>
      <c r="K5" s="17" t="s">
        <v>324</v>
      </c>
      <c r="L5" s="18" t="s">
        <v>324</v>
      </c>
      <c r="M5" s="80" t="s">
        <v>311</v>
      </c>
      <c r="N5" s="82" t="e">
        <f>匯率報價!D17</f>
        <v>#REF!</v>
      </c>
      <c r="O5" s="82">
        <v>4.5869999999999997</v>
      </c>
      <c r="Q5" s="219" t="s">
        <v>549</v>
      </c>
      <c r="R5" s="205">
        <v>30000041</v>
      </c>
      <c r="S5" s="230">
        <f>R5</f>
        <v>30000041</v>
      </c>
      <c r="T5" s="207">
        <f>S5/$S$13</f>
        <v>0.29623693114156613</v>
      </c>
      <c r="U5" s="206"/>
      <c r="V5" s="206">
        <f>T5</f>
        <v>0.29623693114156613</v>
      </c>
      <c r="W5" s="23" t="e">
        <f>T6+T8+T10+#REF!</f>
        <v>#REF!</v>
      </c>
      <c r="Y5" s="23">
        <f>U6+U8+U10</f>
        <v>0.40948388592267826</v>
      </c>
    </row>
    <row r="6" spans="1:25" ht="16.8" thickBot="1">
      <c r="A6" s="87" t="s">
        <v>428</v>
      </c>
      <c r="B6" s="79">
        <f>C6/100000000</f>
        <v>0</v>
      </c>
      <c r="C6" s="60">
        <f>'ETF Update'!D98*1000</f>
        <v>0</v>
      </c>
      <c r="D6" s="60">
        <f>'ETF Update'!E98</f>
        <v>0</v>
      </c>
      <c r="E6" s="11">
        <f>'ETF Update'!C98</f>
        <v>41.799300000000002</v>
      </c>
      <c r="F6" s="578"/>
      <c r="G6" s="39" t="e">
        <f>J6/D6/1000</f>
        <v>#REF!</v>
      </c>
      <c r="H6" s="40" t="e">
        <f>L6/D6/1000</f>
        <v>#REF!</v>
      </c>
      <c r="I6" s="41" t="e">
        <f>K6/D6/1000</f>
        <v>#REF!</v>
      </c>
      <c r="J6" s="75" t="e">
        <f>C6+(SUM(K20:K21)-SUM(G20:G21))-N20+C6*O20*(N2/O2-1)</f>
        <v>#REF!</v>
      </c>
      <c r="K6" s="76" t="e">
        <f>C6+(SUM(L20:L21)-SUM(G20:G21))-N20+C6*O20*(N2/O2-1)</f>
        <v>#REF!</v>
      </c>
      <c r="L6" s="77" t="e">
        <f>C6+(SUM(M20:M21)-SUM(G20:G21))-N20+C6*O20*(N2/O2-1)</f>
        <v>#REF!</v>
      </c>
      <c r="M6" s="80" t="s">
        <v>317</v>
      </c>
      <c r="N6" s="82" t="e">
        <f>匯率報價!D18</f>
        <v>#REF!</v>
      </c>
      <c r="O6" s="82">
        <v>3.8610000000000002</v>
      </c>
      <c r="Q6" s="219" t="s">
        <v>569</v>
      </c>
      <c r="R6" s="205">
        <v>180329.94</v>
      </c>
      <c r="S6" s="230">
        <f>R6*O2</f>
        <v>5436947.6909999996</v>
      </c>
      <c r="T6" s="207">
        <f t="shared" ref="T6:T12" si="0">S6/$S$13</f>
        <v>5.3687416585832794E-2</v>
      </c>
      <c r="U6" s="206">
        <f>T6</f>
        <v>5.3687416585832794E-2</v>
      </c>
      <c r="V6" s="206"/>
      <c r="W6" s="22" t="s">
        <v>609</v>
      </c>
    </row>
    <row r="7" spans="1:25">
      <c r="Q7" s="6" t="s">
        <v>570</v>
      </c>
      <c r="R7" s="205">
        <v>29789413</v>
      </c>
      <c r="S7" s="230">
        <f>R7</f>
        <v>29789413</v>
      </c>
      <c r="T7" s="207">
        <f t="shared" si="0"/>
        <v>0.29415707423962106</v>
      </c>
      <c r="U7" s="207"/>
      <c r="V7" s="207">
        <f>T7</f>
        <v>0.29415707423962106</v>
      </c>
      <c r="W7" s="22">
        <v>0</v>
      </c>
    </row>
    <row r="8" spans="1:25" ht="16.8" thickBot="1">
      <c r="A8" s="12" t="s">
        <v>498</v>
      </c>
      <c r="C8" s="174" t="s">
        <v>504</v>
      </c>
      <c r="F8" s="174" t="s">
        <v>332</v>
      </c>
      <c r="G8" s="85"/>
      <c r="Q8" s="6" t="s">
        <v>558</v>
      </c>
      <c r="R8" s="205">
        <v>200055.09</v>
      </c>
      <c r="S8" s="231">
        <f>R8*O2</f>
        <v>6031660.9634999996</v>
      </c>
      <c r="T8" s="207">
        <f t="shared" si="0"/>
        <v>5.9559943051865225E-2</v>
      </c>
      <c r="U8" s="207">
        <f>T8</f>
        <v>5.9559943051865225E-2</v>
      </c>
      <c r="V8" s="207"/>
      <c r="W8" s="22"/>
    </row>
    <row r="9" spans="1:25" s="22" customFormat="1">
      <c r="A9" s="57" t="s">
        <v>292</v>
      </c>
      <c r="B9" s="57" t="s">
        <v>293</v>
      </c>
      <c r="C9" s="57" t="s">
        <v>221</v>
      </c>
      <c r="D9" s="57" t="s">
        <v>294</v>
      </c>
      <c r="E9" s="57" t="s">
        <v>295</v>
      </c>
      <c r="F9" s="57" t="s">
        <v>296</v>
      </c>
      <c r="G9" s="57" t="s">
        <v>297</v>
      </c>
      <c r="H9" s="57" t="s">
        <v>222</v>
      </c>
      <c r="I9" s="57" t="s">
        <v>298</v>
      </c>
      <c r="J9" s="57" t="s">
        <v>299</v>
      </c>
      <c r="K9" s="57" t="s">
        <v>300</v>
      </c>
      <c r="L9" s="57" t="s">
        <v>301</v>
      </c>
      <c r="M9" s="57" t="s">
        <v>302</v>
      </c>
      <c r="N9" s="212" t="s">
        <v>586</v>
      </c>
      <c r="O9" s="212" t="s">
        <v>587</v>
      </c>
      <c r="Q9" s="6" t="s">
        <v>648</v>
      </c>
      <c r="R9" s="205">
        <v>0</v>
      </c>
      <c r="S9" s="231">
        <f>R9</f>
        <v>0</v>
      </c>
      <c r="T9" s="207">
        <f t="shared" si="0"/>
        <v>0</v>
      </c>
      <c r="U9" s="207"/>
      <c r="V9" s="207">
        <f>T9</f>
        <v>0</v>
      </c>
    </row>
    <row r="10" spans="1:25">
      <c r="A10" s="24" t="e">
        <f>G10/C2</f>
        <v>#DIV/0!</v>
      </c>
      <c r="B10" s="25" t="s">
        <v>507</v>
      </c>
      <c r="C10" s="25" t="s">
        <v>505</v>
      </c>
      <c r="D10" s="25">
        <v>1000</v>
      </c>
      <c r="E10" s="58">
        <f>群益海期報價!K27</f>
        <v>127.765625</v>
      </c>
      <c r="F10" s="25">
        <v>0</v>
      </c>
      <c r="G10" s="46">
        <f>F10*E10*D10*O2</f>
        <v>0</v>
      </c>
      <c r="H10" s="58">
        <f>群益海期報價!H27</f>
        <v>128.015625</v>
      </c>
      <c r="I10" s="58">
        <f>群益海期報價!L27</f>
        <v>127.984375</v>
      </c>
      <c r="J10" s="58">
        <f>群益海期報價!N27</f>
        <v>128.015625</v>
      </c>
      <c r="K10" s="78" t="e">
        <f>IF(ISNUMBER(H10)=TRUE,H10*$F$10*$D$10,E10*$F$10*$D$10)*N2</f>
        <v>#REF!</v>
      </c>
      <c r="L10" s="78" t="e">
        <f>IF(ISNUMBER(I10)=TRUE,I10*$F$10*$D$10,F10*$F$10*$D$10)*N2</f>
        <v>#REF!</v>
      </c>
      <c r="M10" s="78" t="e">
        <f>IF(ISNUMBER(J10)=TRUE,J10*$F$10*$D$10,G10*$F$10*$D$10)*N2</f>
        <v>#REF!</v>
      </c>
      <c r="N10" s="62" t="e">
        <f>1.04%/365*(C2+SUM(K10:K11)-SUM(G10:G11))</f>
        <v>#REF!</v>
      </c>
      <c r="O10" s="69">
        <f>Y5</f>
        <v>0.40948388592267826</v>
      </c>
      <c r="Q10" s="6" t="s">
        <v>649</v>
      </c>
      <c r="R10" s="205">
        <v>30000000</v>
      </c>
      <c r="S10" s="231">
        <f>R10</f>
        <v>30000000</v>
      </c>
      <c r="T10" s="207">
        <f t="shared" si="0"/>
        <v>0.29623652628498021</v>
      </c>
      <c r="U10" s="207">
        <f>T10</f>
        <v>0.29623652628498021</v>
      </c>
      <c r="V10" s="207"/>
      <c r="W10" s="23"/>
    </row>
    <row r="11" spans="1:25">
      <c r="A11" s="24" t="e">
        <f>G11/C2</f>
        <v>#DIV/0!</v>
      </c>
      <c r="B11" s="25" t="s">
        <v>507</v>
      </c>
      <c r="C11" s="25" t="s">
        <v>506</v>
      </c>
      <c r="D11" s="25">
        <v>1000</v>
      </c>
      <c r="E11" s="58">
        <f>群益海期報價!K28</f>
        <v>127.515625</v>
      </c>
      <c r="F11" s="25">
        <v>55</v>
      </c>
      <c r="G11" s="46">
        <f>F11*E11*D11*O2</f>
        <v>211452785.15625</v>
      </c>
      <c r="H11" s="58">
        <f>群益海期報價!H28</f>
        <v>127.78125</v>
      </c>
      <c r="I11" s="58">
        <f>群益海期報價!L28</f>
        <v>127.765625</v>
      </c>
      <c r="J11" s="58">
        <f>群益海期報價!N28</f>
        <v>127.78125</v>
      </c>
      <c r="K11" s="78" t="e">
        <f>IF(ISNUMBER(H11)=TRUE,H11*$F$11*$D$11,E11*$F$11*$D$11)*N2</f>
        <v>#REF!</v>
      </c>
      <c r="L11" s="78" t="e">
        <f>IF(ISNUMBER(I11)=TRUE,I11*$F$11*$D$11,F11*$F$11*$D$11)*N2</f>
        <v>#REF!</v>
      </c>
      <c r="M11" s="78" t="e">
        <f>IF(ISNUMBER(J11)=TRUE,J11*$F$11*$D$11,G11*$F$11*$D$11)*N2</f>
        <v>#REF!</v>
      </c>
      <c r="Q11" s="6" t="s">
        <v>611</v>
      </c>
      <c r="R11" s="205">
        <v>12366</v>
      </c>
      <c r="S11" s="231">
        <f>R11</f>
        <v>12366</v>
      </c>
      <c r="T11" s="207">
        <f t="shared" si="0"/>
        <v>1.2210869613466885E-4</v>
      </c>
      <c r="U11" s="207"/>
      <c r="V11" s="207">
        <f>T11</f>
        <v>1.2210869613466885E-4</v>
      </c>
      <c r="W11" s="22"/>
    </row>
    <row r="12" spans="1:25">
      <c r="A12" s="4"/>
      <c r="Q12" s="220" t="s">
        <v>571</v>
      </c>
      <c r="R12" s="242">
        <v>0</v>
      </c>
      <c r="S12" s="242">
        <f>R12</f>
        <v>0</v>
      </c>
      <c r="T12" s="20">
        <f t="shared" si="0"/>
        <v>0</v>
      </c>
      <c r="U12" s="20"/>
      <c r="V12" s="20">
        <f>T12</f>
        <v>0</v>
      </c>
      <c r="W12" s="22"/>
    </row>
    <row r="13" spans="1:25" ht="16.8" thickBot="1">
      <c r="A13" s="12" t="s">
        <v>430</v>
      </c>
      <c r="Q13" s="6" t="s">
        <v>562</v>
      </c>
      <c r="R13" s="228"/>
      <c r="S13" s="228">
        <f>SUM(S5:S12)</f>
        <v>101270428.65449999</v>
      </c>
      <c r="T13" s="207">
        <f>SUM(T5:T12)</f>
        <v>1</v>
      </c>
      <c r="U13" s="207">
        <f>SUM(U5:U12)</f>
        <v>0.40948388592267826</v>
      </c>
      <c r="V13" s="207">
        <f>SUM(V5:V12)</f>
        <v>0.59051611407732185</v>
      </c>
      <c r="W13" s="22"/>
      <c r="Y13" s="23">
        <f>U13+V13</f>
        <v>1</v>
      </c>
    </row>
    <row r="14" spans="1:25" s="22" customFormat="1">
      <c r="A14" s="57" t="s">
        <v>292</v>
      </c>
      <c r="B14" s="57" t="s">
        <v>293</v>
      </c>
      <c r="C14" s="57" t="s">
        <v>221</v>
      </c>
      <c r="D14" s="57" t="s">
        <v>294</v>
      </c>
      <c r="E14" s="57" t="s">
        <v>295</v>
      </c>
      <c r="F14" s="57" t="s">
        <v>296</v>
      </c>
      <c r="G14" s="57" t="s">
        <v>297</v>
      </c>
      <c r="H14" s="57" t="s">
        <v>222</v>
      </c>
      <c r="I14" s="57" t="s">
        <v>298</v>
      </c>
      <c r="J14" s="57" t="s">
        <v>299</v>
      </c>
      <c r="K14" s="57" t="s">
        <v>300</v>
      </c>
      <c r="L14" s="57" t="s">
        <v>301</v>
      </c>
      <c r="M14" s="57" t="s">
        <v>302</v>
      </c>
      <c r="N14" s="212" t="s">
        <v>586</v>
      </c>
      <c r="O14" s="212" t="s">
        <v>587</v>
      </c>
      <c r="W14" s="234"/>
    </row>
    <row r="15" spans="1:25">
      <c r="A15" s="24" t="e">
        <f>G15/C4</f>
        <v>#DIV/0!</v>
      </c>
      <c r="B15" s="25" t="s">
        <v>507</v>
      </c>
      <c r="C15" s="25" t="s">
        <v>505</v>
      </c>
      <c r="D15" s="25">
        <v>1000</v>
      </c>
      <c r="E15" s="58">
        <f>群益海期報價!K27</f>
        <v>127.765625</v>
      </c>
      <c r="F15" s="88">
        <v>0</v>
      </c>
      <c r="G15" s="78">
        <f>F15*E15*D15*O2</f>
        <v>0</v>
      </c>
      <c r="H15" s="58">
        <f>群益海期報價!H27</f>
        <v>128.015625</v>
      </c>
      <c r="I15" s="58">
        <f>群益海期報價!L27</f>
        <v>127.984375</v>
      </c>
      <c r="J15" s="58">
        <f>群益海期報價!N27</f>
        <v>128.015625</v>
      </c>
      <c r="K15" s="78" t="e">
        <f>IF(ISNUMBER(H15)=TRUE,H15*$F$15*$D$15,E15*$F$15*$D$15)*N2</f>
        <v>#REF!</v>
      </c>
      <c r="L15" s="78" t="e">
        <f>IF(ISNUMBER(I15)=TRUE,I15*$F$15*$D$15,F15*$F$15*$D$15)*N2</f>
        <v>#REF!</v>
      </c>
      <c r="M15" s="78" t="e">
        <f>IF(ISNUMBER(J15)=TRUE,J15*$F$15*$D$15,G15*$F$15*$D$15)*N2</f>
        <v>#REF!</v>
      </c>
      <c r="N15" s="62" t="e">
        <f>1.04%/365*(C4+SUM(K15:K15)-SUM(G15:G15))</f>
        <v>#REF!</v>
      </c>
      <c r="O15" s="69">
        <f>Y19</f>
        <v>7.6751944867986588E-2</v>
      </c>
      <c r="W15" s="4">
        <f>U13+V13</f>
        <v>1</v>
      </c>
    </row>
    <row r="16" spans="1:25">
      <c r="A16" s="24" t="e">
        <f>G16/C4</f>
        <v>#DIV/0!</v>
      </c>
      <c r="B16" s="25" t="s">
        <v>507</v>
      </c>
      <c r="C16" s="25" t="s">
        <v>506</v>
      </c>
      <c r="D16" s="25">
        <v>1000</v>
      </c>
      <c r="E16" s="58">
        <f>群益海期報價!K28</f>
        <v>127.515625</v>
      </c>
      <c r="F16" s="88">
        <v>-38</v>
      </c>
      <c r="G16" s="78">
        <f>F16*E16*D16*O2</f>
        <v>-146094651.5625</v>
      </c>
      <c r="H16" s="58">
        <f>群益海期報價!H28</f>
        <v>127.78125</v>
      </c>
      <c r="I16" s="58">
        <f>群益海期報價!L28</f>
        <v>127.765625</v>
      </c>
      <c r="J16" s="58">
        <f>群益海期報價!N28</f>
        <v>127.78125</v>
      </c>
      <c r="K16" s="78" t="e">
        <f>IF(ISNUMBER(H16)=TRUE,H16*$F$16*$D$16,E16*$F$16*$D$16)*N2</f>
        <v>#REF!</v>
      </c>
      <c r="L16" s="78" t="e">
        <f>IF(ISNUMBER(I16)=TRUE,I16*$F$16*$D$16,F16*$F$16*$D$16)*N2</f>
        <v>#REF!</v>
      </c>
      <c r="M16" s="78" t="e">
        <f>IF(ISNUMBER(J16)=TRUE,J16*$F$16*$D$16,G16*$F$16*$D$16)*N2</f>
        <v>#REF!</v>
      </c>
      <c r="Q16" s="204" t="s">
        <v>661</v>
      </c>
      <c r="R16" s="49">
        <v>144321964</v>
      </c>
      <c r="V16" s="22"/>
    </row>
    <row r="17" spans="1:25">
      <c r="A17" s="4"/>
      <c r="F17" s="5"/>
      <c r="Q17" s="25" t="s">
        <v>552</v>
      </c>
      <c r="R17" s="25" t="s">
        <v>617</v>
      </c>
      <c r="S17" s="25" t="s">
        <v>615</v>
      </c>
      <c r="T17" s="25" t="s">
        <v>565</v>
      </c>
      <c r="U17" s="25" t="s">
        <v>566</v>
      </c>
      <c r="V17" s="25" t="s">
        <v>567</v>
      </c>
    </row>
    <row r="18" spans="1:25" ht="16.8" thickBot="1">
      <c r="A18" s="87" t="s">
        <v>428</v>
      </c>
      <c r="Q18" s="216" t="s">
        <v>548</v>
      </c>
      <c r="R18" s="217">
        <v>0</v>
      </c>
      <c r="S18" s="232"/>
      <c r="T18" s="218"/>
      <c r="U18" s="218"/>
      <c r="V18" s="218"/>
      <c r="W18" s="22"/>
      <c r="X18" s="22"/>
      <c r="Y18" s="22" t="s">
        <v>650</v>
      </c>
    </row>
    <row r="19" spans="1:25" s="22" customFormat="1">
      <c r="A19" s="57" t="s">
        <v>292</v>
      </c>
      <c r="B19" s="57" t="s">
        <v>293</v>
      </c>
      <c r="C19" s="57" t="s">
        <v>221</v>
      </c>
      <c r="D19" s="57" t="s">
        <v>294</v>
      </c>
      <c r="E19" s="57" t="s">
        <v>295</v>
      </c>
      <c r="F19" s="57" t="s">
        <v>296</v>
      </c>
      <c r="G19" s="57" t="s">
        <v>297</v>
      </c>
      <c r="H19" s="57" t="s">
        <v>222</v>
      </c>
      <c r="I19" s="57" t="s">
        <v>298</v>
      </c>
      <c r="J19" s="57" t="s">
        <v>299</v>
      </c>
      <c r="K19" s="57" t="s">
        <v>300</v>
      </c>
      <c r="L19" s="57" t="s">
        <v>301</v>
      </c>
      <c r="M19" s="57" t="s">
        <v>302</v>
      </c>
      <c r="N19" s="212" t="s">
        <v>586</v>
      </c>
      <c r="O19" s="212" t="s">
        <v>587</v>
      </c>
      <c r="Q19" s="219" t="s">
        <v>549</v>
      </c>
      <c r="R19" s="205">
        <v>30000041</v>
      </c>
      <c r="S19" s="230">
        <f>R19</f>
        <v>30000041</v>
      </c>
      <c r="T19" s="206">
        <f>S19/$S$28</f>
        <v>0.20750875067712943</v>
      </c>
      <c r="U19" s="206"/>
      <c r="V19" s="206">
        <f>T19</f>
        <v>0.20750875067712943</v>
      </c>
      <c r="W19" s="234"/>
      <c r="X19" s="234"/>
      <c r="Y19" s="23">
        <f>U20+U22+U24+U26</f>
        <v>7.6751944867986588E-2</v>
      </c>
    </row>
    <row r="20" spans="1:25">
      <c r="A20" s="24" t="e">
        <f>G20/C6</f>
        <v>#DIV/0!</v>
      </c>
      <c r="B20" s="25" t="s">
        <v>507</v>
      </c>
      <c r="C20" s="25" t="s">
        <v>505</v>
      </c>
      <c r="D20" s="25">
        <v>1000</v>
      </c>
      <c r="E20" s="58">
        <f>群益海期報價!K27</f>
        <v>127.765625</v>
      </c>
      <c r="F20" s="88">
        <v>1</v>
      </c>
      <c r="G20" s="78">
        <f>F20*E20*D20*O2</f>
        <v>3852133.59375</v>
      </c>
      <c r="H20" s="58">
        <f>群益海期報價!H27</f>
        <v>128.015625</v>
      </c>
      <c r="I20" s="58">
        <f>群益海期報價!L27</f>
        <v>127.984375</v>
      </c>
      <c r="J20" s="58">
        <f>群益海期報價!N27</f>
        <v>128.015625</v>
      </c>
      <c r="K20" s="78" t="e">
        <f>IF(ISNUMBER(H20)=TRUE,H20*$F$20*$D$20,E20*$F$20*$D$20)*N2</f>
        <v>#REF!</v>
      </c>
      <c r="L20" s="78" t="e">
        <f>IF(ISNUMBER(I20)=TRUE,I20*$F$20*$D$20,F20*$F$20*$D$20)*N2</f>
        <v>#REF!</v>
      </c>
      <c r="M20" s="78" t="e">
        <f>IF(ISNUMBER(J20)=TRUE,J20*$F$20*$D$20,G20*$F$20*$D$20)*N2</f>
        <v>#REF!</v>
      </c>
      <c r="N20" s="62" t="e">
        <f>1.04%/365*(C4+SUM(K20:K20)-SUM(G20:G20))</f>
        <v>#REF!</v>
      </c>
      <c r="O20" s="69">
        <f>Y34</f>
        <v>0.99905823464853127</v>
      </c>
      <c r="Q20" s="219" t="s">
        <v>569</v>
      </c>
      <c r="R20" s="205">
        <v>268006.37</v>
      </c>
      <c r="S20" s="230">
        <f>R20*O2</f>
        <v>8080392.0554999998</v>
      </c>
      <c r="T20" s="206">
        <f t="shared" ref="T20:T27" si="1">S20/$S$28</f>
        <v>5.5891658962006312E-2</v>
      </c>
      <c r="U20" s="206">
        <f>T20</f>
        <v>5.5891658962006312E-2</v>
      </c>
      <c r="V20" s="206"/>
      <c r="W20" s="22"/>
    </row>
    <row r="21" spans="1:25">
      <c r="A21" s="24" t="e">
        <f>G21/C7</f>
        <v>#DIV/0!</v>
      </c>
      <c r="B21" s="25" t="s">
        <v>507</v>
      </c>
      <c r="C21" s="25" t="s">
        <v>506</v>
      </c>
      <c r="D21" s="25">
        <v>1000</v>
      </c>
      <c r="E21" s="58">
        <f>群益海期報價!K28</f>
        <v>127.515625</v>
      </c>
      <c r="F21" s="88">
        <v>1</v>
      </c>
      <c r="G21" s="78">
        <f>F21*E21*D21*O2</f>
        <v>3844596.09375</v>
      </c>
      <c r="H21" s="58">
        <f>群益海期報價!H28</f>
        <v>127.78125</v>
      </c>
      <c r="I21" s="58">
        <f>群益海期報價!L28</f>
        <v>127.765625</v>
      </c>
      <c r="J21" s="58">
        <f>群益海期報價!N28</f>
        <v>127.78125</v>
      </c>
      <c r="K21" s="78" t="e">
        <f>IF(ISNUMBER(H21)=TRUE,H21*$F$21*$D$21,E21*$F$21*$D$21)*N2</f>
        <v>#REF!</v>
      </c>
      <c r="L21" s="78" t="e">
        <f>IF(ISNUMBER(I21)=TRUE,I21*$F$21*$D$21,F21*$F$21*$D$21)*N2</f>
        <v>#REF!</v>
      </c>
      <c r="M21" s="78" t="e">
        <f>IF(ISNUMBER(J21)=TRUE,J21*$F$21*$D$21,G21*$F$21*$D$21)*N2</f>
        <v>#REF!</v>
      </c>
      <c r="Q21" s="6" t="s">
        <v>570</v>
      </c>
      <c r="R21" s="205">
        <v>23476159</v>
      </c>
      <c r="S21" s="230">
        <f>R21</f>
        <v>23476159</v>
      </c>
      <c r="T21" s="206">
        <f t="shared" si="1"/>
        <v>0.16238339223561887</v>
      </c>
      <c r="U21" s="207"/>
      <c r="V21" s="207">
        <f>T21</f>
        <v>0.16238339223561887</v>
      </c>
      <c r="W21" s="22" t="s">
        <v>568</v>
      </c>
    </row>
    <row r="22" spans="1:25">
      <c r="Q22" s="6" t="s">
        <v>558</v>
      </c>
      <c r="R22" s="205">
        <v>100027.26</v>
      </c>
      <c r="S22" s="231">
        <f>R22*O2</f>
        <v>3015821.8889999995</v>
      </c>
      <c r="T22" s="206">
        <f t="shared" si="1"/>
        <v>2.0860285905980276E-2</v>
      </c>
      <c r="U22" s="207">
        <f>T22</f>
        <v>2.0860285905980276E-2</v>
      </c>
      <c r="V22" s="207"/>
      <c r="W22" s="23">
        <f>T20+T22+T24+T26</f>
        <v>7.6751944867986588E-2</v>
      </c>
    </row>
    <row r="23" spans="1:25">
      <c r="Q23" s="6" t="s">
        <v>613</v>
      </c>
      <c r="R23" s="205">
        <v>80000000</v>
      </c>
      <c r="S23" s="231">
        <f>R23</f>
        <v>80000000</v>
      </c>
      <c r="T23" s="206">
        <f t="shared" si="1"/>
        <v>0.55335591221926506</v>
      </c>
      <c r="U23" s="207"/>
      <c r="V23" s="207">
        <f>T23</f>
        <v>0.55335591221926506</v>
      </c>
      <c r="W23" s="22" t="s">
        <v>609</v>
      </c>
    </row>
    <row r="24" spans="1:25">
      <c r="Q24" s="6" t="s">
        <v>614</v>
      </c>
      <c r="R24" s="205">
        <v>0</v>
      </c>
      <c r="S24" s="231">
        <f>R24*O2</f>
        <v>0</v>
      </c>
      <c r="T24" s="206">
        <f t="shared" si="1"/>
        <v>0</v>
      </c>
      <c r="U24" s="207">
        <f>T24</f>
        <v>0</v>
      </c>
      <c r="V24" s="207"/>
      <c r="W24" s="22">
        <v>0</v>
      </c>
    </row>
    <row r="25" spans="1:25">
      <c r="Q25" s="6" t="s">
        <v>611</v>
      </c>
      <c r="R25" s="205">
        <v>0</v>
      </c>
      <c r="S25" s="231">
        <f>R25</f>
        <v>0</v>
      </c>
      <c r="T25" s="206">
        <f t="shared" si="1"/>
        <v>0</v>
      </c>
      <c r="U25" s="207"/>
      <c r="V25" s="207">
        <f>T25</f>
        <v>0</v>
      </c>
      <c r="W25" s="22"/>
    </row>
    <row r="26" spans="1:25">
      <c r="Q26" s="6" t="s">
        <v>612</v>
      </c>
      <c r="R26" s="205">
        <v>0</v>
      </c>
      <c r="S26" s="205">
        <f>R26*O2</f>
        <v>0</v>
      </c>
      <c r="T26" s="206">
        <f t="shared" si="1"/>
        <v>0</v>
      </c>
      <c r="U26" s="207">
        <f>T26</f>
        <v>0</v>
      </c>
      <c r="V26" s="207"/>
      <c r="W26" s="22"/>
    </row>
    <row r="27" spans="1:25">
      <c r="Q27" s="220" t="s">
        <v>571</v>
      </c>
      <c r="R27" s="205">
        <v>0</v>
      </c>
      <c r="S27" s="205">
        <f>R27</f>
        <v>0</v>
      </c>
      <c r="T27" s="206">
        <f t="shared" si="1"/>
        <v>0</v>
      </c>
      <c r="U27" s="207"/>
      <c r="V27" s="207">
        <f>T27</f>
        <v>0</v>
      </c>
      <c r="W27" s="23"/>
    </row>
    <row r="28" spans="1:25">
      <c r="Q28" s="6" t="s">
        <v>562</v>
      </c>
      <c r="R28" s="228"/>
      <c r="S28" s="228">
        <f>SUM(S19:S27)</f>
        <v>144572413.9445</v>
      </c>
      <c r="T28" s="227">
        <f>SUM(T19:T27)</f>
        <v>1</v>
      </c>
      <c r="U28" s="207">
        <f>SUM(U19:U27)</f>
        <v>7.6751944867986588E-2</v>
      </c>
      <c r="V28" s="207">
        <f>SUM(V19:V27)</f>
        <v>0.92324805513201336</v>
      </c>
      <c r="W28" s="22"/>
      <c r="Y28" s="23">
        <f>U28+V28</f>
        <v>1</v>
      </c>
    </row>
    <row r="29" spans="1:25">
      <c r="W29" s="22"/>
    </row>
    <row r="30" spans="1:25">
      <c r="W30" s="22"/>
    </row>
    <row r="31" spans="1:25">
      <c r="Q31" s="204" t="s">
        <v>662</v>
      </c>
      <c r="R31" s="49">
        <v>461397012</v>
      </c>
      <c r="V31" s="22"/>
    </row>
    <row r="32" spans="1:25">
      <c r="Q32" s="25" t="s">
        <v>572</v>
      </c>
      <c r="R32" s="25" t="s">
        <v>616</v>
      </c>
      <c r="S32" s="25" t="s">
        <v>564</v>
      </c>
      <c r="T32" s="25" t="s">
        <v>565</v>
      </c>
      <c r="U32" s="25" t="s">
        <v>651</v>
      </c>
      <c r="V32" s="25" t="s">
        <v>546</v>
      </c>
      <c r="W32" s="4">
        <f>U28+V28</f>
        <v>1</v>
      </c>
    </row>
    <row r="33" spans="17:25">
      <c r="Q33" s="216" t="s">
        <v>547</v>
      </c>
      <c r="R33" s="217">
        <v>0</v>
      </c>
      <c r="S33" s="232"/>
      <c r="T33" s="218"/>
      <c r="U33" s="218"/>
      <c r="V33" s="218"/>
      <c r="Y33" s="22" t="s">
        <v>650</v>
      </c>
    </row>
    <row r="34" spans="17:25">
      <c r="Q34" s="219" t="s">
        <v>580</v>
      </c>
      <c r="R34" s="205">
        <v>0</v>
      </c>
      <c r="S34" s="230">
        <f>R34</f>
        <v>0</v>
      </c>
      <c r="T34" s="206">
        <f t="shared" ref="T34:T43" si="2">S34/$S$44</f>
        <v>0</v>
      </c>
      <c r="U34" s="206"/>
      <c r="V34" s="206">
        <f>T34</f>
        <v>0</v>
      </c>
      <c r="Y34" s="23">
        <f>U35+U37+U39+U41+U42</f>
        <v>0.99905823464853127</v>
      </c>
    </row>
    <row r="35" spans="17:25">
      <c r="Q35" s="219" t="s">
        <v>569</v>
      </c>
      <c r="R35" s="205">
        <v>0</v>
      </c>
      <c r="S35" s="230">
        <f>R35*O2</f>
        <v>0</v>
      </c>
      <c r="T35" s="206">
        <f t="shared" si="2"/>
        <v>0</v>
      </c>
      <c r="U35" s="206">
        <f>T35</f>
        <v>0</v>
      </c>
      <c r="V35" s="206"/>
    </row>
    <row r="36" spans="17:25">
      <c r="Q36" s="6" t="s">
        <v>550</v>
      </c>
      <c r="R36" s="205">
        <v>436322</v>
      </c>
      <c r="S36" s="230">
        <f>R36</f>
        <v>436322</v>
      </c>
      <c r="T36" s="206">
        <f t="shared" si="2"/>
        <v>9.4176535146866527E-4</v>
      </c>
      <c r="U36" s="207"/>
      <c r="V36" s="207">
        <f>T36</f>
        <v>9.4176535146866527E-4</v>
      </c>
    </row>
    <row r="37" spans="17:25">
      <c r="Q37" s="6" t="s">
        <v>579</v>
      </c>
      <c r="R37" s="205">
        <v>42099.95</v>
      </c>
      <c r="S37" s="231">
        <f>R37*O2</f>
        <v>1269313.4924999999</v>
      </c>
      <c r="T37" s="206">
        <f t="shared" si="2"/>
        <v>2.7397093600326859E-3</v>
      </c>
      <c r="U37" s="207">
        <f>T37</f>
        <v>2.7397093600326859E-3</v>
      </c>
      <c r="V37" s="207"/>
    </row>
    <row r="38" spans="17:25">
      <c r="Q38" s="6" t="s">
        <v>613</v>
      </c>
      <c r="R38" s="205">
        <v>0</v>
      </c>
      <c r="S38" s="231">
        <f>R38</f>
        <v>0</v>
      </c>
      <c r="T38" s="206">
        <f t="shared" si="2"/>
        <v>0</v>
      </c>
      <c r="U38" s="207"/>
      <c r="V38" s="207">
        <f>T38</f>
        <v>0</v>
      </c>
    </row>
    <row r="39" spans="17:25">
      <c r="Q39" s="6" t="s">
        <v>614</v>
      </c>
      <c r="R39" s="205">
        <v>0</v>
      </c>
      <c r="S39" s="231">
        <f>R39*O2</f>
        <v>0</v>
      </c>
      <c r="T39" s="206">
        <f t="shared" si="2"/>
        <v>0</v>
      </c>
      <c r="U39" s="207">
        <f>T39</f>
        <v>0</v>
      </c>
      <c r="V39" s="207"/>
    </row>
    <row r="40" spans="17:25">
      <c r="Q40" s="6" t="s">
        <v>611</v>
      </c>
      <c r="R40" s="205">
        <v>0</v>
      </c>
      <c r="S40" s="231">
        <f>R40</f>
        <v>0</v>
      </c>
      <c r="T40" s="206">
        <f t="shared" si="2"/>
        <v>0</v>
      </c>
      <c r="U40" s="207"/>
      <c r="V40" s="207">
        <f>T40</f>
        <v>0</v>
      </c>
    </row>
    <row r="41" spans="17:25">
      <c r="Q41" s="6" t="s">
        <v>612</v>
      </c>
      <c r="R41" s="205">
        <v>52821.4</v>
      </c>
      <c r="S41" s="205">
        <f>R41*O2</f>
        <v>1592565.21</v>
      </c>
      <c r="T41" s="206">
        <f t="shared" si="2"/>
        <v>3.4374217544208604E-3</v>
      </c>
      <c r="U41" s="207">
        <f>T41</f>
        <v>3.4374217544208604E-3</v>
      </c>
      <c r="V41" s="207"/>
    </row>
    <row r="42" spans="17:25">
      <c r="Q42" s="6" t="s">
        <v>664</v>
      </c>
      <c r="R42" s="205">
        <f>S42/O2</f>
        <v>15257182.17578773</v>
      </c>
      <c r="S42" s="205">
        <v>460004042.60000002</v>
      </c>
      <c r="T42" s="206">
        <f t="shared" si="2"/>
        <v>0.99288110353407777</v>
      </c>
      <c r="U42" s="207">
        <f>T42</f>
        <v>0.99288110353407777</v>
      </c>
      <c r="V42" s="207"/>
    </row>
    <row r="43" spans="17:25">
      <c r="Q43" s="220" t="s">
        <v>561</v>
      </c>
      <c r="R43" s="205">
        <v>0</v>
      </c>
      <c r="S43" s="205">
        <f>R43</f>
        <v>0</v>
      </c>
      <c r="T43" s="206">
        <f t="shared" si="2"/>
        <v>0</v>
      </c>
      <c r="U43" s="207"/>
      <c r="V43" s="207">
        <f>T43</f>
        <v>0</v>
      </c>
    </row>
    <row r="44" spans="17:25">
      <c r="Q44" s="6" t="s">
        <v>551</v>
      </c>
      <c r="R44" s="228"/>
      <c r="S44" s="228">
        <f>SUM(S34:S43)</f>
        <v>463302243.30250001</v>
      </c>
      <c r="T44" s="206">
        <f>SUM(T34:T43)</f>
        <v>1</v>
      </c>
      <c r="U44" s="207">
        <f>SUM(U34:U43)</f>
        <v>0.99905823464853127</v>
      </c>
      <c r="V44" s="207">
        <f>SUM(V34:V43)</f>
        <v>9.4176535146866527E-4</v>
      </c>
      <c r="Y44" s="23">
        <f>U44+V44</f>
        <v>0.99999999999999989</v>
      </c>
    </row>
  </sheetData>
  <mergeCells count="3">
    <mergeCell ref="F1:F2"/>
    <mergeCell ref="F3:F4"/>
    <mergeCell ref="F5:F6"/>
  </mergeCells>
  <phoneticPr fontId="8" type="noConversion"/>
  <pageMargins left="0.75" right="0.75" top="1" bottom="1" header="0.5" footer="0.5"/>
  <pageSetup paperSize="9" scale="23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5"/>
  <sheetViews>
    <sheetView workbookViewId="0">
      <selection activeCell="A2" sqref="A2:J2"/>
    </sheetView>
  </sheetViews>
  <sheetFormatPr defaultRowHeight="16.2"/>
  <cols>
    <col min="1" max="1" width="5" customWidth="1"/>
    <col min="2" max="2" width="6" customWidth="1"/>
    <col min="3" max="3" width="7.44140625" customWidth="1"/>
    <col min="4" max="4" width="7.33203125" customWidth="1"/>
    <col min="6" max="6" width="8.21875" customWidth="1"/>
    <col min="7" max="7" width="8.44140625" customWidth="1"/>
    <col min="8" max="8" width="7.109375" customWidth="1"/>
    <col min="11" max="11" width="2.77734375" customWidth="1"/>
    <col min="12" max="12" width="4.6640625" bestFit="1" customWidth="1"/>
    <col min="13" max="13" width="6.109375" customWidth="1"/>
    <col min="14" max="16" width="11.21875" bestFit="1" customWidth="1"/>
    <col min="17" max="17" width="9.21875" bestFit="1" customWidth="1"/>
    <col min="18" max="18" width="11.33203125" bestFit="1" customWidth="1"/>
    <col min="19" max="19" width="10.33203125" bestFit="1" customWidth="1"/>
    <col min="20" max="20" width="12.33203125" bestFit="1" customWidth="1"/>
    <col min="21" max="21" width="7.44140625" customWidth="1"/>
  </cols>
  <sheetData>
    <row r="1" spans="1:24">
      <c r="A1" t="s">
        <v>17</v>
      </c>
      <c r="J1" t="s">
        <v>14</v>
      </c>
      <c r="U1" t="s">
        <v>14</v>
      </c>
    </row>
    <row r="2" spans="1:24">
      <c r="A2" s="582" t="s">
        <v>15</v>
      </c>
      <c r="B2" s="582"/>
      <c r="C2" s="582"/>
      <c r="D2" s="582"/>
      <c r="E2" s="582"/>
      <c r="F2" s="582"/>
      <c r="G2" s="582"/>
      <c r="H2" s="582"/>
      <c r="I2" s="582"/>
      <c r="J2" s="582"/>
      <c r="L2" s="582" t="s">
        <v>16</v>
      </c>
      <c r="M2" s="582"/>
      <c r="N2" s="582"/>
      <c r="O2" s="582"/>
      <c r="P2" s="582"/>
      <c r="Q2" s="582"/>
      <c r="R2" s="582"/>
      <c r="S2" s="582"/>
      <c r="T2" s="582"/>
      <c r="U2" s="582"/>
    </row>
    <row r="3" spans="1:24" ht="16.8" thickBot="1">
      <c r="A3" t="s">
        <v>0</v>
      </c>
      <c r="B3" t="s">
        <v>1</v>
      </c>
      <c r="C3" t="s">
        <v>4</v>
      </c>
      <c r="D3" t="s">
        <v>5</v>
      </c>
      <c r="E3" t="s">
        <v>2</v>
      </c>
      <c r="F3" t="s">
        <v>6</v>
      </c>
      <c r="G3" t="s">
        <v>7</v>
      </c>
      <c r="H3" t="s">
        <v>3</v>
      </c>
      <c r="I3" t="s">
        <v>8</v>
      </c>
      <c r="J3" t="s">
        <v>9</v>
      </c>
      <c r="L3" t="s">
        <v>0</v>
      </c>
      <c r="M3" t="s">
        <v>1</v>
      </c>
      <c r="N3" t="s">
        <v>4</v>
      </c>
      <c r="O3" t="s">
        <v>5</v>
      </c>
      <c r="P3" t="s">
        <v>11</v>
      </c>
      <c r="Q3" t="s">
        <v>10</v>
      </c>
      <c r="R3" t="s">
        <v>13</v>
      </c>
      <c r="S3" t="s">
        <v>12</v>
      </c>
      <c r="T3" t="s">
        <v>2</v>
      </c>
      <c r="U3" t="s">
        <v>9</v>
      </c>
    </row>
    <row r="4" spans="1:24">
      <c r="A4">
        <v>36</v>
      </c>
      <c r="C4">
        <v>100</v>
      </c>
      <c r="D4">
        <v>200</v>
      </c>
      <c r="E4">
        <f>D4+C4</f>
        <v>300</v>
      </c>
      <c r="L4">
        <v>0</v>
      </c>
      <c r="N4">
        <v>100000000</v>
      </c>
      <c r="O4">
        <v>100000000</v>
      </c>
      <c r="P4">
        <v>100000000</v>
      </c>
      <c r="Q4">
        <f>N4*2-O4-P4</f>
        <v>0</v>
      </c>
      <c r="T4">
        <f>SUM(N4:P4)+S4</f>
        <v>300000000</v>
      </c>
    </row>
    <row r="5" spans="1:24">
      <c r="A5">
        <v>1</v>
      </c>
      <c r="B5">
        <v>0.01</v>
      </c>
      <c r="C5">
        <f>C4*(1+B5*2)</f>
        <v>102</v>
      </c>
      <c r="D5">
        <f>D4*(1-B5)</f>
        <v>198</v>
      </c>
      <c r="E5">
        <f t="shared" ref="E5:E15" si="0">D5+C5</f>
        <v>300</v>
      </c>
      <c r="F5">
        <f t="shared" ref="F5:G15" si="1">C5-C4</f>
        <v>2</v>
      </c>
      <c r="G5">
        <f t="shared" si="1"/>
        <v>-2</v>
      </c>
      <c r="H5">
        <f>G5+F5</f>
        <v>0</v>
      </c>
      <c r="I5">
        <f>H5/$E$4</f>
        <v>0</v>
      </c>
      <c r="J5">
        <f>E5/$E$4-1</f>
        <v>0</v>
      </c>
      <c r="L5">
        <v>1</v>
      </c>
      <c r="M5">
        <v>0.01</v>
      </c>
      <c r="N5">
        <f>N4*(1+M5*2)</f>
        <v>102000000</v>
      </c>
      <c r="O5">
        <f>O4*(1-M5)</f>
        <v>99000000</v>
      </c>
      <c r="P5">
        <f>P4*(1-M5)</f>
        <v>99000000</v>
      </c>
      <c r="Q5">
        <f>SUM(N5:P5)-SUM(N4:P4)</f>
        <v>0</v>
      </c>
      <c r="S5">
        <f>-Q5</f>
        <v>0</v>
      </c>
      <c r="T5">
        <f>SUM(N5:P5)+S5</f>
        <v>300000000</v>
      </c>
      <c r="U5">
        <f>T5/$T$4-1</f>
        <v>0</v>
      </c>
    </row>
    <row r="6" spans="1:24">
      <c r="A6">
        <v>2</v>
      </c>
      <c r="B6">
        <v>-0.01</v>
      </c>
      <c r="C6">
        <f>C5*(1+B6*2)</f>
        <v>99.96</v>
      </c>
      <c r="D6">
        <f>D5*(1-B6)</f>
        <v>199.98</v>
      </c>
      <c r="E6">
        <f t="shared" si="0"/>
        <v>299.94</v>
      </c>
      <c r="F6">
        <f t="shared" si="1"/>
        <v>-2.0400000000000063</v>
      </c>
      <c r="G6">
        <f t="shared" si="1"/>
        <v>1.9799999999999898</v>
      </c>
      <c r="H6">
        <f>G6+F6</f>
        <v>-6.0000000000016485E-2</v>
      </c>
      <c r="I6">
        <f t="shared" ref="I6:I15" si="2">H6/$E$4</f>
        <v>-2.0000000000005495E-4</v>
      </c>
      <c r="J6">
        <f t="shared" ref="J6:J15" si="3">E6/$E$4-1</f>
        <v>-1.9999999999997797E-4</v>
      </c>
      <c r="L6">
        <v>2</v>
      </c>
      <c r="M6">
        <v>-0.01</v>
      </c>
      <c r="N6">
        <f>N5*(1+M6*2)</f>
        <v>99960000</v>
      </c>
      <c r="O6">
        <f>O5*(1-M6)</f>
        <v>99990000</v>
      </c>
      <c r="P6">
        <f t="shared" ref="P6:P15" si="4">P5*(1-M6)</f>
        <v>99990000</v>
      </c>
      <c r="Q6">
        <f>SUM(N6:P6)-SUM(N5:P5)</f>
        <v>-60000</v>
      </c>
      <c r="R6">
        <f>S5*(1+M6)</f>
        <v>0</v>
      </c>
      <c r="S6">
        <f t="shared" ref="S6:S15" si="5">-Q6</f>
        <v>60000</v>
      </c>
      <c r="T6">
        <f>SUM(N6:P6)+S6+R6</f>
        <v>300000000</v>
      </c>
      <c r="U6">
        <f t="shared" ref="U6:U15" si="6">T6/$T$4-1</f>
        <v>0</v>
      </c>
    </row>
    <row r="7" spans="1:24">
      <c r="A7">
        <v>3</v>
      </c>
      <c r="B7">
        <v>0.01</v>
      </c>
      <c r="C7">
        <f>C6*(1+B7*2)</f>
        <v>101.9592</v>
      </c>
      <c r="D7">
        <f>D6*(1-B7)</f>
        <v>197.9802</v>
      </c>
      <c r="E7">
        <f t="shared" si="0"/>
        <v>299.93939999999998</v>
      </c>
      <c r="F7">
        <f t="shared" si="1"/>
        <v>1.9992000000000019</v>
      </c>
      <c r="G7">
        <f t="shared" si="1"/>
        <v>-1.9997999999999934</v>
      </c>
      <c r="H7">
        <f>G7+F7</f>
        <v>-5.9999999999149622E-4</v>
      </c>
      <c r="I7">
        <f t="shared" si="2"/>
        <v>-1.999999999971654E-6</v>
      </c>
      <c r="J7">
        <f t="shared" si="3"/>
        <v>-2.0200000000003548E-4</v>
      </c>
      <c r="L7">
        <v>3</v>
      </c>
      <c r="M7">
        <v>0.01</v>
      </c>
      <c r="N7">
        <f>N6*(1+M7*2)</f>
        <v>101959200</v>
      </c>
      <c r="O7">
        <f>O6*(1-M7)</f>
        <v>98990100</v>
      </c>
      <c r="P7">
        <f t="shared" si="4"/>
        <v>98990100</v>
      </c>
      <c r="Q7">
        <f>SUM(N7:P7)-SUM(N6:P6)+(R7-R6-S6)</f>
        <v>0</v>
      </c>
      <c r="R7">
        <f>(R6+S6)*(1+M7)</f>
        <v>60600</v>
      </c>
      <c r="S7">
        <f t="shared" si="5"/>
        <v>0</v>
      </c>
      <c r="T7">
        <f>SUM(N7:P7)+S7+R7</f>
        <v>300000000</v>
      </c>
      <c r="U7">
        <f t="shared" si="6"/>
        <v>0</v>
      </c>
      <c r="V7">
        <f>R7*1000000</f>
        <v>60600000000</v>
      </c>
      <c r="W7">
        <f>9117*200</f>
        <v>1823400</v>
      </c>
      <c r="X7">
        <f>9117*50</f>
        <v>455850</v>
      </c>
    </row>
    <row r="8" spans="1:24">
      <c r="A8">
        <v>4</v>
      </c>
      <c r="B8">
        <v>-0.01</v>
      </c>
      <c r="C8">
        <f>C7*(1+B8*2)</f>
        <v>99.92001599999999</v>
      </c>
      <c r="D8">
        <f>D7*(1-B8)</f>
        <v>199.960002</v>
      </c>
      <c r="E8">
        <f t="shared" si="0"/>
        <v>299.88001800000001</v>
      </c>
      <c r="F8">
        <f t="shared" si="1"/>
        <v>-2.0391840000000059</v>
      </c>
      <c r="G8">
        <f t="shared" si="1"/>
        <v>1.9798020000000065</v>
      </c>
      <c r="H8">
        <f>G8+F8</f>
        <v>-5.938199999999938E-2</v>
      </c>
      <c r="I8">
        <f t="shared" si="2"/>
        <v>-1.9793999999999793E-4</v>
      </c>
      <c r="J8">
        <f t="shared" si="3"/>
        <v>-3.9993999999998753E-4</v>
      </c>
      <c r="L8">
        <v>4</v>
      </c>
      <c r="M8">
        <v>-0.01</v>
      </c>
      <c r="N8">
        <f>N7*(1+M8*2)</f>
        <v>99920016</v>
      </c>
      <c r="O8">
        <f>O7*(1-M8)</f>
        <v>99980001</v>
      </c>
      <c r="P8">
        <f t="shared" si="4"/>
        <v>99980001</v>
      </c>
      <c r="Q8">
        <f t="shared" ref="Q8:Q15" si="7">SUM(N8:P8)-SUM(N7:P7)+(R8-R7-S7)</f>
        <v>-59988</v>
      </c>
      <c r="R8">
        <f t="shared" ref="R8:R15" si="8">(R7+S7)*(1+M8)</f>
        <v>59994</v>
      </c>
      <c r="S8">
        <f t="shared" si="5"/>
        <v>59988</v>
      </c>
      <c r="T8">
        <f t="shared" ref="T8:T15" si="9">SUM(N8:P8)+S8+R8</f>
        <v>300000000</v>
      </c>
      <c r="U8">
        <f t="shared" si="6"/>
        <v>0</v>
      </c>
    </row>
    <row r="9" spans="1:24">
      <c r="A9">
        <v>5</v>
      </c>
      <c r="B9">
        <v>0.01</v>
      </c>
      <c r="C9">
        <f t="shared" ref="C9:C15" si="10">C8*(1+B9*2)</f>
        <v>101.91841631999999</v>
      </c>
      <c r="D9">
        <f t="shared" ref="D9:D15" si="11">D8*(1-B9)</f>
        <v>197.96040198</v>
      </c>
      <c r="E9">
        <f t="shared" si="0"/>
        <v>299.87881829999998</v>
      </c>
      <c r="F9">
        <f t="shared" si="1"/>
        <v>1.9984003200000018</v>
      </c>
      <c r="G9">
        <f t="shared" si="1"/>
        <v>-1.9996000200000026</v>
      </c>
      <c r="H9">
        <f t="shared" ref="H9:H15" si="12">G9+F9</f>
        <v>-1.1997000000008029E-3</v>
      </c>
      <c r="I9">
        <f t="shared" si="2"/>
        <v>-3.9990000000026759E-6</v>
      </c>
      <c r="J9">
        <f t="shared" si="3"/>
        <v>-4.0393900000001981E-4</v>
      </c>
      <c r="L9">
        <v>5</v>
      </c>
      <c r="M9">
        <v>0.01</v>
      </c>
      <c r="N9">
        <f t="shared" ref="N9:N15" si="13">N8*(1+M9*2)</f>
        <v>101918416.32000001</v>
      </c>
      <c r="O9">
        <f t="shared" ref="O9:O15" si="14">O8*(1-M9)</f>
        <v>98980200.989999995</v>
      </c>
      <c r="P9">
        <f t="shared" si="4"/>
        <v>98980200.989999995</v>
      </c>
      <c r="Q9">
        <f t="shared" si="7"/>
        <v>0.12000001192791387</v>
      </c>
      <c r="R9">
        <f t="shared" si="8"/>
        <v>121181.82</v>
      </c>
      <c r="S9">
        <f t="shared" si="5"/>
        <v>-0.12000001192791387</v>
      </c>
      <c r="T9">
        <f t="shared" si="9"/>
        <v>300000000</v>
      </c>
      <c r="U9">
        <f t="shared" si="6"/>
        <v>0</v>
      </c>
    </row>
    <row r="10" spans="1:24">
      <c r="A10">
        <v>6</v>
      </c>
      <c r="B10">
        <v>-0.01</v>
      </c>
      <c r="C10">
        <f t="shared" si="10"/>
        <v>99.880047993599987</v>
      </c>
      <c r="D10">
        <f t="shared" si="11"/>
        <v>199.94000599980001</v>
      </c>
      <c r="E10">
        <f t="shared" si="0"/>
        <v>299.82005399339999</v>
      </c>
      <c r="F10">
        <f t="shared" si="1"/>
        <v>-2.0383683264000041</v>
      </c>
      <c r="G10">
        <f t="shared" si="1"/>
        <v>1.9796040198000071</v>
      </c>
      <c r="H10">
        <f t="shared" si="12"/>
        <v>-5.8764306599996985E-2</v>
      </c>
      <c r="I10">
        <f t="shared" si="2"/>
        <v>-1.9588102199998995E-4</v>
      </c>
      <c r="J10">
        <f t="shared" si="3"/>
        <v>-5.9982002199998607E-4</v>
      </c>
      <c r="L10">
        <v>6</v>
      </c>
      <c r="M10">
        <v>-0.01</v>
      </c>
      <c r="N10">
        <f t="shared" si="13"/>
        <v>99880047.993600011</v>
      </c>
      <c r="O10">
        <f t="shared" si="14"/>
        <v>99970002.999899998</v>
      </c>
      <c r="P10">
        <f t="shared" si="4"/>
        <v>99970002.999899998</v>
      </c>
      <c r="Q10">
        <f t="shared" si="7"/>
        <v>-59976.123600034116</v>
      </c>
      <c r="R10">
        <f t="shared" si="8"/>
        <v>119969.8829999882</v>
      </c>
      <c r="S10">
        <f t="shared" si="5"/>
        <v>59976.123600034116</v>
      </c>
      <c r="T10">
        <f t="shared" si="9"/>
        <v>300000000</v>
      </c>
      <c r="U10">
        <f t="shared" si="6"/>
        <v>0</v>
      </c>
    </row>
    <row r="11" spans="1:24">
      <c r="A11">
        <v>7</v>
      </c>
      <c r="B11">
        <v>0.01</v>
      </c>
      <c r="C11">
        <f t="shared" si="10"/>
        <v>101.87764895347199</v>
      </c>
      <c r="D11">
        <f t="shared" si="11"/>
        <v>197.940605939802</v>
      </c>
      <c r="E11">
        <f t="shared" si="0"/>
        <v>299.818254893274</v>
      </c>
      <c r="F11">
        <f t="shared" si="1"/>
        <v>1.9976009598720026</v>
      </c>
      <c r="G11">
        <f t="shared" si="1"/>
        <v>-1.9994000599980097</v>
      </c>
      <c r="H11">
        <f t="shared" si="12"/>
        <v>-1.7991001260071471E-3</v>
      </c>
      <c r="I11">
        <f t="shared" si="2"/>
        <v>-5.9970004200238234E-6</v>
      </c>
      <c r="J11">
        <f t="shared" si="3"/>
        <v>-6.0581702242001878E-4</v>
      </c>
      <c r="L11">
        <v>7</v>
      </c>
      <c r="M11">
        <v>0.01</v>
      </c>
      <c r="N11">
        <f t="shared" si="13"/>
        <v>101877648.95347202</v>
      </c>
      <c r="O11">
        <f t="shared" si="14"/>
        <v>98970302.969900995</v>
      </c>
      <c r="P11">
        <f t="shared" si="4"/>
        <v>98970302.969900995</v>
      </c>
      <c r="Q11">
        <f t="shared" si="7"/>
        <v>0.35994003177620471</v>
      </c>
      <c r="R11">
        <f t="shared" si="8"/>
        <v>181745.46666602255</v>
      </c>
      <c r="S11">
        <f t="shared" si="5"/>
        <v>-0.35994003177620471</v>
      </c>
      <c r="T11">
        <f t="shared" si="9"/>
        <v>300000000</v>
      </c>
      <c r="U11">
        <f t="shared" si="6"/>
        <v>0</v>
      </c>
    </row>
    <row r="12" spans="1:24">
      <c r="A12">
        <v>8</v>
      </c>
      <c r="B12">
        <v>-0.01</v>
      </c>
      <c r="C12">
        <f t="shared" si="10"/>
        <v>99.840095974402544</v>
      </c>
      <c r="D12">
        <f t="shared" si="11"/>
        <v>199.92001199920003</v>
      </c>
      <c r="E12">
        <f t="shared" si="0"/>
        <v>299.76010797360254</v>
      </c>
      <c r="F12">
        <f t="shared" si="1"/>
        <v>-2.0375529790694458</v>
      </c>
      <c r="G12">
        <f t="shared" si="1"/>
        <v>1.9794060593980305</v>
      </c>
      <c r="H12">
        <f t="shared" si="12"/>
        <v>-5.8146919671415276E-2</v>
      </c>
      <c r="I12">
        <f t="shared" si="2"/>
        <v>-1.9382306557138426E-4</v>
      </c>
      <c r="J12">
        <f t="shared" si="3"/>
        <v>-7.9964008799149333E-4</v>
      </c>
      <c r="L12">
        <v>8</v>
      </c>
      <c r="M12">
        <v>-0.01</v>
      </c>
      <c r="N12">
        <f t="shared" si="13"/>
        <v>99840095.974402577</v>
      </c>
      <c r="O12">
        <f t="shared" si="14"/>
        <v>99960005.999600008</v>
      </c>
      <c r="P12">
        <f t="shared" si="4"/>
        <v>99960005.999600008</v>
      </c>
      <c r="Q12">
        <f t="shared" si="7"/>
        <v>-59964.370738676196</v>
      </c>
      <c r="R12">
        <f t="shared" si="8"/>
        <v>179927.65565873086</v>
      </c>
      <c r="S12">
        <f t="shared" si="5"/>
        <v>59964.370738676196</v>
      </c>
      <c r="T12">
        <f t="shared" si="9"/>
        <v>300000000</v>
      </c>
      <c r="U12">
        <f t="shared" si="6"/>
        <v>0</v>
      </c>
    </row>
    <row r="13" spans="1:24">
      <c r="A13">
        <v>9</v>
      </c>
      <c r="B13">
        <v>0.01</v>
      </c>
      <c r="C13">
        <f t="shared" si="10"/>
        <v>101.83689789389059</v>
      </c>
      <c r="D13">
        <f t="shared" si="11"/>
        <v>197.92081187920803</v>
      </c>
      <c r="E13">
        <f t="shared" si="0"/>
        <v>299.75770977309861</v>
      </c>
      <c r="F13">
        <f t="shared" si="1"/>
        <v>1.9968019194880497</v>
      </c>
      <c r="G13">
        <f t="shared" si="1"/>
        <v>-1.9992001199919969</v>
      </c>
      <c r="H13">
        <f t="shared" si="12"/>
        <v>-2.3982005039471233E-3</v>
      </c>
      <c r="I13">
        <f t="shared" si="2"/>
        <v>-7.9940016798237437E-6</v>
      </c>
      <c r="J13">
        <f t="shared" si="3"/>
        <v>-8.0763408967132744E-4</v>
      </c>
      <c r="L13">
        <v>9</v>
      </c>
      <c r="M13">
        <v>0.01</v>
      </c>
      <c r="N13">
        <f t="shared" si="13"/>
        <v>101836897.89389063</v>
      </c>
      <c r="O13">
        <f t="shared" si="14"/>
        <v>98960405.939604014</v>
      </c>
      <c r="P13">
        <f t="shared" si="4"/>
        <v>98960405.939604014</v>
      </c>
      <c r="Q13">
        <f t="shared" si="7"/>
        <v>0.7197600883373525</v>
      </c>
      <c r="R13">
        <f t="shared" si="8"/>
        <v>242290.94666138114</v>
      </c>
      <c r="S13">
        <f t="shared" si="5"/>
        <v>-0.7197600883373525</v>
      </c>
      <c r="T13">
        <f t="shared" si="9"/>
        <v>300000000</v>
      </c>
      <c r="U13">
        <f t="shared" si="6"/>
        <v>0</v>
      </c>
    </row>
    <row r="14" spans="1:24">
      <c r="A14">
        <v>10</v>
      </c>
      <c r="B14">
        <v>-0.01</v>
      </c>
      <c r="C14">
        <f t="shared" si="10"/>
        <v>99.800159936012776</v>
      </c>
      <c r="D14">
        <f t="shared" si="11"/>
        <v>199.90001999800012</v>
      </c>
      <c r="E14">
        <f t="shared" si="0"/>
        <v>299.70017993401291</v>
      </c>
      <c r="F14">
        <f t="shared" si="1"/>
        <v>-2.0367379578778184</v>
      </c>
      <c r="G14">
        <f t="shared" si="1"/>
        <v>1.9792081187920871</v>
      </c>
      <c r="H14">
        <f t="shared" si="12"/>
        <v>-5.7529839085731282E-2</v>
      </c>
      <c r="I14">
        <f t="shared" si="2"/>
        <v>-1.9176613028577095E-4</v>
      </c>
      <c r="J14">
        <f t="shared" si="3"/>
        <v>-9.9940021995692518E-4</v>
      </c>
      <c r="L14">
        <v>10</v>
      </c>
      <c r="M14">
        <v>-0.01</v>
      </c>
      <c r="N14">
        <f t="shared" si="13"/>
        <v>99800159.936012819</v>
      </c>
      <c r="O14">
        <f t="shared" si="14"/>
        <v>99950009.999000058</v>
      </c>
      <c r="P14">
        <f t="shared" si="4"/>
        <v>99950009.999000058</v>
      </c>
      <c r="Q14">
        <f t="shared" si="7"/>
        <v>-59952.741354770667</v>
      </c>
      <c r="R14">
        <f t="shared" si="8"/>
        <v>239867.32463227987</v>
      </c>
      <c r="S14">
        <f t="shared" si="5"/>
        <v>59952.741354770667</v>
      </c>
      <c r="T14">
        <f t="shared" si="9"/>
        <v>300000000</v>
      </c>
      <c r="U14">
        <f t="shared" si="6"/>
        <v>0</v>
      </c>
    </row>
    <row r="15" spans="1:24">
      <c r="A15">
        <v>11</v>
      </c>
      <c r="B15">
        <v>0.01</v>
      </c>
      <c r="C15">
        <f t="shared" si="10"/>
        <v>101.79616313473304</v>
      </c>
      <c r="D15">
        <f t="shared" si="11"/>
        <v>197.90101979802012</v>
      </c>
      <c r="E15">
        <f t="shared" si="0"/>
        <v>299.69718293275315</v>
      </c>
      <c r="F15">
        <f t="shared" si="1"/>
        <v>1.9960031987202598</v>
      </c>
      <c r="G15">
        <f t="shared" si="1"/>
        <v>-1.9990001999800029</v>
      </c>
      <c r="H15">
        <f t="shared" si="12"/>
        <v>-2.997001259743115E-3</v>
      </c>
      <c r="I15">
        <f t="shared" si="2"/>
        <v>-9.9900041991437175E-6</v>
      </c>
      <c r="J15">
        <f t="shared" si="3"/>
        <v>-1.009390224156137E-3</v>
      </c>
      <c r="L15">
        <v>11</v>
      </c>
      <c r="M15">
        <v>0.01</v>
      </c>
      <c r="N15">
        <f t="shared" si="13"/>
        <v>101796163.13473308</v>
      </c>
      <c r="O15">
        <f t="shared" si="14"/>
        <v>98950509.899010062</v>
      </c>
      <c r="P15">
        <f t="shared" si="4"/>
        <v>98950509.899010062</v>
      </c>
      <c r="Q15">
        <f t="shared" si="7"/>
        <v>1.1994001263519749</v>
      </c>
      <c r="R15">
        <f t="shared" si="8"/>
        <v>302818.26664692105</v>
      </c>
      <c r="S15">
        <f t="shared" si="5"/>
        <v>-1.1994001263519749</v>
      </c>
      <c r="T15">
        <f t="shared" si="9"/>
        <v>300000000</v>
      </c>
      <c r="U15">
        <f t="shared" si="6"/>
        <v>0</v>
      </c>
    </row>
  </sheetData>
  <mergeCells count="2">
    <mergeCell ref="A2:J2"/>
    <mergeCell ref="L2:U2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26</vt:i4>
      </vt:variant>
      <vt:variant>
        <vt:lpstr>已命名的範圍</vt:lpstr>
      </vt:variant>
      <vt:variant>
        <vt:i4>9</vt:i4>
      </vt:variant>
    </vt:vector>
  </HeadingPairs>
  <TitlesOfParts>
    <vt:vector size="35" baseType="lpstr">
      <vt:lpstr>ETF即時價格</vt:lpstr>
      <vt:lpstr>KGI海期報價</vt:lpstr>
      <vt:lpstr>群益海期報價</vt:lpstr>
      <vt:lpstr>台期所</vt:lpstr>
      <vt:lpstr>匯率報價</vt:lpstr>
      <vt:lpstr>PCF匯率</vt:lpstr>
      <vt:lpstr>費用列表</vt:lpstr>
      <vt:lpstr>WebAPI_KGI</vt:lpstr>
      <vt:lpstr>WebAPI_國票</vt:lpstr>
      <vt:lpstr>PCF</vt:lpstr>
      <vt:lpstr>XQKGIAP</vt:lpstr>
      <vt:lpstr>ETF Update</vt:lpstr>
      <vt:lpstr>50台灣50系列即時淨值</vt:lpstr>
      <vt:lpstr>0055元大金融即時淨值</vt:lpstr>
      <vt:lpstr>0056高股息即時淨值</vt:lpstr>
      <vt:lpstr>6206上證50即時淨值</vt:lpstr>
      <vt:lpstr>61滬深300系列即時淨值</vt:lpstr>
      <vt:lpstr>S&amp;P500系列即時淨值</vt:lpstr>
      <vt:lpstr>石油ETF即時淨值</vt:lpstr>
      <vt:lpstr>黃金ETF即時淨值</vt:lpstr>
      <vt:lpstr>元大DDE</vt:lpstr>
      <vt:lpstr>美元指數ETF即時淨值</vt:lpstr>
      <vt:lpstr>日圓ETF即時淨值</vt:lpstr>
      <vt:lpstr>20年美債ETF即時淨值</vt:lpstr>
      <vt:lpstr>10年美債ETF即時淨值</vt:lpstr>
      <vt:lpstr>情境分析2</vt:lpstr>
      <vt:lpstr>'10年美債ETF即時淨值'!Print_Area</vt:lpstr>
      <vt:lpstr>'20年美債ETF即時淨值'!Print_Area</vt:lpstr>
      <vt:lpstr>'50台灣50系列即時淨值'!Print_Area</vt:lpstr>
      <vt:lpstr>'6206上證50即時淨值'!Print_Area</vt:lpstr>
      <vt:lpstr>ETF即時價格!Print_Area</vt:lpstr>
      <vt:lpstr>日圓ETF即時淨值!Print_Area</vt:lpstr>
      <vt:lpstr>石油ETF即時淨值!Print_Area</vt:lpstr>
      <vt:lpstr>美元指數ETF即時淨值!Print_Area</vt:lpstr>
      <vt:lpstr>黃金ETF即時淨值!Print_Area</vt:lpstr>
    </vt:vector>
  </TitlesOfParts>
  <Company>IBTS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eliko.chang</dc:creator>
  <cp:lastModifiedBy>Huang</cp:lastModifiedBy>
  <cp:lastPrinted>2015-10-22T08:12:05Z</cp:lastPrinted>
  <dcterms:created xsi:type="dcterms:W3CDTF">2014-09-23T01:52:25Z</dcterms:created>
  <dcterms:modified xsi:type="dcterms:W3CDTF">2019-07-13T14:04:58Z</dcterms:modified>
</cp:coreProperties>
</file>