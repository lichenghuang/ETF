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updateLinks="always" codeName="ThisWorkbook" defaultThemeVersion="124226"/>
  <bookViews>
    <workbookView xWindow="-13770" yWindow="1410" windowWidth="29040" windowHeight="10605" tabRatio="890" activeTab="10"/>
  </bookViews>
  <sheets>
    <sheet name="ETF即時價格" sheetId="34" r:id="rId1"/>
    <sheet name="KGI海期報價" sheetId="121" r:id="rId2"/>
    <sheet name="群益海期報價" sheetId="103" r:id="rId3"/>
    <sheet name="台期所" sheetId="71" r:id="rId4"/>
    <sheet name="匯率報價" sheetId="58" r:id="rId5"/>
    <sheet name="PCF匯率" sheetId="67" r:id="rId6"/>
    <sheet name="費用列表" sheetId="110" r:id="rId7"/>
    <sheet name="WebAPI_KGI" sheetId="117" r:id="rId8"/>
    <sheet name="WebAPI_國票" sheetId="115" r:id="rId9"/>
    <sheet name="ETF Update" sheetId="13" r:id="rId10"/>
    <sheet name="50台灣50系列即時淨值" sheetId="3" r:id="rId11"/>
    <sheet name="0055元大金融即時淨值" sheetId="65" r:id="rId12"/>
    <sheet name="0056高股息即時淨值" sheetId="64" r:id="rId13"/>
    <sheet name="6206上證50即時淨值" sheetId="29" r:id="rId14"/>
    <sheet name="61滬深300系列即時淨值" sheetId="62" r:id="rId15"/>
    <sheet name="S&amp;P500系列即時淨值" sheetId="105" r:id="rId16"/>
    <sheet name="石油ETF即時淨值" sheetId="48" r:id="rId17"/>
    <sheet name="黃金ETF即時淨值" sheetId="106" r:id="rId18"/>
    <sheet name="美元指數ETF即時淨值" sheetId="107" r:id="rId19"/>
    <sheet name="日圓ETF即時淨值" sheetId="111" r:id="rId20"/>
    <sheet name="20年美債ETF即時淨值" sheetId="112" r:id="rId21"/>
    <sheet name="10年美債ETF即時淨值" sheetId="114" r:id="rId22"/>
    <sheet name="情境分析2" sheetId="2" r:id="rId23"/>
  </sheets>
  <functionGroups builtInGroupCount="17"/>
  <externalReferences>
    <externalReference r:id="rId24"/>
  </externalReferences>
  <definedNames>
    <definedName name="_006206_4a_1" localSheetId="13">'6206上證50即時淨值'!#REF!</definedName>
    <definedName name="AUpdate">1</definedName>
    <definedName name="BUpdate">1</definedName>
    <definedName name="GUpdate">0</definedName>
    <definedName name="Port" localSheetId="21">#REF!</definedName>
    <definedName name="Port" localSheetId="20">#REF!</definedName>
    <definedName name="Port" localSheetId="1">#REF!</definedName>
    <definedName name="Port" localSheetId="15">#REF!</definedName>
    <definedName name="Port" localSheetId="19">#REF!</definedName>
    <definedName name="Port" localSheetId="3">#REF!</definedName>
    <definedName name="Port" localSheetId="18">#REF!</definedName>
    <definedName name="Port" localSheetId="17">#REF!</definedName>
    <definedName name="Port">#REF!</definedName>
    <definedName name="_xlnm.Print_Area" localSheetId="21">'10年美債ETF即時淨值'!$A$1:$AA$51</definedName>
    <definedName name="_xlnm.Print_Area" localSheetId="20">'20年美債ETF即時淨值'!$A$1:$Z$47</definedName>
    <definedName name="_xlnm.Print_Area" localSheetId="10">'50台灣50系列即時淨值'!$A$1:$R$79</definedName>
    <definedName name="_xlnm.Print_Area" localSheetId="13">'6206上證50即時淨值'!$A$1:$V$84</definedName>
    <definedName name="_xlnm.Print_Area" localSheetId="0">ETF即時價格!$A$1:$O$50</definedName>
    <definedName name="_xlnm.Print_Area" localSheetId="19">日圓ETF即時淨值!$A$1:$Z$45</definedName>
    <definedName name="_xlnm.Print_Area" localSheetId="16">石油ETF即時淨值!$A$1:$AA$52</definedName>
    <definedName name="_xlnm.Print_Area" localSheetId="18">美元指數ETF即時淨值!$A$1:$Z$47</definedName>
    <definedName name="_xlnm.Print_Area" localSheetId="17">黃金ETF即時淨值!$A$1:$AC$47</definedName>
    <definedName name="TUpdate">1</definedName>
  </definedNames>
  <calcPr calcId="145621"/>
</workbook>
</file>

<file path=xl/calcChain.xml><?xml version="1.0" encoding="utf-8"?>
<calcChain xmlns="http://schemas.openxmlformats.org/spreadsheetml/2006/main">
  <c r="J78" i="3" l="1"/>
  <c r="I78" i="3"/>
  <c r="H78" i="3"/>
  <c r="E78" i="3"/>
  <c r="J77" i="3"/>
  <c r="I77" i="3"/>
  <c r="H77" i="3"/>
  <c r="E77" i="3"/>
  <c r="J76" i="3"/>
  <c r="I76" i="3"/>
  <c r="H76" i="3"/>
  <c r="E76" i="3"/>
  <c r="J75" i="3"/>
  <c r="I75" i="3"/>
  <c r="H75" i="3"/>
  <c r="E75" i="3"/>
  <c r="J74" i="3"/>
  <c r="I74" i="3"/>
  <c r="H74" i="3"/>
  <c r="E74" i="3"/>
  <c r="J73" i="3"/>
  <c r="I73" i="3"/>
  <c r="H73" i="3"/>
  <c r="E73" i="3"/>
  <c r="J72" i="3"/>
  <c r="I72" i="3"/>
  <c r="H72" i="3"/>
  <c r="E72" i="3"/>
  <c r="J71" i="3"/>
  <c r="I71" i="3"/>
  <c r="H71" i="3"/>
  <c r="E71" i="3"/>
  <c r="J70" i="3"/>
  <c r="I70" i="3"/>
  <c r="H70" i="3"/>
  <c r="E70" i="3"/>
  <c r="J69" i="3"/>
  <c r="I69" i="3"/>
  <c r="H69" i="3"/>
  <c r="E69" i="3"/>
  <c r="J68" i="3"/>
  <c r="I68" i="3"/>
  <c r="H68" i="3"/>
  <c r="E68" i="3"/>
  <c r="J67" i="3"/>
  <c r="I67" i="3"/>
  <c r="H67" i="3"/>
  <c r="E67" i="3"/>
  <c r="J66" i="3"/>
  <c r="I66" i="3"/>
  <c r="H66" i="3"/>
  <c r="E66" i="3"/>
  <c r="J65" i="3"/>
  <c r="I65" i="3"/>
  <c r="H65" i="3"/>
  <c r="E65" i="3"/>
  <c r="J64" i="3"/>
  <c r="I64" i="3"/>
  <c r="H64" i="3"/>
  <c r="E64" i="3"/>
  <c r="J63" i="3"/>
  <c r="I63" i="3"/>
  <c r="H63" i="3"/>
  <c r="E63" i="3"/>
  <c r="J62" i="3"/>
  <c r="I62" i="3"/>
  <c r="H62" i="3"/>
  <c r="E62" i="3"/>
  <c r="J61" i="3"/>
  <c r="I61" i="3"/>
  <c r="H61" i="3"/>
  <c r="E61" i="3"/>
  <c r="J60" i="3"/>
  <c r="I60" i="3"/>
  <c r="H60" i="3"/>
  <c r="E60" i="3"/>
  <c r="J59" i="3"/>
  <c r="I59" i="3"/>
  <c r="H59" i="3"/>
  <c r="E59" i="3"/>
  <c r="J58" i="3"/>
  <c r="I58" i="3"/>
  <c r="H58" i="3"/>
  <c r="E58" i="3"/>
  <c r="J57" i="3"/>
  <c r="I57" i="3"/>
  <c r="H57" i="3"/>
  <c r="E57" i="3"/>
  <c r="J56" i="3"/>
  <c r="I56" i="3"/>
  <c r="H56" i="3"/>
  <c r="E56" i="3"/>
  <c r="J55" i="3"/>
  <c r="I55" i="3"/>
  <c r="H55" i="3"/>
  <c r="E55" i="3"/>
  <c r="J54" i="3"/>
  <c r="I54" i="3"/>
  <c r="H54" i="3"/>
  <c r="E54" i="3"/>
  <c r="J53" i="3"/>
  <c r="I53" i="3"/>
  <c r="H53" i="3"/>
  <c r="E53" i="3"/>
  <c r="J52" i="3"/>
  <c r="I52" i="3"/>
  <c r="H52" i="3"/>
  <c r="E52" i="3"/>
  <c r="J51" i="3"/>
  <c r="I51" i="3"/>
  <c r="H51" i="3"/>
  <c r="E51" i="3"/>
  <c r="J50" i="3"/>
  <c r="I50" i="3"/>
  <c r="H50" i="3"/>
  <c r="E50" i="3"/>
  <c r="J49" i="3"/>
  <c r="I49" i="3"/>
  <c r="H49" i="3"/>
  <c r="E49" i="3"/>
  <c r="J48" i="3"/>
  <c r="I48" i="3"/>
  <c r="H48" i="3"/>
  <c r="E48" i="3"/>
  <c r="J47" i="3"/>
  <c r="I47" i="3"/>
  <c r="H47" i="3"/>
  <c r="E47" i="3"/>
  <c r="J46" i="3"/>
  <c r="I46" i="3"/>
  <c r="H46" i="3"/>
  <c r="E46" i="3"/>
  <c r="J45" i="3"/>
  <c r="I45" i="3"/>
  <c r="H45" i="3"/>
  <c r="E45" i="3"/>
  <c r="J44" i="3"/>
  <c r="I44" i="3"/>
  <c r="H44" i="3"/>
  <c r="E44" i="3"/>
  <c r="J43" i="3"/>
  <c r="I43" i="3"/>
  <c r="H43" i="3"/>
  <c r="E43" i="3"/>
  <c r="J42" i="3"/>
  <c r="I42" i="3"/>
  <c r="H42" i="3"/>
  <c r="E42" i="3"/>
  <c r="J41" i="3"/>
  <c r="I41" i="3"/>
  <c r="H41" i="3"/>
  <c r="E41" i="3"/>
  <c r="J40" i="3"/>
  <c r="I40" i="3"/>
  <c r="H40" i="3"/>
  <c r="E40" i="3"/>
  <c r="J39" i="3"/>
  <c r="I39" i="3"/>
  <c r="H39" i="3"/>
  <c r="E39" i="3"/>
  <c r="J38" i="3"/>
  <c r="I38" i="3"/>
  <c r="H38" i="3"/>
  <c r="E38" i="3"/>
  <c r="J37" i="3"/>
  <c r="I37" i="3"/>
  <c r="H37" i="3"/>
  <c r="E37" i="3"/>
  <c r="J36" i="3"/>
  <c r="I36" i="3"/>
  <c r="H36" i="3"/>
  <c r="E36" i="3"/>
  <c r="J35" i="3"/>
  <c r="I35" i="3"/>
  <c r="H35" i="3"/>
  <c r="E35" i="3"/>
  <c r="J34" i="3"/>
  <c r="I34" i="3"/>
  <c r="H34" i="3"/>
  <c r="E34" i="3"/>
  <c r="J33" i="3"/>
  <c r="I33" i="3"/>
  <c r="H33" i="3"/>
  <c r="E33" i="3"/>
  <c r="J32" i="3"/>
  <c r="I32" i="3"/>
  <c r="H32" i="3"/>
  <c r="E32" i="3"/>
  <c r="J31" i="3"/>
  <c r="I31" i="3"/>
  <c r="H31" i="3"/>
  <c r="E31" i="3"/>
  <c r="J30" i="3"/>
  <c r="I30" i="3"/>
  <c r="H30" i="3"/>
  <c r="E30" i="3"/>
  <c r="J29" i="3"/>
  <c r="I29" i="3"/>
  <c r="H29" i="3"/>
  <c r="E29" i="3"/>
  <c r="E56" i="29" l="1"/>
  <c r="E51" i="29"/>
  <c r="E37" i="29"/>
  <c r="E18" i="29"/>
  <c r="E16" i="29"/>
  <c r="E15" i="29"/>
  <c r="E14" i="29"/>
  <c r="E13" i="29"/>
  <c r="E12" i="29"/>
  <c r="E11" i="29"/>
  <c r="E10" i="29"/>
  <c r="J59" i="29" l="1"/>
  <c r="I59" i="29"/>
  <c r="H59" i="29"/>
  <c r="E59" i="29"/>
  <c r="J58" i="29"/>
  <c r="I58" i="29"/>
  <c r="H58" i="29"/>
  <c r="E58" i="29"/>
  <c r="J57" i="29"/>
  <c r="I57" i="29"/>
  <c r="H57" i="29"/>
  <c r="E57" i="29"/>
  <c r="J56" i="29"/>
  <c r="I56" i="29"/>
  <c r="H56" i="29"/>
  <c r="J55" i="29"/>
  <c r="I55" i="29"/>
  <c r="H55" i="29"/>
  <c r="E55" i="29"/>
  <c r="J54" i="29"/>
  <c r="I54" i="29"/>
  <c r="H54" i="29"/>
  <c r="E54" i="29"/>
  <c r="J53" i="29"/>
  <c r="I53" i="29"/>
  <c r="H53" i="29"/>
  <c r="E53" i="29"/>
  <c r="J52" i="29"/>
  <c r="I52" i="29"/>
  <c r="H52" i="29"/>
  <c r="E52" i="29"/>
  <c r="J51" i="29"/>
  <c r="I51" i="29"/>
  <c r="H51" i="29"/>
  <c r="J50" i="29"/>
  <c r="I50" i="29"/>
  <c r="H50" i="29"/>
  <c r="E50" i="29"/>
  <c r="J49" i="29"/>
  <c r="I49" i="29"/>
  <c r="H49" i="29"/>
  <c r="E49" i="29"/>
  <c r="J48" i="29"/>
  <c r="I48" i="29"/>
  <c r="H48" i="29"/>
  <c r="E48" i="29"/>
  <c r="J47" i="29"/>
  <c r="I47" i="29"/>
  <c r="H47" i="29"/>
  <c r="E47" i="29"/>
  <c r="J46" i="29"/>
  <c r="I46" i="29"/>
  <c r="H46" i="29"/>
  <c r="E46" i="29"/>
  <c r="J45" i="29"/>
  <c r="I45" i="29"/>
  <c r="H45" i="29"/>
  <c r="E45" i="29"/>
  <c r="J44" i="29"/>
  <c r="I44" i="29"/>
  <c r="H44" i="29"/>
  <c r="E44" i="29"/>
  <c r="J43" i="29"/>
  <c r="I43" i="29"/>
  <c r="H43" i="29"/>
  <c r="E43" i="29"/>
  <c r="J42" i="29"/>
  <c r="I42" i="29"/>
  <c r="H42" i="29"/>
  <c r="E42" i="29"/>
  <c r="J41" i="29"/>
  <c r="I41" i="29"/>
  <c r="H41" i="29"/>
  <c r="E41" i="29"/>
  <c r="J40" i="29"/>
  <c r="I40" i="29"/>
  <c r="H40" i="29"/>
  <c r="E40" i="29"/>
  <c r="J39" i="29"/>
  <c r="I39" i="29"/>
  <c r="H39" i="29"/>
  <c r="E39" i="29"/>
  <c r="J38" i="29"/>
  <c r="I38" i="29"/>
  <c r="H38" i="29"/>
  <c r="E38" i="29"/>
  <c r="J37" i="29"/>
  <c r="I37" i="29"/>
  <c r="H37" i="29"/>
  <c r="J36" i="29"/>
  <c r="I36" i="29"/>
  <c r="H36" i="29"/>
  <c r="E36" i="29"/>
  <c r="J35" i="29"/>
  <c r="I35" i="29"/>
  <c r="H35" i="29"/>
  <c r="E35" i="29"/>
  <c r="J34" i="29"/>
  <c r="I34" i="29"/>
  <c r="H34" i="29"/>
  <c r="E34" i="29"/>
  <c r="J33" i="29"/>
  <c r="I33" i="29"/>
  <c r="H33" i="29"/>
  <c r="E33" i="29"/>
  <c r="J32" i="29"/>
  <c r="I32" i="29"/>
  <c r="H32" i="29"/>
  <c r="E32" i="29"/>
  <c r="J31" i="29"/>
  <c r="I31" i="29"/>
  <c r="H31" i="29"/>
  <c r="E31" i="29"/>
  <c r="J30" i="29"/>
  <c r="I30" i="29"/>
  <c r="H30" i="29"/>
  <c r="E30" i="29"/>
  <c r="J29" i="29"/>
  <c r="I29" i="29"/>
  <c r="H29" i="29"/>
  <c r="E29" i="29"/>
  <c r="J28" i="29"/>
  <c r="I28" i="29"/>
  <c r="H28" i="29"/>
  <c r="E28" i="29"/>
  <c r="J27" i="29"/>
  <c r="I27" i="29"/>
  <c r="H27" i="29"/>
  <c r="E27" i="29"/>
  <c r="J26" i="29"/>
  <c r="I26" i="29"/>
  <c r="H26" i="29"/>
  <c r="E26" i="29"/>
  <c r="J25" i="29"/>
  <c r="I25" i="29"/>
  <c r="H25" i="29"/>
  <c r="E25" i="29"/>
  <c r="J24" i="29"/>
  <c r="I24" i="29"/>
  <c r="H24" i="29"/>
  <c r="E24" i="29"/>
  <c r="J23" i="29"/>
  <c r="I23" i="29"/>
  <c r="H23" i="29"/>
  <c r="E23" i="29"/>
  <c r="J22" i="29"/>
  <c r="I22" i="29"/>
  <c r="H22" i="29"/>
  <c r="E22" i="29"/>
  <c r="J21" i="29"/>
  <c r="I21" i="29"/>
  <c r="H21" i="29"/>
  <c r="E21" i="29"/>
  <c r="J20" i="29"/>
  <c r="I20" i="29"/>
  <c r="H20" i="29"/>
  <c r="E20" i="29"/>
  <c r="J19" i="29"/>
  <c r="I19" i="29"/>
  <c r="H19" i="29"/>
  <c r="E19" i="29"/>
  <c r="J18" i="29"/>
  <c r="I18" i="29"/>
  <c r="H18" i="29"/>
  <c r="J17" i="29"/>
  <c r="I17" i="29"/>
  <c r="H17" i="29"/>
  <c r="E17" i="29"/>
  <c r="J16" i="29"/>
  <c r="I16" i="29"/>
  <c r="H16" i="29"/>
  <c r="J15" i="29"/>
  <c r="I15" i="29"/>
  <c r="H15" i="29"/>
  <c r="J14" i="29"/>
  <c r="I14" i="29"/>
  <c r="H14" i="29"/>
  <c r="J13" i="29"/>
  <c r="I13" i="29"/>
  <c r="H13" i="29"/>
  <c r="J12" i="29"/>
  <c r="I12" i="29"/>
  <c r="H12" i="29"/>
  <c r="J11" i="29"/>
  <c r="I11" i="29"/>
  <c r="H11" i="29"/>
  <c r="J10" i="29"/>
  <c r="I10" i="29"/>
  <c r="H10" i="29"/>
  <c r="J36" i="64" l="1"/>
  <c r="I36" i="64"/>
  <c r="H36" i="64"/>
  <c r="E36" i="64"/>
  <c r="J35" i="64"/>
  <c r="I35" i="64"/>
  <c r="H35" i="64"/>
  <c r="E35" i="64"/>
  <c r="J34" i="64"/>
  <c r="I34" i="64"/>
  <c r="H34" i="64"/>
  <c r="E34" i="64"/>
  <c r="J33" i="64"/>
  <c r="I33" i="64"/>
  <c r="H33" i="64"/>
  <c r="E33" i="64"/>
  <c r="J32" i="64"/>
  <c r="I32" i="64"/>
  <c r="H32" i="64"/>
  <c r="E32" i="64"/>
  <c r="J31" i="64"/>
  <c r="I31" i="64"/>
  <c r="H31" i="64"/>
  <c r="E31" i="64"/>
  <c r="J30" i="64"/>
  <c r="I30" i="64"/>
  <c r="H30" i="64"/>
  <c r="E30" i="64"/>
  <c r="J29" i="64"/>
  <c r="I29" i="64"/>
  <c r="H29" i="64"/>
  <c r="E29" i="64"/>
  <c r="J28" i="64"/>
  <c r="I28" i="64"/>
  <c r="H28" i="64"/>
  <c r="E28" i="64"/>
  <c r="J27" i="64"/>
  <c r="I27" i="64"/>
  <c r="H27" i="64"/>
  <c r="E27" i="64"/>
  <c r="J26" i="64"/>
  <c r="I26" i="64"/>
  <c r="H26" i="64"/>
  <c r="E26" i="64"/>
  <c r="J25" i="64"/>
  <c r="I25" i="64"/>
  <c r="H25" i="64"/>
  <c r="E25" i="64"/>
  <c r="J24" i="64"/>
  <c r="I24" i="64"/>
  <c r="H24" i="64"/>
  <c r="E24" i="64"/>
  <c r="J23" i="64"/>
  <c r="I23" i="64"/>
  <c r="H23" i="64"/>
  <c r="E23" i="64"/>
  <c r="J22" i="64"/>
  <c r="I22" i="64"/>
  <c r="H22" i="64"/>
  <c r="E22" i="64"/>
  <c r="J21" i="64"/>
  <c r="I21" i="64"/>
  <c r="H21" i="64"/>
  <c r="E21" i="64"/>
  <c r="J20" i="64"/>
  <c r="I20" i="64"/>
  <c r="H20" i="64"/>
  <c r="E20" i="64"/>
  <c r="J19" i="64"/>
  <c r="I19" i="64"/>
  <c r="H19" i="64"/>
  <c r="E19" i="64"/>
  <c r="J18" i="64"/>
  <c r="I18" i="64"/>
  <c r="H18" i="64"/>
  <c r="E18" i="64"/>
  <c r="J17" i="64"/>
  <c r="I17" i="64"/>
  <c r="H17" i="64"/>
  <c r="E17" i="64"/>
  <c r="J16" i="64"/>
  <c r="I16" i="64"/>
  <c r="H16" i="64"/>
  <c r="E16" i="64"/>
  <c r="J15" i="64"/>
  <c r="I15" i="64"/>
  <c r="H15" i="64"/>
  <c r="E15" i="64"/>
  <c r="J14" i="64"/>
  <c r="I14" i="64"/>
  <c r="H14" i="64"/>
  <c r="E14" i="64"/>
  <c r="J13" i="64"/>
  <c r="I13" i="64"/>
  <c r="H13" i="64"/>
  <c r="E13" i="64"/>
  <c r="J12" i="64"/>
  <c r="I12" i="64"/>
  <c r="H12" i="64"/>
  <c r="E12" i="64"/>
  <c r="J11" i="64"/>
  <c r="I11" i="64"/>
  <c r="H11" i="64"/>
  <c r="E11" i="64"/>
  <c r="J10" i="64"/>
  <c r="I10" i="64"/>
  <c r="H10" i="64"/>
  <c r="E10" i="64"/>
  <c r="J9" i="64"/>
  <c r="I9" i="64"/>
  <c r="H9" i="64"/>
  <c r="E9" i="64"/>
  <c r="J8" i="64"/>
  <c r="I8" i="64"/>
  <c r="H8" i="64"/>
  <c r="E8" i="64"/>
  <c r="J7" i="64"/>
  <c r="I7" i="64"/>
  <c r="H7" i="64"/>
  <c r="E7" i="64"/>
  <c r="J23" i="65"/>
  <c r="I23" i="65"/>
  <c r="H23" i="65"/>
  <c r="E23" i="65"/>
  <c r="J22" i="65"/>
  <c r="I22" i="65"/>
  <c r="H22" i="65"/>
  <c r="E22" i="65"/>
  <c r="J21" i="65"/>
  <c r="I21" i="65"/>
  <c r="H21" i="65"/>
  <c r="E21" i="65"/>
  <c r="J20" i="65"/>
  <c r="I20" i="65"/>
  <c r="H20" i="65"/>
  <c r="E20" i="65"/>
  <c r="J19" i="65"/>
  <c r="I19" i="65"/>
  <c r="H19" i="65"/>
  <c r="E19" i="65"/>
  <c r="J18" i="65"/>
  <c r="I18" i="65"/>
  <c r="H18" i="65"/>
  <c r="E18" i="65"/>
  <c r="J17" i="65"/>
  <c r="I17" i="65"/>
  <c r="H17" i="65"/>
  <c r="E17" i="65"/>
  <c r="J16" i="65"/>
  <c r="I16" i="65"/>
  <c r="H16" i="65"/>
  <c r="E16" i="65"/>
  <c r="J15" i="65"/>
  <c r="I15" i="65"/>
  <c r="H15" i="65"/>
  <c r="E15" i="65"/>
  <c r="J14" i="65"/>
  <c r="I14" i="65"/>
  <c r="H14" i="65"/>
  <c r="E14" i="65"/>
  <c r="J13" i="65"/>
  <c r="I13" i="65"/>
  <c r="H13" i="65"/>
  <c r="E13" i="65"/>
  <c r="J12" i="65"/>
  <c r="I12" i="65"/>
  <c r="H12" i="65"/>
  <c r="E12" i="65"/>
  <c r="J11" i="65"/>
  <c r="I11" i="65"/>
  <c r="H11" i="65"/>
  <c r="E11" i="65"/>
  <c r="J10" i="65"/>
  <c r="I10" i="65"/>
  <c r="H10" i="65"/>
  <c r="E10" i="65"/>
  <c r="J9" i="65"/>
  <c r="I9" i="65"/>
  <c r="H9" i="65"/>
  <c r="E9" i="65"/>
  <c r="J8" i="65"/>
  <c r="I8" i="65"/>
  <c r="H8" i="65"/>
  <c r="E8" i="65"/>
  <c r="J7" i="65"/>
  <c r="I7" i="65"/>
  <c r="H7" i="65"/>
  <c r="E7" i="65"/>
  <c r="E6" i="64"/>
  <c r="G6" i="64" s="1"/>
  <c r="H6" i="64"/>
  <c r="I6" i="64"/>
  <c r="J6" i="64"/>
  <c r="J6" i="65"/>
  <c r="I6" i="65"/>
  <c r="H6" i="65"/>
  <c r="E6" i="65"/>
  <c r="G6" i="65" s="1"/>
  <c r="J8" i="29"/>
  <c r="J9" i="29"/>
  <c r="I8" i="29"/>
  <c r="E9" i="29"/>
  <c r="E8" i="29"/>
  <c r="I9" i="29"/>
  <c r="H8" i="29"/>
  <c r="H9" i="29"/>
  <c r="K6" i="64" l="1"/>
  <c r="M6" i="64"/>
  <c r="L6" i="64"/>
  <c r="L6" i="65"/>
  <c r="M6" i="65"/>
  <c r="K6" i="65"/>
  <c r="C2" i="71" l="1"/>
  <c r="E39" i="121"/>
  <c r="H39" i="121"/>
  <c r="E35" i="121"/>
  <c r="H37" i="121"/>
  <c r="F41" i="121"/>
  <c r="D41" i="121"/>
  <c r="E44" i="121"/>
  <c r="G43" i="121"/>
  <c r="E37" i="121"/>
  <c r="D37" i="121"/>
  <c r="E51" i="121"/>
  <c r="E48" i="121"/>
  <c r="G46" i="121"/>
  <c r="G47" i="121"/>
  <c r="H38" i="121"/>
  <c r="F29" i="121"/>
  <c r="G45" i="121"/>
  <c r="D52" i="121"/>
  <c r="F36" i="121"/>
  <c r="F42" i="121"/>
  <c r="G42" i="121"/>
  <c r="G39" i="121"/>
  <c r="G44" i="121"/>
  <c r="H51" i="121"/>
  <c r="F51" i="121"/>
  <c r="E47" i="121"/>
  <c r="G48" i="121"/>
  <c r="H45" i="121"/>
  <c r="E29" i="121"/>
  <c r="E38" i="121"/>
  <c r="E52" i="121"/>
  <c r="H46" i="121"/>
  <c r="E43" i="121"/>
  <c r="F44" i="121"/>
  <c r="D40" i="121"/>
  <c r="E41" i="121"/>
  <c r="D47" i="121"/>
  <c r="D48" i="121"/>
  <c r="D45" i="121"/>
  <c r="F52" i="121"/>
  <c r="G38" i="121"/>
  <c r="D42" i="121"/>
  <c r="E34" i="121"/>
  <c r="F39" i="121"/>
  <c r="D39" i="121"/>
  <c r="H47" i="121"/>
  <c r="F40" i="121"/>
  <c r="H41" i="121"/>
  <c r="G40" i="121"/>
  <c r="D44" i="121"/>
  <c r="H44" i="121"/>
  <c r="G41" i="121"/>
  <c r="H40" i="121"/>
  <c r="E46" i="121"/>
  <c r="F48" i="121"/>
  <c r="D46" i="121"/>
  <c r="F38" i="121"/>
  <c r="H52" i="121"/>
  <c r="G29" i="121"/>
  <c r="G52" i="121"/>
  <c r="D29" i="121"/>
  <c r="E36" i="121"/>
  <c r="H42" i="121"/>
  <c r="D34" i="121"/>
  <c r="D35" i="121"/>
  <c r="H48" i="121"/>
  <c r="D43" i="121"/>
  <c r="D51" i="121"/>
  <c r="H43" i="121"/>
  <c r="F43" i="121"/>
  <c r="F46" i="121"/>
  <c r="H29" i="121"/>
  <c r="D38" i="121"/>
  <c r="D36" i="121"/>
  <c r="F34" i="121"/>
  <c r="F35" i="121"/>
  <c r="G51" i="121"/>
  <c r="E40" i="121"/>
  <c r="F37" i="121"/>
  <c r="G37" i="121"/>
  <c r="F47" i="121"/>
  <c r="F45" i="121"/>
  <c r="E45" i="121"/>
  <c r="E42" i="121"/>
  <c r="I52" i="121" l="1"/>
  <c r="I51" i="121"/>
  <c r="I48" i="121"/>
  <c r="I47" i="121"/>
  <c r="I46" i="121"/>
  <c r="I29" i="121"/>
  <c r="I45" i="121"/>
  <c r="I44" i="121"/>
  <c r="I43" i="121"/>
  <c r="I42" i="121"/>
  <c r="I41" i="121"/>
  <c r="I40" i="121"/>
  <c r="I39" i="121"/>
  <c r="I38" i="121"/>
  <c r="I37" i="121"/>
  <c r="L2" i="121" l="1"/>
  <c r="H7" i="121"/>
  <c r="E19" i="121"/>
  <c r="H22" i="121"/>
  <c r="D7" i="121"/>
  <c r="E14" i="121"/>
  <c r="D12" i="121"/>
  <c r="H12" i="121"/>
  <c r="H24" i="121"/>
  <c r="F20" i="121"/>
  <c r="E21" i="121"/>
  <c r="G21" i="121"/>
  <c r="F30" i="121"/>
  <c r="D25" i="121"/>
  <c r="H17" i="121"/>
  <c r="H9" i="121"/>
  <c r="H49" i="121"/>
  <c r="G28" i="121"/>
  <c r="G15" i="121"/>
  <c r="H32" i="121"/>
  <c r="H28" i="121"/>
  <c r="F25" i="121"/>
  <c r="E32" i="121"/>
  <c r="G23" i="121"/>
  <c r="E23" i="121"/>
  <c r="F11" i="121"/>
  <c r="D49" i="121"/>
  <c r="G22" i="121"/>
  <c r="E16" i="121"/>
  <c r="F10" i="121"/>
  <c r="H26" i="121"/>
  <c r="E33" i="121"/>
  <c r="F50" i="121"/>
  <c r="D33" i="121"/>
  <c r="H50" i="121"/>
  <c r="G36" i="121"/>
  <c r="D13" i="121"/>
  <c r="G4" i="121"/>
  <c r="G3" i="121"/>
  <c r="D4" i="121"/>
  <c r="D6" i="121"/>
  <c r="E4" i="121"/>
  <c r="H3" i="121"/>
  <c r="F15" i="121"/>
  <c r="E30" i="121"/>
  <c r="E28" i="121"/>
  <c r="G11" i="121"/>
  <c r="F17" i="121"/>
  <c r="D11" i="121"/>
  <c r="G16" i="121"/>
  <c r="F31" i="121"/>
  <c r="E26" i="121"/>
  <c r="H33" i="121"/>
  <c r="F4" i="121"/>
  <c r="D3" i="121"/>
  <c r="G6" i="121"/>
  <c r="H6" i="121"/>
  <c r="H34" i="121"/>
  <c r="H14" i="121"/>
  <c r="D19" i="121"/>
  <c r="H19" i="121"/>
  <c r="G14" i="121"/>
  <c r="H35" i="121"/>
  <c r="G12" i="121"/>
  <c r="E24" i="121"/>
  <c r="H23" i="121"/>
  <c r="H20" i="121"/>
  <c r="F21" i="121"/>
  <c r="F9" i="121"/>
  <c r="H27" i="121"/>
  <c r="D15" i="121"/>
  <c r="E27" i="121"/>
  <c r="D28" i="121"/>
  <c r="G8" i="121"/>
  <c r="H25" i="121"/>
  <c r="E15" i="121"/>
  <c r="H15" i="121"/>
  <c r="D9" i="121"/>
  <c r="H30" i="121"/>
  <c r="F32" i="121"/>
  <c r="D10" i="121"/>
  <c r="D17" i="121"/>
  <c r="E49" i="121"/>
  <c r="D16" i="121"/>
  <c r="E10" i="121"/>
  <c r="E11" i="121"/>
  <c r="D22" i="121"/>
  <c r="G26" i="121"/>
  <c r="G33" i="121"/>
  <c r="G50" i="121"/>
  <c r="D50" i="121"/>
  <c r="F33" i="121"/>
  <c r="H36" i="121"/>
  <c r="F13" i="121"/>
  <c r="F5" i="121"/>
  <c r="G5" i="121"/>
  <c r="D5" i="121"/>
  <c r="F3" i="121"/>
  <c r="H5" i="121"/>
  <c r="E2" i="121"/>
  <c r="G34" i="121"/>
  <c r="F14" i="121"/>
  <c r="G19" i="121"/>
  <c r="F19" i="121"/>
  <c r="D14" i="121"/>
  <c r="G35" i="121"/>
  <c r="E12" i="121"/>
  <c r="D24" i="121"/>
  <c r="G24" i="121"/>
  <c r="E20" i="121"/>
  <c r="H21" i="121"/>
  <c r="G25" i="121"/>
  <c r="D30" i="121"/>
  <c r="D8" i="121"/>
  <c r="H8" i="121"/>
  <c r="G9" i="121"/>
  <c r="D18" i="121"/>
  <c r="G18" i="121"/>
  <c r="G27" i="121"/>
  <c r="E25" i="121"/>
  <c r="F27" i="121"/>
  <c r="E18" i="121"/>
  <c r="F22" i="121"/>
  <c r="G10" i="121"/>
  <c r="F16" i="121"/>
  <c r="F23" i="121"/>
  <c r="G17" i="121"/>
  <c r="G32" i="121"/>
  <c r="D32" i="121"/>
  <c r="E17" i="121"/>
  <c r="F26" i="121"/>
  <c r="D31" i="121"/>
  <c r="E50" i="121"/>
  <c r="E31" i="121"/>
  <c r="H31" i="121"/>
  <c r="E13" i="121"/>
  <c r="H13" i="121"/>
  <c r="D2" i="121"/>
  <c r="G2" i="121"/>
  <c r="F6" i="121"/>
  <c r="E5" i="121"/>
  <c r="E3" i="121"/>
  <c r="H4" i="121"/>
  <c r="H16" i="121"/>
  <c r="H10" i="121"/>
  <c r="F7" i="121"/>
  <c r="E7" i="121"/>
  <c r="G7" i="121"/>
  <c r="H11" i="121"/>
  <c r="F12" i="121"/>
  <c r="F24" i="121"/>
  <c r="G20" i="121"/>
  <c r="D20" i="121"/>
  <c r="D21" i="121"/>
  <c r="E9" i="121"/>
  <c r="F18" i="121"/>
  <c r="D27" i="121"/>
  <c r="G30" i="121"/>
  <c r="F28" i="121"/>
  <c r="E8" i="121"/>
  <c r="H18" i="121"/>
  <c r="F8" i="121"/>
  <c r="D23" i="121"/>
  <c r="E22" i="121"/>
  <c r="F49" i="121"/>
  <c r="G49" i="121"/>
  <c r="D26" i="121"/>
  <c r="G31" i="121"/>
  <c r="G13" i="121"/>
  <c r="F2" i="121"/>
  <c r="E6" i="121"/>
  <c r="H2" i="121"/>
  <c r="J48" i="121" l="1"/>
  <c r="J52" i="121"/>
  <c r="J51" i="121"/>
  <c r="J46" i="121"/>
  <c r="J47" i="121"/>
  <c r="J29" i="121"/>
  <c r="J43" i="121"/>
  <c r="J45" i="121"/>
  <c r="J44" i="121"/>
  <c r="J41" i="121"/>
  <c r="J42" i="121"/>
  <c r="J40" i="121"/>
  <c r="J39" i="121"/>
  <c r="J37" i="121"/>
  <c r="J38" i="121"/>
  <c r="I36" i="121"/>
  <c r="J36" i="121" s="1"/>
  <c r="I35" i="121"/>
  <c r="J35" i="121" s="1"/>
  <c r="I34" i="121"/>
  <c r="J34" i="121" s="1"/>
  <c r="I33" i="121"/>
  <c r="J33" i="121" s="1"/>
  <c r="I32" i="121"/>
  <c r="J32" i="121" s="1"/>
  <c r="I31" i="121"/>
  <c r="J31" i="121" s="1"/>
  <c r="I30" i="121"/>
  <c r="J30" i="121" s="1"/>
  <c r="I28" i="121"/>
  <c r="J28" i="121" s="1"/>
  <c r="I27" i="121"/>
  <c r="J27" i="121" s="1"/>
  <c r="I26" i="121"/>
  <c r="J26" i="121" s="1"/>
  <c r="I25" i="121"/>
  <c r="J25" i="121" s="1"/>
  <c r="I24" i="121"/>
  <c r="J24" i="121" s="1"/>
  <c r="I23" i="121"/>
  <c r="J23" i="121" s="1"/>
  <c r="I22" i="121"/>
  <c r="J22" i="121" s="1"/>
  <c r="I19" i="121"/>
  <c r="J19" i="121" s="1"/>
  <c r="I21" i="121"/>
  <c r="J21" i="121" s="1"/>
  <c r="I20" i="121"/>
  <c r="J20" i="121" s="1"/>
  <c r="I16" i="121"/>
  <c r="J16" i="121" s="1"/>
  <c r="I18" i="121"/>
  <c r="J18" i="121" s="1"/>
  <c r="I17" i="121"/>
  <c r="J17" i="121" s="1"/>
  <c r="I15" i="121"/>
  <c r="J15" i="121" s="1"/>
  <c r="I14" i="121"/>
  <c r="J14" i="121" s="1"/>
  <c r="I13" i="121"/>
  <c r="J13" i="121" s="1"/>
  <c r="I4" i="121"/>
  <c r="J4" i="121" s="1"/>
  <c r="I2" i="121"/>
  <c r="J2" i="121" s="1"/>
  <c r="I3" i="121"/>
  <c r="J3" i="121" s="1"/>
  <c r="I6" i="121"/>
  <c r="J6" i="121" s="1"/>
  <c r="I5" i="121"/>
  <c r="J5" i="121" s="1"/>
  <c r="I12" i="121"/>
  <c r="J12" i="121" s="1"/>
  <c r="I50" i="121"/>
  <c r="J50" i="121" s="1"/>
  <c r="I8" i="121"/>
  <c r="J8" i="121" s="1"/>
  <c r="I49" i="121"/>
  <c r="J49" i="121" s="1"/>
  <c r="I11" i="121"/>
  <c r="J11" i="121" s="1"/>
  <c r="I7" i="121"/>
  <c r="J7" i="121" s="1"/>
  <c r="I9" i="121"/>
  <c r="J9" i="121" s="1"/>
  <c r="I10" i="121"/>
  <c r="J10" i="121" s="1"/>
  <c r="T128" i="110" l="1"/>
  <c r="K128" i="110"/>
  <c r="N128" i="110" s="1"/>
  <c r="I128" i="110"/>
  <c r="E128" i="110"/>
  <c r="T127" i="110"/>
  <c r="K127" i="110"/>
  <c r="N127" i="110" s="1"/>
  <c r="E127" i="110"/>
  <c r="I127" i="110" s="1"/>
  <c r="T126" i="110"/>
  <c r="K126" i="110"/>
  <c r="N126" i="110" s="1"/>
  <c r="I126" i="110"/>
  <c r="E126" i="110"/>
  <c r="T120" i="110"/>
  <c r="K120" i="110"/>
  <c r="N120" i="110" s="1"/>
  <c r="E120" i="110"/>
  <c r="I120" i="110" s="1"/>
  <c r="T119" i="110"/>
  <c r="K119" i="110"/>
  <c r="N119" i="110" s="1"/>
  <c r="I119" i="110"/>
  <c r="E119" i="110"/>
  <c r="T113" i="110"/>
  <c r="M113" i="110"/>
  <c r="K113" i="110"/>
  <c r="N113" i="110" s="1"/>
  <c r="G113" i="110"/>
  <c r="E113" i="110"/>
  <c r="I113" i="110" s="1"/>
  <c r="T106" i="110"/>
  <c r="N106" i="110"/>
  <c r="K106" i="110"/>
  <c r="E106" i="110"/>
  <c r="I106" i="110" s="1"/>
  <c r="T105" i="110"/>
  <c r="K105" i="110"/>
  <c r="N105" i="110" s="1"/>
  <c r="E105" i="110"/>
  <c r="I105" i="110" s="1"/>
  <c r="T104" i="110"/>
  <c r="N104" i="110"/>
  <c r="K104" i="110"/>
  <c r="E104" i="110"/>
  <c r="I104" i="110" s="1"/>
  <c r="T103" i="110"/>
  <c r="K103" i="110"/>
  <c r="N103" i="110" s="1"/>
  <c r="E103" i="110"/>
  <c r="I103" i="110" s="1"/>
  <c r="T97" i="110"/>
  <c r="N97" i="110"/>
  <c r="K97" i="110"/>
  <c r="E97" i="110"/>
  <c r="I97" i="110" s="1"/>
  <c r="T96" i="110"/>
  <c r="K96" i="110"/>
  <c r="N96" i="110" s="1"/>
  <c r="E96" i="110"/>
  <c r="I96" i="110" s="1"/>
  <c r="T95" i="110"/>
  <c r="N95" i="110"/>
  <c r="K95" i="110"/>
  <c r="E95" i="110"/>
  <c r="I95" i="110" s="1"/>
  <c r="T94" i="110"/>
  <c r="K94" i="110"/>
  <c r="N94" i="110" s="1"/>
  <c r="E94" i="110"/>
  <c r="I94" i="110" s="1"/>
  <c r="T93" i="110"/>
  <c r="N93" i="110"/>
  <c r="K93" i="110"/>
  <c r="E93" i="110"/>
  <c r="I93" i="110" s="1"/>
  <c r="T92" i="110"/>
  <c r="K92" i="110"/>
  <c r="N92" i="110" s="1"/>
  <c r="E92" i="110"/>
  <c r="I92" i="110" s="1"/>
  <c r="T91" i="110"/>
  <c r="N91" i="110"/>
  <c r="K91" i="110"/>
  <c r="E91" i="110"/>
  <c r="I91" i="110" s="1"/>
  <c r="T85" i="110"/>
  <c r="K85" i="110"/>
  <c r="N85" i="110" s="1"/>
  <c r="E85" i="110"/>
  <c r="I85" i="110" s="1"/>
  <c r="T84" i="110"/>
  <c r="N84" i="110"/>
  <c r="K84" i="110"/>
  <c r="E84" i="110"/>
  <c r="I84" i="110" s="1"/>
  <c r="T83" i="110"/>
  <c r="K83" i="110"/>
  <c r="N83" i="110" s="1"/>
  <c r="E83" i="110"/>
  <c r="I83" i="110" s="1"/>
  <c r="T82" i="110"/>
  <c r="N82" i="110"/>
  <c r="K82" i="110"/>
  <c r="E82" i="110"/>
  <c r="I82" i="110" s="1"/>
  <c r="T81" i="110"/>
  <c r="K81" i="110"/>
  <c r="N81" i="110" s="1"/>
  <c r="E81" i="110"/>
  <c r="I81" i="110" s="1"/>
  <c r="T80" i="110"/>
  <c r="N80" i="110"/>
  <c r="K80" i="110"/>
  <c r="E80" i="110"/>
  <c r="I80" i="110" s="1"/>
  <c r="T79" i="110"/>
  <c r="K79" i="110"/>
  <c r="N79" i="110" s="1"/>
  <c r="E79" i="110"/>
  <c r="I79" i="110" s="1"/>
  <c r="T78" i="110"/>
  <c r="N78" i="110"/>
  <c r="K78" i="110"/>
  <c r="E78" i="110"/>
  <c r="I78" i="110" s="1"/>
  <c r="T77" i="110"/>
  <c r="K77" i="110"/>
  <c r="N77" i="110" s="1"/>
  <c r="E77" i="110"/>
  <c r="I77" i="110" s="1"/>
  <c r="T76" i="110"/>
  <c r="N76" i="110"/>
  <c r="K76" i="110"/>
  <c r="E76" i="110"/>
  <c r="I76" i="110" s="1"/>
  <c r="T75" i="110"/>
  <c r="Q75" i="110"/>
  <c r="K75" i="110"/>
  <c r="N75" i="110" s="1"/>
  <c r="I75" i="110"/>
  <c r="E75" i="110"/>
  <c r="Q74" i="110"/>
  <c r="T74" i="110" s="1"/>
  <c r="N74" i="110"/>
  <c r="K74" i="110"/>
  <c r="E74" i="110"/>
  <c r="I74" i="110" s="1"/>
  <c r="Q73" i="110"/>
  <c r="T73" i="110" s="1"/>
  <c r="K73" i="110"/>
  <c r="N73" i="110" s="1"/>
  <c r="G73" i="110"/>
  <c r="E73" i="110"/>
  <c r="I73" i="110" s="1"/>
  <c r="T72" i="110"/>
  <c r="K72" i="110"/>
  <c r="N72" i="110" s="1"/>
  <c r="I72" i="110"/>
  <c r="E72" i="110"/>
  <c r="T71" i="110"/>
  <c r="K71" i="110"/>
  <c r="N71" i="110" s="1"/>
  <c r="E71" i="110"/>
  <c r="I71" i="110" s="1"/>
  <c r="T65" i="110"/>
  <c r="K65" i="110"/>
  <c r="N65" i="110" s="1"/>
  <c r="I65" i="110"/>
  <c r="E65" i="110"/>
  <c r="T64" i="110"/>
  <c r="K64" i="110"/>
  <c r="N64" i="110" s="1"/>
  <c r="E64" i="110"/>
  <c r="I64" i="110" s="1"/>
  <c r="T63" i="110"/>
  <c r="K63" i="110"/>
  <c r="N63" i="110" s="1"/>
  <c r="I63" i="110"/>
  <c r="E63" i="110"/>
  <c r="T62" i="110"/>
  <c r="K62" i="110"/>
  <c r="N62" i="110" s="1"/>
  <c r="E62" i="110"/>
  <c r="I62" i="110" s="1"/>
  <c r="T61" i="110"/>
  <c r="K61" i="110"/>
  <c r="N61" i="110" s="1"/>
  <c r="I61" i="110"/>
  <c r="E61" i="110"/>
  <c r="T60" i="110"/>
  <c r="K60" i="110"/>
  <c r="N60" i="110" s="1"/>
  <c r="E60" i="110"/>
  <c r="I60" i="110" s="1"/>
  <c r="T59" i="110"/>
  <c r="K59" i="110"/>
  <c r="N59" i="110" s="1"/>
  <c r="I59" i="110"/>
  <c r="E59" i="110"/>
  <c r="T58" i="110"/>
  <c r="K58" i="110"/>
  <c r="N58" i="110" s="1"/>
  <c r="E58" i="110"/>
  <c r="I58" i="110" s="1"/>
  <c r="T57" i="110"/>
  <c r="K57" i="110"/>
  <c r="N57" i="110" s="1"/>
  <c r="I57" i="110"/>
  <c r="E57" i="110"/>
  <c r="T56" i="110"/>
  <c r="K56" i="110"/>
  <c r="N56" i="110" s="1"/>
  <c r="E56" i="110"/>
  <c r="I56" i="110" s="1"/>
  <c r="T55" i="110"/>
  <c r="K55" i="110"/>
  <c r="N55" i="110" s="1"/>
  <c r="I55" i="110"/>
  <c r="E55" i="110"/>
  <c r="T54" i="110"/>
  <c r="K54" i="110"/>
  <c r="N54" i="110" s="1"/>
  <c r="E54" i="110"/>
  <c r="I54" i="110" s="1"/>
  <c r="T53" i="110"/>
  <c r="K53" i="110"/>
  <c r="N53" i="110" s="1"/>
  <c r="I53" i="110"/>
  <c r="E53" i="110"/>
  <c r="T52" i="110"/>
  <c r="K52" i="110"/>
  <c r="N52" i="110" s="1"/>
  <c r="E52" i="110"/>
  <c r="I52" i="110" s="1"/>
  <c r="T51" i="110"/>
  <c r="K51" i="110"/>
  <c r="N51" i="110" s="1"/>
  <c r="I51" i="110"/>
  <c r="E51" i="110"/>
  <c r="T50" i="110"/>
  <c r="K50" i="110"/>
  <c r="N50" i="110" s="1"/>
  <c r="E50" i="110"/>
  <c r="I50" i="110" s="1"/>
  <c r="T49" i="110"/>
  <c r="K49" i="110"/>
  <c r="N49" i="110" s="1"/>
  <c r="I49" i="110"/>
  <c r="E49" i="110"/>
  <c r="T48" i="110"/>
  <c r="K48" i="110"/>
  <c r="N48" i="110" s="1"/>
  <c r="E48" i="110"/>
  <c r="I48" i="110" s="1"/>
  <c r="T47" i="110"/>
  <c r="K47" i="110"/>
  <c r="N47" i="110" s="1"/>
  <c r="I47" i="110"/>
  <c r="E47" i="110"/>
  <c r="T46" i="110"/>
  <c r="K46" i="110"/>
  <c r="N46" i="110" s="1"/>
  <c r="I46" i="110"/>
  <c r="E46" i="110"/>
  <c r="T45" i="110"/>
  <c r="K45" i="110"/>
  <c r="N45" i="110" s="1"/>
  <c r="E45" i="110"/>
  <c r="I45" i="110" s="1"/>
  <c r="T44" i="110"/>
  <c r="K44" i="110"/>
  <c r="N44" i="110" s="1"/>
  <c r="E44" i="110"/>
  <c r="I44" i="110" s="1"/>
  <c r="T43" i="110"/>
  <c r="K43" i="110"/>
  <c r="N43" i="110" s="1"/>
  <c r="I43" i="110"/>
  <c r="E43" i="110"/>
  <c r="T42" i="110"/>
  <c r="K42" i="110"/>
  <c r="N42" i="110" s="1"/>
  <c r="I42" i="110"/>
  <c r="E42" i="110"/>
  <c r="T41" i="110"/>
  <c r="K41" i="110"/>
  <c r="N41" i="110" s="1"/>
  <c r="E41" i="110"/>
  <c r="I41" i="110" s="1"/>
  <c r="T35" i="110"/>
  <c r="K35" i="110"/>
  <c r="N35" i="110" s="1"/>
  <c r="E35" i="110"/>
  <c r="I35" i="110" s="1"/>
  <c r="T34" i="110"/>
  <c r="K34" i="110"/>
  <c r="N34" i="110" s="1"/>
  <c r="E34" i="110"/>
  <c r="I34" i="110" s="1"/>
  <c r="T33" i="110"/>
  <c r="K33" i="110"/>
  <c r="N33" i="110" s="1"/>
  <c r="E33" i="110"/>
  <c r="I33" i="110" s="1"/>
  <c r="T32" i="110"/>
  <c r="K32" i="110"/>
  <c r="N32" i="110" s="1"/>
  <c r="E32" i="110"/>
  <c r="I32" i="110" s="1"/>
  <c r="T31" i="110"/>
  <c r="K31" i="110"/>
  <c r="N31" i="110" s="1"/>
  <c r="E31" i="110"/>
  <c r="I31" i="110" s="1"/>
  <c r="T30" i="110"/>
  <c r="K30" i="110"/>
  <c r="N30" i="110" s="1"/>
  <c r="E30" i="110"/>
  <c r="I30" i="110" s="1"/>
  <c r="T29" i="110"/>
  <c r="M29" i="110"/>
  <c r="K29" i="110"/>
  <c r="G29" i="110"/>
  <c r="E29" i="110"/>
  <c r="I29" i="110" s="1"/>
  <c r="T28" i="110"/>
  <c r="M28" i="110"/>
  <c r="K28" i="110"/>
  <c r="N28" i="110" s="1"/>
  <c r="G28" i="110"/>
  <c r="E28" i="110"/>
  <c r="I28" i="110" s="1"/>
  <c r="T27" i="110"/>
  <c r="M27" i="110"/>
  <c r="K27" i="110"/>
  <c r="N27" i="110" s="1"/>
  <c r="I27" i="110"/>
  <c r="G27" i="110"/>
  <c r="E27" i="110"/>
  <c r="T26" i="110"/>
  <c r="N26" i="110"/>
  <c r="M26" i="110"/>
  <c r="K26" i="110"/>
  <c r="G26" i="110"/>
  <c r="E26" i="110"/>
  <c r="T25" i="110"/>
  <c r="M25" i="110"/>
  <c r="K25" i="110"/>
  <c r="G25" i="110"/>
  <c r="E25" i="110"/>
  <c r="T24" i="110"/>
  <c r="M24" i="110"/>
  <c r="K24" i="110"/>
  <c r="N24" i="110" s="1"/>
  <c r="G24" i="110"/>
  <c r="E24" i="110"/>
  <c r="I24" i="110" s="1"/>
  <c r="T23" i="110"/>
  <c r="M23" i="110"/>
  <c r="K23" i="110"/>
  <c r="G23" i="110"/>
  <c r="E23" i="110"/>
  <c r="I23" i="110" s="1"/>
  <c r="T22" i="110"/>
  <c r="M22" i="110"/>
  <c r="K22" i="110"/>
  <c r="N22" i="110" s="1"/>
  <c r="G22" i="110"/>
  <c r="E22" i="110"/>
  <c r="T21" i="110"/>
  <c r="M21" i="110"/>
  <c r="N21" i="110" s="1"/>
  <c r="K21" i="110"/>
  <c r="G21" i="110"/>
  <c r="E21" i="110"/>
  <c r="I21" i="110" s="1"/>
  <c r="T20" i="110"/>
  <c r="M20" i="110"/>
  <c r="K20" i="110"/>
  <c r="N20" i="110" s="1"/>
  <c r="G20" i="110"/>
  <c r="E20" i="110"/>
  <c r="I20" i="110" s="1"/>
  <c r="T19" i="110"/>
  <c r="M19" i="110"/>
  <c r="K19" i="110"/>
  <c r="N19" i="110" s="1"/>
  <c r="I19" i="110"/>
  <c r="G19" i="110"/>
  <c r="E19" i="110"/>
  <c r="T18" i="110"/>
  <c r="N18" i="110"/>
  <c r="K18" i="110"/>
  <c r="E18" i="110"/>
  <c r="I18" i="110" s="1"/>
  <c r="T17" i="110"/>
  <c r="K17" i="110"/>
  <c r="N17" i="110" s="1"/>
  <c r="E17" i="110"/>
  <c r="I17" i="110" s="1"/>
  <c r="T16" i="110"/>
  <c r="K16" i="110"/>
  <c r="N16" i="110" s="1"/>
  <c r="I16" i="110"/>
  <c r="E16" i="110"/>
  <c r="T15" i="110"/>
  <c r="K15" i="110"/>
  <c r="N15" i="110" s="1"/>
  <c r="E15" i="110"/>
  <c r="I15" i="110" s="1"/>
  <c r="T14" i="110"/>
  <c r="K14" i="110"/>
  <c r="N14" i="110" s="1"/>
  <c r="E14" i="110"/>
  <c r="I14" i="110" s="1"/>
  <c r="T13" i="110"/>
  <c r="K13" i="110"/>
  <c r="N13" i="110" s="1"/>
  <c r="E13" i="110"/>
  <c r="I13" i="110" s="1"/>
  <c r="T12" i="110"/>
  <c r="K12" i="110"/>
  <c r="N12" i="110" s="1"/>
  <c r="E12" i="110"/>
  <c r="I12" i="110" s="1"/>
  <c r="T11" i="110"/>
  <c r="K11" i="110"/>
  <c r="N11" i="110" s="1"/>
  <c r="E11" i="110"/>
  <c r="I11" i="110" s="1"/>
  <c r="T10" i="110"/>
  <c r="N10" i="110"/>
  <c r="K10" i="110"/>
  <c r="E10" i="110"/>
  <c r="I10" i="110" s="1"/>
  <c r="T9" i="110"/>
  <c r="K9" i="110"/>
  <c r="N9" i="110" s="1"/>
  <c r="E9" i="110"/>
  <c r="I9" i="110" s="1"/>
  <c r="T8" i="110"/>
  <c r="K8" i="110"/>
  <c r="N8" i="110" s="1"/>
  <c r="I8" i="110"/>
  <c r="E8" i="110"/>
  <c r="T7" i="110"/>
  <c r="K7" i="110"/>
  <c r="N7" i="110" s="1"/>
  <c r="E7" i="110"/>
  <c r="I7" i="110" s="1"/>
  <c r="T6" i="110"/>
  <c r="K6" i="110"/>
  <c r="N6" i="110" s="1"/>
  <c r="E6" i="110"/>
  <c r="I6" i="110" s="1"/>
  <c r="T5" i="110"/>
  <c r="K5" i="110"/>
  <c r="N5" i="110" s="1"/>
  <c r="E5" i="110"/>
  <c r="I5" i="110" s="1"/>
  <c r="T4" i="110"/>
  <c r="K4" i="110"/>
  <c r="N4" i="110" s="1"/>
  <c r="E4" i="110"/>
  <c r="I4" i="110" s="1"/>
  <c r="N25" i="110" l="1"/>
  <c r="I26" i="110"/>
  <c r="I22" i="110"/>
  <c r="N23" i="110"/>
  <c r="I25" i="110"/>
  <c r="N29" i="110"/>
  <c r="H39" i="34" l="1"/>
  <c r="G39" i="34"/>
  <c r="F39" i="34"/>
  <c r="H38" i="34"/>
  <c r="G38" i="34"/>
  <c r="F38" i="34"/>
  <c r="H37" i="34"/>
  <c r="K37" i="34" s="1"/>
  <c r="G37" i="34"/>
  <c r="J37" i="34" s="1"/>
  <c r="F37" i="34"/>
  <c r="I37" i="34" s="1"/>
  <c r="H36" i="34"/>
  <c r="G36" i="34"/>
  <c r="F36" i="34"/>
  <c r="H35" i="34"/>
  <c r="G35" i="34"/>
  <c r="F35" i="34"/>
  <c r="H34" i="34"/>
  <c r="K34" i="34" s="1"/>
  <c r="G34" i="34"/>
  <c r="J34" i="34" s="1"/>
  <c r="F34" i="34"/>
  <c r="I34" i="34" s="1"/>
  <c r="H33" i="34"/>
  <c r="K33" i="34" s="1"/>
  <c r="G33" i="34"/>
  <c r="J33" i="34" s="1"/>
  <c r="F33" i="34"/>
  <c r="I33" i="34" s="1"/>
  <c r="H32" i="34"/>
  <c r="K32" i="34" s="1"/>
  <c r="G32" i="34"/>
  <c r="J32" i="34" s="1"/>
  <c r="F32" i="34"/>
  <c r="I32" i="34" s="1"/>
  <c r="H31" i="34"/>
  <c r="K31" i="34" s="1"/>
  <c r="G31" i="34"/>
  <c r="J31" i="34" s="1"/>
  <c r="F31" i="34"/>
  <c r="I31" i="34" s="1"/>
  <c r="H30" i="34"/>
  <c r="G30" i="34"/>
  <c r="F30" i="34"/>
  <c r="H29" i="34"/>
  <c r="G29" i="34"/>
  <c r="F29" i="34"/>
  <c r="H28" i="34"/>
  <c r="G28" i="34"/>
  <c r="F28" i="34"/>
  <c r="H27" i="34"/>
  <c r="G27" i="34"/>
  <c r="F27" i="34"/>
  <c r="H26" i="34"/>
  <c r="G26" i="34"/>
  <c r="F26" i="34"/>
  <c r="H25" i="34"/>
  <c r="G25" i="34"/>
  <c r="F25" i="34"/>
  <c r="H24" i="34"/>
  <c r="G24" i="34"/>
  <c r="F24" i="34"/>
  <c r="H23" i="34"/>
  <c r="G23" i="34"/>
  <c r="F23" i="34"/>
  <c r="H22" i="34"/>
  <c r="G22" i="34"/>
  <c r="F22" i="34"/>
  <c r="H21" i="34"/>
  <c r="G21" i="34"/>
  <c r="F21" i="34"/>
  <c r="H20" i="34"/>
  <c r="G20" i="34"/>
  <c r="F20" i="34"/>
  <c r="H19" i="34"/>
  <c r="G19" i="34"/>
  <c r="F19" i="34"/>
  <c r="H18" i="34"/>
  <c r="G18" i="34"/>
  <c r="F18" i="34"/>
  <c r="H17" i="34"/>
  <c r="G17" i="34"/>
  <c r="F17" i="34"/>
  <c r="H16" i="34"/>
  <c r="G16" i="34"/>
  <c r="F16" i="34"/>
  <c r="H15" i="34"/>
  <c r="G15" i="34"/>
  <c r="F15" i="34"/>
  <c r="H14" i="34"/>
  <c r="G14" i="34"/>
  <c r="F14" i="34"/>
  <c r="H13" i="34"/>
  <c r="G13" i="34"/>
  <c r="F13" i="34"/>
  <c r="H12" i="34"/>
  <c r="K12" i="34" s="1"/>
  <c r="G12" i="34"/>
  <c r="J12" i="34" s="1"/>
  <c r="F12" i="34"/>
  <c r="I12" i="34" s="1"/>
  <c r="H11" i="34"/>
  <c r="K11" i="34" s="1"/>
  <c r="G11" i="34"/>
  <c r="J11" i="34" s="1"/>
  <c r="F11" i="34"/>
  <c r="I11" i="34" s="1"/>
  <c r="H10" i="34"/>
  <c r="K10" i="34" s="1"/>
  <c r="G10" i="34"/>
  <c r="J10" i="34" s="1"/>
  <c r="F10" i="34"/>
  <c r="I10" i="34" s="1"/>
  <c r="H9" i="34"/>
  <c r="G9" i="34"/>
  <c r="F9" i="34"/>
  <c r="H8" i="34"/>
  <c r="K8" i="34" s="1"/>
  <c r="G8" i="34"/>
  <c r="J8" i="34" s="1"/>
  <c r="F8" i="34"/>
  <c r="I8" i="34" s="1"/>
  <c r="H7" i="34"/>
  <c r="K7" i="34" s="1"/>
  <c r="G7" i="34"/>
  <c r="J7" i="34" s="1"/>
  <c r="F7" i="34"/>
  <c r="I7" i="34" s="1"/>
  <c r="H6" i="34"/>
  <c r="K6" i="34" s="1"/>
  <c r="G6" i="34"/>
  <c r="J6" i="34" s="1"/>
  <c r="F6" i="34"/>
  <c r="I6" i="34" s="1"/>
  <c r="H5" i="34"/>
  <c r="G5" i="34"/>
  <c r="F5" i="34"/>
  <c r="H4" i="34"/>
  <c r="G4" i="34"/>
  <c r="F4" i="34"/>
  <c r="H3" i="34"/>
  <c r="G3" i="34"/>
  <c r="F3" i="34"/>
  <c r="J23" i="105" l="1"/>
  <c r="J22" i="105"/>
  <c r="I23" i="105"/>
  <c r="I22" i="105"/>
  <c r="H23" i="105"/>
  <c r="H22" i="105"/>
  <c r="E23" i="105"/>
  <c r="E22" i="105"/>
  <c r="J17" i="105"/>
  <c r="J16" i="105"/>
  <c r="I17" i="105"/>
  <c r="I16" i="105"/>
  <c r="H17" i="105"/>
  <c r="H16" i="105"/>
  <c r="E17" i="105"/>
  <c r="E16" i="105"/>
  <c r="J12" i="105"/>
  <c r="J11" i="105"/>
  <c r="I12" i="105"/>
  <c r="I11" i="105"/>
  <c r="H12" i="105"/>
  <c r="H11" i="105"/>
  <c r="E12" i="105"/>
  <c r="E11" i="105"/>
  <c r="G23" i="105" l="1"/>
  <c r="G22" i="105"/>
  <c r="E363" i="105" l="1"/>
  <c r="G363" i="105" s="1"/>
  <c r="J253" i="105"/>
  <c r="I253" i="105"/>
  <c r="H253" i="105"/>
  <c r="E253" i="105"/>
  <c r="G253" i="105" s="1"/>
  <c r="J90" i="105"/>
  <c r="I90" i="105"/>
  <c r="H90" i="105"/>
  <c r="E90" i="105"/>
  <c r="G90" i="105" s="1"/>
  <c r="J31" i="105"/>
  <c r="I31" i="105"/>
  <c r="H31" i="105"/>
  <c r="E31" i="105"/>
  <c r="G31" i="105" s="1"/>
  <c r="J32" i="105"/>
  <c r="I32" i="105"/>
  <c r="H32" i="105"/>
  <c r="E32" i="105"/>
  <c r="G32" i="105" s="1"/>
  <c r="E28" i="62"/>
  <c r="J28" i="62"/>
  <c r="I28" i="62"/>
  <c r="H28" i="62"/>
  <c r="J27" i="62"/>
  <c r="I27" i="62"/>
  <c r="H27" i="62"/>
  <c r="J26" i="62"/>
  <c r="I26" i="62"/>
  <c r="H26" i="62"/>
  <c r="E27" i="62"/>
  <c r="E26" i="62"/>
  <c r="J528" i="105"/>
  <c r="I528" i="105"/>
  <c r="H528" i="105"/>
  <c r="E528" i="105"/>
  <c r="G528" i="105" s="1"/>
  <c r="J527" i="105"/>
  <c r="I527" i="105"/>
  <c r="H527" i="105"/>
  <c r="E527" i="105"/>
  <c r="G527" i="105" s="1"/>
  <c r="J526" i="105"/>
  <c r="I526" i="105"/>
  <c r="H526" i="105"/>
  <c r="E526" i="105"/>
  <c r="G526" i="105" s="1"/>
  <c r="J525" i="105"/>
  <c r="I525" i="105"/>
  <c r="H525" i="105"/>
  <c r="E525" i="105"/>
  <c r="G525" i="105" s="1"/>
  <c r="J524" i="105"/>
  <c r="I524" i="105"/>
  <c r="H524" i="105"/>
  <c r="E524" i="105"/>
  <c r="G524" i="105" s="1"/>
  <c r="J523" i="105"/>
  <c r="I523" i="105"/>
  <c r="H523" i="105"/>
  <c r="E523" i="105"/>
  <c r="G523" i="105" s="1"/>
  <c r="J522" i="105"/>
  <c r="I522" i="105"/>
  <c r="H522" i="105"/>
  <c r="E522" i="105"/>
  <c r="G522" i="105" s="1"/>
  <c r="J521" i="105"/>
  <c r="I521" i="105"/>
  <c r="H521" i="105"/>
  <c r="E521" i="105"/>
  <c r="G521" i="105" s="1"/>
  <c r="J520" i="105"/>
  <c r="I520" i="105"/>
  <c r="H520" i="105"/>
  <c r="E520" i="105"/>
  <c r="G520" i="105" s="1"/>
  <c r="J519" i="105"/>
  <c r="I519" i="105"/>
  <c r="H519" i="105"/>
  <c r="E519" i="105"/>
  <c r="G519" i="105" s="1"/>
  <c r="J518" i="105"/>
  <c r="I518" i="105"/>
  <c r="H518" i="105"/>
  <c r="E518" i="105"/>
  <c r="G518" i="105" s="1"/>
  <c r="J517" i="105"/>
  <c r="I517" i="105"/>
  <c r="H517" i="105"/>
  <c r="E517" i="105"/>
  <c r="G517" i="105" s="1"/>
  <c r="J516" i="105"/>
  <c r="I516" i="105"/>
  <c r="H516" i="105"/>
  <c r="E516" i="105"/>
  <c r="G516" i="105" s="1"/>
  <c r="J515" i="105"/>
  <c r="I515" i="105"/>
  <c r="H515" i="105"/>
  <c r="E515" i="105"/>
  <c r="G515" i="105" s="1"/>
  <c r="J514" i="105"/>
  <c r="I514" i="105"/>
  <c r="H514" i="105"/>
  <c r="E514" i="105"/>
  <c r="G514" i="105" s="1"/>
  <c r="J513" i="105"/>
  <c r="I513" i="105"/>
  <c r="H513" i="105"/>
  <c r="E513" i="105"/>
  <c r="G513" i="105" s="1"/>
  <c r="J512" i="105"/>
  <c r="I512" i="105"/>
  <c r="H512" i="105"/>
  <c r="E512" i="105"/>
  <c r="G512" i="105" s="1"/>
  <c r="J511" i="105"/>
  <c r="I511" i="105"/>
  <c r="H511" i="105"/>
  <c r="E511" i="105"/>
  <c r="G511" i="105" s="1"/>
  <c r="J510" i="105"/>
  <c r="I510" i="105"/>
  <c r="H510" i="105"/>
  <c r="E510" i="105"/>
  <c r="G510" i="105" s="1"/>
  <c r="J509" i="105"/>
  <c r="I509" i="105"/>
  <c r="H509" i="105"/>
  <c r="E509" i="105"/>
  <c r="G509" i="105" s="1"/>
  <c r="J508" i="105"/>
  <c r="I508" i="105"/>
  <c r="H508" i="105"/>
  <c r="E508" i="105"/>
  <c r="G508" i="105" s="1"/>
  <c r="J507" i="105"/>
  <c r="I507" i="105"/>
  <c r="H507" i="105"/>
  <c r="E507" i="105"/>
  <c r="G507" i="105" s="1"/>
  <c r="J506" i="105"/>
  <c r="I506" i="105"/>
  <c r="H506" i="105"/>
  <c r="E506" i="105"/>
  <c r="G506" i="105" s="1"/>
  <c r="J505" i="105"/>
  <c r="I505" i="105"/>
  <c r="H505" i="105"/>
  <c r="E505" i="105"/>
  <c r="G505" i="105" s="1"/>
  <c r="J504" i="105"/>
  <c r="I504" i="105"/>
  <c r="H504" i="105"/>
  <c r="E504" i="105"/>
  <c r="G504" i="105" s="1"/>
  <c r="J503" i="105"/>
  <c r="I503" i="105"/>
  <c r="H503" i="105"/>
  <c r="E503" i="105"/>
  <c r="G503" i="105" s="1"/>
  <c r="J502" i="105"/>
  <c r="I502" i="105"/>
  <c r="H502" i="105"/>
  <c r="E502" i="105"/>
  <c r="G502" i="105" s="1"/>
  <c r="J501" i="105"/>
  <c r="I501" i="105"/>
  <c r="H501" i="105"/>
  <c r="E501" i="105"/>
  <c r="G501" i="105" s="1"/>
  <c r="J500" i="105"/>
  <c r="I500" i="105"/>
  <c r="H500" i="105"/>
  <c r="E500" i="105"/>
  <c r="G500" i="105" s="1"/>
  <c r="J499" i="105"/>
  <c r="I499" i="105"/>
  <c r="H499" i="105"/>
  <c r="E499" i="105"/>
  <c r="G499" i="105" s="1"/>
  <c r="J498" i="105"/>
  <c r="I498" i="105"/>
  <c r="H498" i="105"/>
  <c r="E498" i="105"/>
  <c r="G498" i="105" s="1"/>
  <c r="J497" i="105"/>
  <c r="I497" i="105"/>
  <c r="H497" i="105"/>
  <c r="E497" i="105"/>
  <c r="G497" i="105" s="1"/>
  <c r="J496" i="105"/>
  <c r="I496" i="105"/>
  <c r="H496" i="105"/>
  <c r="E496" i="105"/>
  <c r="G496" i="105" s="1"/>
  <c r="J495" i="105"/>
  <c r="I495" i="105"/>
  <c r="H495" i="105"/>
  <c r="E495" i="105"/>
  <c r="G495" i="105" s="1"/>
  <c r="J494" i="105"/>
  <c r="I494" i="105"/>
  <c r="H494" i="105"/>
  <c r="E494" i="105"/>
  <c r="G494" i="105" s="1"/>
  <c r="J493" i="105"/>
  <c r="I493" i="105"/>
  <c r="H493" i="105"/>
  <c r="E493" i="105"/>
  <c r="G493" i="105" s="1"/>
  <c r="J492" i="105"/>
  <c r="I492" i="105"/>
  <c r="H492" i="105"/>
  <c r="E492" i="105"/>
  <c r="G492" i="105" s="1"/>
  <c r="J491" i="105"/>
  <c r="I491" i="105"/>
  <c r="H491" i="105"/>
  <c r="E491" i="105"/>
  <c r="G491" i="105" s="1"/>
  <c r="J490" i="105"/>
  <c r="I490" i="105"/>
  <c r="H490" i="105"/>
  <c r="E490" i="105"/>
  <c r="G490" i="105" s="1"/>
  <c r="J489" i="105"/>
  <c r="I489" i="105"/>
  <c r="H489" i="105"/>
  <c r="E489" i="105"/>
  <c r="G489" i="105" s="1"/>
  <c r="J488" i="105"/>
  <c r="I488" i="105"/>
  <c r="H488" i="105"/>
  <c r="E488" i="105"/>
  <c r="G488" i="105" s="1"/>
  <c r="J487" i="105"/>
  <c r="I487" i="105"/>
  <c r="H487" i="105"/>
  <c r="E487" i="105"/>
  <c r="G487" i="105" s="1"/>
  <c r="J486" i="105"/>
  <c r="I486" i="105"/>
  <c r="H486" i="105"/>
  <c r="E486" i="105"/>
  <c r="G486" i="105" s="1"/>
  <c r="J485" i="105"/>
  <c r="I485" i="105"/>
  <c r="H485" i="105"/>
  <c r="E485" i="105"/>
  <c r="G485" i="105" s="1"/>
  <c r="J484" i="105"/>
  <c r="I484" i="105"/>
  <c r="H484" i="105"/>
  <c r="E484" i="105"/>
  <c r="G484" i="105" s="1"/>
  <c r="J483" i="105"/>
  <c r="I483" i="105"/>
  <c r="H483" i="105"/>
  <c r="E483" i="105"/>
  <c r="G483" i="105" s="1"/>
  <c r="J482" i="105"/>
  <c r="I482" i="105"/>
  <c r="H482" i="105"/>
  <c r="E482" i="105"/>
  <c r="G482" i="105" s="1"/>
  <c r="J481" i="105"/>
  <c r="I481" i="105"/>
  <c r="H481" i="105"/>
  <c r="E481" i="105"/>
  <c r="G481" i="105" s="1"/>
  <c r="J480" i="105"/>
  <c r="I480" i="105"/>
  <c r="H480" i="105"/>
  <c r="E480" i="105"/>
  <c r="G480" i="105" s="1"/>
  <c r="J479" i="105"/>
  <c r="I479" i="105"/>
  <c r="H479" i="105"/>
  <c r="E479" i="105"/>
  <c r="G479" i="105" s="1"/>
  <c r="J478" i="105"/>
  <c r="I478" i="105"/>
  <c r="H478" i="105"/>
  <c r="E478" i="105"/>
  <c r="G478" i="105" s="1"/>
  <c r="J477" i="105"/>
  <c r="I477" i="105"/>
  <c r="H477" i="105"/>
  <c r="E477" i="105"/>
  <c r="G477" i="105" s="1"/>
  <c r="J476" i="105"/>
  <c r="I476" i="105"/>
  <c r="H476" i="105"/>
  <c r="E476" i="105"/>
  <c r="G476" i="105" s="1"/>
  <c r="J475" i="105"/>
  <c r="I475" i="105"/>
  <c r="H475" i="105"/>
  <c r="E475" i="105"/>
  <c r="G475" i="105" s="1"/>
  <c r="J474" i="105"/>
  <c r="I474" i="105"/>
  <c r="H474" i="105"/>
  <c r="E474" i="105"/>
  <c r="G474" i="105" s="1"/>
  <c r="J473" i="105"/>
  <c r="I473" i="105"/>
  <c r="H473" i="105"/>
  <c r="E473" i="105"/>
  <c r="G473" i="105" s="1"/>
  <c r="J472" i="105"/>
  <c r="I472" i="105"/>
  <c r="H472" i="105"/>
  <c r="E472" i="105"/>
  <c r="G472" i="105" s="1"/>
  <c r="J471" i="105"/>
  <c r="I471" i="105"/>
  <c r="H471" i="105"/>
  <c r="E471" i="105"/>
  <c r="G471" i="105" s="1"/>
  <c r="J470" i="105"/>
  <c r="I470" i="105"/>
  <c r="H470" i="105"/>
  <c r="E470" i="105"/>
  <c r="G470" i="105" s="1"/>
  <c r="J469" i="105"/>
  <c r="I469" i="105"/>
  <c r="H469" i="105"/>
  <c r="E469" i="105"/>
  <c r="G469" i="105" s="1"/>
  <c r="J468" i="105"/>
  <c r="I468" i="105"/>
  <c r="H468" i="105"/>
  <c r="E468" i="105"/>
  <c r="G468" i="105" s="1"/>
  <c r="J467" i="105"/>
  <c r="I467" i="105"/>
  <c r="H467" i="105"/>
  <c r="E467" i="105"/>
  <c r="G467" i="105" s="1"/>
  <c r="J466" i="105"/>
  <c r="I466" i="105"/>
  <c r="H466" i="105"/>
  <c r="E466" i="105"/>
  <c r="G466" i="105" s="1"/>
  <c r="J465" i="105"/>
  <c r="I465" i="105"/>
  <c r="H465" i="105"/>
  <c r="E465" i="105"/>
  <c r="G465" i="105" s="1"/>
  <c r="J464" i="105"/>
  <c r="I464" i="105"/>
  <c r="H464" i="105"/>
  <c r="E464" i="105"/>
  <c r="G464" i="105" s="1"/>
  <c r="J463" i="105"/>
  <c r="I463" i="105"/>
  <c r="H463" i="105"/>
  <c r="E463" i="105"/>
  <c r="G463" i="105" s="1"/>
  <c r="J462" i="105"/>
  <c r="I462" i="105"/>
  <c r="H462" i="105"/>
  <c r="E462" i="105"/>
  <c r="G462" i="105" s="1"/>
  <c r="J461" i="105"/>
  <c r="I461" i="105"/>
  <c r="H461" i="105"/>
  <c r="E461" i="105"/>
  <c r="G461" i="105" s="1"/>
  <c r="J460" i="105"/>
  <c r="I460" i="105"/>
  <c r="H460" i="105"/>
  <c r="E460" i="105"/>
  <c r="G460" i="105" s="1"/>
  <c r="J459" i="105"/>
  <c r="I459" i="105"/>
  <c r="H459" i="105"/>
  <c r="E459" i="105"/>
  <c r="G459" i="105" s="1"/>
  <c r="J458" i="105"/>
  <c r="I458" i="105"/>
  <c r="H458" i="105"/>
  <c r="E458" i="105"/>
  <c r="G458" i="105" s="1"/>
  <c r="J457" i="105"/>
  <c r="I457" i="105"/>
  <c r="H457" i="105"/>
  <c r="E457" i="105"/>
  <c r="G457" i="105" s="1"/>
  <c r="J456" i="105"/>
  <c r="I456" i="105"/>
  <c r="H456" i="105"/>
  <c r="E456" i="105"/>
  <c r="G456" i="105" s="1"/>
  <c r="J455" i="105"/>
  <c r="I455" i="105"/>
  <c r="H455" i="105"/>
  <c r="E455" i="105"/>
  <c r="G455" i="105" s="1"/>
  <c r="J454" i="105"/>
  <c r="I454" i="105"/>
  <c r="H454" i="105"/>
  <c r="E454" i="105"/>
  <c r="G454" i="105" s="1"/>
  <c r="J453" i="105"/>
  <c r="I453" i="105"/>
  <c r="H453" i="105"/>
  <c r="E453" i="105"/>
  <c r="G453" i="105" s="1"/>
  <c r="J452" i="105"/>
  <c r="I452" i="105"/>
  <c r="H452" i="105"/>
  <c r="E452" i="105"/>
  <c r="G452" i="105" s="1"/>
  <c r="J451" i="105"/>
  <c r="I451" i="105"/>
  <c r="H451" i="105"/>
  <c r="E451" i="105"/>
  <c r="G451" i="105" s="1"/>
  <c r="J450" i="105"/>
  <c r="I450" i="105"/>
  <c r="H450" i="105"/>
  <c r="E450" i="105"/>
  <c r="G450" i="105" s="1"/>
  <c r="J449" i="105"/>
  <c r="I449" i="105"/>
  <c r="H449" i="105"/>
  <c r="E449" i="105"/>
  <c r="G449" i="105" s="1"/>
  <c r="J448" i="105"/>
  <c r="I448" i="105"/>
  <c r="H448" i="105"/>
  <c r="E448" i="105"/>
  <c r="G448" i="105" s="1"/>
  <c r="J447" i="105"/>
  <c r="I447" i="105"/>
  <c r="H447" i="105"/>
  <c r="E447" i="105"/>
  <c r="G447" i="105" s="1"/>
  <c r="J446" i="105"/>
  <c r="I446" i="105"/>
  <c r="H446" i="105"/>
  <c r="E446" i="105"/>
  <c r="G446" i="105" s="1"/>
  <c r="J445" i="105"/>
  <c r="I445" i="105"/>
  <c r="H445" i="105"/>
  <c r="E445" i="105"/>
  <c r="G445" i="105" s="1"/>
  <c r="J444" i="105"/>
  <c r="I444" i="105"/>
  <c r="H444" i="105"/>
  <c r="E444" i="105"/>
  <c r="G444" i="105" s="1"/>
  <c r="J443" i="105"/>
  <c r="I443" i="105"/>
  <c r="H443" i="105"/>
  <c r="E443" i="105"/>
  <c r="G443" i="105" s="1"/>
  <c r="J442" i="105"/>
  <c r="I442" i="105"/>
  <c r="H442" i="105"/>
  <c r="E442" i="105"/>
  <c r="G442" i="105" s="1"/>
  <c r="J441" i="105"/>
  <c r="I441" i="105"/>
  <c r="H441" i="105"/>
  <c r="E441" i="105"/>
  <c r="G441" i="105" s="1"/>
  <c r="J440" i="105"/>
  <c r="I440" i="105"/>
  <c r="H440" i="105"/>
  <c r="E440" i="105"/>
  <c r="G440" i="105" s="1"/>
  <c r="J439" i="105"/>
  <c r="I439" i="105"/>
  <c r="H439" i="105"/>
  <c r="E439" i="105"/>
  <c r="G439" i="105" s="1"/>
  <c r="J438" i="105"/>
  <c r="I438" i="105"/>
  <c r="H438" i="105"/>
  <c r="E438" i="105"/>
  <c r="G438" i="105" s="1"/>
  <c r="J437" i="105"/>
  <c r="I437" i="105"/>
  <c r="H437" i="105"/>
  <c r="E437" i="105"/>
  <c r="G437" i="105" s="1"/>
  <c r="J436" i="105"/>
  <c r="I436" i="105"/>
  <c r="H436" i="105"/>
  <c r="E436" i="105"/>
  <c r="G436" i="105" s="1"/>
  <c r="J435" i="105"/>
  <c r="I435" i="105"/>
  <c r="H435" i="105"/>
  <c r="E435" i="105"/>
  <c r="G435" i="105" s="1"/>
  <c r="J434" i="105"/>
  <c r="I434" i="105"/>
  <c r="H434" i="105"/>
  <c r="E434" i="105"/>
  <c r="G434" i="105" s="1"/>
  <c r="J433" i="105"/>
  <c r="I433" i="105"/>
  <c r="H433" i="105"/>
  <c r="E433" i="105"/>
  <c r="G433" i="105" s="1"/>
  <c r="J432" i="105"/>
  <c r="I432" i="105"/>
  <c r="H432" i="105"/>
  <c r="E432" i="105"/>
  <c r="G432" i="105" s="1"/>
  <c r="J431" i="105"/>
  <c r="I431" i="105"/>
  <c r="H431" i="105"/>
  <c r="E431" i="105"/>
  <c r="G431" i="105" s="1"/>
  <c r="J430" i="105"/>
  <c r="I430" i="105"/>
  <c r="H430" i="105"/>
  <c r="E430" i="105"/>
  <c r="G430" i="105" s="1"/>
  <c r="J429" i="105"/>
  <c r="I429" i="105"/>
  <c r="H429" i="105"/>
  <c r="E429" i="105"/>
  <c r="G429" i="105" s="1"/>
  <c r="J428" i="105"/>
  <c r="I428" i="105"/>
  <c r="H428" i="105"/>
  <c r="E428" i="105"/>
  <c r="G428" i="105" s="1"/>
  <c r="J427" i="105"/>
  <c r="I427" i="105"/>
  <c r="H427" i="105"/>
  <c r="E427" i="105"/>
  <c r="G427" i="105" s="1"/>
  <c r="J426" i="105"/>
  <c r="I426" i="105"/>
  <c r="H426" i="105"/>
  <c r="E426" i="105"/>
  <c r="G426" i="105" s="1"/>
  <c r="J425" i="105"/>
  <c r="I425" i="105"/>
  <c r="H425" i="105"/>
  <c r="E425" i="105"/>
  <c r="G425" i="105" s="1"/>
  <c r="J424" i="105"/>
  <c r="I424" i="105"/>
  <c r="H424" i="105"/>
  <c r="E424" i="105"/>
  <c r="G424" i="105" s="1"/>
  <c r="J423" i="105"/>
  <c r="I423" i="105"/>
  <c r="H423" i="105"/>
  <c r="E423" i="105"/>
  <c r="G423" i="105" s="1"/>
  <c r="J422" i="105"/>
  <c r="I422" i="105"/>
  <c r="H422" i="105"/>
  <c r="E422" i="105"/>
  <c r="G422" i="105" s="1"/>
  <c r="J421" i="105"/>
  <c r="I421" i="105"/>
  <c r="H421" i="105"/>
  <c r="E421" i="105"/>
  <c r="G421" i="105" s="1"/>
  <c r="J420" i="105"/>
  <c r="I420" i="105"/>
  <c r="H420" i="105"/>
  <c r="E420" i="105"/>
  <c r="G420" i="105" s="1"/>
  <c r="J419" i="105"/>
  <c r="I419" i="105"/>
  <c r="H419" i="105"/>
  <c r="E419" i="105"/>
  <c r="G419" i="105" s="1"/>
  <c r="J418" i="105"/>
  <c r="I418" i="105"/>
  <c r="H418" i="105"/>
  <c r="E418" i="105"/>
  <c r="G418" i="105" s="1"/>
  <c r="J417" i="105"/>
  <c r="I417" i="105"/>
  <c r="H417" i="105"/>
  <c r="E417" i="105"/>
  <c r="G417" i="105" s="1"/>
  <c r="J416" i="105"/>
  <c r="I416" i="105"/>
  <c r="H416" i="105"/>
  <c r="E416" i="105"/>
  <c r="G416" i="105" s="1"/>
  <c r="J415" i="105"/>
  <c r="I415" i="105"/>
  <c r="H415" i="105"/>
  <c r="E415" i="105"/>
  <c r="G415" i="105" s="1"/>
  <c r="J414" i="105"/>
  <c r="I414" i="105"/>
  <c r="H414" i="105"/>
  <c r="E414" i="105"/>
  <c r="G414" i="105" s="1"/>
  <c r="J413" i="105"/>
  <c r="I413" i="105"/>
  <c r="H413" i="105"/>
  <c r="E413" i="105"/>
  <c r="G413" i="105" s="1"/>
  <c r="J412" i="105"/>
  <c r="I412" i="105"/>
  <c r="H412" i="105"/>
  <c r="E412" i="105"/>
  <c r="G412" i="105" s="1"/>
  <c r="J411" i="105"/>
  <c r="I411" i="105"/>
  <c r="H411" i="105"/>
  <c r="E411" i="105"/>
  <c r="G411" i="105" s="1"/>
  <c r="J410" i="105"/>
  <c r="I410" i="105"/>
  <c r="H410" i="105"/>
  <c r="E410" i="105"/>
  <c r="G410" i="105" s="1"/>
  <c r="J409" i="105"/>
  <c r="I409" i="105"/>
  <c r="H409" i="105"/>
  <c r="E409" i="105"/>
  <c r="G409" i="105" s="1"/>
  <c r="J408" i="105"/>
  <c r="I408" i="105"/>
  <c r="H408" i="105"/>
  <c r="E408" i="105"/>
  <c r="G408" i="105" s="1"/>
  <c r="J407" i="105"/>
  <c r="I407" i="105"/>
  <c r="H407" i="105"/>
  <c r="E407" i="105"/>
  <c r="G407" i="105" s="1"/>
  <c r="J406" i="105"/>
  <c r="I406" i="105"/>
  <c r="H406" i="105"/>
  <c r="E406" i="105"/>
  <c r="G406" i="105" s="1"/>
  <c r="J405" i="105"/>
  <c r="I405" i="105"/>
  <c r="H405" i="105"/>
  <c r="E405" i="105"/>
  <c r="G405" i="105" s="1"/>
  <c r="J404" i="105"/>
  <c r="I404" i="105"/>
  <c r="H404" i="105"/>
  <c r="E404" i="105"/>
  <c r="G404" i="105" s="1"/>
  <c r="J403" i="105"/>
  <c r="I403" i="105"/>
  <c r="H403" i="105"/>
  <c r="E403" i="105"/>
  <c r="G403" i="105" s="1"/>
  <c r="J402" i="105"/>
  <c r="I402" i="105"/>
  <c r="H402" i="105"/>
  <c r="E402" i="105"/>
  <c r="G402" i="105" s="1"/>
  <c r="J401" i="105"/>
  <c r="I401" i="105"/>
  <c r="H401" i="105"/>
  <c r="E401" i="105"/>
  <c r="G401" i="105" s="1"/>
  <c r="J400" i="105"/>
  <c r="I400" i="105"/>
  <c r="H400" i="105"/>
  <c r="E400" i="105"/>
  <c r="G400" i="105" s="1"/>
  <c r="J399" i="105"/>
  <c r="I399" i="105"/>
  <c r="H399" i="105"/>
  <c r="E399" i="105"/>
  <c r="G399" i="105" s="1"/>
  <c r="J398" i="105"/>
  <c r="I398" i="105"/>
  <c r="H398" i="105"/>
  <c r="E398" i="105"/>
  <c r="G398" i="105" s="1"/>
  <c r="J397" i="105"/>
  <c r="I397" i="105"/>
  <c r="H397" i="105"/>
  <c r="E397" i="105"/>
  <c r="G397" i="105" s="1"/>
  <c r="J396" i="105"/>
  <c r="I396" i="105"/>
  <c r="H396" i="105"/>
  <c r="E396" i="105"/>
  <c r="G396" i="105" s="1"/>
  <c r="J395" i="105"/>
  <c r="I395" i="105"/>
  <c r="H395" i="105"/>
  <c r="E395" i="105"/>
  <c r="G395" i="105" s="1"/>
  <c r="J394" i="105"/>
  <c r="I394" i="105"/>
  <c r="H394" i="105"/>
  <c r="E394" i="105"/>
  <c r="G394" i="105" s="1"/>
  <c r="J393" i="105"/>
  <c r="I393" i="105"/>
  <c r="H393" i="105"/>
  <c r="E393" i="105"/>
  <c r="G393" i="105" s="1"/>
  <c r="J392" i="105"/>
  <c r="I392" i="105"/>
  <c r="H392" i="105"/>
  <c r="E392" i="105"/>
  <c r="G392" i="105" s="1"/>
  <c r="J391" i="105"/>
  <c r="I391" i="105"/>
  <c r="H391" i="105"/>
  <c r="E391" i="105"/>
  <c r="G391" i="105" s="1"/>
  <c r="J390" i="105"/>
  <c r="I390" i="105"/>
  <c r="H390" i="105"/>
  <c r="E390" i="105"/>
  <c r="G390" i="105" s="1"/>
  <c r="J389" i="105"/>
  <c r="I389" i="105"/>
  <c r="H389" i="105"/>
  <c r="E389" i="105"/>
  <c r="G389" i="105" s="1"/>
  <c r="J388" i="105"/>
  <c r="I388" i="105"/>
  <c r="H388" i="105"/>
  <c r="E388" i="105"/>
  <c r="G388" i="105" s="1"/>
  <c r="J387" i="105"/>
  <c r="I387" i="105"/>
  <c r="H387" i="105"/>
  <c r="E387" i="105"/>
  <c r="G387" i="105" s="1"/>
  <c r="J386" i="105"/>
  <c r="I386" i="105"/>
  <c r="H386" i="105"/>
  <c r="E386" i="105"/>
  <c r="G386" i="105" s="1"/>
  <c r="J385" i="105"/>
  <c r="I385" i="105"/>
  <c r="H385" i="105"/>
  <c r="E385" i="105"/>
  <c r="G385" i="105" s="1"/>
  <c r="J384" i="105"/>
  <c r="I384" i="105"/>
  <c r="H384" i="105"/>
  <c r="E384" i="105"/>
  <c r="G384" i="105" s="1"/>
  <c r="J383" i="105"/>
  <c r="I383" i="105"/>
  <c r="H383" i="105"/>
  <c r="E383" i="105"/>
  <c r="G383" i="105" s="1"/>
  <c r="J382" i="105"/>
  <c r="I382" i="105"/>
  <c r="H382" i="105"/>
  <c r="E382" i="105"/>
  <c r="G382" i="105" s="1"/>
  <c r="J381" i="105"/>
  <c r="I381" i="105"/>
  <c r="H381" i="105"/>
  <c r="E381" i="105"/>
  <c r="G381" i="105" s="1"/>
  <c r="J380" i="105"/>
  <c r="I380" i="105"/>
  <c r="H380" i="105"/>
  <c r="E380" i="105"/>
  <c r="G380" i="105" s="1"/>
  <c r="J379" i="105"/>
  <c r="I379" i="105"/>
  <c r="H379" i="105"/>
  <c r="E379" i="105"/>
  <c r="G379" i="105" s="1"/>
  <c r="J378" i="105"/>
  <c r="I378" i="105"/>
  <c r="H378" i="105"/>
  <c r="E378" i="105"/>
  <c r="G378" i="105" s="1"/>
  <c r="J377" i="105"/>
  <c r="I377" i="105"/>
  <c r="H377" i="105"/>
  <c r="E377" i="105"/>
  <c r="G377" i="105" s="1"/>
  <c r="J376" i="105"/>
  <c r="I376" i="105"/>
  <c r="H376" i="105"/>
  <c r="E376" i="105"/>
  <c r="G376" i="105" s="1"/>
  <c r="J375" i="105"/>
  <c r="I375" i="105"/>
  <c r="H375" i="105"/>
  <c r="E375" i="105"/>
  <c r="G375" i="105" s="1"/>
  <c r="J374" i="105"/>
  <c r="I374" i="105"/>
  <c r="H374" i="105"/>
  <c r="E374" i="105"/>
  <c r="G374" i="105" s="1"/>
  <c r="J373" i="105"/>
  <c r="I373" i="105"/>
  <c r="H373" i="105"/>
  <c r="E373" i="105"/>
  <c r="G373" i="105" s="1"/>
  <c r="J372" i="105"/>
  <c r="I372" i="105"/>
  <c r="H372" i="105"/>
  <c r="E372" i="105"/>
  <c r="G372" i="105" s="1"/>
  <c r="J371" i="105"/>
  <c r="I371" i="105"/>
  <c r="H371" i="105"/>
  <c r="E371" i="105"/>
  <c r="G371" i="105" s="1"/>
  <c r="J370" i="105"/>
  <c r="I370" i="105"/>
  <c r="H370" i="105"/>
  <c r="E370" i="105"/>
  <c r="G370" i="105" s="1"/>
  <c r="J369" i="105"/>
  <c r="I369" i="105"/>
  <c r="H369" i="105"/>
  <c r="E369" i="105"/>
  <c r="G369" i="105" s="1"/>
  <c r="J368" i="105"/>
  <c r="I368" i="105"/>
  <c r="H368" i="105"/>
  <c r="E368" i="105"/>
  <c r="G368" i="105" s="1"/>
  <c r="J367" i="105"/>
  <c r="I367" i="105"/>
  <c r="H367" i="105"/>
  <c r="E367" i="105"/>
  <c r="G367" i="105" s="1"/>
  <c r="J366" i="105"/>
  <c r="I366" i="105"/>
  <c r="H366" i="105"/>
  <c r="E366" i="105"/>
  <c r="G366" i="105" s="1"/>
  <c r="J365" i="105"/>
  <c r="I365" i="105"/>
  <c r="H365" i="105"/>
  <c r="E365" i="105"/>
  <c r="G365" i="105" s="1"/>
  <c r="J364" i="105"/>
  <c r="I364" i="105"/>
  <c r="H364" i="105"/>
  <c r="E364" i="105"/>
  <c r="G364" i="105" s="1"/>
  <c r="J363" i="105"/>
  <c r="I363" i="105"/>
  <c r="H363" i="105"/>
  <c r="J362" i="105"/>
  <c r="I362" i="105"/>
  <c r="H362" i="105"/>
  <c r="E362" i="105"/>
  <c r="G362" i="105" s="1"/>
  <c r="J361" i="105"/>
  <c r="I361" i="105"/>
  <c r="H361" i="105"/>
  <c r="E361" i="105"/>
  <c r="G361" i="105" s="1"/>
  <c r="J360" i="105"/>
  <c r="I360" i="105"/>
  <c r="H360" i="105"/>
  <c r="E360" i="105"/>
  <c r="G360" i="105" s="1"/>
  <c r="J359" i="105"/>
  <c r="I359" i="105"/>
  <c r="H359" i="105"/>
  <c r="E359" i="105"/>
  <c r="G359" i="105" s="1"/>
  <c r="J358" i="105"/>
  <c r="I358" i="105"/>
  <c r="H358" i="105"/>
  <c r="E358" i="105"/>
  <c r="G358" i="105" s="1"/>
  <c r="J357" i="105"/>
  <c r="I357" i="105"/>
  <c r="H357" i="105"/>
  <c r="E357" i="105"/>
  <c r="G357" i="105" s="1"/>
  <c r="J356" i="105"/>
  <c r="I356" i="105"/>
  <c r="H356" i="105"/>
  <c r="E356" i="105"/>
  <c r="G356" i="105" s="1"/>
  <c r="J355" i="105"/>
  <c r="I355" i="105"/>
  <c r="H355" i="105"/>
  <c r="E355" i="105"/>
  <c r="G355" i="105" s="1"/>
  <c r="J354" i="105"/>
  <c r="I354" i="105"/>
  <c r="H354" i="105"/>
  <c r="E354" i="105"/>
  <c r="G354" i="105" s="1"/>
  <c r="J353" i="105"/>
  <c r="I353" i="105"/>
  <c r="H353" i="105"/>
  <c r="E353" i="105"/>
  <c r="G353" i="105" s="1"/>
  <c r="J352" i="105"/>
  <c r="I352" i="105"/>
  <c r="H352" i="105"/>
  <c r="E352" i="105"/>
  <c r="G352" i="105" s="1"/>
  <c r="J351" i="105"/>
  <c r="I351" i="105"/>
  <c r="H351" i="105"/>
  <c r="E351" i="105"/>
  <c r="G351" i="105" s="1"/>
  <c r="J350" i="105"/>
  <c r="I350" i="105"/>
  <c r="H350" i="105"/>
  <c r="E350" i="105"/>
  <c r="G350" i="105" s="1"/>
  <c r="J349" i="105"/>
  <c r="I349" i="105"/>
  <c r="H349" i="105"/>
  <c r="E349" i="105"/>
  <c r="G349" i="105" s="1"/>
  <c r="J348" i="105"/>
  <c r="I348" i="105"/>
  <c r="H348" i="105"/>
  <c r="E348" i="105"/>
  <c r="G348" i="105" s="1"/>
  <c r="J347" i="105"/>
  <c r="I347" i="105"/>
  <c r="H347" i="105"/>
  <c r="E347" i="105"/>
  <c r="G347" i="105" s="1"/>
  <c r="J346" i="105"/>
  <c r="I346" i="105"/>
  <c r="H346" i="105"/>
  <c r="E346" i="105"/>
  <c r="G346" i="105" s="1"/>
  <c r="J345" i="105"/>
  <c r="I345" i="105"/>
  <c r="H345" i="105"/>
  <c r="E345" i="105"/>
  <c r="G345" i="105" s="1"/>
  <c r="J344" i="105"/>
  <c r="I344" i="105"/>
  <c r="H344" i="105"/>
  <c r="E344" i="105"/>
  <c r="G344" i="105" s="1"/>
  <c r="J343" i="105"/>
  <c r="I343" i="105"/>
  <c r="H343" i="105"/>
  <c r="E343" i="105"/>
  <c r="G343" i="105" s="1"/>
  <c r="J342" i="105"/>
  <c r="I342" i="105"/>
  <c r="H342" i="105"/>
  <c r="E342" i="105"/>
  <c r="G342" i="105" s="1"/>
  <c r="J341" i="105"/>
  <c r="I341" i="105"/>
  <c r="H341" i="105"/>
  <c r="E341" i="105"/>
  <c r="G341" i="105" s="1"/>
  <c r="J340" i="105"/>
  <c r="I340" i="105"/>
  <c r="H340" i="105"/>
  <c r="E340" i="105"/>
  <c r="G340" i="105" s="1"/>
  <c r="J339" i="105"/>
  <c r="I339" i="105"/>
  <c r="H339" i="105"/>
  <c r="E339" i="105"/>
  <c r="G339" i="105" s="1"/>
  <c r="J338" i="105"/>
  <c r="I338" i="105"/>
  <c r="H338" i="105"/>
  <c r="E338" i="105"/>
  <c r="G338" i="105" s="1"/>
  <c r="J337" i="105"/>
  <c r="I337" i="105"/>
  <c r="H337" i="105"/>
  <c r="E337" i="105"/>
  <c r="G337" i="105" s="1"/>
  <c r="J336" i="105"/>
  <c r="I336" i="105"/>
  <c r="H336" i="105"/>
  <c r="E336" i="105"/>
  <c r="G336" i="105" s="1"/>
  <c r="J335" i="105"/>
  <c r="I335" i="105"/>
  <c r="H335" i="105"/>
  <c r="E335" i="105"/>
  <c r="G335" i="105" s="1"/>
  <c r="J334" i="105"/>
  <c r="I334" i="105"/>
  <c r="H334" i="105"/>
  <c r="E334" i="105"/>
  <c r="G334" i="105" s="1"/>
  <c r="J333" i="105"/>
  <c r="I333" i="105"/>
  <c r="H333" i="105"/>
  <c r="E333" i="105"/>
  <c r="G333" i="105" s="1"/>
  <c r="J332" i="105"/>
  <c r="I332" i="105"/>
  <c r="H332" i="105"/>
  <c r="E332" i="105"/>
  <c r="G332" i="105" s="1"/>
  <c r="J331" i="105"/>
  <c r="I331" i="105"/>
  <c r="H331" i="105"/>
  <c r="E331" i="105"/>
  <c r="G331" i="105" s="1"/>
  <c r="J330" i="105"/>
  <c r="I330" i="105"/>
  <c r="H330" i="105"/>
  <c r="E330" i="105"/>
  <c r="G330" i="105" s="1"/>
  <c r="J329" i="105"/>
  <c r="I329" i="105"/>
  <c r="H329" i="105"/>
  <c r="E329" i="105"/>
  <c r="G329" i="105" s="1"/>
  <c r="J328" i="105"/>
  <c r="I328" i="105"/>
  <c r="H328" i="105"/>
  <c r="E328" i="105"/>
  <c r="G328" i="105" s="1"/>
  <c r="J327" i="105"/>
  <c r="I327" i="105"/>
  <c r="H327" i="105"/>
  <c r="E327" i="105"/>
  <c r="G327" i="105" s="1"/>
  <c r="J326" i="105"/>
  <c r="I326" i="105"/>
  <c r="H326" i="105"/>
  <c r="E326" i="105"/>
  <c r="G326" i="105" s="1"/>
  <c r="J325" i="105"/>
  <c r="I325" i="105"/>
  <c r="H325" i="105"/>
  <c r="E325" i="105"/>
  <c r="G325" i="105" s="1"/>
  <c r="J324" i="105"/>
  <c r="I324" i="105"/>
  <c r="H324" i="105"/>
  <c r="E324" i="105"/>
  <c r="G324" i="105" s="1"/>
  <c r="J323" i="105"/>
  <c r="I323" i="105"/>
  <c r="H323" i="105"/>
  <c r="E323" i="105"/>
  <c r="G323" i="105" s="1"/>
  <c r="J322" i="105"/>
  <c r="I322" i="105"/>
  <c r="H322" i="105"/>
  <c r="E322" i="105"/>
  <c r="G322" i="105" s="1"/>
  <c r="J321" i="105"/>
  <c r="I321" i="105"/>
  <c r="H321" i="105"/>
  <c r="E321" i="105"/>
  <c r="G321" i="105" s="1"/>
  <c r="J320" i="105"/>
  <c r="I320" i="105"/>
  <c r="H320" i="105"/>
  <c r="E320" i="105"/>
  <c r="G320" i="105" s="1"/>
  <c r="J319" i="105"/>
  <c r="I319" i="105"/>
  <c r="H319" i="105"/>
  <c r="E319" i="105"/>
  <c r="G319" i="105" s="1"/>
  <c r="J318" i="105"/>
  <c r="I318" i="105"/>
  <c r="H318" i="105"/>
  <c r="E318" i="105"/>
  <c r="G318" i="105" s="1"/>
  <c r="J317" i="105"/>
  <c r="I317" i="105"/>
  <c r="H317" i="105"/>
  <c r="E317" i="105"/>
  <c r="G317" i="105" s="1"/>
  <c r="J316" i="105"/>
  <c r="I316" i="105"/>
  <c r="H316" i="105"/>
  <c r="E316" i="105"/>
  <c r="G316" i="105" s="1"/>
  <c r="J315" i="105"/>
  <c r="I315" i="105"/>
  <c r="H315" i="105"/>
  <c r="E315" i="105"/>
  <c r="G315" i="105" s="1"/>
  <c r="J314" i="105"/>
  <c r="I314" i="105"/>
  <c r="H314" i="105"/>
  <c r="E314" i="105"/>
  <c r="G314" i="105" s="1"/>
  <c r="J313" i="105"/>
  <c r="I313" i="105"/>
  <c r="H313" i="105"/>
  <c r="E313" i="105"/>
  <c r="G313" i="105" s="1"/>
  <c r="J312" i="105"/>
  <c r="I312" i="105"/>
  <c r="H312" i="105"/>
  <c r="E312" i="105"/>
  <c r="G312" i="105" s="1"/>
  <c r="J311" i="105"/>
  <c r="I311" i="105"/>
  <c r="H311" i="105"/>
  <c r="E311" i="105"/>
  <c r="G311" i="105" s="1"/>
  <c r="J310" i="105"/>
  <c r="I310" i="105"/>
  <c r="H310" i="105"/>
  <c r="E310" i="105"/>
  <c r="G310" i="105" s="1"/>
  <c r="J309" i="105"/>
  <c r="I309" i="105"/>
  <c r="H309" i="105"/>
  <c r="E309" i="105"/>
  <c r="G309" i="105" s="1"/>
  <c r="J308" i="105"/>
  <c r="I308" i="105"/>
  <c r="H308" i="105"/>
  <c r="E308" i="105"/>
  <c r="G308" i="105" s="1"/>
  <c r="J307" i="105"/>
  <c r="I307" i="105"/>
  <c r="H307" i="105"/>
  <c r="E307" i="105"/>
  <c r="G307" i="105" s="1"/>
  <c r="J306" i="105"/>
  <c r="I306" i="105"/>
  <c r="H306" i="105"/>
  <c r="E306" i="105"/>
  <c r="G306" i="105" s="1"/>
  <c r="J305" i="105"/>
  <c r="I305" i="105"/>
  <c r="H305" i="105"/>
  <c r="E305" i="105"/>
  <c r="G305" i="105" s="1"/>
  <c r="J304" i="105"/>
  <c r="I304" i="105"/>
  <c r="H304" i="105"/>
  <c r="E304" i="105"/>
  <c r="G304" i="105" s="1"/>
  <c r="J303" i="105"/>
  <c r="I303" i="105"/>
  <c r="H303" i="105"/>
  <c r="E303" i="105"/>
  <c r="G303" i="105" s="1"/>
  <c r="J302" i="105"/>
  <c r="I302" i="105"/>
  <c r="H302" i="105"/>
  <c r="E302" i="105"/>
  <c r="G302" i="105" s="1"/>
  <c r="J301" i="105"/>
  <c r="I301" i="105"/>
  <c r="H301" i="105"/>
  <c r="E301" i="105"/>
  <c r="G301" i="105" s="1"/>
  <c r="J300" i="105"/>
  <c r="I300" i="105"/>
  <c r="H300" i="105"/>
  <c r="E300" i="105"/>
  <c r="G300" i="105" s="1"/>
  <c r="J299" i="105"/>
  <c r="I299" i="105"/>
  <c r="H299" i="105"/>
  <c r="E299" i="105"/>
  <c r="G299" i="105" s="1"/>
  <c r="J298" i="105"/>
  <c r="I298" i="105"/>
  <c r="H298" i="105"/>
  <c r="E298" i="105"/>
  <c r="G298" i="105" s="1"/>
  <c r="J297" i="105"/>
  <c r="I297" i="105"/>
  <c r="H297" i="105"/>
  <c r="E297" i="105"/>
  <c r="G297" i="105" s="1"/>
  <c r="J296" i="105"/>
  <c r="I296" i="105"/>
  <c r="H296" i="105"/>
  <c r="E296" i="105"/>
  <c r="G296" i="105" s="1"/>
  <c r="J295" i="105"/>
  <c r="I295" i="105"/>
  <c r="H295" i="105"/>
  <c r="E295" i="105"/>
  <c r="G295" i="105" s="1"/>
  <c r="J294" i="105"/>
  <c r="I294" i="105"/>
  <c r="H294" i="105"/>
  <c r="E294" i="105"/>
  <c r="G294" i="105" s="1"/>
  <c r="J293" i="105"/>
  <c r="I293" i="105"/>
  <c r="H293" i="105"/>
  <c r="E293" i="105"/>
  <c r="G293" i="105" s="1"/>
  <c r="J292" i="105"/>
  <c r="I292" i="105"/>
  <c r="H292" i="105"/>
  <c r="E292" i="105"/>
  <c r="G292" i="105" s="1"/>
  <c r="J291" i="105"/>
  <c r="I291" i="105"/>
  <c r="H291" i="105"/>
  <c r="E291" i="105"/>
  <c r="G291" i="105" s="1"/>
  <c r="J290" i="105"/>
  <c r="I290" i="105"/>
  <c r="H290" i="105"/>
  <c r="E290" i="105"/>
  <c r="G290" i="105" s="1"/>
  <c r="J289" i="105"/>
  <c r="I289" i="105"/>
  <c r="H289" i="105"/>
  <c r="E289" i="105"/>
  <c r="G289" i="105" s="1"/>
  <c r="J288" i="105"/>
  <c r="I288" i="105"/>
  <c r="H288" i="105"/>
  <c r="E288" i="105"/>
  <c r="G288" i="105" s="1"/>
  <c r="J287" i="105"/>
  <c r="I287" i="105"/>
  <c r="H287" i="105"/>
  <c r="E287" i="105"/>
  <c r="G287" i="105" s="1"/>
  <c r="J286" i="105"/>
  <c r="I286" i="105"/>
  <c r="H286" i="105"/>
  <c r="E286" i="105"/>
  <c r="G286" i="105" s="1"/>
  <c r="J285" i="105"/>
  <c r="I285" i="105"/>
  <c r="H285" i="105"/>
  <c r="E285" i="105"/>
  <c r="G285" i="105" s="1"/>
  <c r="J284" i="105"/>
  <c r="I284" i="105"/>
  <c r="H284" i="105"/>
  <c r="E284" i="105"/>
  <c r="G284" i="105" s="1"/>
  <c r="J283" i="105"/>
  <c r="I283" i="105"/>
  <c r="H283" i="105"/>
  <c r="E283" i="105"/>
  <c r="G283" i="105" s="1"/>
  <c r="J282" i="105"/>
  <c r="I282" i="105"/>
  <c r="H282" i="105"/>
  <c r="E282" i="105"/>
  <c r="G282" i="105" s="1"/>
  <c r="J281" i="105"/>
  <c r="I281" i="105"/>
  <c r="H281" i="105"/>
  <c r="E281" i="105"/>
  <c r="G281" i="105" s="1"/>
  <c r="J280" i="105"/>
  <c r="I280" i="105"/>
  <c r="H280" i="105"/>
  <c r="E280" i="105"/>
  <c r="G280" i="105" s="1"/>
  <c r="J279" i="105"/>
  <c r="I279" i="105"/>
  <c r="H279" i="105"/>
  <c r="E279" i="105"/>
  <c r="G279" i="105" s="1"/>
  <c r="J278" i="105"/>
  <c r="I278" i="105"/>
  <c r="H278" i="105"/>
  <c r="E278" i="105"/>
  <c r="G278" i="105" s="1"/>
  <c r="J277" i="105"/>
  <c r="I277" i="105"/>
  <c r="H277" i="105"/>
  <c r="E277" i="105"/>
  <c r="G277" i="105" s="1"/>
  <c r="J276" i="105"/>
  <c r="I276" i="105"/>
  <c r="H276" i="105"/>
  <c r="E276" i="105"/>
  <c r="G276" i="105" s="1"/>
  <c r="J275" i="105"/>
  <c r="I275" i="105"/>
  <c r="H275" i="105"/>
  <c r="E275" i="105"/>
  <c r="G275" i="105" s="1"/>
  <c r="J274" i="105"/>
  <c r="I274" i="105"/>
  <c r="H274" i="105"/>
  <c r="E274" i="105"/>
  <c r="G274" i="105" s="1"/>
  <c r="J273" i="105"/>
  <c r="I273" i="105"/>
  <c r="H273" i="105"/>
  <c r="E273" i="105"/>
  <c r="G273" i="105" s="1"/>
  <c r="J272" i="105"/>
  <c r="I272" i="105"/>
  <c r="H272" i="105"/>
  <c r="E272" i="105"/>
  <c r="G272" i="105" s="1"/>
  <c r="J271" i="105"/>
  <c r="I271" i="105"/>
  <c r="H271" i="105"/>
  <c r="E271" i="105"/>
  <c r="G271" i="105" s="1"/>
  <c r="J270" i="105"/>
  <c r="I270" i="105"/>
  <c r="H270" i="105"/>
  <c r="E270" i="105"/>
  <c r="G270" i="105" s="1"/>
  <c r="J269" i="105"/>
  <c r="I269" i="105"/>
  <c r="H269" i="105"/>
  <c r="E269" i="105"/>
  <c r="G269" i="105" s="1"/>
  <c r="J268" i="105"/>
  <c r="I268" i="105"/>
  <c r="H268" i="105"/>
  <c r="E268" i="105"/>
  <c r="G268" i="105" s="1"/>
  <c r="J267" i="105"/>
  <c r="I267" i="105"/>
  <c r="H267" i="105"/>
  <c r="E267" i="105"/>
  <c r="G267" i="105" s="1"/>
  <c r="J266" i="105"/>
  <c r="I266" i="105"/>
  <c r="H266" i="105"/>
  <c r="E266" i="105"/>
  <c r="G266" i="105" s="1"/>
  <c r="J265" i="105"/>
  <c r="I265" i="105"/>
  <c r="H265" i="105"/>
  <c r="E265" i="105"/>
  <c r="G265" i="105" s="1"/>
  <c r="J264" i="105"/>
  <c r="I264" i="105"/>
  <c r="H264" i="105"/>
  <c r="E264" i="105"/>
  <c r="G264" i="105" s="1"/>
  <c r="J263" i="105"/>
  <c r="I263" i="105"/>
  <c r="H263" i="105"/>
  <c r="E263" i="105"/>
  <c r="G263" i="105" s="1"/>
  <c r="J262" i="105"/>
  <c r="I262" i="105"/>
  <c r="H262" i="105"/>
  <c r="E262" i="105"/>
  <c r="G262" i="105" s="1"/>
  <c r="J261" i="105"/>
  <c r="I261" i="105"/>
  <c r="H261" i="105"/>
  <c r="E261" i="105"/>
  <c r="G261" i="105" s="1"/>
  <c r="J260" i="105"/>
  <c r="I260" i="105"/>
  <c r="H260" i="105"/>
  <c r="E260" i="105"/>
  <c r="G260" i="105" s="1"/>
  <c r="J259" i="105"/>
  <c r="I259" i="105"/>
  <c r="H259" i="105"/>
  <c r="E259" i="105"/>
  <c r="G259" i="105" s="1"/>
  <c r="J258" i="105"/>
  <c r="I258" i="105"/>
  <c r="H258" i="105"/>
  <c r="E258" i="105"/>
  <c r="G258" i="105" s="1"/>
  <c r="J257" i="105"/>
  <c r="I257" i="105"/>
  <c r="H257" i="105"/>
  <c r="E257" i="105"/>
  <c r="G257" i="105" s="1"/>
  <c r="J256" i="105"/>
  <c r="I256" i="105"/>
  <c r="H256" i="105"/>
  <c r="E256" i="105"/>
  <c r="G256" i="105" s="1"/>
  <c r="J255" i="105"/>
  <c r="I255" i="105"/>
  <c r="H255" i="105"/>
  <c r="E255" i="105"/>
  <c r="G255" i="105" s="1"/>
  <c r="J254" i="105"/>
  <c r="I254" i="105"/>
  <c r="H254" i="105"/>
  <c r="E254" i="105"/>
  <c r="G254" i="105" s="1"/>
  <c r="J252" i="105"/>
  <c r="I252" i="105"/>
  <c r="H252" i="105"/>
  <c r="E252" i="105"/>
  <c r="G252" i="105" s="1"/>
  <c r="J251" i="105"/>
  <c r="I251" i="105"/>
  <c r="H251" i="105"/>
  <c r="E251" i="105"/>
  <c r="G251" i="105" s="1"/>
  <c r="J250" i="105"/>
  <c r="I250" i="105"/>
  <c r="H250" i="105"/>
  <c r="E250" i="105"/>
  <c r="G250" i="105" s="1"/>
  <c r="J249" i="105"/>
  <c r="I249" i="105"/>
  <c r="H249" i="105"/>
  <c r="E249" i="105"/>
  <c r="G249" i="105" s="1"/>
  <c r="J248" i="105"/>
  <c r="I248" i="105"/>
  <c r="H248" i="105"/>
  <c r="E248" i="105"/>
  <c r="G248" i="105" s="1"/>
  <c r="J247" i="105"/>
  <c r="I247" i="105"/>
  <c r="H247" i="105"/>
  <c r="E247" i="105"/>
  <c r="G247" i="105" s="1"/>
  <c r="J246" i="105"/>
  <c r="I246" i="105"/>
  <c r="H246" i="105"/>
  <c r="E246" i="105"/>
  <c r="G246" i="105" s="1"/>
  <c r="J245" i="105"/>
  <c r="I245" i="105"/>
  <c r="H245" i="105"/>
  <c r="E245" i="105"/>
  <c r="G245" i="105" s="1"/>
  <c r="J244" i="105"/>
  <c r="I244" i="105"/>
  <c r="H244" i="105"/>
  <c r="E244" i="105"/>
  <c r="G244" i="105" s="1"/>
  <c r="J243" i="105"/>
  <c r="I243" i="105"/>
  <c r="H243" i="105"/>
  <c r="E243" i="105"/>
  <c r="G243" i="105" s="1"/>
  <c r="J242" i="105"/>
  <c r="I242" i="105"/>
  <c r="H242" i="105"/>
  <c r="E242" i="105"/>
  <c r="G242" i="105" s="1"/>
  <c r="J241" i="105"/>
  <c r="I241" i="105"/>
  <c r="H241" i="105"/>
  <c r="E241" i="105"/>
  <c r="G241" i="105" s="1"/>
  <c r="J240" i="105"/>
  <c r="I240" i="105"/>
  <c r="H240" i="105"/>
  <c r="E240" i="105"/>
  <c r="G240" i="105" s="1"/>
  <c r="J239" i="105"/>
  <c r="I239" i="105"/>
  <c r="H239" i="105"/>
  <c r="E239" i="105"/>
  <c r="G239" i="105" s="1"/>
  <c r="J238" i="105"/>
  <c r="I238" i="105"/>
  <c r="H238" i="105"/>
  <c r="E238" i="105"/>
  <c r="G238" i="105" s="1"/>
  <c r="J237" i="105"/>
  <c r="I237" i="105"/>
  <c r="H237" i="105"/>
  <c r="E237" i="105"/>
  <c r="G237" i="105" s="1"/>
  <c r="J236" i="105"/>
  <c r="I236" i="105"/>
  <c r="H236" i="105"/>
  <c r="E236" i="105"/>
  <c r="G236" i="105" s="1"/>
  <c r="J235" i="105"/>
  <c r="I235" i="105"/>
  <c r="H235" i="105"/>
  <c r="E235" i="105"/>
  <c r="G235" i="105" s="1"/>
  <c r="J234" i="105"/>
  <c r="I234" i="105"/>
  <c r="H234" i="105"/>
  <c r="E234" i="105"/>
  <c r="G234" i="105" s="1"/>
  <c r="J233" i="105"/>
  <c r="I233" i="105"/>
  <c r="H233" i="105"/>
  <c r="E233" i="105"/>
  <c r="G233" i="105" s="1"/>
  <c r="J232" i="105"/>
  <c r="I232" i="105"/>
  <c r="H232" i="105"/>
  <c r="E232" i="105"/>
  <c r="G232" i="105" s="1"/>
  <c r="J231" i="105"/>
  <c r="I231" i="105"/>
  <c r="H231" i="105"/>
  <c r="E231" i="105"/>
  <c r="G231" i="105" s="1"/>
  <c r="J230" i="105"/>
  <c r="I230" i="105"/>
  <c r="H230" i="105"/>
  <c r="E230" i="105"/>
  <c r="G230" i="105" s="1"/>
  <c r="J229" i="105"/>
  <c r="I229" i="105"/>
  <c r="H229" i="105"/>
  <c r="E229" i="105"/>
  <c r="G229" i="105" s="1"/>
  <c r="J228" i="105"/>
  <c r="I228" i="105"/>
  <c r="H228" i="105"/>
  <c r="E228" i="105"/>
  <c r="G228" i="105" s="1"/>
  <c r="J227" i="105"/>
  <c r="I227" i="105"/>
  <c r="H227" i="105"/>
  <c r="E227" i="105"/>
  <c r="G227" i="105" s="1"/>
  <c r="J226" i="105"/>
  <c r="I226" i="105"/>
  <c r="H226" i="105"/>
  <c r="E226" i="105"/>
  <c r="G226" i="105" s="1"/>
  <c r="J225" i="105"/>
  <c r="I225" i="105"/>
  <c r="H225" i="105"/>
  <c r="E225" i="105"/>
  <c r="G225" i="105" s="1"/>
  <c r="J224" i="105"/>
  <c r="I224" i="105"/>
  <c r="H224" i="105"/>
  <c r="E224" i="105"/>
  <c r="G224" i="105" s="1"/>
  <c r="J223" i="105"/>
  <c r="I223" i="105"/>
  <c r="H223" i="105"/>
  <c r="E223" i="105"/>
  <c r="G223" i="105" s="1"/>
  <c r="J222" i="105"/>
  <c r="I222" i="105"/>
  <c r="H222" i="105"/>
  <c r="E222" i="105"/>
  <c r="G222" i="105" s="1"/>
  <c r="J221" i="105"/>
  <c r="I221" i="105"/>
  <c r="H221" i="105"/>
  <c r="E221" i="105"/>
  <c r="G221" i="105" s="1"/>
  <c r="J220" i="105"/>
  <c r="I220" i="105"/>
  <c r="H220" i="105"/>
  <c r="E220" i="105"/>
  <c r="G220" i="105" s="1"/>
  <c r="J219" i="105"/>
  <c r="I219" i="105"/>
  <c r="H219" i="105"/>
  <c r="E219" i="105"/>
  <c r="G219" i="105" s="1"/>
  <c r="J218" i="105"/>
  <c r="I218" i="105"/>
  <c r="H218" i="105"/>
  <c r="E218" i="105"/>
  <c r="G218" i="105" s="1"/>
  <c r="J217" i="105"/>
  <c r="I217" i="105"/>
  <c r="H217" i="105"/>
  <c r="E217" i="105"/>
  <c r="G217" i="105" s="1"/>
  <c r="J216" i="105"/>
  <c r="I216" i="105"/>
  <c r="H216" i="105"/>
  <c r="E216" i="105"/>
  <c r="G216" i="105" s="1"/>
  <c r="J215" i="105"/>
  <c r="I215" i="105"/>
  <c r="H215" i="105"/>
  <c r="E215" i="105"/>
  <c r="G215" i="105" s="1"/>
  <c r="J214" i="105"/>
  <c r="I214" i="105"/>
  <c r="H214" i="105"/>
  <c r="E214" i="105"/>
  <c r="G214" i="105" s="1"/>
  <c r="J213" i="105"/>
  <c r="I213" i="105"/>
  <c r="H213" i="105"/>
  <c r="E213" i="105"/>
  <c r="G213" i="105" s="1"/>
  <c r="J212" i="105"/>
  <c r="I212" i="105"/>
  <c r="H212" i="105"/>
  <c r="E212" i="105"/>
  <c r="G212" i="105" s="1"/>
  <c r="J211" i="105"/>
  <c r="I211" i="105"/>
  <c r="H211" i="105"/>
  <c r="E211" i="105"/>
  <c r="G211" i="105" s="1"/>
  <c r="J210" i="105"/>
  <c r="I210" i="105"/>
  <c r="H210" i="105"/>
  <c r="E210" i="105"/>
  <c r="G210" i="105" s="1"/>
  <c r="J209" i="105"/>
  <c r="I209" i="105"/>
  <c r="H209" i="105"/>
  <c r="E209" i="105"/>
  <c r="G209" i="105" s="1"/>
  <c r="J208" i="105"/>
  <c r="I208" i="105"/>
  <c r="H208" i="105"/>
  <c r="E208" i="105"/>
  <c r="G208" i="105" s="1"/>
  <c r="J207" i="105"/>
  <c r="I207" i="105"/>
  <c r="H207" i="105"/>
  <c r="E207" i="105"/>
  <c r="G207" i="105" s="1"/>
  <c r="J206" i="105"/>
  <c r="I206" i="105"/>
  <c r="H206" i="105"/>
  <c r="E206" i="105"/>
  <c r="G206" i="105" s="1"/>
  <c r="J205" i="105"/>
  <c r="I205" i="105"/>
  <c r="H205" i="105"/>
  <c r="E205" i="105"/>
  <c r="G205" i="105" s="1"/>
  <c r="J204" i="105"/>
  <c r="I204" i="105"/>
  <c r="H204" i="105"/>
  <c r="E204" i="105"/>
  <c r="G204" i="105" s="1"/>
  <c r="J203" i="105"/>
  <c r="I203" i="105"/>
  <c r="H203" i="105"/>
  <c r="E203" i="105"/>
  <c r="G203" i="105" s="1"/>
  <c r="J202" i="105"/>
  <c r="I202" i="105"/>
  <c r="H202" i="105"/>
  <c r="E202" i="105"/>
  <c r="G202" i="105" s="1"/>
  <c r="J201" i="105"/>
  <c r="I201" i="105"/>
  <c r="H201" i="105"/>
  <c r="E201" i="105"/>
  <c r="G201" i="105" s="1"/>
  <c r="J200" i="105"/>
  <c r="I200" i="105"/>
  <c r="H200" i="105"/>
  <c r="E200" i="105"/>
  <c r="G200" i="105" s="1"/>
  <c r="J199" i="105"/>
  <c r="I199" i="105"/>
  <c r="H199" i="105"/>
  <c r="E199" i="105"/>
  <c r="G199" i="105" s="1"/>
  <c r="J198" i="105"/>
  <c r="I198" i="105"/>
  <c r="H198" i="105"/>
  <c r="E198" i="105"/>
  <c r="G198" i="105" s="1"/>
  <c r="J197" i="105"/>
  <c r="I197" i="105"/>
  <c r="H197" i="105"/>
  <c r="E197" i="105"/>
  <c r="G197" i="105" s="1"/>
  <c r="J196" i="105"/>
  <c r="I196" i="105"/>
  <c r="H196" i="105"/>
  <c r="E196" i="105"/>
  <c r="G196" i="105" s="1"/>
  <c r="J195" i="105"/>
  <c r="I195" i="105"/>
  <c r="H195" i="105"/>
  <c r="E195" i="105"/>
  <c r="G195" i="105" s="1"/>
  <c r="J194" i="105"/>
  <c r="I194" i="105"/>
  <c r="H194" i="105"/>
  <c r="E194" i="105"/>
  <c r="G194" i="105" s="1"/>
  <c r="J193" i="105"/>
  <c r="I193" i="105"/>
  <c r="H193" i="105"/>
  <c r="E193" i="105"/>
  <c r="G193" i="105" s="1"/>
  <c r="J192" i="105"/>
  <c r="I192" i="105"/>
  <c r="H192" i="105"/>
  <c r="E192" i="105"/>
  <c r="G192" i="105" s="1"/>
  <c r="J191" i="105"/>
  <c r="I191" i="105"/>
  <c r="H191" i="105"/>
  <c r="E191" i="105"/>
  <c r="G191" i="105" s="1"/>
  <c r="J190" i="105"/>
  <c r="I190" i="105"/>
  <c r="H190" i="105"/>
  <c r="E190" i="105"/>
  <c r="G190" i="105" s="1"/>
  <c r="J189" i="105"/>
  <c r="I189" i="105"/>
  <c r="H189" i="105"/>
  <c r="E189" i="105"/>
  <c r="G189" i="105" s="1"/>
  <c r="J188" i="105"/>
  <c r="I188" i="105"/>
  <c r="H188" i="105"/>
  <c r="E188" i="105"/>
  <c r="G188" i="105" s="1"/>
  <c r="J187" i="105"/>
  <c r="I187" i="105"/>
  <c r="H187" i="105"/>
  <c r="E187" i="105"/>
  <c r="G187" i="105" s="1"/>
  <c r="J186" i="105"/>
  <c r="I186" i="105"/>
  <c r="H186" i="105"/>
  <c r="E186" i="105"/>
  <c r="G186" i="105" s="1"/>
  <c r="J185" i="105"/>
  <c r="I185" i="105"/>
  <c r="H185" i="105"/>
  <c r="E185" i="105"/>
  <c r="G185" i="105" s="1"/>
  <c r="J184" i="105"/>
  <c r="I184" i="105"/>
  <c r="H184" i="105"/>
  <c r="E184" i="105"/>
  <c r="G184" i="105" s="1"/>
  <c r="J183" i="105"/>
  <c r="I183" i="105"/>
  <c r="H183" i="105"/>
  <c r="E183" i="105"/>
  <c r="G183" i="105" s="1"/>
  <c r="J182" i="105"/>
  <c r="I182" i="105"/>
  <c r="H182" i="105"/>
  <c r="E182" i="105"/>
  <c r="G182" i="105" s="1"/>
  <c r="J181" i="105"/>
  <c r="I181" i="105"/>
  <c r="H181" i="105"/>
  <c r="E181" i="105"/>
  <c r="G181" i="105" s="1"/>
  <c r="J180" i="105"/>
  <c r="I180" i="105"/>
  <c r="H180" i="105"/>
  <c r="E180" i="105"/>
  <c r="G180" i="105" s="1"/>
  <c r="J179" i="105"/>
  <c r="I179" i="105"/>
  <c r="H179" i="105"/>
  <c r="E179" i="105"/>
  <c r="G179" i="105" s="1"/>
  <c r="J178" i="105"/>
  <c r="I178" i="105"/>
  <c r="H178" i="105"/>
  <c r="E178" i="105"/>
  <c r="G178" i="105" s="1"/>
  <c r="J177" i="105"/>
  <c r="I177" i="105"/>
  <c r="H177" i="105"/>
  <c r="E177" i="105"/>
  <c r="G177" i="105" s="1"/>
  <c r="J176" i="105"/>
  <c r="I176" i="105"/>
  <c r="H176" i="105"/>
  <c r="E176" i="105"/>
  <c r="G176" i="105" s="1"/>
  <c r="J175" i="105"/>
  <c r="I175" i="105"/>
  <c r="H175" i="105"/>
  <c r="E175" i="105"/>
  <c r="G175" i="105" s="1"/>
  <c r="J174" i="105"/>
  <c r="I174" i="105"/>
  <c r="H174" i="105"/>
  <c r="E174" i="105"/>
  <c r="G174" i="105" s="1"/>
  <c r="J173" i="105"/>
  <c r="I173" i="105"/>
  <c r="H173" i="105"/>
  <c r="E173" i="105"/>
  <c r="G173" i="105" s="1"/>
  <c r="J172" i="105"/>
  <c r="I172" i="105"/>
  <c r="H172" i="105"/>
  <c r="E172" i="105"/>
  <c r="G172" i="105" s="1"/>
  <c r="J171" i="105"/>
  <c r="I171" i="105"/>
  <c r="H171" i="105"/>
  <c r="E171" i="105"/>
  <c r="G171" i="105" s="1"/>
  <c r="J170" i="105"/>
  <c r="I170" i="105"/>
  <c r="H170" i="105"/>
  <c r="E170" i="105"/>
  <c r="G170" i="105" s="1"/>
  <c r="J169" i="105"/>
  <c r="I169" i="105"/>
  <c r="H169" i="105"/>
  <c r="E169" i="105"/>
  <c r="G169" i="105" s="1"/>
  <c r="J168" i="105"/>
  <c r="I168" i="105"/>
  <c r="H168" i="105"/>
  <c r="E168" i="105"/>
  <c r="G168" i="105" s="1"/>
  <c r="J167" i="105"/>
  <c r="I167" i="105"/>
  <c r="H167" i="105"/>
  <c r="E167" i="105"/>
  <c r="G167" i="105" s="1"/>
  <c r="J166" i="105"/>
  <c r="I166" i="105"/>
  <c r="H166" i="105"/>
  <c r="E166" i="105"/>
  <c r="G166" i="105" s="1"/>
  <c r="J165" i="105"/>
  <c r="I165" i="105"/>
  <c r="H165" i="105"/>
  <c r="E165" i="105"/>
  <c r="G165" i="105" s="1"/>
  <c r="J164" i="105"/>
  <c r="I164" i="105"/>
  <c r="H164" i="105"/>
  <c r="E164" i="105"/>
  <c r="G164" i="105" s="1"/>
  <c r="J163" i="105"/>
  <c r="I163" i="105"/>
  <c r="H163" i="105"/>
  <c r="E163" i="105"/>
  <c r="G163" i="105" s="1"/>
  <c r="J162" i="105"/>
  <c r="I162" i="105"/>
  <c r="H162" i="105"/>
  <c r="E162" i="105"/>
  <c r="G162" i="105" s="1"/>
  <c r="J161" i="105"/>
  <c r="I161" i="105"/>
  <c r="H161" i="105"/>
  <c r="E161" i="105"/>
  <c r="G161" i="105" s="1"/>
  <c r="J160" i="105"/>
  <c r="I160" i="105"/>
  <c r="H160" i="105"/>
  <c r="E160" i="105"/>
  <c r="G160" i="105" s="1"/>
  <c r="J159" i="105"/>
  <c r="I159" i="105"/>
  <c r="H159" i="105"/>
  <c r="E159" i="105"/>
  <c r="G159" i="105" s="1"/>
  <c r="J158" i="105"/>
  <c r="I158" i="105"/>
  <c r="H158" i="105"/>
  <c r="E158" i="105"/>
  <c r="G158" i="105" s="1"/>
  <c r="J157" i="105"/>
  <c r="I157" i="105"/>
  <c r="H157" i="105"/>
  <c r="E157" i="105"/>
  <c r="G157" i="105" s="1"/>
  <c r="J156" i="105"/>
  <c r="I156" i="105"/>
  <c r="H156" i="105"/>
  <c r="E156" i="105"/>
  <c r="G156" i="105" s="1"/>
  <c r="J155" i="105"/>
  <c r="I155" i="105"/>
  <c r="H155" i="105"/>
  <c r="E155" i="105"/>
  <c r="G155" i="105" s="1"/>
  <c r="J154" i="105"/>
  <c r="I154" i="105"/>
  <c r="H154" i="105"/>
  <c r="E154" i="105"/>
  <c r="G154" i="105" s="1"/>
  <c r="J153" i="105"/>
  <c r="I153" i="105"/>
  <c r="H153" i="105"/>
  <c r="E153" i="105"/>
  <c r="G153" i="105" s="1"/>
  <c r="J152" i="105"/>
  <c r="I152" i="105"/>
  <c r="H152" i="105"/>
  <c r="E152" i="105"/>
  <c r="G152" i="105" s="1"/>
  <c r="J151" i="105"/>
  <c r="I151" i="105"/>
  <c r="H151" i="105"/>
  <c r="E151" i="105"/>
  <c r="G151" i="105" s="1"/>
  <c r="J150" i="105"/>
  <c r="I150" i="105"/>
  <c r="H150" i="105"/>
  <c r="E150" i="105"/>
  <c r="G150" i="105" s="1"/>
  <c r="J149" i="105"/>
  <c r="I149" i="105"/>
  <c r="H149" i="105"/>
  <c r="E149" i="105"/>
  <c r="G149" i="105" s="1"/>
  <c r="J148" i="105"/>
  <c r="I148" i="105"/>
  <c r="H148" i="105"/>
  <c r="E148" i="105"/>
  <c r="G148" i="105" s="1"/>
  <c r="J147" i="105"/>
  <c r="I147" i="105"/>
  <c r="H147" i="105"/>
  <c r="E147" i="105"/>
  <c r="G147" i="105" s="1"/>
  <c r="J146" i="105"/>
  <c r="I146" i="105"/>
  <c r="H146" i="105"/>
  <c r="E146" i="105"/>
  <c r="G146" i="105" s="1"/>
  <c r="J145" i="105"/>
  <c r="I145" i="105"/>
  <c r="H145" i="105"/>
  <c r="E145" i="105"/>
  <c r="G145" i="105" s="1"/>
  <c r="J144" i="105"/>
  <c r="I144" i="105"/>
  <c r="H144" i="105"/>
  <c r="E144" i="105"/>
  <c r="G144" i="105" s="1"/>
  <c r="J143" i="105"/>
  <c r="I143" i="105"/>
  <c r="H143" i="105"/>
  <c r="E143" i="105"/>
  <c r="G143" i="105" s="1"/>
  <c r="J142" i="105"/>
  <c r="I142" i="105"/>
  <c r="H142" i="105"/>
  <c r="E142" i="105"/>
  <c r="G142" i="105" s="1"/>
  <c r="J141" i="105"/>
  <c r="I141" i="105"/>
  <c r="H141" i="105"/>
  <c r="E141" i="105"/>
  <c r="G141" i="105" s="1"/>
  <c r="J140" i="105"/>
  <c r="I140" i="105"/>
  <c r="H140" i="105"/>
  <c r="E140" i="105"/>
  <c r="G140" i="105" s="1"/>
  <c r="J139" i="105"/>
  <c r="I139" i="105"/>
  <c r="H139" i="105"/>
  <c r="E139" i="105"/>
  <c r="G139" i="105" s="1"/>
  <c r="J138" i="105"/>
  <c r="I138" i="105"/>
  <c r="H138" i="105"/>
  <c r="E138" i="105"/>
  <c r="G138" i="105" s="1"/>
  <c r="J137" i="105"/>
  <c r="I137" i="105"/>
  <c r="H137" i="105"/>
  <c r="E137" i="105"/>
  <c r="G137" i="105" s="1"/>
  <c r="J136" i="105"/>
  <c r="I136" i="105"/>
  <c r="H136" i="105"/>
  <c r="E136" i="105"/>
  <c r="G136" i="105" s="1"/>
  <c r="J135" i="105"/>
  <c r="I135" i="105"/>
  <c r="H135" i="105"/>
  <c r="E135" i="105"/>
  <c r="G135" i="105" s="1"/>
  <c r="J134" i="105"/>
  <c r="I134" i="105"/>
  <c r="H134" i="105"/>
  <c r="E134" i="105"/>
  <c r="G134" i="105" s="1"/>
  <c r="J133" i="105"/>
  <c r="I133" i="105"/>
  <c r="H133" i="105"/>
  <c r="E133" i="105"/>
  <c r="G133" i="105" s="1"/>
  <c r="J132" i="105"/>
  <c r="I132" i="105"/>
  <c r="H132" i="105"/>
  <c r="E132" i="105"/>
  <c r="G132" i="105" s="1"/>
  <c r="J131" i="105"/>
  <c r="I131" i="105"/>
  <c r="H131" i="105"/>
  <c r="E131" i="105"/>
  <c r="G131" i="105" s="1"/>
  <c r="J130" i="105"/>
  <c r="I130" i="105"/>
  <c r="H130" i="105"/>
  <c r="E130" i="105"/>
  <c r="G130" i="105" s="1"/>
  <c r="J129" i="105"/>
  <c r="I129" i="105"/>
  <c r="H129" i="105"/>
  <c r="E129" i="105"/>
  <c r="G129" i="105" s="1"/>
  <c r="J128" i="105"/>
  <c r="I128" i="105"/>
  <c r="H128" i="105"/>
  <c r="E128" i="105"/>
  <c r="G128" i="105" s="1"/>
  <c r="J127" i="105"/>
  <c r="I127" i="105"/>
  <c r="H127" i="105"/>
  <c r="E127" i="105"/>
  <c r="G127" i="105" s="1"/>
  <c r="J126" i="105"/>
  <c r="I126" i="105"/>
  <c r="H126" i="105"/>
  <c r="E126" i="105"/>
  <c r="G126" i="105" s="1"/>
  <c r="J125" i="105"/>
  <c r="I125" i="105"/>
  <c r="H125" i="105"/>
  <c r="E125" i="105"/>
  <c r="G125" i="105" s="1"/>
  <c r="J124" i="105"/>
  <c r="I124" i="105"/>
  <c r="H124" i="105"/>
  <c r="E124" i="105"/>
  <c r="G124" i="105" s="1"/>
  <c r="J123" i="105"/>
  <c r="I123" i="105"/>
  <c r="H123" i="105"/>
  <c r="E123" i="105"/>
  <c r="G123" i="105" s="1"/>
  <c r="J122" i="105"/>
  <c r="I122" i="105"/>
  <c r="H122" i="105"/>
  <c r="E122" i="105"/>
  <c r="G122" i="105" s="1"/>
  <c r="J121" i="105"/>
  <c r="I121" i="105"/>
  <c r="H121" i="105"/>
  <c r="E121" i="105"/>
  <c r="G121" i="105" s="1"/>
  <c r="J120" i="105"/>
  <c r="I120" i="105"/>
  <c r="H120" i="105"/>
  <c r="E120" i="105"/>
  <c r="G120" i="105" s="1"/>
  <c r="J119" i="105"/>
  <c r="I119" i="105"/>
  <c r="H119" i="105"/>
  <c r="E119" i="105"/>
  <c r="G119" i="105" s="1"/>
  <c r="J118" i="105"/>
  <c r="I118" i="105"/>
  <c r="H118" i="105"/>
  <c r="E118" i="105"/>
  <c r="G118" i="105" s="1"/>
  <c r="J117" i="105"/>
  <c r="I117" i="105"/>
  <c r="H117" i="105"/>
  <c r="E117" i="105"/>
  <c r="G117" i="105" s="1"/>
  <c r="J116" i="105"/>
  <c r="I116" i="105"/>
  <c r="H116" i="105"/>
  <c r="E116" i="105"/>
  <c r="G116" i="105" s="1"/>
  <c r="J115" i="105"/>
  <c r="I115" i="105"/>
  <c r="H115" i="105"/>
  <c r="E115" i="105"/>
  <c r="G115" i="105" s="1"/>
  <c r="J114" i="105"/>
  <c r="I114" i="105"/>
  <c r="H114" i="105"/>
  <c r="E114" i="105"/>
  <c r="G114" i="105" s="1"/>
  <c r="J113" i="105"/>
  <c r="I113" i="105"/>
  <c r="H113" i="105"/>
  <c r="E113" i="105"/>
  <c r="G113" i="105" s="1"/>
  <c r="J112" i="105"/>
  <c r="I112" i="105"/>
  <c r="H112" i="105"/>
  <c r="E112" i="105"/>
  <c r="G112" i="105" s="1"/>
  <c r="J111" i="105"/>
  <c r="I111" i="105"/>
  <c r="H111" i="105"/>
  <c r="E111" i="105"/>
  <c r="G111" i="105" s="1"/>
  <c r="J110" i="105"/>
  <c r="I110" i="105"/>
  <c r="H110" i="105"/>
  <c r="E110" i="105"/>
  <c r="G110" i="105" s="1"/>
  <c r="J109" i="105"/>
  <c r="I109" i="105"/>
  <c r="H109" i="105"/>
  <c r="E109" i="105"/>
  <c r="G109" i="105" s="1"/>
  <c r="J108" i="105"/>
  <c r="I108" i="105"/>
  <c r="H108" i="105"/>
  <c r="E108" i="105"/>
  <c r="G108" i="105" s="1"/>
  <c r="J107" i="105"/>
  <c r="I107" i="105"/>
  <c r="H107" i="105"/>
  <c r="E107" i="105"/>
  <c r="G107" i="105" s="1"/>
  <c r="J106" i="105"/>
  <c r="I106" i="105"/>
  <c r="H106" i="105"/>
  <c r="E106" i="105"/>
  <c r="G106" i="105" s="1"/>
  <c r="J105" i="105"/>
  <c r="I105" i="105"/>
  <c r="H105" i="105"/>
  <c r="E105" i="105"/>
  <c r="G105" i="105" s="1"/>
  <c r="J104" i="105"/>
  <c r="I104" i="105"/>
  <c r="H104" i="105"/>
  <c r="E104" i="105"/>
  <c r="G104" i="105" s="1"/>
  <c r="J103" i="105"/>
  <c r="I103" i="105"/>
  <c r="H103" i="105"/>
  <c r="E103" i="105"/>
  <c r="G103" i="105" s="1"/>
  <c r="J102" i="105"/>
  <c r="I102" i="105"/>
  <c r="H102" i="105"/>
  <c r="E102" i="105"/>
  <c r="G102" i="105" s="1"/>
  <c r="J101" i="105"/>
  <c r="I101" i="105"/>
  <c r="H101" i="105"/>
  <c r="E101" i="105"/>
  <c r="G101" i="105" s="1"/>
  <c r="J100" i="105"/>
  <c r="I100" i="105"/>
  <c r="H100" i="105"/>
  <c r="E100" i="105"/>
  <c r="G100" i="105" s="1"/>
  <c r="J99" i="105"/>
  <c r="I99" i="105"/>
  <c r="H99" i="105"/>
  <c r="E99" i="105"/>
  <c r="G99" i="105" s="1"/>
  <c r="J98" i="105"/>
  <c r="I98" i="105"/>
  <c r="H98" i="105"/>
  <c r="E98" i="105"/>
  <c r="G98" i="105" s="1"/>
  <c r="J97" i="105"/>
  <c r="I97" i="105"/>
  <c r="H97" i="105"/>
  <c r="E97" i="105"/>
  <c r="G97" i="105" s="1"/>
  <c r="J96" i="105"/>
  <c r="I96" i="105"/>
  <c r="H96" i="105"/>
  <c r="E96" i="105"/>
  <c r="G96" i="105" s="1"/>
  <c r="J95" i="105"/>
  <c r="I95" i="105"/>
  <c r="H95" i="105"/>
  <c r="E95" i="105"/>
  <c r="G95" i="105" s="1"/>
  <c r="J94" i="105"/>
  <c r="I94" i="105"/>
  <c r="H94" i="105"/>
  <c r="E94" i="105"/>
  <c r="G94" i="105" s="1"/>
  <c r="J93" i="105"/>
  <c r="I93" i="105"/>
  <c r="H93" i="105"/>
  <c r="E93" i="105"/>
  <c r="G93" i="105" s="1"/>
  <c r="J92" i="105"/>
  <c r="I92" i="105"/>
  <c r="H92" i="105"/>
  <c r="E92" i="105"/>
  <c r="G92" i="105" s="1"/>
  <c r="J91" i="105"/>
  <c r="I91" i="105"/>
  <c r="H91" i="105"/>
  <c r="E91" i="105"/>
  <c r="G91" i="105" s="1"/>
  <c r="J89" i="105"/>
  <c r="I89" i="105"/>
  <c r="H89" i="105"/>
  <c r="E89" i="105"/>
  <c r="G89" i="105" s="1"/>
  <c r="J88" i="105"/>
  <c r="I88" i="105"/>
  <c r="H88" i="105"/>
  <c r="E88" i="105"/>
  <c r="G88" i="105" s="1"/>
  <c r="J87" i="105"/>
  <c r="I87" i="105"/>
  <c r="H87" i="105"/>
  <c r="E87" i="105"/>
  <c r="G87" i="105" s="1"/>
  <c r="J86" i="105"/>
  <c r="I86" i="105"/>
  <c r="H86" i="105"/>
  <c r="E86" i="105"/>
  <c r="G86" i="105" s="1"/>
  <c r="J85" i="105"/>
  <c r="I85" i="105"/>
  <c r="H85" i="105"/>
  <c r="E85" i="105"/>
  <c r="G85" i="105" s="1"/>
  <c r="J84" i="105"/>
  <c r="I84" i="105"/>
  <c r="H84" i="105"/>
  <c r="E84" i="105"/>
  <c r="G84" i="105" s="1"/>
  <c r="J83" i="105"/>
  <c r="I83" i="105"/>
  <c r="H83" i="105"/>
  <c r="E83" i="105"/>
  <c r="G83" i="105" s="1"/>
  <c r="J82" i="105"/>
  <c r="I82" i="105"/>
  <c r="H82" i="105"/>
  <c r="E82" i="105"/>
  <c r="G82" i="105" s="1"/>
  <c r="J81" i="105"/>
  <c r="I81" i="105"/>
  <c r="H81" i="105"/>
  <c r="E81" i="105"/>
  <c r="G81" i="105" s="1"/>
  <c r="J80" i="105"/>
  <c r="I80" i="105"/>
  <c r="H80" i="105"/>
  <c r="E80" i="105"/>
  <c r="G80" i="105" s="1"/>
  <c r="J79" i="105"/>
  <c r="I79" i="105"/>
  <c r="H79" i="105"/>
  <c r="E79" i="105"/>
  <c r="G79" i="105" s="1"/>
  <c r="J78" i="105"/>
  <c r="I78" i="105"/>
  <c r="H78" i="105"/>
  <c r="E78" i="105"/>
  <c r="G78" i="105" s="1"/>
  <c r="J77" i="105"/>
  <c r="I77" i="105"/>
  <c r="H77" i="105"/>
  <c r="E77" i="105"/>
  <c r="G77" i="105" s="1"/>
  <c r="J76" i="105"/>
  <c r="I76" i="105"/>
  <c r="H76" i="105"/>
  <c r="E76" i="105"/>
  <c r="G76" i="105" s="1"/>
  <c r="J75" i="105"/>
  <c r="I75" i="105"/>
  <c r="H75" i="105"/>
  <c r="E75" i="105"/>
  <c r="G75" i="105" s="1"/>
  <c r="J74" i="105"/>
  <c r="I74" i="105"/>
  <c r="H74" i="105"/>
  <c r="E74" i="105"/>
  <c r="G74" i="105" s="1"/>
  <c r="J73" i="105"/>
  <c r="I73" i="105"/>
  <c r="H73" i="105"/>
  <c r="E73" i="105"/>
  <c r="G73" i="105" s="1"/>
  <c r="J72" i="105"/>
  <c r="I72" i="105"/>
  <c r="H72" i="105"/>
  <c r="E72" i="105"/>
  <c r="G72" i="105" s="1"/>
  <c r="J71" i="105"/>
  <c r="I71" i="105"/>
  <c r="H71" i="105"/>
  <c r="E71" i="105"/>
  <c r="G71" i="105" s="1"/>
  <c r="J70" i="105"/>
  <c r="I70" i="105"/>
  <c r="H70" i="105"/>
  <c r="E70" i="105"/>
  <c r="G70" i="105" s="1"/>
  <c r="J69" i="105"/>
  <c r="I69" i="105"/>
  <c r="H69" i="105"/>
  <c r="E69" i="105"/>
  <c r="G69" i="105" s="1"/>
  <c r="J68" i="105"/>
  <c r="I68" i="105"/>
  <c r="H68" i="105"/>
  <c r="E68" i="105"/>
  <c r="G68" i="105" s="1"/>
  <c r="J67" i="105"/>
  <c r="I67" i="105"/>
  <c r="H67" i="105"/>
  <c r="E67" i="105"/>
  <c r="G67" i="105" s="1"/>
  <c r="J66" i="105"/>
  <c r="I66" i="105"/>
  <c r="H66" i="105"/>
  <c r="E66" i="105"/>
  <c r="G66" i="105" s="1"/>
  <c r="J65" i="105"/>
  <c r="I65" i="105"/>
  <c r="H65" i="105"/>
  <c r="E65" i="105"/>
  <c r="G65" i="105" s="1"/>
  <c r="J64" i="105"/>
  <c r="I64" i="105"/>
  <c r="H64" i="105"/>
  <c r="E64" i="105"/>
  <c r="G64" i="105" s="1"/>
  <c r="J63" i="105"/>
  <c r="I63" i="105"/>
  <c r="H63" i="105"/>
  <c r="E63" i="105"/>
  <c r="G63" i="105" s="1"/>
  <c r="J62" i="105"/>
  <c r="I62" i="105"/>
  <c r="H62" i="105"/>
  <c r="E62" i="105"/>
  <c r="G62" i="105" s="1"/>
  <c r="J61" i="105"/>
  <c r="I61" i="105"/>
  <c r="H61" i="105"/>
  <c r="E61" i="105"/>
  <c r="G61" i="105" s="1"/>
  <c r="J60" i="105"/>
  <c r="I60" i="105"/>
  <c r="H60" i="105"/>
  <c r="E60" i="105"/>
  <c r="G60" i="105" s="1"/>
  <c r="J59" i="105"/>
  <c r="I59" i="105"/>
  <c r="H59" i="105"/>
  <c r="E59" i="105"/>
  <c r="G59" i="105" s="1"/>
  <c r="J58" i="105"/>
  <c r="I58" i="105"/>
  <c r="H58" i="105"/>
  <c r="E58" i="105"/>
  <c r="G58" i="105" s="1"/>
  <c r="J57" i="105"/>
  <c r="I57" i="105"/>
  <c r="H57" i="105"/>
  <c r="E57" i="105"/>
  <c r="G57" i="105" s="1"/>
  <c r="J56" i="105"/>
  <c r="I56" i="105"/>
  <c r="H56" i="105"/>
  <c r="E56" i="105"/>
  <c r="G56" i="105" s="1"/>
  <c r="J55" i="105"/>
  <c r="I55" i="105"/>
  <c r="H55" i="105"/>
  <c r="E55" i="105"/>
  <c r="G55" i="105" s="1"/>
  <c r="J54" i="105"/>
  <c r="I54" i="105"/>
  <c r="H54" i="105"/>
  <c r="E54" i="105"/>
  <c r="G54" i="105" s="1"/>
  <c r="J53" i="105"/>
  <c r="I53" i="105"/>
  <c r="H53" i="105"/>
  <c r="E53" i="105"/>
  <c r="G53" i="105" s="1"/>
  <c r="J52" i="105"/>
  <c r="I52" i="105"/>
  <c r="H52" i="105"/>
  <c r="E52" i="105"/>
  <c r="G52" i="105" s="1"/>
  <c r="J51" i="105"/>
  <c r="I51" i="105"/>
  <c r="H51" i="105"/>
  <c r="E51" i="105"/>
  <c r="G51" i="105" s="1"/>
  <c r="J50" i="105"/>
  <c r="I50" i="105"/>
  <c r="H50" i="105"/>
  <c r="E50" i="105"/>
  <c r="G50" i="105" s="1"/>
  <c r="J49" i="105"/>
  <c r="I49" i="105"/>
  <c r="H49" i="105"/>
  <c r="E49" i="105"/>
  <c r="G49" i="105" s="1"/>
  <c r="J48" i="105"/>
  <c r="I48" i="105"/>
  <c r="H48" i="105"/>
  <c r="E48" i="105"/>
  <c r="G48" i="105" s="1"/>
  <c r="J47" i="105"/>
  <c r="I47" i="105"/>
  <c r="H47" i="105"/>
  <c r="E47" i="105"/>
  <c r="G47" i="105" s="1"/>
  <c r="J46" i="105"/>
  <c r="I46" i="105"/>
  <c r="H46" i="105"/>
  <c r="E46" i="105"/>
  <c r="G46" i="105" s="1"/>
  <c r="J45" i="105"/>
  <c r="I45" i="105"/>
  <c r="H45" i="105"/>
  <c r="E45" i="105"/>
  <c r="G45" i="105" s="1"/>
  <c r="J44" i="105"/>
  <c r="I44" i="105"/>
  <c r="H44" i="105"/>
  <c r="E44" i="105"/>
  <c r="G44" i="105" s="1"/>
  <c r="J43" i="105"/>
  <c r="I43" i="105"/>
  <c r="H43" i="105"/>
  <c r="E43" i="105"/>
  <c r="G43" i="105" s="1"/>
  <c r="J42" i="105"/>
  <c r="I42" i="105"/>
  <c r="H42" i="105"/>
  <c r="E42" i="105"/>
  <c r="G42" i="105" s="1"/>
  <c r="J41" i="105"/>
  <c r="I41" i="105"/>
  <c r="H41" i="105"/>
  <c r="E41" i="105"/>
  <c r="G41" i="105" s="1"/>
  <c r="J40" i="105"/>
  <c r="I40" i="105"/>
  <c r="H40" i="105"/>
  <c r="E40" i="105"/>
  <c r="G40" i="105" s="1"/>
  <c r="J39" i="105"/>
  <c r="I39" i="105"/>
  <c r="H39" i="105"/>
  <c r="E39" i="105"/>
  <c r="G39" i="105" s="1"/>
  <c r="J38" i="105"/>
  <c r="I38" i="105"/>
  <c r="H38" i="105"/>
  <c r="E38" i="105"/>
  <c r="G38" i="105" s="1"/>
  <c r="J37" i="105"/>
  <c r="I37" i="105"/>
  <c r="H37" i="105"/>
  <c r="E37" i="105"/>
  <c r="G37" i="105" s="1"/>
  <c r="J36" i="105"/>
  <c r="I36" i="105"/>
  <c r="H36" i="105"/>
  <c r="E36" i="105"/>
  <c r="G36" i="105" s="1"/>
  <c r="J35" i="105"/>
  <c r="I35" i="105"/>
  <c r="H35" i="105"/>
  <c r="E35" i="105"/>
  <c r="G35" i="105" s="1"/>
  <c r="J34" i="105"/>
  <c r="I34" i="105"/>
  <c r="H34" i="105"/>
  <c r="E34" i="105"/>
  <c r="G34" i="105" s="1"/>
  <c r="J33" i="105"/>
  <c r="I33" i="105"/>
  <c r="H33" i="105"/>
  <c r="E33" i="105"/>
  <c r="G33" i="105" s="1"/>
  <c r="J30" i="105"/>
  <c r="I30" i="105"/>
  <c r="H30" i="105"/>
  <c r="E30" i="105"/>
  <c r="G30" i="105" s="1"/>
  <c r="J29" i="105"/>
  <c r="I29" i="105"/>
  <c r="H29" i="105"/>
  <c r="E29" i="105"/>
  <c r="G29" i="105" s="1"/>
  <c r="J28" i="105"/>
  <c r="I28" i="105"/>
  <c r="H28" i="105"/>
  <c r="E28" i="105"/>
  <c r="G28" i="105" s="1"/>
  <c r="J27" i="105"/>
  <c r="I27" i="105"/>
  <c r="H27" i="105"/>
  <c r="E27" i="105"/>
  <c r="G27" i="105" s="1"/>
  <c r="J26" i="105"/>
  <c r="I26" i="105"/>
  <c r="H26" i="105"/>
  <c r="E26" i="105"/>
  <c r="G26" i="105" s="1"/>
  <c r="J25" i="105"/>
  <c r="I25" i="105"/>
  <c r="H25" i="105"/>
  <c r="E25" i="105"/>
  <c r="G25" i="105" s="1"/>
  <c r="J24" i="105"/>
  <c r="I24" i="105"/>
  <c r="H24" i="105"/>
  <c r="E24" i="105"/>
  <c r="G24" i="105" s="1"/>
  <c r="R48" i="105" l="1"/>
  <c r="S49" i="105"/>
  <c r="S47" i="105"/>
  <c r="S46" i="105"/>
  <c r="S45" i="105"/>
  <c r="S44" i="105"/>
  <c r="S43" i="105"/>
  <c r="S42" i="105"/>
  <c r="S41" i="105"/>
  <c r="S40" i="105"/>
  <c r="S33" i="105"/>
  <c r="S32" i="105"/>
  <c r="S31" i="105"/>
  <c r="S30" i="105"/>
  <c r="S29" i="105"/>
  <c r="S28" i="105"/>
  <c r="S27" i="105"/>
  <c r="S26" i="105"/>
  <c r="S25" i="105"/>
  <c r="S18" i="105"/>
  <c r="S17" i="105"/>
  <c r="S16" i="105"/>
  <c r="S15" i="105"/>
  <c r="S14" i="105"/>
  <c r="S13" i="105"/>
  <c r="S12" i="105"/>
  <c r="S11" i="105"/>
  <c r="S19" i="105" l="1"/>
  <c r="T10" i="105" s="1"/>
  <c r="S34" i="105"/>
  <c r="T29" i="105" s="1"/>
  <c r="V29" i="105" s="1"/>
  <c r="S50" i="105"/>
  <c r="T47" i="105" s="1"/>
  <c r="U47" i="105" s="1"/>
  <c r="R42" i="114"/>
  <c r="R42" i="112"/>
  <c r="S43" i="114"/>
  <c r="S41" i="114"/>
  <c r="S40" i="114"/>
  <c r="S39" i="114"/>
  <c r="S38" i="114"/>
  <c r="S37" i="114"/>
  <c r="S36" i="114"/>
  <c r="S35" i="114"/>
  <c r="S34" i="114"/>
  <c r="S27" i="114"/>
  <c r="S26" i="114"/>
  <c r="S25" i="114"/>
  <c r="S24" i="114"/>
  <c r="S23" i="114"/>
  <c r="S22" i="114"/>
  <c r="S21" i="114"/>
  <c r="S20" i="114"/>
  <c r="S19" i="114"/>
  <c r="S12" i="114"/>
  <c r="S11" i="114"/>
  <c r="S10" i="114"/>
  <c r="S9" i="114"/>
  <c r="S8" i="114"/>
  <c r="S7" i="114"/>
  <c r="S6" i="114"/>
  <c r="S5" i="114"/>
  <c r="S43" i="112"/>
  <c r="S41" i="112"/>
  <c r="S40" i="112"/>
  <c r="S39" i="112"/>
  <c r="S38" i="112"/>
  <c r="S37" i="112"/>
  <c r="S36" i="112"/>
  <c r="S35" i="112"/>
  <c r="S34" i="112"/>
  <c r="S27" i="112"/>
  <c r="S26" i="112"/>
  <c r="S25" i="112"/>
  <c r="S24" i="112"/>
  <c r="S23" i="112"/>
  <c r="S22" i="112"/>
  <c r="S21" i="112"/>
  <c r="S20" i="112"/>
  <c r="S19" i="112"/>
  <c r="S12" i="112"/>
  <c r="S11" i="112"/>
  <c r="S10" i="112"/>
  <c r="S9" i="112"/>
  <c r="S8" i="112"/>
  <c r="S7" i="112"/>
  <c r="S6" i="112"/>
  <c r="S5" i="112"/>
  <c r="S42" i="111"/>
  <c r="S41" i="111"/>
  <c r="S40" i="111"/>
  <c r="S39" i="111"/>
  <c r="S38" i="111"/>
  <c r="S37" i="111"/>
  <c r="S36" i="111"/>
  <c r="S35" i="111"/>
  <c r="S34" i="111"/>
  <c r="S27" i="111"/>
  <c r="S26" i="111"/>
  <c r="S25" i="111"/>
  <c r="S24" i="111"/>
  <c r="S23" i="111"/>
  <c r="S22" i="111"/>
  <c r="S21" i="111"/>
  <c r="S20" i="111"/>
  <c r="S19" i="111"/>
  <c r="S12" i="111"/>
  <c r="S11" i="111"/>
  <c r="S10" i="111"/>
  <c r="S9" i="111"/>
  <c r="S8" i="111"/>
  <c r="S7" i="111"/>
  <c r="S6" i="111"/>
  <c r="S5" i="111"/>
  <c r="S42" i="107"/>
  <c r="S41" i="107"/>
  <c r="S40" i="107"/>
  <c r="S39" i="107"/>
  <c r="S38" i="107"/>
  <c r="S37" i="107"/>
  <c r="S36" i="107"/>
  <c r="S35" i="107"/>
  <c r="S34" i="107"/>
  <c r="S27" i="107"/>
  <c r="S26" i="107"/>
  <c r="S25" i="107"/>
  <c r="S24" i="107"/>
  <c r="S23" i="107"/>
  <c r="S22" i="107"/>
  <c r="S21" i="107"/>
  <c r="S20" i="107"/>
  <c r="S19" i="107"/>
  <c r="S12" i="107"/>
  <c r="S11" i="107"/>
  <c r="S10" i="107"/>
  <c r="S9" i="107"/>
  <c r="S8" i="107"/>
  <c r="S7" i="107"/>
  <c r="S6" i="107"/>
  <c r="S5" i="107"/>
  <c r="S42" i="106"/>
  <c r="S41" i="106"/>
  <c r="S40" i="106"/>
  <c r="S39" i="106"/>
  <c r="S38" i="106"/>
  <c r="S37" i="106"/>
  <c r="S36" i="106"/>
  <c r="S35" i="106"/>
  <c r="S34" i="106"/>
  <c r="S27" i="106"/>
  <c r="S26" i="106"/>
  <c r="S25" i="106"/>
  <c r="S24" i="106"/>
  <c r="S23" i="106"/>
  <c r="S22" i="106"/>
  <c r="S21" i="106"/>
  <c r="S20" i="106"/>
  <c r="S19" i="106"/>
  <c r="S12" i="106"/>
  <c r="S11" i="106"/>
  <c r="S10" i="106"/>
  <c r="S9" i="106"/>
  <c r="S8" i="106"/>
  <c r="S7" i="106"/>
  <c r="S6" i="106"/>
  <c r="S5" i="106"/>
  <c r="S42" i="48"/>
  <c r="S41" i="48"/>
  <c r="S40" i="48"/>
  <c r="S39" i="48"/>
  <c r="S38" i="48"/>
  <c r="S37" i="48"/>
  <c r="S36" i="48"/>
  <c r="S35" i="48"/>
  <c r="S34" i="48"/>
  <c r="S27" i="48"/>
  <c r="S26" i="48"/>
  <c r="S25" i="48"/>
  <c r="S24" i="48"/>
  <c r="S23" i="48"/>
  <c r="S22" i="48"/>
  <c r="S21" i="48"/>
  <c r="S20" i="48"/>
  <c r="S19" i="48"/>
  <c r="S12" i="48"/>
  <c r="S11" i="48"/>
  <c r="S10" i="48"/>
  <c r="S9" i="48"/>
  <c r="S8" i="48"/>
  <c r="S7" i="48"/>
  <c r="S6" i="48"/>
  <c r="S5" i="48"/>
  <c r="T39" i="48" l="1"/>
  <c r="U39" i="48" s="1"/>
  <c r="T24" i="48"/>
  <c r="U24" i="48" s="1"/>
  <c r="T25" i="48"/>
  <c r="V25" i="48" s="1"/>
  <c r="T37" i="48"/>
  <c r="U37" i="48" s="1"/>
  <c r="T49" i="105"/>
  <c r="V49" i="105" s="1"/>
  <c r="T46" i="105"/>
  <c r="V46" i="105" s="1"/>
  <c r="T41" i="105"/>
  <c r="U41" i="105" s="1"/>
  <c r="T25" i="105"/>
  <c r="V25" i="105" s="1"/>
  <c r="T30" i="105"/>
  <c r="U30" i="105" s="1"/>
  <c r="T31" i="105"/>
  <c r="V31" i="105" s="1"/>
  <c r="T33" i="105"/>
  <c r="V33" i="105" s="1"/>
  <c r="T17" i="105"/>
  <c r="V17" i="105" s="1"/>
  <c r="T15" i="105"/>
  <c r="V15" i="105" s="1"/>
  <c r="T13" i="105"/>
  <c r="V13" i="105" s="1"/>
  <c r="T12" i="105"/>
  <c r="U12" i="105" s="1"/>
  <c r="T18" i="105"/>
  <c r="V18" i="105" s="1"/>
  <c r="T11" i="105"/>
  <c r="V11" i="105" s="1"/>
  <c r="T14" i="105"/>
  <c r="U14" i="105" s="1"/>
  <c r="T28" i="105"/>
  <c r="U28" i="105" s="1"/>
  <c r="T45" i="105"/>
  <c r="U45" i="105" s="1"/>
  <c r="T43" i="105"/>
  <c r="U43" i="105" s="1"/>
  <c r="T48" i="105"/>
  <c r="U48" i="105" s="1"/>
  <c r="T32" i="105"/>
  <c r="U32" i="105" s="1"/>
  <c r="T42" i="105"/>
  <c r="V42" i="105" s="1"/>
  <c r="T40" i="105"/>
  <c r="V40" i="105" s="1"/>
  <c r="T44" i="105"/>
  <c r="V44" i="105" s="1"/>
  <c r="T16" i="105"/>
  <c r="U16" i="105" s="1"/>
  <c r="T27" i="105"/>
  <c r="V27" i="105" s="1"/>
  <c r="T26" i="105"/>
  <c r="S44" i="114"/>
  <c r="T37" i="114" s="1"/>
  <c r="U37" i="114" s="1"/>
  <c r="S13" i="114"/>
  <c r="T12" i="114" s="1"/>
  <c r="V12" i="114" s="1"/>
  <c r="S44" i="112"/>
  <c r="T42" i="112" s="1"/>
  <c r="U42" i="112" s="1"/>
  <c r="T40" i="112"/>
  <c r="V40" i="112" s="1"/>
  <c r="T8" i="112"/>
  <c r="U8" i="112" s="1"/>
  <c r="S13" i="112"/>
  <c r="T12" i="112" s="1"/>
  <c r="V12" i="112" s="1"/>
  <c r="S43" i="111"/>
  <c r="T35" i="111" s="1"/>
  <c r="U35" i="111" s="1"/>
  <c r="S13" i="111"/>
  <c r="T5" i="111" s="1"/>
  <c r="S43" i="107"/>
  <c r="T40" i="107" s="1"/>
  <c r="V40" i="107" s="1"/>
  <c r="T37" i="107"/>
  <c r="U37" i="107" s="1"/>
  <c r="S43" i="106"/>
  <c r="T41" i="106" s="1"/>
  <c r="U41" i="106" s="1"/>
  <c r="T36" i="106"/>
  <c r="V36" i="106" s="1"/>
  <c r="T40" i="106"/>
  <c r="V40" i="106" s="1"/>
  <c r="S13" i="106"/>
  <c r="T9" i="106" s="1"/>
  <c r="V9" i="106" s="1"/>
  <c r="S28" i="114"/>
  <c r="T26" i="114" s="1"/>
  <c r="U26" i="114" s="1"/>
  <c r="T4" i="112"/>
  <c r="T5" i="112"/>
  <c r="T10" i="112"/>
  <c r="U10" i="112" s="1"/>
  <c r="T43" i="112"/>
  <c r="V43" i="112" s="1"/>
  <c r="T35" i="112"/>
  <c r="U35" i="112" s="1"/>
  <c r="T34" i="112"/>
  <c r="S28" i="112"/>
  <c r="T23" i="112" s="1"/>
  <c r="V23" i="112" s="1"/>
  <c r="T4" i="111"/>
  <c r="T38" i="111"/>
  <c r="V38" i="111" s="1"/>
  <c r="S28" i="111"/>
  <c r="T38" i="107"/>
  <c r="V38" i="107" s="1"/>
  <c r="T39" i="107"/>
  <c r="U39" i="107" s="1"/>
  <c r="S13" i="107"/>
  <c r="T8" i="107" s="1"/>
  <c r="U8" i="107" s="1"/>
  <c r="S28" i="107"/>
  <c r="T22" i="107" s="1"/>
  <c r="U22" i="107" s="1"/>
  <c r="T5" i="106"/>
  <c r="T10" i="106"/>
  <c r="U10" i="106" s="1"/>
  <c r="T42" i="106"/>
  <c r="V42" i="106" s="1"/>
  <c r="T35" i="106"/>
  <c r="U35" i="106" s="1"/>
  <c r="T39" i="106"/>
  <c r="U39" i="106" s="1"/>
  <c r="S28" i="106"/>
  <c r="T21" i="106" s="1"/>
  <c r="V21" i="106" s="1"/>
  <c r="S43" i="48"/>
  <c r="S28" i="48"/>
  <c r="S13" i="48"/>
  <c r="P19" i="62"/>
  <c r="T27" i="62"/>
  <c r="T26" i="62"/>
  <c r="T25" i="62"/>
  <c r="T24" i="62"/>
  <c r="T23" i="62"/>
  <c r="T43" i="62"/>
  <c r="T41" i="62"/>
  <c r="T40" i="62"/>
  <c r="T39" i="62"/>
  <c r="T38" i="62"/>
  <c r="T48" i="62" s="1"/>
  <c r="P11" i="62"/>
  <c r="T19" i="48" l="1"/>
  <c r="V19" i="48" s="1"/>
  <c r="T26" i="48"/>
  <c r="U26" i="48" s="1"/>
  <c r="T22" i="48"/>
  <c r="U22" i="48" s="1"/>
  <c r="T4" i="106"/>
  <c r="T42" i="111"/>
  <c r="V42" i="111" s="1"/>
  <c r="T12" i="106"/>
  <c r="V12" i="106" s="1"/>
  <c r="T27" i="48"/>
  <c r="V27" i="48" s="1"/>
  <c r="V28" i="48" s="1"/>
  <c r="T40" i="48"/>
  <c r="V40" i="48" s="1"/>
  <c r="T36" i="48"/>
  <c r="V36" i="48" s="1"/>
  <c r="T7" i="106"/>
  <c r="V7" i="106" s="1"/>
  <c r="T34" i="107"/>
  <c r="T7" i="112"/>
  <c r="V7" i="112" s="1"/>
  <c r="T38" i="114"/>
  <c r="V38" i="114" s="1"/>
  <c r="T8" i="106"/>
  <c r="U8" i="106" s="1"/>
  <c r="T9" i="112"/>
  <c r="V9" i="112" s="1"/>
  <c r="T36" i="112"/>
  <c r="V36" i="112" s="1"/>
  <c r="T23" i="48"/>
  <c r="V23" i="48" s="1"/>
  <c r="T42" i="48"/>
  <c r="V42" i="48" s="1"/>
  <c r="T38" i="48"/>
  <c r="V38" i="48" s="1"/>
  <c r="T21" i="48"/>
  <c r="V21" i="48" s="1"/>
  <c r="T6" i="106"/>
  <c r="T11" i="106"/>
  <c r="V11" i="106" s="1"/>
  <c r="T36" i="111"/>
  <c r="V36" i="111" s="1"/>
  <c r="T6" i="112"/>
  <c r="T11" i="112"/>
  <c r="V11" i="112" s="1"/>
  <c r="T23" i="114"/>
  <c r="V23" i="114" s="1"/>
  <c r="T36" i="107"/>
  <c r="V36" i="107" s="1"/>
  <c r="T41" i="111"/>
  <c r="U41" i="111" s="1"/>
  <c r="T41" i="48"/>
  <c r="U41" i="48" s="1"/>
  <c r="T35" i="48"/>
  <c r="U35" i="48" s="1"/>
  <c r="Y34" i="48" s="1"/>
  <c r="O19" i="48" s="1"/>
  <c r="T34" i="48"/>
  <c r="T20" i="48"/>
  <c r="W40" i="105"/>
  <c r="O22" i="105" s="1"/>
  <c r="U50" i="105"/>
  <c r="V19" i="105"/>
  <c r="T19" i="105"/>
  <c r="U26" i="105"/>
  <c r="U34" i="105" s="1"/>
  <c r="V50" i="105"/>
  <c r="T34" i="105"/>
  <c r="T50" i="105"/>
  <c r="V34" i="105"/>
  <c r="U19" i="105"/>
  <c r="W11" i="105"/>
  <c r="O11" i="105" s="1"/>
  <c r="T39" i="114"/>
  <c r="U39" i="114" s="1"/>
  <c r="T40" i="114"/>
  <c r="V40" i="114" s="1"/>
  <c r="T36" i="114"/>
  <c r="V36" i="114" s="1"/>
  <c r="T42" i="114"/>
  <c r="U42" i="114" s="1"/>
  <c r="T35" i="114"/>
  <c r="U35" i="114" s="1"/>
  <c r="T41" i="114"/>
  <c r="U41" i="114" s="1"/>
  <c r="T34" i="114"/>
  <c r="V34" i="114" s="1"/>
  <c r="T43" i="114"/>
  <c r="V43" i="114" s="1"/>
  <c r="T24" i="114"/>
  <c r="U24" i="114" s="1"/>
  <c r="T6" i="114"/>
  <c r="U6" i="114" s="1"/>
  <c r="T10" i="114"/>
  <c r="U10" i="114" s="1"/>
  <c r="T4" i="114"/>
  <c r="T5" i="114"/>
  <c r="T8" i="114"/>
  <c r="U8" i="114" s="1"/>
  <c r="T7" i="114"/>
  <c r="V7" i="114" s="1"/>
  <c r="T9" i="114"/>
  <c r="V9" i="114" s="1"/>
  <c r="T11" i="114"/>
  <c r="V11" i="114" s="1"/>
  <c r="T39" i="112"/>
  <c r="U39" i="112" s="1"/>
  <c r="T41" i="112"/>
  <c r="U41" i="112" s="1"/>
  <c r="T38" i="112"/>
  <c r="V38" i="112" s="1"/>
  <c r="T37" i="112"/>
  <c r="U37" i="112" s="1"/>
  <c r="Y34" i="112" s="1"/>
  <c r="T26" i="112"/>
  <c r="U26" i="112" s="1"/>
  <c r="T24" i="112"/>
  <c r="U24" i="112" s="1"/>
  <c r="T40" i="111"/>
  <c r="V40" i="111" s="1"/>
  <c r="T39" i="111"/>
  <c r="U39" i="111" s="1"/>
  <c r="T37" i="111"/>
  <c r="U37" i="111" s="1"/>
  <c r="T34" i="111"/>
  <c r="V34" i="111" s="1"/>
  <c r="T11" i="111"/>
  <c r="V11" i="111" s="1"/>
  <c r="T8" i="111"/>
  <c r="U8" i="111" s="1"/>
  <c r="T6" i="111"/>
  <c r="U6" i="111" s="1"/>
  <c r="T9" i="111"/>
  <c r="V9" i="111" s="1"/>
  <c r="T12" i="111"/>
  <c r="V12" i="111" s="1"/>
  <c r="T7" i="111"/>
  <c r="V7" i="111" s="1"/>
  <c r="T10" i="111"/>
  <c r="U10" i="111" s="1"/>
  <c r="T35" i="107"/>
  <c r="U35" i="107" s="1"/>
  <c r="Y34" i="107" s="1"/>
  <c r="O20" i="107" s="1"/>
  <c r="T41" i="107"/>
  <c r="U41" i="107" s="1"/>
  <c r="T42" i="107"/>
  <c r="V42" i="107" s="1"/>
  <c r="T27" i="107"/>
  <c r="V27" i="107" s="1"/>
  <c r="T9" i="107"/>
  <c r="V9" i="107" s="1"/>
  <c r="T10" i="107"/>
  <c r="U10" i="107" s="1"/>
  <c r="T12" i="107"/>
  <c r="V12" i="107" s="1"/>
  <c r="T37" i="106"/>
  <c r="U37" i="106" s="1"/>
  <c r="Y34" i="106" s="1"/>
  <c r="O19" i="106" s="1"/>
  <c r="T34" i="106"/>
  <c r="T38" i="106"/>
  <c r="V38" i="106" s="1"/>
  <c r="T23" i="106"/>
  <c r="V23" i="106" s="1"/>
  <c r="T26" i="106"/>
  <c r="U26" i="106" s="1"/>
  <c r="T24" i="106"/>
  <c r="U24" i="106" s="1"/>
  <c r="T22" i="106"/>
  <c r="U22" i="106" s="1"/>
  <c r="T25" i="114"/>
  <c r="V25" i="114" s="1"/>
  <c r="T20" i="114"/>
  <c r="T19" i="114"/>
  <c r="T21" i="114"/>
  <c r="V21" i="114" s="1"/>
  <c r="T22" i="114"/>
  <c r="U22" i="114" s="1"/>
  <c r="V5" i="114"/>
  <c r="T27" i="114"/>
  <c r="V27" i="114" s="1"/>
  <c r="U6" i="112"/>
  <c r="W5" i="112"/>
  <c r="T25" i="112"/>
  <c r="V25" i="112" s="1"/>
  <c r="T20" i="112"/>
  <c r="T19" i="112"/>
  <c r="T21" i="112"/>
  <c r="V21" i="112" s="1"/>
  <c r="T22" i="112"/>
  <c r="U22" i="112" s="1"/>
  <c r="V34" i="112"/>
  <c r="T13" i="112"/>
  <c r="V5" i="112"/>
  <c r="V13" i="112" s="1"/>
  <c r="T27" i="112"/>
  <c r="V27" i="112" s="1"/>
  <c r="T25" i="111"/>
  <c r="V25" i="111" s="1"/>
  <c r="T20" i="111"/>
  <c r="T19" i="111"/>
  <c r="T26" i="111"/>
  <c r="U26" i="111" s="1"/>
  <c r="T27" i="111"/>
  <c r="V27" i="111" s="1"/>
  <c r="V5" i="111"/>
  <c r="T22" i="111"/>
  <c r="U22" i="111" s="1"/>
  <c r="T24" i="111"/>
  <c r="U24" i="111" s="1"/>
  <c r="T23" i="111"/>
  <c r="V23" i="111" s="1"/>
  <c r="T21" i="111"/>
  <c r="V21" i="111" s="1"/>
  <c r="T25" i="107"/>
  <c r="V25" i="107" s="1"/>
  <c r="T20" i="107"/>
  <c r="T19" i="107"/>
  <c r="T24" i="107"/>
  <c r="U24" i="107" s="1"/>
  <c r="T23" i="107"/>
  <c r="V23" i="107" s="1"/>
  <c r="V34" i="107"/>
  <c r="T21" i="107"/>
  <c r="V21" i="107" s="1"/>
  <c r="T4" i="107"/>
  <c r="T5" i="107"/>
  <c r="T11" i="107"/>
  <c r="V11" i="107" s="1"/>
  <c r="T7" i="107"/>
  <c r="V7" i="107" s="1"/>
  <c r="T6" i="107"/>
  <c r="T26" i="107"/>
  <c r="U26" i="107" s="1"/>
  <c r="U6" i="106"/>
  <c r="U43" i="106"/>
  <c r="V5" i="106"/>
  <c r="V13" i="106" s="1"/>
  <c r="T25" i="106"/>
  <c r="V25" i="106" s="1"/>
  <c r="T20" i="106"/>
  <c r="T19" i="106"/>
  <c r="T27" i="106"/>
  <c r="V27" i="106" s="1"/>
  <c r="T9" i="48"/>
  <c r="V9" i="48" s="1"/>
  <c r="T5" i="48"/>
  <c r="T6" i="48"/>
  <c r="T10" i="48"/>
  <c r="V10" i="48" s="1"/>
  <c r="T7" i="48"/>
  <c r="V7" i="48" s="1"/>
  <c r="T11" i="48"/>
  <c r="V11" i="48" s="1"/>
  <c r="T8" i="48"/>
  <c r="U8" i="48" s="1"/>
  <c r="T12" i="48"/>
  <c r="V12" i="48" s="1"/>
  <c r="T4" i="48"/>
  <c r="U6" i="48"/>
  <c r="T32" i="62"/>
  <c r="U25" i="62" s="1"/>
  <c r="W25" i="62" s="1"/>
  <c r="U26" i="62"/>
  <c r="V26" i="62" s="1"/>
  <c r="U30" i="62"/>
  <c r="V30" i="62" s="1"/>
  <c r="U24" i="62"/>
  <c r="V24" i="62" s="1"/>
  <c r="U28" i="62"/>
  <c r="V28" i="62" s="1"/>
  <c r="T16" i="62"/>
  <c r="Q21" i="29"/>
  <c r="Q17" i="29"/>
  <c r="T14" i="62"/>
  <c r="T13" i="62"/>
  <c r="T12" i="62"/>
  <c r="T11" i="62"/>
  <c r="T10" i="62"/>
  <c r="T9" i="62"/>
  <c r="T8" i="62"/>
  <c r="T7" i="62"/>
  <c r="V5" i="48" l="1"/>
  <c r="T13" i="48"/>
  <c r="T13" i="106"/>
  <c r="U44" i="112"/>
  <c r="Y34" i="114"/>
  <c r="O20" i="114" s="1"/>
  <c r="U20" i="48"/>
  <c r="W22" i="48"/>
  <c r="U13" i="48"/>
  <c r="Y5" i="48"/>
  <c r="O10" i="48" s="1"/>
  <c r="T28" i="48"/>
  <c r="W5" i="106"/>
  <c r="T43" i="48"/>
  <c r="V34" i="48"/>
  <c r="V43" i="48" s="1"/>
  <c r="U43" i="48"/>
  <c r="V32" i="62"/>
  <c r="X23" i="62"/>
  <c r="O19" i="62" s="1"/>
  <c r="W50" i="105"/>
  <c r="W25" i="105"/>
  <c r="O16" i="105" s="1"/>
  <c r="W34" i="105"/>
  <c r="W19" i="105"/>
  <c r="V44" i="114"/>
  <c r="U44" i="114"/>
  <c r="T44" i="114"/>
  <c r="V13" i="114"/>
  <c r="W5" i="114"/>
  <c r="T13" i="114"/>
  <c r="T44" i="112"/>
  <c r="V44" i="112"/>
  <c r="Y43" i="112" s="1"/>
  <c r="O20" i="112"/>
  <c r="Y34" i="111"/>
  <c r="O20" i="111" s="1"/>
  <c r="U43" i="111"/>
  <c r="T43" i="111"/>
  <c r="V43" i="111"/>
  <c r="Y43" i="111" s="1"/>
  <c r="T13" i="111"/>
  <c r="V13" i="111"/>
  <c r="W5" i="111"/>
  <c r="V43" i="107"/>
  <c r="U43" i="107"/>
  <c r="T43" i="107"/>
  <c r="T43" i="106"/>
  <c r="V34" i="106"/>
  <c r="V43" i="106" s="1"/>
  <c r="Y43" i="106" s="1"/>
  <c r="U13" i="114"/>
  <c r="Y5" i="114"/>
  <c r="O10" i="114" s="1"/>
  <c r="T28" i="114"/>
  <c r="V19" i="114"/>
  <c r="V28" i="114" s="1"/>
  <c r="U20" i="114"/>
  <c r="W22" i="114"/>
  <c r="T28" i="112"/>
  <c r="V19" i="112"/>
  <c r="V28" i="112" s="1"/>
  <c r="U20" i="112"/>
  <c r="W22" i="112"/>
  <c r="U13" i="112"/>
  <c r="Y5" i="112"/>
  <c r="O10" i="112" s="1"/>
  <c r="T28" i="111"/>
  <c r="V19" i="111"/>
  <c r="V28" i="111" s="1"/>
  <c r="U13" i="111"/>
  <c r="Y5" i="111"/>
  <c r="O10" i="111" s="1"/>
  <c r="U20" i="111"/>
  <c r="W22" i="111"/>
  <c r="U6" i="107"/>
  <c r="W5" i="107"/>
  <c r="T28" i="107"/>
  <c r="V19" i="107"/>
  <c r="V28" i="107" s="1"/>
  <c r="U20" i="107"/>
  <c r="W22" i="107"/>
  <c r="T13" i="107"/>
  <c r="V5" i="107"/>
  <c r="V13" i="107" s="1"/>
  <c r="T28" i="106"/>
  <c r="V19" i="106"/>
  <c r="V28" i="106" s="1"/>
  <c r="U20" i="106"/>
  <c r="W22" i="106"/>
  <c r="U13" i="106"/>
  <c r="Y5" i="106"/>
  <c r="O10" i="106" s="1"/>
  <c r="V13" i="48"/>
  <c r="W5" i="48"/>
  <c r="U23" i="62"/>
  <c r="W23" i="62" s="1"/>
  <c r="U31" i="62"/>
  <c r="W31" i="62" s="1"/>
  <c r="U29" i="62"/>
  <c r="U22" i="62"/>
  <c r="U27" i="62"/>
  <c r="W27" i="62" s="1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C32" i="58"/>
  <c r="B32" i="58"/>
  <c r="A32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C31" i="58"/>
  <c r="B31" i="58"/>
  <c r="A31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C30" i="58"/>
  <c r="B30" i="58"/>
  <c r="A30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C29" i="58"/>
  <c r="B29" i="58"/>
  <c r="A29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C28" i="58"/>
  <c r="B28" i="58"/>
  <c r="A28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C27" i="58"/>
  <c r="B27" i="58"/>
  <c r="A27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A26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A25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A24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A23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A22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A21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A20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A19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A18" i="58"/>
  <c r="P17" i="58"/>
  <c r="O17" i="58"/>
  <c r="N17" i="58"/>
  <c r="M17" i="58"/>
  <c r="O3" i="29" s="1"/>
  <c r="L17" i="58"/>
  <c r="K17" i="58"/>
  <c r="J17" i="58"/>
  <c r="I17" i="58"/>
  <c r="H17" i="58"/>
  <c r="G17" i="58"/>
  <c r="F17" i="58"/>
  <c r="E17" i="58"/>
  <c r="D17" i="58"/>
  <c r="C17" i="58"/>
  <c r="B17" i="58"/>
  <c r="A17" i="58"/>
  <c r="P16" i="58"/>
  <c r="O16" i="58"/>
  <c r="N16" i="58"/>
  <c r="M16" i="58"/>
  <c r="O2" i="29" s="1"/>
  <c r="L16" i="58"/>
  <c r="K16" i="58"/>
  <c r="J16" i="58"/>
  <c r="I16" i="58"/>
  <c r="H16" i="58"/>
  <c r="G16" i="58"/>
  <c r="F16" i="58"/>
  <c r="E16" i="58"/>
  <c r="D16" i="58"/>
  <c r="N2" i="29" s="1"/>
  <c r="C16" i="58"/>
  <c r="B16" i="58"/>
  <c r="A16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C15" i="58"/>
  <c r="B15" i="58"/>
  <c r="A15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C14" i="58"/>
  <c r="B14" i="58"/>
  <c r="A14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C13" i="58"/>
  <c r="B13" i="58"/>
  <c r="A13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C12" i="58"/>
  <c r="B12" i="58"/>
  <c r="A12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D11" i="58"/>
  <c r="C11" i="58"/>
  <c r="B11" i="58"/>
  <c r="A11" i="58"/>
  <c r="P10" i="58"/>
  <c r="O10" i="58"/>
  <c r="N10" i="58"/>
  <c r="M10" i="58"/>
  <c r="L10" i="58"/>
  <c r="K10" i="58"/>
  <c r="J10" i="58"/>
  <c r="I10" i="58"/>
  <c r="H10" i="58"/>
  <c r="G10" i="58"/>
  <c r="F10" i="58"/>
  <c r="E10" i="58"/>
  <c r="D10" i="58"/>
  <c r="C10" i="58"/>
  <c r="B10" i="58"/>
  <c r="A10" i="58"/>
  <c r="P9" i="58"/>
  <c r="O9" i="58"/>
  <c r="N9" i="58"/>
  <c r="M9" i="58"/>
  <c r="L9" i="58"/>
  <c r="K9" i="58"/>
  <c r="J9" i="58"/>
  <c r="I9" i="58"/>
  <c r="H9" i="58"/>
  <c r="G9" i="58"/>
  <c r="F9" i="58"/>
  <c r="E9" i="58"/>
  <c r="D9" i="58"/>
  <c r="C9" i="58"/>
  <c r="B9" i="58"/>
  <c r="A9" i="58"/>
  <c r="P8" i="58"/>
  <c r="O8" i="58"/>
  <c r="N8" i="58"/>
  <c r="M8" i="58"/>
  <c r="L8" i="58"/>
  <c r="K8" i="58"/>
  <c r="J8" i="58"/>
  <c r="I8" i="58"/>
  <c r="H8" i="58"/>
  <c r="G8" i="58"/>
  <c r="F8" i="58"/>
  <c r="E8" i="58"/>
  <c r="D8" i="58"/>
  <c r="C8" i="58"/>
  <c r="B8" i="58"/>
  <c r="A8" i="58"/>
  <c r="P7" i="58"/>
  <c r="O7" i="58"/>
  <c r="N7" i="58"/>
  <c r="M7" i="58"/>
  <c r="L7" i="58"/>
  <c r="K7" i="58"/>
  <c r="J7" i="58"/>
  <c r="I7" i="58"/>
  <c r="H7" i="58"/>
  <c r="G7" i="58"/>
  <c r="F7" i="58"/>
  <c r="E7" i="58"/>
  <c r="D7" i="58"/>
  <c r="C7" i="58"/>
  <c r="B7" i="58"/>
  <c r="A7" i="58"/>
  <c r="P6" i="58"/>
  <c r="O6" i="58"/>
  <c r="N6" i="58"/>
  <c r="M6" i="58"/>
  <c r="L6" i="58"/>
  <c r="K6" i="58"/>
  <c r="J6" i="58"/>
  <c r="I6" i="58"/>
  <c r="H6" i="58"/>
  <c r="G6" i="58"/>
  <c r="F6" i="58"/>
  <c r="E6" i="58"/>
  <c r="D6" i="58"/>
  <c r="C6" i="58"/>
  <c r="B6" i="58"/>
  <c r="A6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B5" i="58"/>
  <c r="A5" i="58"/>
  <c r="P4" i="58"/>
  <c r="O4" i="58"/>
  <c r="N4" i="58"/>
  <c r="M4" i="58"/>
  <c r="L4" i="58"/>
  <c r="K4" i="58"/>
  <c r="J4" i="58"/>
  <c r="I4" i="58"/>
  <c r="H4" i="58"/>
  <c r="G4" i="58"/>
  <c r="F4" i="58"/>
  <c r="E4" i="58"/>
  <c r="D4" i="58"/>
  <c r="C4" i="58"/>
  <c r="B4" i="58"/>
  <c r="A4" i="58"/>
  <c r="P3" i="58"/>
  <c r="O3" i="58"/>
  <c r="N3" i="58"/>
  <c r="M3" i="58"/>
  <c r="L3" i="58"/>
  <c r="K3" i="58"/>
  <c r="J3" i="58"/>
  <c r="I3" i="58"/>
  <c r="H3" i="58"/>
  <c r="G3" i="58"/>
  <c r="F3" i="58"/>
  <c r="E3" i="58"/>
  <c r="D3" i="58"/>
  <c r="C3" i="58"/>
  <c r="B3" i="58"/>
  <c r="A3" i="58"/>
  <c r="P2" i="58"/>
  <c r="O2" i="58"/>
  <c r="N2" i="58"/>
  <c r="M2" i="58"/>
  <c r="L2" i="58"/>
  <c r="K2" i="58"/>
  <c r="J2" i="58"/>
  <c r="I2" i="58"/>
  <c r="H2" i="58"/>
  <c r="G2" i="58"/>
  <c r="F2" i="58"/>
  <c r="E2" i="58"/>
  <c r="D2" i="58"/>
  <c r="C2" i="58"/>
  <c r="B2" i="58"/>
  <c r="A2" i="58"/>
  <c r="Y19" i="48" l="1"/>
  <c r="O15" i="48" s="1"/>
  <c r="U28" i="48"/>
  <c r="Y43" i="107"/>
  <c r="Y43" i="48"/>
  <c r="Q18" i="29"/>
  <c r="Q22" i="29"/>
  <c r="Q19" i="29"/>
  <c r="O4" i="29"/>
  <c r="Q20" i="29" s="1"/>
  <c r="U32" i="62"/>
  <c r="W29" i="62"/>
  <c r="W32" i="62" s="1"/>
  <c r="X32" i="62" s="1"/>
  <c r="W15" i="48"/>
  <c r="Y13" i="48"/>
  <c r="N3" i="105"/>
  <c r="N4" i="105"/>
  <c r="N2" i="105"/>
  <c r="M182" i="105" s="1"/>
  <c r="N5" i="105"/>
  <c r="N6" i="105"/>
  <c r="N3" i="114"/>
  <c r="N3" i="106"/>
  <c r="N3" i="111"/>
  <c r="N3" i="107"/>
  <c r="N3" i="112"/>
  <c r="N3" i="48"/>
  <c r="N4" i="112"/>
  <c r="N4" i="48"/>
  <c r="N4" i="111"/>
  <c r="N4" i="107"/>
  <c r="N4" i="114"/>
  <c r="N4" i="106"/>
  <c r="N2" i="107"/>
  <c r="N2" i="48"/>
  <c r="N2" i="111"/>
  <c r="N2" i="114"/>
  <c r="N2" i="106"/>
  <c r="N2" i="112"/>
  <c r="N5" i="111"/>
  <c r="N5" i="106"/>
  <c r="N5" i="112"/>
  <c r="N5" i="107"/>
  <c r="N5" i="114"/>
  <c r="N5" i="48"/>
  <c r="N4" i="62"/>
  <c r="N6" i="107"/>
  <c r="N6" i="112"/>
  <c r="N6" i="114"/>
  <c r="N6" i="106"/>
  <c r="N6" i="48"/>
  <c r="N6" i="111"/>
  <c r="Y44" i="114"/>
  <c r="U28" i="114"/>
  <c r="Y19" i="114"/>
  <c r="O15" i="114" s="1"/>
  <c r="W15" i="114"/>
  <c r="Y13" i="114"/>
  <c r="W15" i="112"/>
  <c r="Y13" i="112"/>
  <c r="U28" i="112"/>
  <c r="Y19" i="112"/>
  <c r="O15" i="112" s="1"/>
  <c r="W15" i="111"/>
  <c r="Y13" i="111"/>
  <c r="U28" i="111"/>
  <c r="Y19" i="111"/>
  <c r="O15" i="111" s="1"/>
  <c r="U28" i="107"/>
  <c r="Y19" i="107"/>
  <c r="O15" i="107" s="1"/>
  <c r="U13" i="107"/>
  <c r="Y5" i="107"/>
  <c r="O10" i="107" s="1"/>
  <c r="U28" i="106"/>
  <c r="Y19" i="106"/>
  <c r="O15" i="106" s="1"/>
  <c r="W15" i="106"/>
  <c r="Y13" i="106"/>
  <c r="N2" i="62"/>
  <c r="N4" i="29"/>
  <c r="N3" i="29"/>
  <c r="N3" i="62"/>
  <c r="E22" i="3"/>
  <c r="G22" i="3" s="1"/>
  <c r="E20" i="3"/>
  <c r="G20" i="3" s="1"/>
  <c r="H22" i="3"/>
  <c r="I22" i="3"/>
  <c r="L22" i="3" s="1"/>
  <c r="J22" i="3"/>
  <c r="H20" i="3"/>
  <c r="I20" i="3"/>
  <c r="L20" i="3" s="1"/>
  <c r="J20" i="3"/>
  <c r="J13" i="3"/>
  <c r="I13" i="3"/>
  <c r="L13" i="3" s="1"/>
  <c r="H13" i="3"/>
  <c r="J11" i="3"/>
  <c r="I11" i="3"/>
  <c r="L11" i="3" s="1"/>
  <c r="H11" i="3"/>
  <c r="E13" i="3"/>
  <c r="G13" i="3" s="1"/>
  <c r="E11" i="3"/>
  <c r="G11" i="3" s="1"/>
  <c r="J28" i="3"/>
  <c r="J27" i="3"/>
  <c r="I28" i="3"/>
  <c r="I27" i="3"/>
  <c r="H28" i="3"/>
  <c r="H27" i="3"/>
  <c r="E28" i="3"/>
  <c r="E27" i="3"/>
  <c r="Y28" i="48" l="1"/>
  <c r="W32" i="48"/>
  <c r="K396" i="105"/>
  <c r="K367" i="105"/>
  <c r="K392" i="105"/>
  <c r="K206" i="105"/>
  <c r="K261" i="105"/>
  <c r="K432" i="105"/>
  <c r="K185" i="105"/>
  <c r="K482" i="105"/>
  <c r="K221" i="105"/>
  <c r="L358" i="105"/>
  <c r="K281" i="105"/>
  <c r="K321" i="105"/>
  <c r="K20" i="3"/>
  <c r="K452" i="105"/>
  <c r="K524" i="105"/>
  <c r="K412" i="105"/>
  <c r="K449" i="105"/>
  <c r="K469" i="105"/>
  <c r="K320" i="105"/>
  <c r="K473" i="105"/>
  <c r="K388" i="105"/>
  <c r="K303" i="105"/>
  <c r="K217" i="105"/>
  <c r="K89" i="105"/>
  <c r="K435" i="105"/>
  <c r="K264" i="105"/>
  <c r="K417" i="105"/>
  <c r="K141" i="105"/>
  <c r="K123" i="105"/>
  <c r="K290" i="105"/>
  <c r="L248" i="105"/>
  <c r="K316" i="105"/>
  <c r="K395" i="105"/>
  <c r="K516" i="105"/>
  <c r="K431" i="105"/>
  <c r="K345" i="105"/>
  <c r="K260" i="105"/>
  <c r="K153" i="105"/>
  <c r="K504" i="105"/>
  <c r="K349" i="105"/>
  <c r="K159" i="105"/>
  <c r="K273" i="105"/>
  <c r="K389" i="105"/>
  <c r="K418" i="105"/>
  <c r="K45" i="105"/>
  <c r="M350" i="105"/>
  <c r="K508" i="105"/>
  <c r="K507" i="105"/>
  <c r="K357" i="105"/>
  <c r="K495" i="105"/>
  <c r="K409" i="105"/>
  <c r="K324" i="105"/>
  <c r="K239" i="105"/>
  <c r="K121" i="105"/>
  <c r="K477" i="105"/>
  <c r="K307" i="105"/>
  <c r="K95" i="105"/>
  <c r="K231" i="105"/>
  <c r="K240" i="105"/>
  <c r="K354" i="105"/>
  <c r="L407" i="105"/>
  <c r="K523" i="105"/>
  <c r="K465" i="105"/>
  <c r="K407" i="105"/>
  <c r="K353" i="105"/>
  <c r="K517" i="105"/>
  <c r="K480" i="105"/>
  <c r="K437" i="105"/>
  <c r="K405" i="105"/>
  <c r="K368" i="105"/>
  <c r="K331" i="105"/>
  <c r="K293" i="105"/>
  <c r="K521" i="105"/>
  <c r="K500" i="105"/>
  <c r="K479" i="105"/>
  <c r="K457" i="105"/>
  <c r="K436" i="105"/>
  <c r="K415" i="105"/>
  <c r="K393" i="105"/>
  <c r="K372" i="105"/>
  <c r="K351" i="105"/>
  <c r="K329" i="105"/>
  <c r="K308" i="105"/>
  <c r="K287" i="105"/>
  <c r="K265" i="105"/>
  <c r="K244" i="105"/>
  <c r="K223" i="105"/>
  <c r="K193" i="105"/>
  <c r="K161" i="105"/>
  <c r="K129" i="105"/>
  <c r="K97" i="105"/>
  <c r="K528" i="105"/>
  <c r="K509" i="105"/>
  <c r="K488" i="105"/>
  <c r="K445" i="105"/>
  <c r="K403" i="105"/>
  <c r="K360" i="105"/>
  <c r="K317" i="105"/>
  <c r="K275" i="105"/>
  <c r="K232" i="105"/>
  <c r="K175" i="105"/>
  <c r="K111" i="105"/>
  <c r="K455" i="105"/>
  <c r="K337" i="105"/>
  <c r="K284" i="105"/>
  <c r="K241" i="105"/>
  <c r="K173" i="105"/>
  <c r="K471" i="105"/>
  <c r="K443" i="105"/>
  <c r="K267" i="105"/>
  <c r="K155" i="105"/>
  <c r="K498" i="105"/>
  <c r="K434" i="105"/>
  <c r="K370" i="105"/>
  <c r="K306" i="105"/>
  <c r="K234" i="105"/>
  <c r="L437" i="105"/>
  <c r="K40" i="105"/>
  <c r="L376" i="105"/>
  <c r="L83" i="105"/>
  <c r="L137" i="105"/>
  <c r="K145" i="105"/>
  <c r="K520" i="105"/>
  <c r="K424" i="105"/>
  <c r="K339" i="105"/>
  <c r="K253" i="105"/>
  <c r="K207" i="105"/>
  <c r="K143" i="105"/>
  <c r="K375" i="105"/>
  <c r="K305" i="105"/>
  <c r="K263" i="105"/>
  <c r="K220" i="105"/>
  <c r="K109" i="105"/>
  <c r="K327" i="105"/>
  <c r="K336" i="105"/>
  <c r="K219" i="105"/>
  <c r="K91" i="105"/>
  <c r="K466" i="105"/>
  <c r="K402" i="105"/>
  <c r="K338" i="105"/>
  <c r="K274" i="105"/>
  <c r="K138" i="105"/>
  <c r="L414" i="105"/>
  <c r="L522" i="105"/>
  <c r="L84" i="105"/>
  <c r="L190" i="105"/>
  <c r="M137" i="105"/>
  <c r="M361" i="105"/>
  <c r="M171" i="105"/>
  <c r="M398" i="105"/>
  <c r="M375" i="105"/>
  <c r="M264" i="105"/>
  <c r="M417" i="105"/>
  <c r="L38" i="105"/>
  <c r="L35" i="105"/>
  <c r="L105" i="105"/>
  <c r="L169" i="105"/>
  <c r="L233" i="105"/>
  <c r="M274" i="105"/>
  <c r="M472" i="105"/>
  <c r="L31" i="105"/>
  <c r="L82" i="105"/>
  <c r="L126" i="105"/>
  <c r="L166" i="105"/>
  <c r="L210" i="105"/>
  <c r="L254" i="105"/>
  <c r="L294" i="105"/>
  <c r="L338" i="105"/>
  <c r="L382" i="105"/>
  <c r="M380" i="105"/>
  <c r="M512" i="105"/>
  <c r="L63" i="105"/>
  <c r="L103" i="105"/>
  <c r="L147" i="105"/>
  <c r="L191" i="105"/>
  <c r="L231" i="105"/>
  <c r="L275" i="105"/>
  <c r="M400" i="105"/>
  <c r="M514" i="105"/>
  <c r="L64" i="105"/>
  <c r="L108" i="105"/>
  <c r="L148" i="105"/>
  <c r="L192" i="105"/>
  <c r="L232" i="105"/>
  <c r="L264" i="105"/>
  <c r="L296" i="105"/>
  <c r="L328" i="105"/>
  <c r="L360" i="105"/>
  <c r="L392" i="105"/>
  <c r="L424" i="105"/>
  <c r="L269" i="105"/>
  <c r="L337" i="105"/>
  <c r="L395" i="105"/>
  <c r="L438" i="105"/>
  <c r="L474" i="105"/>
  <c r="L506" i="105"/>
  <c r="K31" i="105"/>
  <c r="K63" i="105"/>
  <c r="L323" i="105"/>
  <c r="L386" i="105"/>
  <c r="L429" i="105"/>
  <c r="L467" i="105"/>
  <c r="L499" i="105"/>
  <c r="L22" i="105"/>
  <c r="K56" i="105"/>
  <c r="K88" i="105"/>
  <c r="K120" i="105"/>
  <c r="K152" i="105"/>
  <c r="K184" i="105"/>
  <c r="K216" i="105"/>
  <c r="L333" i="105"/>
  <c r="L393" i="105"/>
  <c r="L435" i="105"/>
  <c r="L472" i="105"/>
  <c r="L504" i="105"/>
  <c r="K29" i="105"/>
  <c r="K61" i="105"/>
  <c r="L303" i="105"/>
  <c r="L367" i="105"/>
  <c r="L415" i="105"/>
  <c r="L457" i="105"/>
  <c r="L489" i="105"/>
  <c r="L521" i="105"/>
  <c r="K42" i="105"/>
  <c r="K62" i="105"/>
  <c r="K82" i="105"/>
  <c r="K106" i="105"/>
  <c r="K126" i="105"/>
  <c r="K146" i="105"/>
  <c r="K170" i="105"/>
  <c r="K190" i="105"/>
  <c r="K210" i="105"/>
  <c r="M105" i="105"/>
  <c r="M150" i="105"/>
  <c r="M203" i="105"/>
  <c r="M430" i="105"/>
  <c r="M403" i="105"/>
  <c r="M286" i="105"/>
  <c r="M433" i="105"/>
  <c r="L54" i="105"/>
  <c r="L40" i="105"/>
  <c r="L109" i="105"/>
  <c r="L173" i="105"/>
  <c r="L237" i="105"/>
  <c r="M295" i="105"/>
  <c r="M483" i="105"/>
  <c r="L41" i="105"/>
  <c r="L86" i="105"/>
  <c r="L130" i="105"/>
  <c r="L174" i="105"/>
  <c r="L214" i="105"/>
  <c r="L258" i="105"/>
  <c r="L302" i="105"/>
  <c r="L342" i="105"/>
  <c r="M64" i="105"/>
  <c r="M412" i="105"/>
  <c r="M518" i="105"/>
  <c r="L67" i="105"/>
  <c r="L111" i="105"/>
  <c r="L151" i="105"/>
  <c r="L195" i="105"/>
  <c r="L239" i="105"/>
  <c r="M80" i="105"/>
  <c r="M416" i="105"/>
  <c r="M524" i="105"/>
  <c r="L68" i="105"/>
  <c r="L112" i="105"/>
  <c r="L156" i="105"/>
  <c r="L196" i="105"/>
  <c r="L236" i="105"/>
  <c r="L268" i="105"/>
  <c r="L300" i="105"/>
  <c r="L332" i="105"/>
  <c r="L364" i="105"/>
  <c r="L396" i="105"/>
  <c r="L428" i="105"/>
  <c r="L281" i="105"/>
  <c r="L345" i="105"/>
  <c r="L401" i="105"/>
  <c r="L443" i="105"/>
  <c r="L478" i="105"/>
  <c r="L510" i="105"/>
  <c r="K35" i="105"/>
  <c r="K67" i="105"/>
  <c r="L331" i="105"/>
  <c r="L391" i="105"/>
  <c r="L434" i="105"/>
  <c r="L471" i="105"/>
  <c r="L503" i="105"/>
  <c r="K28" i="105"/>
  <c r="K60" i="105"/>
  <c r="K92" i="105"/>
  <c r="K124" i="105"/>
  <c r="K156" i="105"/>
  <c r="K188" i="105"/>
  <c r="L277" i="105"/>
  <c r="L341" i="105"/>
  <c r="L398" i="105"/>
  <c r="L441" i="105"/>
  <c r="L476" i="105"/>
  <c r="L508" i="105"/>
  <c r="K33" i="105"/>
  <c r="K65" i="105"/>
  <c r="L311" i="105"/>
  <c r="L375" i="105"/>
  <c r="L421" i="105"/>
  <c r="L461" i="105"/>
  <c r="L493" i="105"/>
  <c r="L525" i="105"/>
  <c r="K46" i="105"/>
  <c r="K66" i="105"/>
  <c r="K90" i="105"/>
  <c r="K110" i="105"/>
  <c r="K130" i="105"/>
  <c r="K154" i="105"/>
  <c r="K174" i="105"/>
  <c r="K194" i="105"/>
  <c r="M265" i="105"/>
  <c r="M43" i="105"/>
  <c r="M282" i="105"/>
  <c r="M236" i="105"/>
  <c r="M68" i="105"/>
  <c r="M369" i="105"/>
  <c r="M497" i="105"/>
  <c r="M452" i="105"/>
  <c r="L77" i="105"/>
  <c r="L141" i="105"/>
  <c r="L205" i="105"/>
  <c r="M48" i="105"/>
  <c r="M408" i="105"/>
  <c r="M516" i="105"/>
  <c r="L66" i="105"/>
  <c r="L110" i="105"/>
  <c r="L150" i="105"/>
  <c r="L194" i="105"/>
  <c r="L238" i="105"/>
  <c r="L278" i="105"/>
  <c r="L322" i="105"/>
  <c r="L366" i="105"/>
  <c r="M300" i="105"/>
  <c r="M484" i="105"/>
  <c r="L43" i="105"/>
  <c r="L87" i="105"/>
  <c r="L131" i="105"/>
  <c r="L175" i="105"/>
  <c r="L215" i="105"/>
  <c r="L259" i="105"/>
  <c r="M327" i="105"/>
  <c r="M487" i="105"/>
  <c r="L44" i="105"/>
  <c r="L92" i="105"/>
  <c r="L132" i="105"/>
  <c r="L176" i="105"/>
  <c r="L220" i="105"/>
  <c r="L252" i="105"/>
  <c r="L284" i="105"/>
  <c r="L316" i="105"/>
  <c r="L348" i="105"/>
  <c r="L380" i="105"/>
  <c r="L412" i="105"/>
  <c r="L444" i="105"/>
  <c r="L313" i="105"/>
  <c r="L377" i="105"/>
  <c r="L422" i="105"/>
  <c r="L462" i="105"/>
  <c r="L494" i="105"/>
  <c r="L526" i="105"/>
  <c r="K51" i="105"/>
  <c r="L299" i="105"/>
  <c r="L363" i="105"/>
  <c r="L413" i="105"/>
  <c r="L455" i="105"/>
  <c r="L487" i="105"/>
  <c r="L519" i="105"/>
  <c r="K44" i="105"/>
  <c r="K76" i="105"/>
  <c r="K108" i="105"/>
  <c r="K140" i="105"/>
  <c r="K172" i="105"/>
  <c r="K204" i="105"/>
  <c r="L309" i="105"/>
  <c r="L373" i="105"/>
  <c r="L419" i="105"/>
  <c r="L460" i="105"/>
  <c r="L492" i="105"/>
  <c r="L524" i="105"/>
  <c r="K49" i="105"/>
  <c r="L279" i="105"/>
  <c r="L343" i="105"/>
  <c r="L399" i="105"/>
  <c r="L442" i="105"/>
  <c r="L477" i="105"/>
  <c r="L509" i="105"/>
  <c r="K34" i="105"/>
  <c r="K58" i="105"/>
  <c r="K78" i="105"/>
  <c r="K98" i="105"/>
  <c r="K122" i="105"/>
  <c r="K142" i="105"/>
  <c r="K162" i="105"/>
  <c r="K186" i="105"/>
  <c r="M108" i="105"/>
  <c r="M388" i="105"/>
  <c r="L265" i="105"/>
  <c r="L102" i="105"/>
  <c r="L274" i="105"/>
  <c r="M476" i="105"/>
  <c r="L167" i="105"/>
  <c r="M479" i="105"/>
  <c r="L172" i="105"/>
  <c r="L312" i="105"/>
  <c r="L440" i="105"/>
  <c r="L458" i="105"/>
  <c r="L291" i="105"/>
  <c r="L483" i="105"/>
  <c r="K104" i="105"/>
  <c r="L301" i="105"/>
  <c r="L488" i="105"/>
  <c r="L335" i="105"/>
  <c r="L505" i="105"/>
  <c r="K94" i="105"/>
  <c r="K178" i="105"/>
  <c r="K222" i="105"/>
  <c r="K242" i="105"/>
  <c r="K266" i="105"/>
  <c r="K282" i="105"/>
  <c r="K298" i="105"/>
  <c r="K314" i="105"/>
  <c r="K330" i="105"/>
  <c r="K346" i="105"/>
  <c r="K362" i="105"/>
  <c r="K378" i="105"/>
  <c r="K394" i="105"/>
  <c r="K410" i="105"/>
  <c r="K426" i="105"/>
  <c r="K442" i="105"/>
  <c r="K458" i="105"/>
  <c r="K474" i="105"/>
  <c r="K490" i="105"/>
  <c r="K506" i="105"/>
  <c r="K71" i="105"/>
  <c r="K107" i="105"/>
  <c r="K139" i="105"/>
  <c r="K171" i="105"/>
  <c r="K203" i="105"/>
  <c r="K229" i="105"/>
  <c r="K251" i="105"/>
  <c r="K277" i="105"/>
  <c r="K315" i="105"/>
  <c r="K363" i="105"/>
  <c r="K416" i="105"/>
  <c r="K464" i="105"/>
  <c r="K512" i="105"/>
  <c r="K385" i="105"/>
  <c r="K444" i="105"/>
  <c r="K513" i="105"/>
  <c r="K93" i="105"/>
  <c r="K125" i="105"/>
  <c r="K157" i="105"/>
  <c r="K189" i="105"/>
  <c r="M233" i="105"/>
  <c r="M467" i="105"/>
  <c r="L73" i="105"/>
  <c r="M376" i="105"/>
  <c r="L146" i="105"/>
  <c r="L318" i="105"/>
  <c r="L32" i="105"/>
  <c r="L211" i="105"/>
  <c r="L39" i="105"/>
  <c r="L212" i="105"/>
  <c r="L344" i="105"/>
  <c r="L305" i="105"/>
  <c r="L490" i="105"/>
  <c r="L355" i="105"/>
  <c r="L515" i="105"/>
  <c r="K136" i="105"/>
  <c r="L365" i="105"/>
  <c r="L520" i="105"/>
  <c r="L394" i="105"/>
  <c r="K30" i="105"/>
  <c r="K114" i="105"/>
  <c r="K202" i="105"/>
  <c r="K226" i="105"/>
  <c r="K250" i="105"/>
  <c r="K270" i="105"/>
  <c r="K286" i="105"/>
  <c r="K302" i="105"/>
  <c r="K318" i="105"/>
  <c r="K334" i="105"/>
  <c r="K350" i="105"/>
  <c r="K366" i="105"/>
  <c r="K382" i="105"/>
  <c r="K398" i="105"/>
  <c r="K414" i="105"/>
  <c r="K430" i="105"/>
  <c r="K446" i="105"/>
  <c r="K462" i="105"/>
  <c r="K478" i="105"/>
  <c r="K494" i="105"/>
  <c r="K510" i="105"/>
  <c r="K83" i="105"/>
  <c r="K115" i="105"/>
  <c r="K147" i="105"/>
  <c r="K179" i="105"/>
  <c r="K211" i="105"/>
  <c r="K235" i="105"/>
  <c r="K256" i="105"/>
  <c r="K283" i="105"/>
  <c r="K325" i="105"/>
  <c r="K379" i="105"/>
  <c r="K427" i="105"/>
  <c r="K475" i="105"/>
  <c r="K526" i="105"/>
  <c r="K401" i="105"/>
  <c r="K460" i="105"/>
  <c r="K527" i="105"/>
  <c r="K101" i="105"/>
  <c r="K133" i="105"/>
  <c r="K165" i="105"/>
  <c r="K197" i="105"/>
  <c r="K225" i="105"/>
  <c r="K247" i="105"/>
  <c r="K268" i="105"/>
  <c r="K289" i="105"/>
  <c r="K311" i="105"/>
  <c r="K343" i="105"/>
  <c r="K391" i="105"/>
  <c r="K481" i="105"/>
  <c r="K87" i="105"/>
  <c r="K119" i="105"/>
  <c r="K151" i="105"/>
  <c r="K183" i="105"/>
  <c r="K215" i="105"/>
  <c r="K237" i="105"/>
  <c r="K259" i="105"/>
  <c r="K280" i="105"/>
  <c r="K301" i="105"/>
  <c r="K323" i="105"/>
  <c r="K344" i="105"/>
  <c r="K365" i="105"/>
  <c r="K387" i="105"/>
  <c r="K408" i="105"/>
  <c r="K429" i="105"/>
  <c r="K451" i="105"/>
  <c r="K472" i="105"/>
  <c r="M200" i="105"/>
  <c r="M481" i="105"/>
  <c r="L201" i="105"/>
  <c r="L62" i="105"/>
  <c r="L230" i="105"/>
  <c r="M279" i="105"/>
  <c r="L127" i="105"/>
  <c r="M284" i="105"/>
  <c r="L128" i="105"/>
  <c r="L280" i="105"/>
  <c r="L408" i="105"/>
  <c r="L417" i="105"/>
  <c r="K47" i="105"/>
  <c r="L450" i="105"/>
  <c r="K72" i="105"/>
  <c r="K200" i="105"/>
  <c r="L456" i="105"/>
  <c r="K77" i="105"/>
  <c r="L473" i="105"/>
  <c r="K74" i="105"/>
  <c r="K158" i="105"/>
  <c r="K218" i="105"/>
  <c r="K238" i="105"/>
  <c r="K258" i="105"/>
  <c r="K278" i="105"/>
  <c r="K294" i="105"/>
  <c r="K310" i="105"/>
  <c r="K326" i="105"/>
  <c r="K342" i="105"/>
  <c r="K358" i="105"/>
  <c r="K374" i="105"/>
  <c r="K390" i="105"/>
  <c r="K406" i="105"/>
  <c r="K422" i="105"/>
  <c r="K438" i="105"/>
  <c r="K454" i="105"/>
  <c r="K470" i="105"/>
  <c r="K486" i="105"/>
  <c r="K502" i="105"/>
  <c r="K518" i="105"/>
  <c r="K99" i="105"/>
  <c r="K131" i="105"/>
  <c r="K163" i="105"/>
  <c r="K195" i="105"/>
  <c r="K224" i="105"/>
  <c r="K245" i="105"/>
  <c r="K272" i="105"/>
  <c r="K299" i="105"/>
  <c r="K352" i="105"/>
  <c r="K400" i="105"/>
  <c r="K453" i="105"/>
  <c r="K501" i="105"/>
  <c r="K369" i="105"/>
  <c r="K428" i="105"/>
  <c r="K497" i="105"/>
  <c r="K85" i="105"/>
  <c r="K117" i="105"/>
  <c r="K149" i="105"/>
  <c r="K181" i="105"/>
  <c r="K213" i="105"/>
  <c r="K236" i="105"/>
  <c r="K257" i="105"/>
  <c r="K279" i="105"/>
  <c r="K300" i="105"/>
  <c r="K332" i="105"/>
  <c r="K359" i="105"/>
  <c r="K439" i="105"/>
  <c r="K519" i="105"/>
  <c r="K103" i="105"/>
  <c r="K135" i="105"/>
  <c r="K167" i="105"/>
  <c r="K199" i="105"/>
  <c r="K227" i="105"/>
  <c r="K248" i="105"/>
  <c r="K269" i="105"/>
  <c r="K291" i="105"/>
  <c r="K312" i="105"/>
  <c r="K333" i="105"/>
  <c r="K355" i="105"/>
  <c r="K376" i="105"/>
  <c r="K397" i="105"/>
  <c r="K419" i="105"/>
  <c r="K440" i="105"/>
  <c r="K461" i="105"/>
  <c r="K483" i="105"/>
  <c r="K492" i="105"/>
  <c r="K433" i="105"/>
  <c r="K380" i="105"/>
  <c r="K24" i="105"/>
  <c r="K496" i="105"/>
  <c r="K459" i="105"/>
  <c r="K421" i="105"/>
  <c r="K384" i="105"/>
  <c r="K347" i="105"/>
  <c r="K309" i="105"/>
  <c r="K23" i="105"/>
  <c r="K511" i="105"/>
  <c r="K489" i="105"/>
  <c r="K468" i="105"/>
  <c r="K447" i="105"/>
  <c r="K425" i="105"/>
  <c r="K404" i="105"/>
  <c r="K383" i="105"/>
  <c r="K361" i="105"/>
  <c r="K340" i="105"/>
  <c r="K319" i="105"/>
  <c r="K297" i="105"/>
  <c r="K276" i="105"/>
  <c r="K255" i="105"/>
  <c r="K233" i="105"/>
  <c r="K209" i="105"/>
  <c r="K177" i="105"/>
  <c r="K113" i="105"/>
  <c r="K81" i="105"/>
  <c r="K499" i="105"/>
  <c r="K467" i="105"/>
  <c r="K381" i="105"/>
  <c r="K296" i="105"/>
  <c r="K79" i="105"/>
  <c r="K22" i="105"/>
  <c r="K476" i="105"/>
  <c r="K423" i="105"/>
  <c r="K364" i="105"/>
  <c r="K522" i="105"/>
  <c r="K485" i="105"/>
  <c r="K448" i="105"/>
  <c r="K411" i="105"/>
  <c r="K373" i="105"/>
  <c r="K341" i="105"/>
  <c r="K304" i="105"/>
  <c r="K525" i="105"/>
  <c r="K505" i="105"/>
  <c r="K484" i="105"/>
  <c r="K463" i="105"/>
  <c r="K441" i="105"/>
  <c r="K420" i="105"/>
  <c r="K399" i="105"/>
  <c r="K377" i="105"/>
  <c r="K356" i="105"/>
  <c r="K335" i="105"/>
  <c r="K313" i="105"/>
  <c r="K292" i="105"/>
  <c r="K271" i="105"/>
  <c r="K249" i="105"/>
  <c r="K228" i="105"/>
  <c r="K201" i="105"/>
  <c r="K169" i="105"/>
  <c r="K137" i="105"/>
  <c r="K105" i="105"/>
  <c r="K487" i="105"/>
  <c r="K515" i="105"/>
  <c r="K493" i="105"/>
  <c r="K456" i="105"/>
  <c r="K413" i="105"/>
  <c r="K371" i="105"/>
  <c r="K328" i="105"/>
  <c r="K285" i="105"/>
  <c r="K243" i="105"/>
  <c r="K191" i="105"/>
  <c r="K127" i="105"/>
  <c r="K503" i="105"/>
  <c r="K348" i="105"/>
  <c r="K295" i="105"/>
  <c r="K252" i="105"/>
  <c r="K205" i="105"/>
  <c r="K75" i="105"/>
  <c r="K491" i="105"/>
  <c r="K288" i="105"/>
  <c r="K187" i="105"/>
  <c r="K514" i="105"/>
  <c r="K450" i="105"/>
  <c r="K386" i="105"/>
  <c r="K322" i="105"/>
  <c r="K254" i="105"/>
  <c r="K50" i="105"/>
  <c r="K168" i="105"/>
  <c r="L369" i="105"/>
  <c r="L255" i="105"/>
  <c r="M511" i="105"/>
  <c r="M75" i="105"/>
  <c r="M54" i="105"/>
  <c r="M37" i="105"/>
  <c r="M53" i="105"/>
  <c r="M69" i="105"/>
  <c r="M85" i="105"/>
  <c r="M101" i="105"/>
  <c r="M117" i="105"/>
  <c r="M133" i="105"/>
  <c r="M149" i="105"/>
  <c r="M165" i="105"/>
  <c r="M181" i="105"/>
  <c r="M197" i="105"/>
  <c r="M213" i="105"/>
  <c r="M229" i="105"/>
  <c r="M245" i="105"/>
  <c r="M261" i="105"/>
  <c r="M277" i="105"/>
  <c r="M293" i="105"/>
  <c r="M309" i="105"/>
  <c r="M325" i="105"/>
  <c r="M341" i="105"/>
  <c r="M357" i="105"/>
  <c r="M34" i="105"/>
  <c r="M50" i="105"/>
  <c r="M66" i="105"/>
  <c r="M82" i="105"/>
  <c r="M98" i="105"/>
  <c r="M114" i="105"/>
  <c r="M130" i="105"/>
  <c r="M146" i="105"/>
  <c r="M162" i="105"/>
  <c r="M178" i="105"/>
  <c r="M194" i="105"/>
  <c r="M210" i="105"/>
  <c r="M226" i="105"/>
  <c r="M242" i="105"/>
  <c r="M258" i="105"/>
  <c r="M39" i="105"/>
  <c r="M55" i="105"/>
  <c r="M71" i="105"/>
  <c r="M87" i="105"/>
  <c r="M103" i="105"/>
  <c r="M119" i="105"/>
  <c r="M135" i="105"/>
  <c r="M151" i="105"/>
  <c r="M167" i="105"/>
  <c r="M183" i="105"/>
  <c r="M199" i="105"/>
  <c r="M215" i="105"/>
  <c r="M231" i="105"/>
  <c r="M247" i="105"/>
  <c r="M56" i="105"/>
  <c r="M120" i="105"/>
  <c r="M184" i="105"/>
  <c r="M248" i="105"/>
  <c r="M276" i="105"/>
  <c r="M298" i="105"/>
  <c r="M319" i="105"/>
  <c r="M340" i="105"/>
  <c r="M362" i="105"/>
  <c r="M378" i="105"/>
  <c r="M394" i="105"/>
  <c r="M410" i="105"/>
  <c r="M426" i="105"/>
  <c r="M442" i="105"/>
  <c r="M458" i="105"/>
  <c r="M474" i="105"/>
  <c r="M490" i="105"/>
  <c r="M28" i="105"/>
  <c r="M92" i="105"/>
  <c r="M156" i="105"/>
  <c r="M220" i="105"/>
  <c r="M267" i="105"/>
  <c r="M288" i="105"/>
  <c r="M310" i="105"/>
  <c r="M331" i="105"/>
  <c r="M352" i="105"/>
  <c r="M371" i="105"/>
  <c r="M387" i="105"/>
  <c r="M29" i="105"/>
  <c r="M45" i="105"/>
  <c r="M61" i="105"/>
  <c r="M77" i="105"/>
  <c r="M93" i="105"/>
  <c r="M109" i="105"/>
  <c r="M125" i="105"/>
  <c r="M141" i="105"/>
  <c r="M157" i="105"/>
  <c r="M173" i="105"/>
  <c r="M189" i="105"/>
  <c r="M205" i="105"/>
  <c r="M221" i="105"/>
  <c r="M237" i="105"/>
  <c r="M253" i="105"/>
  <c r="M269" i="105"/>
  <c r="M285" i="105"/>
  <c r="M301" i="105"/>
  <c r="M317" i="105"/>
  <c r="M333" i="105"/>
  <c r="M349" i="105"/>
  <c r="M26" i="105"/>
  <c r="M42" i="105"/>
  <c r="M58" i="105"/>
  <c r="M74" i="105"/>
  <c r="M90" i="105"/>
  <c r="M106" i="105"/>
  <c r="M122" i="105"/>
  <c r="M138" i="105"/>
  <c r="M154" i="105"/>
  <c r="M170" i="105"/>
  <c r="M186" i="105"/>
  <c r="M202" i="105"/>
  <c r="M218" i="105"/>
  <c r="M234" i="105"/>
  <c r="M250" i="105"/>
  <c r="M31" i="105"/>
  <c r="M47" i="105"/>
  <c r="M63" i="105"/>
  <c r="M79" i="105"/>
  <c r="M95" i="105"/>
  <c r="M111" i="105"/>
  <c r="M127" i="105"/>
  <c r="M143" i="105"/>
  <c r="M159" i="105"/>
  <c r="M175" i="105"/>
  <c r="M191" i="105"/>
  <c r="M207" i="105"/>
  <c r="M223" i="105"/>
  <c r="M239" i="105"/>
  <c r="M255" i="105"/>
  <c r="M88" i="105"/>
  <c r="M152" i="105"/>
  <c r="M216" i="105"/>
  <c r="M266" i="105"/>
  <c r="M287" i="105"/>
  <c r="M308" i="105"/>
  <c r="M330" i="105"/>
  <c r="M351" i="105"/>
  <c r="M370" i="105"/>
  <c r="M386" i="105"/>
  <c r="M402" i="105"/>
  <c r="M418" i="105"/>
  <c r="M434" i="105"/>
  <c r="M450" i="105"/>
  <c r="M466" i="105"/>
  <c r="M482" i="105"/>
  <c r="M498" i="105"/>
  <c r="M60" i="105"/>
  <c r="M124" i="105"/>
  <c r="M188" i="105"/>
  <c r="M252" i="105"/>
  <c r="M278" i="105"/>
  <c r="M299" i="105"/>
  <c r="M320" i="105"/>
  <c r="M342" i="105"/>
  <c r="M363" i="105"/>
  <c r="M379" i="105"/>
  <c r="M395" i="105"/>
  <c r="M411" i="105"/>
  <c r="M427" i="105"/>
  <c r="M443" i="105"/>
  <c r="M459" i="105"/>
  <c r="M475" i="105"/>
  <c r="M84" i="105"/>
  <c r="M49" i="105"/>
  <c r="M81" i="105"/>
  <c r="M113" i="105"/>
  <c r="M145" i="105"/>
  <c r="M177" i="105"/>
  <c r="M209" i="105"/>
  <c r="M241" i="105"/>
  <c r="M273" i="105"/>
  <c r="M305" i="105"/>
  <c r="M337" i="105"/>
  <c r="M30" i="105"/>
  <c r="M62" i="105"/>
  <c r="M94" i="105"/>
  <c r="M126" i="105"/>
  <c r="M158" i="105"/>
  <c r="M190" i="105"/>
  <c r="M222" i="105"/>
  <c r="M254" i="105"/>
  <c r="M51" i="105"/>
  <c r="M83" i="105"/>
  <c r="M115" i="105"/>
  <c r="M147" i="105"/>
  <c r="M179" i="105"/>
  <c r="M211" i="105"/>
  <c r="M243" i="105"/>
  <c r="M104" i="105"/>
  <c r="M232" i="105"/>
  <c r="M292" i="105"/>
  <c r="M335" i="105"/>
  <c r="M374" i="105"/>
  <c r="M406" i="105"/>
  <c r="M438" i="105"/>
  <c r="M470" i="105"/>
  <c r="M502" i="105"/>
  <c r="M140" i="105"/>
  <c r="M262" i="105"/>
  <c r="M304" i="105"/>
  <c r="M347" i="105"/>
  <c r="M383" i="105"/>
  <c r="M407" i="105"/>
  <c r="M431" i="105"/>
  <c r="M451" i="105"/>
  <c r="M471" i="105"/>
  <c r="M100" i="105"/>
  <c r="M164" i="105"/>
  <c r="M228" i="105"/>
  <c r="M270" i="105"/>
  <c r="M291" i="105"/>
  <c r="M312" i="105"/>
  <c r="M334" i="105"/>
  <c r="M355" i="105"/>
  <c r="M373" i="105"/>
  <c r="M389" i="105"/>
  <c r="M405" i="105"/>
  <c r="M421" i="105"/>
  <c r="M437" i="105"/>
  <c r="M453" i="105"/>
  <c r="M469" i="105"/>
  <c r="M485" i="105"/>
  <c r="M501" i="105"/>
  <c r="M517" i="105"/>
  <c r="L26" i="105"/>
  <c r="L42" i="105"/>
  <c r="L58" i="105"/>
  <c r="M224" i="105"/>
  <c r="M332" i="105"/>
  <c r="M404" i="105"/>
  <c r="M468" i="105"/>
  <c r="M504" i="105"/>
  <c r="M526" i="105"/>
  <c r="M25" i="105"/>
  <c r="M57" i="105"/>
  <c r="M89" i="105"/>
  <c r="M121" i="105"/>
  <c r="M153" i="105"/>
  <c r="M185" i="105"/>
  <c r="M217" i="105"/>
  <c r="M249" i="105"/>
  <c r="M281" i="105"/>
  <c r="M313" i="105"/>
  <c r="M345" i="105"/>
  <c r="M38" i="105"/>
  <c r="M70" i="105"/>
  <c r="M102" i="105"/>
  <c r="M134" i="105"/>
  <c r="M166" i="105"/>
  <c r="M198" i="105"/>
  <c r="M230" i="105"/>
  <c r="M27" i="105"/>
  <c r="M59" i="105"/>
  <c r="M91" i="105"/>
  <c r="M123" i="105"/>
  <c r="M155" i="105"/>
  <c r="M187" i="105"/>
  <c r="M219" i="105"/>
  <c r="M251" i="105"/>
  <c r="M136" i="105"/>
  <c r="M260" i="105"/>
  <c r="M303" i="105"/>
  <c r="M346" i="105"/>
  <c r="M382" i="105"/>
  <c r="M414" i="105"/>
  <c r="M446" i="105"/>
  <c r="M478" i="105"/>
  <c r="M44" i="105"/>
  <c r="M172" i="105"/>
  <c r="M272" i="105"/>
  <c r="M315" i="105"/>
  <c r="M358" i="105"/>
  <c r="M391" i="105"/>
  <c r="M415" i="105"/>
  <c r="M435" i="105"/>
  <c r="M455" i="105"/>
  <c r="M36" i="105"/>
  <c r="M116" i="105"/>
  <c r="M180" i="105"/>
  <c r="M244" i="105"/>
  <c r="M275" i="105"/>
  <c r="M296" i="105"/>
  <c r="M318" i="105"/>
  <c r="M339" i="105"/>
  <c r="M360" i="105"/>
  <c r="M377" i="105"/>
  <c r="M393" i="105"/>
  <c r="M409" i="105"/>
  <c r="M425" i="105"/>
  <c r="M441" i="105"/>
  <c r="M457" i="105"/>
  <c r="M473" i="105"/>
  <c r="M489" i="105"/>
  <c r="M505" i="105"/>
  <c r="M521" i="105"/>
  <c r="L30" i="105"/>
  <c r="L46" i="105"/>
  <c r="M32" i="105"/>
  <c r="M268" i="105"/>
  <c r="M354" i="105"/>
  <c r="M420" i="105"/>
  <c r="M480" i="105"/>
  <c r="M510" i="105"/>
  <c r="M22" i="105"/>
  <c r="L45" i="105"/>
  <c r="L65" i="105"/>
  <c r="L81" i="105"/>
  <c r="L97" i="105"/>
  <c r="L113" i="105"/>
  <c r="L129" i="105"/>
  <c r="L145" i="105"/>
  <c r="L161" i="105"/>
  <c r="L177" i="105"/>
  <c r="L193" i="105"/>
  <c r="L209" i="105"/>
  <c r="L225" i="105"/>
  <c r="L241" i="105"/>
  <c r="L257" i="105"/>
  <c r="M33" i="105"/>
  <c r="M65" i="105"/>
  <c r="M97" i="105"/>
  <c r="M129" i="105"/>
  <c r="M161" i="105"/>
  <c r="M193" i="105"/>
  <c r="M225" i="105"/>
  <c r="M257" i="105"/>
  <c r="M289" i="105"/>
  <c r="M321" i="105"/>
  <c r="M353" i="105"/>
  <c r="M46" i="105"/>
  <c r="M78" i="105"/>
  <c r="M110" i="105"/>
  <c r="M142" i="105"/>
  <c r="M174" i="105"/>
  <c r="M206" i="105"/>
  <c r="M238" i="105"/>
  <c r="M35" i="105"/>
  <c r="M67" i="105"/>
  <c r="M99" i="105"/>
  <c r="M131" i="105"/>
  <c r="M163" i="105"/>
  <c r="M195" i="105"/>
  <c r="M227" i="105"/>
  <c r="M40" i="105"/>
  <c r="M168" i="105"/>
  <c r="M271" i="105"/>
  <c r="M314" i="105"/>
  <c r="M356" i="105"/>
  <c r="M390" i="105"/>
  <c r="M422" i="105"/>
  <c r="M454" i="105"/>
  <c r="M486" i="105"/>
  <c r="M76" i="105"/>
  <c r="M204" i="105"/>
  <c r="M283" i="105"/>
  <c r="M326" i="105"/>
  <c r="M367" i="105"/>
  <c r="M399" i="105"/>
  <c r="M419" i="105"/>
  <c r="M439" i="105"/>
  <c r="M463" i="105"/>
  <c r="M52" i="105"/>
  <c r="M132" i="105"/>
  <c r="M196" i="105"/>
  <c r="M259" i="105"/>
  <c r="M280" i="105"/>
  <c r="M302" i="105"/>
  <c r="M323" i="105"/>
  <c r="M344" i="105"/>
  <c r="M365" i="105"/>
  <c r="M381" i="105"/>
  <c r="M397" i="105"/>
  <c r="M413" i="105"/>
  <c r="M429" i="105"/>
  <c r="M445" i="105"/>
  <c r="M461" i="105"/>
  <c r="M477" i="105"/>
  <c r="M493" i="105"/>
  <c r="M509" i="105"/>
  <c r="M525" i="105"/>
  <c r="L34" i="105"/>
  <c r="L50" i="105"/>
  <c r="M96" i="105"/>
  <c r="M290" i="105"/>
  <c r="M372" i="105"/>
  <c r="M436" i="105"/>
  <c r="M488" i="105"/>
  <c r="M515" i="105"/>
  <c r="L29" i="105"/>
  <c r="L51" i="105"/>
  <c r="L69" i="105"/>
  <c r="L85" i="105"/>
  <c r="L101" i="105"/>
  <c r="L117" i="105"/>
  <c r="L133" i="105"/>
  <c r="L149" i="105"/>
  <c r="L165" i="105"/>
  <c r="L181" i="105"/>
  <c r="L197" i="105"/>
  <c r="L213" i="105"/>
  <c r="L229" i="105"/>
  <c r="L245" i="105"/>
  <c r="L261" i="105"/>
  <c r="M176" i="105"/>
  <c r="M316" i="105"/>
  <c r="M392" i="105"/>
  <c r="M456" i="105"/>
  <c r="M499" i="105"/>
  <c r="M522" i="105"/>
  <c r="L36" i="105"/>
  <c r="L57" i="105"/>
  <c r="L74" i="105"/>
  <c r="L90" i="105"/>
  <c r="L106" i="105"/>
  <c r="L122" i="105"/>
  <c r="L138" i="105"/>
  <c r="L154" i="105"/>
  <c r="L170" i="105"/>
  <c r="L186" i="105"/>
  <c r="L202" i="105"/>
  <c r="L218" i="105"/>
  <c r="L234" i="105"/>
  <c r="L250" i="105"/>
  <c r="L266" i="105"/>
  <c r="L282" i="105"/>
  <c r="L298" i="105"/>
  <c r="L314" i="105"/>
  <c r="L330" i="105"/>
  <c r="L346" i="105"/>
  <c r="L362" i="105"/>
  <c r="L378" i="105"/>
  <c r="M192" i="105"/>
  <c r="M322" i="105"/>
  <c r="M396" i="105"/>
  <c r="M460" i="105"/>
  <c r="M500" i="105"/>
  <c r="M523" i="105"/>
  <c r="L37" i="105"/>
  <c r="L59" i="105"/>
  <c r="L75" i="105"/>
  <c r="L91" i="105"/>
  <c r="L107" i="105"/>
  <c r="L123" i="105"/>
  <c r="L139" i="105"/>
  <c r="L155" i="105"/>
  <c r="L171" i="105"/>
  <c r="L187" i="105"/>
  <c r="L203" i="105"/>
  <c r="L219" i="105"/>
  <c r="L235" i="105"/>
  <c r="L251" i="105"/>
  <c r="L267" i="105"/>
  <c r="M144" i="105"/>
  <c r="M306" i="105"/>
  <c r="M384" i="105"/>
  <c r="M448" i="105"/>
  <c r="M495" i="105"/>
  <c r="M519" i="105"/>
  <c r="L33" i="105"/>
  <c r="L55" i="105"/>
  <c r="L72" i="105"/>
  <c r="L88" i="105"/>
  <c r="L104" i="105"/>
  <c r="L120" i="105"/>
  <c r="L136" i="105"/>
  <c r="L152" i="105"/>
  <c r="L168" i="105"/>
  <c r="L184" i="105"/>
  <c r="L200" i="105"/>
  <c r="L216" i="105"/>
  <c r="M41" i="105"/>
  <c r="M169" i="105"/>
  <c r="M297" i="105"/>
  <c r="M86" i="105"/>
  <c r="M214" i="105"/>
  <c r="M107" i="105"/>
  <c r="M235" i="105"/>
  <c r="M324" i="105"/>
  <c r="M462" i="105"/>
  <c r="M294" i="105"/>
  <c r="M423" i="105"/>
  <c r="M148" i="105"/>
  <c r="M307" i="105"/>
  <c r="M385" i="105"/>
  <c r="M449" i="105"/>
  <c r="M513" i="105"/>
  <c r="M160" i="105"/>
  <c r="M496" i="105"/>
  <c r="L56" i="105"/>
  <c r="L89" i="105"/>
  <c r="L121" i="105"/>
  <c r="L153" i="105"/>
  <c r="L185" i="105"/>
  <c r="L217" i="105"/>
  <c r="L249" i="105"/>
  <c r="M112" i="105"/>
  <c r="M338" i="105"/>
  <c r="M424" i="105"/>
  <c r="M491" i="105"/>
  <c r="M527" i="105"/>
  <c r="L47" i="105"/>
  <c r="L70" i="105"/>
  <c r="L94" i="105"/>
  <c r="L114" i="105"/>
  <c r="L134" i="105"/>
  <c r="L158" i="105"/>
  <c r="L178" i="105"/>
  <c r="L198" i="105"/>
  <c r="L222" i="105"/>
  <c r="L242" i="105"/>
  <c r="L262" i="105"/>
  <c r="L286" i="105"/>
  <c r="L306" i="105"/>
  <c r="L326" i="105"/>
  <c r="L350" i="105"/>
  <c r="L370" i="105"/>
  <c r="M128" i="105"/>
  <c r="M343" i="105"/>
  <c r="M428" i="105"/>
  <c r="M492" i="105"/>
  <c r="M528" i="105"/>
  <c r="L48" i="105"/>
  <c r="L71" i="105"/>
  <c r="L95" i="105"/>
  <c r="L115" i="105"/>
  <c r="L135" i="105"/>
  <c r="L159" i="105"/>
  <c r="L179" i="105"/>
  <c r="L199" i="105"/>
  <c r="L223" i="105"/>
  <c r="L243" i="105"/>
  <c r="L263" i="105"/>
  <c r="M208" i="105"/>
  <c r="M348" i="105"/>
  <c r="M432" i="105"/>
  <c r="M503" i="105"/>
  <c r="M24" i="105"/>
  <c r="L49" i="105"/>
  <c r="L76" i="105"/>
  <c r="L96" i="105"/>
  <c r="L116" i="105"/>
  <c r="L140" i="105"/>
  <c r="L160" i="105"/>
  <c r="L180" i="105"/>
  <c r="L204" i="105"/>
  <c r="L224" i="105"/>
  <c r="L240" i="105"/>
  <c r="L256" i="105"/>
  <c r="L272" i="105"/>
  <c r="L288" i="105"/>
  <c r="L304" i="105"/>
  <c r="L320" i="105"/>
  <c r="L336" i="105"/>
  <c r="L352" i="105"/>
  <c r="L368" i="105"/>
  <c r="L384" i="105"/>
  <c r="L400" i="105"/>
  <c r="L416" i="105"/>
  <c r="L432" i="105"/>
  <c r="L448" i="105"/>
  <c r="L289" i="105"/>
  <c r="L321" i="105"/>
  <c r="L353" i="105"/>
  <c r="L385" i="105"/>
  <c r="L406" i="105"/>
  <c r="L427" i="105"/>
  <c r="L449" i="105"/>
  <c r="L466" i="105"/>
  <c r="L482" i="105"/>
  <c r="L498" i="105"/>
  <c r="L514" i="105"/>
  <c r="L24" i="105"/>
  <c r="K39" i="105"/>
  <c r="K55" i="105"/>
  <c r="L273" i="105"/>
  <c r="L307" i="105"/>
  <c r="L339" i="105"/>
  <c r="L371" i="105"/>
  <c r="L397" i="105"/>
  <c r="L418" i="105"/>
  <c r="L439" i="105"/>
  <c r="L459" i="105"/>
  <c r="L475" i="105"/>
  <c r="L491" i="105"/>
  <c r="L507" i="105"/>
  <c r="L523" i="105"/>
  <c r="K32" i="105"/>
  <c r="K48" i="105"/>
  <c r="K64" i="105"/>
  <c r="K80" i="105"/>
  <c r="K96" i="105"/>
  <c r="K112" i="105"/>
  <c r="K128" i="105"/>
  <c r="K144" i="105"/>
  <c r="K160" i="105"/>
  <c r="K176" i="105"/>
  <c r="K192" i="105"/>
  <c r="K208" i="105"/>
  <c r="L285" i="105"/>
  <c r="L317" i="105"/>
  <c r="L349" i="105"/>
  <c r="L381" i="105"/>
  <c r="L403" i="105"/>
  <c r="L425" i="105"/>
  <c r="L446" i="105"/>
  <c r="L464" i="105"/>
  <c r="L480" i="105"/>
  <c r="L496" i="105"/>
  <c r="L512" i="105"/>
  <c r="L528" i="105"/>
  <c r="K37" i="105"/>
  <c r="K53" i="105"/>
  <c r="K69" i="105"/>
  <c r="L287" i="105"/>
  <c r="L319" i="105"/>
  <c r="L351" i="105"/>
  <c r="L383" i="105"/>
  <c r="L405" i="105"/>
  <c r="L426" i="105"/>
  <c r="L447" i="105"/>
  <c r="L465" i="105"/>
  <c r="L481" i="105"/>
  <c r="L497" i="105"/>
  <c r="L513" i="105"/>
  <c r="L23" i="105"/>
  <c r="K38" i="105"/>
  <c r="K54" i="105"/>
  <c r="K70" i="105"/>
  <c r="K86" i="105"/>
  <c r="K102" i="105"/>
  <c r="K118" i="105"/>
  <c r="K134" i="105"/>
  <c r="K150" i="105"/>
  <c r="K166" i="105"/>
  <c r="K182" i="105"/>
  <c r="K198" i="105"/>
  <c r="K214" i="105"/>
  <c r="K230" i="105"/>
  <c r="K246" i="105"/>
  <c r="K262" i="105"/>
  <c r="M73" i="105"/>
  <c r="M201" i="105"/>
  <c r="M329" i="105"/>
  <c r="M118" i="105"/>
  <c r="M246" i="105"/>
  <c r="M139" i="105"/>
  <c r="M72" i="105"/>
  <c r="M366" i="105"/>
  <c r="M494" i="105"/>
  <c r="M336" i="105"/>
  <c r="M447" i="105"/>
  <c r="M212" i="105"/>
  <c r="M328" i="105"/>
  <c r="M401" i="105"/>
  <c r="M465" i="105"/>
  <c r="M23" i="105"/>
  <c r="M311" i="105"/>
  <c r="M520" i="105"/>
  <c r="L61" i="105"/>
  <c r="L93" i="105"/>
  <c r="L125" i="105"/>
  <c r="L157" i="105"/>
  <c r="L189" i="105"/>
  <c r="L221" i="105"/>
  <c r="L253" i="105"/>
  <c r="M240" i="105"/>
  <c r="M359" i="105"/>
  <c r="M440" i="105"/>
  <c r="M506" i="105"/>
  <c r="L25" i="105"/>
  <c r="L52" i="105"/>
  <c r="L78" i="105"/>
  <c r="L98" i="105"/>
  <c r="L118" i="105"/>
  <c r="L142" i="105"/>
  <c r="L162" i="105"/>
  <c r="L182" i="105"/>
  <c r="L206" i="105"/>
  <c r="L226" i="105"/>
  <c r="L246" i="105"/>
  <c r="L270" i="105"/>
  <c r="L290" i="105"/>
  <c r="L310" i="105"/>
  <c r="L334" i="105"/>
  <c r="L354" i="105"/>
  <c r="L374" i="105"/>
  <c r="M256" i="105"/>
  <c r="M364" i="105"/>
  <c r="M444" i="105"/>
  <c r="M507" i="105"/>
  <c r="L27" i="105"/>
  <c r="L53" i="105"/>
  <c r="L79" i="105"/>
  <c r="L99" i="105"/>
  <c r="L119" i="105"/>
  <c r="L143" i="105"/>
  <c r="L163" i="105"/>
  <c r="L183" i="105"/>
  <c r="L207" i="105"/>
  <c r="L227" i="105"/>
  <c r="L247" i="105"/>
  <c r="L271" i="105"/>
  <c r="M263" i="105"/>
  <c r="M368" i="105"/>
  <c r="M464" i="105"/>
  <c r="M508" i="105"/>
  <c r="L28" i="105"/>
  <c r="L60" i="105"/>
  <c r="L80" i="105"/>
  <c r="L100" i="105"/>
  <c r="L124" i="105"/>
  <c r="L144" i="105"/>
  <c r="L164" i="105"/>
  <c r="L188" i="105"/>
  <c r="L208" i="105"/>
  <c r="L228" i="105"/>
  <c r="L244" i="105"/>
  <c r="L260" i="105"/>
  <c r="L276" i="105"/>
  <c r="L292" i="105"/>
  <c r="L308" i="105"/>
  <c r="L324" i="105"/>
  <c r="L340" i="105"/>
  <c r="L356" i="105"/>
  <c r="L372" i="105"/>
  <c r="L388" i="105"/>
  <c r="L404" i="105"/>
  <c r="L420" i="105"/>
  <c r="L436" i="105"/>
  <c r="L452" i="105"/>
  <c r="L297" i="105"/>
  <c r="L329" i="105"/>
  <c r="L361" i="105"/>
  <c r="L390" i="105"/>
  <c r="L411" i="105"/>
  <c r="L433" i="105"/>
  <c r="L454" i="105"/>
  <c r="L470" i="105"/>
  <c r="L486" i="105"/>
  <c r="L502" i="105"/>
  <c r="L518" i="105"/>
  <c r="K27" i="105"/>
  <c r="K43" i="105"/>
  <c r="K59" i="105"/>
  <c r="L283" i="105"/>
  <c r="L315" i="105"/>
  <c r="L347" i="105"/>
  <c r="L379" i="105"/>
  <c r="L402" i="105"/>
  <c r="L423" i="105"/>
  <c r="L445" i="105"/>
  <c r="L463" i="105"/>
  <c r="L479" i="105"/>
  <c r="L495" i="105"/>
  <c r="L511" i="105"/>
  <c r="L527" i="105"/>
  <c r="K36" i="105"/>
  <c r="K52" i="105"/>
  <c r="K68" i="105"/>
  <c r="K84" i="105"/>
  <c r="K100" i="105"/>
  <c r="K116" i="105"/>
  <c r="K132" i="105"/>
  <c r="K148" i="105"/>
  <c r="K164" i="105"/>
  <c r="K180" i="105"/>
  <c r="K196" i="105"/>
  <c r="K212" i="105"/>
  <c r="L293" i="105"/>
  <c r="L325" i="105"/>
  <c r="L357" i="105"/>
  <c r="L387" i="105"/>
  <c r="L409" i="105"/>
  <c r="L430" i="105"/>
  <c r="L451" i="105"/>
  <c r="L468" i="105"/>
  <c r="L484" i="105"/>
  <c r="L500" i="105"/>
  <c r="L516" i="105"/>
  <c r="K25" i="105"/>
  <c r="K41" i="105"/>
  <c r="K57" i="105"/>
  <c r="K73" i="105"/>
  <c r="L295" i="105"/>
  <c r="L327" i="105"/>
  <c r="L359" i="105"/>
  <c r="L389" i="105"/>
  <c r="L410" i="105"/>
  <c r="L431" i="105"/>
  <c r="L453" i="105"/>
  <c r="L469" i="105"/>
  <c r="L485" i="105"/>
  <c r="L501" i="105"/>
  <c r="L517" i="105"/>
  <c r="K26" i="105"/>
  <c r="M22" i="3"/>
  <c r="W32" i="114"/>
  <c r="Y28" i="114"/>
  <c r="W32" i="112"/>
  <c r="Y28" i="112"/>
  <c r="Y28" i="111"/>
  <c r="W32" i="111"/>
  <c r="W15" i="107"/>
  <c r="Y13" i="107"/>
  <c r="W32" i="107"/>
  <c r="Y28" i="107"/>
  <c r="Y28" i="106"/>
  <c r="W32" i="106"/>
  <c r="M20" i="3"/>
  <c r="M13" i="3"/>
  <c r="M11" i="3"/>
  <c r="K13" i="3"/>
  <c r="K22" i="3"/>
  <c r="K11" i="3"/>
  <c r="L28" i="3"/>
  <c r="K28" i="3"/>
  <c r="G28" i="3"/>
  <c r="M28" i="3"/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9" i="29" l="1"/>
  <c r="E6" i="111"/>
  <c r="E4" i="111"/>
  <c r="E22" i="62"/>
  <c r="E21" i="62"/>
  <c r="E20" i="62"/>
  <c r="E19" i="62"/>
  <c r="J22" i="62"/>
  <c r="I22" i="62"/>
  <c r="H22" i="62"/>
  <c r="J21" i="62"/>
  <c r="I21" i="62"/>
  <c r="H21" i="62"/>
  <c r="J20" i="62"/>
  <c r="I20" i="62"/>
  <c r="H20" i="62"/>
  <c r="J19" i="62"/>
  <c r="I19" i="62"/>
  <c r="H19" i="62"/>
  <c r="J12" i="62"/>
  <c r="I12" i="62"/>
  <c r="H12" i="62"/>
  <c r="J11" i="62"/>
  <c r="I11" i="62"/>
  <c r="H11" i="62"/>
  <c r="J21" i="114"/>
  <c r="J20" i="114"/>
  <c r="J16" i="114"/>
  <c r="J15" i="114"/>
  <c r="J11" i="114"/>
  <c r="J10" i="114"/>
  <c r="I21" i="114"/>
  <c r="I20" i="114"/>
  <c r="I16" i="114"/>
  <c r="I15" i="114"/>
  <c r="I11" i="114"/>
  <c r="I10" i="114"/>
  <c r="H21" i="114"/>
  <c r="H20" i="114"/>
  <c r="H16" i="114"/>
  <c r="H15" i="114"/>
  <c r="H11" i="114"/>
  <c r="H10" i="114"/>
  <c r="E21" i="114"/>
  <c r="E20" i="114"/>
  <c r="E16" i="114"/>
  <c r="E15" i="114"/>
  <c r="E11" i="114"/>
  <c r="E10" i="114"/>
  <c r="E6" i="114"/>
  <c r="D6" i="114"/>
  <c r="E4" i="114"/>
  <c r="D4" i="114"/>
  <c r="E2" i="114"/>
  <c r="D2" i="114"/>
  <c r="C6" i="114"/>
  <c r="C4" i="114"/>
  <c r="C2" i="114"/>
  <c r="J21" i="112"/>
  <c r="J20" i="112"/>
  <c r="J16" i="112"/>
  <c r="J15" i="112"/>
  <c r="J11" i="112"/>
  <c r="J10" i="112"/>
  <c r="I21" i="112"/>
  <c r="I20" i="112"/>
  <c r="I16" i="112"/>
  <c r="I15" i="112"/>
  <c r="I11" i="112"/>
  <c r="I10" i="112"/>
  <c r="H21" i="112"/>
  <c r="H20" i="112"/>
  <c r="H16" i="112"/>
  <c r="H15" i="112"/>
  <c r="H11" i="112"/>
  <c r="H10" i="112"/>
  <c r="E21" i="112"/>
  <c r="E20" i="112"/>
  <c r="E16" i="112"/>
  <c r="E15" i="112"/>
  <c r="E11" i="112"/>
  <c r="E10" i="112"/>
  <c r="D6" i="111"/>
  <c r="C6" i="111"/>
  <c r="D4" i="111"/>
  <c r="C4" i="111"/>
  <c r="B2" i="114" l="1"/>
  <c r="B6" i="114"/>
  <c r="B4" i="114"/>
  <c r="E6" i="112" l="1"/>
  <c r="E4" i="112"/>
  <c r="E2" i="112"/>
  <c r="D6" i="112"/>
  <c r="D4" i="112"/>
  <c r="D2" i="112"/>
  <c r="C6" i="112"/>
  <c r="C4" i="112"/>
  <c r="C2" i="112"/>
  <c r="B2" i="112" s="1"/>
  <c r="J21" i="111"/>
  <c r="J20" i="111"/>
  <c r="I21" i="111"/>
  <c r="I20" i="111"/>
  <c r="H21" i="111"/>
  <c r="H20" i="111"/>
  <c r="E21" i="111"/>
  <c r="E20" i="111"/>
  <c r="J16" i="111"/>
  <c r="J15" i="111"/>
  <c r="I16" i="111"/>
  <c r="I15" i="111"/>
  <c r="H16" i="111"/>
  <c r="H15" i="111"/>
  <c r="E16" i="111"/>
  <c r="E15" i="111"/>
  <c r="J11" i="111"/>
  <c r="J10" i="111"/>
  <c r="I11" i="111"/>
  <c r="I10" i="111"/>
  <c r="H11" i="111"/>
  <c r="H10" i="111"/>
  <c r="E11" i="111"/>
  <c r="E10" i="111"/>
  <c r="B4" i="111"/>
  <c r="J21" i="107"/>
  <c r="J20" i="107"/>
  <c r="I21" i="107"/>
  <c r="I20" i="107"/>
  <c r="H21" i="107"/>
  <c r="H20" i="107"/>
  <c r="E21" i="107"/>
  <c r="E20" i="107"/>
  <c r="J16" i="107"/>
  <c r="J15" i="107"/>
  <c r="I16" i="107"/>
  <c r="I15" i="107"/>
  <c r="H16" i="107"/>
  <c r="H15" i="107"/>
  <c r="E16" i="107"/>
  <c r="E15" i="107"/>
  <c r="J11" i="107"/>
  <c r="J10" i="107"/>
  <c r="I11" i="107"/>
  <c r="I10" i="107"/>
  <c r="H11" i="107"/>
  <c r="H10" i="107"/>
  <c r="E11" i="107"/>
  <c r="E10" i="107"/>
  <c r="B6" i="112" l="1"/>
  <c r="B4" i="112"/>
  <c r="B6" i="111"/>
  <c r="E6" i="107" l="1"/>
  <c r="E4" i="107"/>
  <c r="E2" i="107"/>
  <c r="D6" i="107"/>
  <c r="D4" i="107"/>
  <c r="D2" i="107"/>
  <c r="C6" i="107"/>
  <c r="C4" i="107"/>
  <c r="C2" i="107"/>
  <c r="C6" i="105" l="1"/>
  <c r="C4" i="105"/>
  <c r="C2" i="105"/>
  <c r="E6" i="105"/>
  <c r="D6" i="105"/>
  <c r="E4" i="105"/>
  <c r="D4" i="105"/>
  <c r="E2" i="105"/>
  <c r="D2" i="105"/>
  <c r="J11" i="106"/>
  <c r="I11" i="106"/>
  <c r="H11" i="106"/>
  <c r="E11" i="106"/>
  <c r="A23" i="105" l="1"/>
  <c r="A22" i="105"/>
  <c r="A25" i="105"/>
  <c r="A37" i="105"/>
  <c r="A46" i="105"/>
  <c r="A52" i="105"/>
  <c r="A56" i="105"/>
  <c r="A60" i="105"/>
  <c r="A64" i="105"/>
  <c r="A68" i="105"/>
  <c r="A72" i="105"/>
  <c r="A76" i="105"/>
  <c r="A80" i="105"/>
  <c r="A84" i="105"/>
  <c r="A88" i="105"/>
  <c r="A93" i="105"/>
  <c r="A97" i="105"/>
  <c r="A101" i="105"/>
  <c r="A105" i="105"/>
  <c r="A34" i="105"/>
  <c r="A45" i="105"/>
  <c r="A33" i="105"/>
  <c r="A107" i="105"/>
  <c r="A111" i="105"/>
  <c r="A115" i="105"/>
  <c r="A119" i="105"/>
  <c r="A123" i="105"/>
  <c r="A127" i="105"/>
  <c r="A131" i="105"/>
  <c r="A135" i="105"/>
  <c r="A139" i="105"/>
  <c r="A143" i="105"/>
  <c r="A147" i="105"/>
  <c r="A151" i="105"/>
  <c r="A155" i="105"/>
  <c r="A159" i="105"/>
  <c r="A163" i="105"/>
  <c r="A167" i="105"/>
  <c r="A171" i="105"/>
  <c r="A175" i="105"/>
  <c r="A179" i="105"/>
  <c r="A183" i="105"/>
  <c r="A187" i="105"/>
  <c r="A191" i="105"/>
  <c r="A195" i="105"/>
  <c r="A199" i="105"/>
  <c r="A203" i="105"/>
  <c r="A207" i="105"/>
  <c r="A211" i="105"/>
  <c r="A215" i="105"/>
  <c r="A219" i="105"/>
  <c r="A223" i="105"/>
  <c r="A227" i="105"/>
  <c r="A231" i="105"/>
  <c r="A235" i="105"/>
  <c r="A239" i="105"/>
  <c r="A243" i="105"/>
  <c r="A247" i="105"/>
  <c r="A251" i="105"/>
  <c r="A256" i="105"/>
  <c r="A260" i="105"/>
  <c r="A264" i="105"/>
  <c r="A268" i="105"/>
  <c r="A272" i="105"/>
  <c r="A276" i="105"/>
  <c r="A366" i="105"/>
  <c r="A370" i="105"/>
  <c r="A374" i="105"/>
  <c r="A281" i="105"/>
  <c r="A285" i="105"/>
  <c r="A289" i="105"/>
  <c r="A293" i="105"/>
  <c r="A297" i="105"/>
  <c r="A301" i="105"/>
  <c r="A305" i="105"/>
  <c r="A309" i="105"/>
  <c r="A313" i="105"/>
  <c r="A317" i="105"/>
  <c r="A321" i="105"/>
  <c r="A325" i="105"/>
  <c r="A329" i="105"/>
  <c r="A333" i="105"/>
  <c r="A337" i="105"/>
  <c r="A341" i="105"/>
  <c r="A345" i="105"/>
  <c r="A349" i="105"/>
  <c r="A353" i="105"/>
  <c r="A357" i="105"/>
  <c r="A361" i="105"/>
  <c r="A377" i="105"/>
  <c r="A27" i="105"/>
  <c r="A40" i="105"/>
  <c r="A47" i="105"/>
  <c r="A53" i="105"/>
  <c r="A57" i="105"/>
  <c r="A61" i="105"/>
  <c r="A65" i="105"/>
  <c r="A69" i="105"/>
  <c r="A73" i="105"/>
  <c r="A77" i="105"/>
  <c r="A81" i="105"/>
  <c r="A85" i="105"/>
  <c r="A89" i="105"/>
  <c r="A94" i="105"/>
  <c r="A98" i="105"/>
  <c r="A102" i="105"/>
  <c r="A106" i="105"/>
  <c r="A38" i="105"/>
  <c r="A50" i="105"/>
  <c r="A36" i="105"/>
  <c r="A108" i="105"/>
  <c r="A112" i="105"/>
  <c r="A116" i="105"/>
  <c r="A120" i="105"/>
  <c r="A124" i="105"/>
  <c r="A128" i="105"/>
  <c r="A132" i="105"/>
  <c r="A136" i="105"/>
  <c r="A140" i="105"/>
  <c r="A144" i="105"/>
  <c r="A148" i="105"/>
  <c r="A152" i="105"/>
  <c r="A156" i="105"/>
  <c r="A160" i="105"/>
  <c r="A164" i="105"/>
  <c r="A168" i="105"/>
  <c r="A172" i="105"/>
  <c r="A176" i="105"/>
  <c r="A180" i="105"/>
  <c r="A184" i="105"/>
  <c r="A188" i="105"/>
  <c r="A192" i="105"/>
  <c r="A196" i="105"/>
  <c r="A200" i="105"/>
  <c r="A204" i="105"/>
  <c r="A208" i="105"/>
  <c r="A212" i="105"/>
  <c r="A216" i="105"/>
  <c r="A220" i="105"/>
  <c r="A224" i="105"/>
  <c r="A228" i="105"/>
  <c r="A232" i="105"/>
  <c r="A236" i="105"/>
  <c r="A240" i="105"/>
  <c r="A244" i="105"/>
  <c r="A248" i="105"/>
  <c r="A252" i="105"/>
  <c r="A257" i="105"/>
  <c r="A261" i="105"/>
  <c r="A265" i="105"/>
  <c r="A269" i="105"/>
  <c r="A273" i="105"/>
  <c r="A277" i="105"/>
  <c r="A367" i="105"/>
  <c r="A371" i="105"/>
  <c r="A278" i="105"/>
  <c r="A282" i="105"/>
  <c r="A286" i="105"/>
  <c r="A290" i="105"/>
  <c r="A294" i="105"/>
  <c r="A298" i="105"/>
  <c r="A302" i="105"/>
  <c r="A306" i="105"/>
  <c r="A310" i="105"/>
  <c r="A314" i="105"/>
  <c r="A318" i="105"/>
  <c r="A322" i="105"/>
  <c r="A326" i="105"/>
  <c r="A330" i="105"/>
  <c r="A334" i="105"/>
  <c r="A338" i="105"/>
  <c r="A342" i="105"/>
  <c r="A346" i="105"/>
  <c r="A350" i="105"/>
  <c r="A354" i="105"/>
  <c r="A30" i="105"/>
  <c r="A43" i="105"/>
  <c r="A48" i="105"/>
  <c r="A54" i="105"/>
  <c r="A58" i="105"/>
  <c r="A62" i="105"/>
  <c r="A66" i="105"/>
  <c r="A70" i="105"/>
  <c r="A74" i="105"/>
  <c r="A78" i="105"/>
  <c r="A82" i="105"/>
  <c r="A86" i="105"/>
  <c r="A91" i="105"/>
  <c r="A95" i="105"/>
  <c r="A99" i="105"/>
  <c r="A103" i="105"/>
  <c r="A26" i="105"/>
  <c r="A39" i="105"/>
  <c r="A24" i="105"/>
  <c r="A41" i="105"/>
  <c r="A109" i="105"/>
  <c r="A113" i="105"/>
  <c r="A117" i="105"/>
  <c r="A121" i="105"/>
  <c r="A125" i="105"/>
  <c r="A129" i="105"/>
  <c r="A133" i="105"/>
  <c r="A137" i="105"/>
  <c r="A141" i="105"/>
  <c r="A145" i="105"/>
  <c r="A149" i="105"/>
  <c r="A153" i="105"/>
  <c r="A157" i="105"/>
  <c r="A161" i="105"/>
  <c r="A165" i="105"/>
  <c r="A169" i="105"/>
  <c r="A173" i="105"/>
  <c r="A177" i="105"/>
  <c r="A181" i="105"/>
  <c r="A185" i="105"/>
  <c r="A189" i="105"/>
  <c r="A193" i="105"/>
  <c r="A197" i="105"/>
  <c r="A201" i="105"/>
  <c r="A205" i="105"/>
  <c r="A209" i="105"/>
  <c r="A213" i="105"/>
  <c r="A217" i="105"/>
  <c r="A221" i="105"/>
  <c r="A225" i="105"/>
  <c r="A229" i="105"/>
  <c r="A233" i="105"/>
  <c r="A237" i="105"/>
  <c r="A241" i="105"/>
  <c r="A245" i="105"/>
  <c r="A249" i="105"/>
  <c r="A254" i="105"/>
  <c r="A258" i="105"/>
  <c r="A262" i="105"/>
  <c r="A266" i="105"/>
  <c r="A270" i="105"/>
  <c r="A274" i="105"/>
  <c r="A364" i="105"/>
  <c r="A368" i="105"/>
  <c r="A372" i="105"/>
  <c r="A279" i="105"/>
  <c r="A283" i="105"/>
  <c r="A287" i="105"/>
  <c r="A291" i="105"/>
  <c r="A295" i="105"/>
  <c r="A299" i="105"/>
  <c r="A303" i="105"/>
  <c r="A307" i="105"/>
  <c r="A35" i="105"/>
  <c r="A44" i="105"/>
  <c r="A51" i="105"/>
  <c r="A55" i="105"/>
  <c r="A59" i="105"/>
  <c r="A63" i="105"/>
  <c r="A67" i="105"/>
  <c r="A71" i="105"/>
  <c r="A75" i="105"/>
  <c r="A79" i="105"/>
  <c r="A83" i="105"/>
  <c r="A87" i="105"/>
  <c r="A92" i="105"/>
  <c r="A96" i="105"/>
  <c r="A100" i="105"/>
  <c r="A104" i="105"/>
  <c r="A29" i="105"/>
  <c r="A42" i="105"/>
  <c r="A28" i="105"/>
  <c r="A49" i="105"/>
  <c r="A110" i="105"/>
  <c r="A114" i="105"/>
  <c r="A118" i="105"/>
  <c r="A122" i="105"/>
  <c r="A126" i="105"/>
  <c r="A130" i="105"/>
  <c r="A134" i="105"/>
  <c r="A138" i="105"/>
  <c r="A142" i="105"/>
  <c r="A146" i="105"/>
  <c r="A150" i="105"/>
  <c r="A154" i="105"/>
  <c r="A158" i="105"/>
  <c r="A162" i="105"/>
  <c r="A166" i="105"/>
  <c r="A170" i="105"/>
  <c r="A174" i="105"/>
  <c r="A178" i="105"/>
  <c r="A182" i="105"/>
  <c r="A186" i="105"/>
  <c r="A190" i="105"/>
  <c r="A194" i="105"/>
  <c r="A198" i="105"/>
  <c r="A202" i="105"/>
  <c r="A206" i="105"/>
  <c r="A210" i="105"/>
  <c r="A214" i="105"/>
  <c r="A218" i="105"/>
  <c r="A222" i="105"/>
  <c r="A226" i="105"/>
  <c r="A230" i="105"/>
  <c r="A234" i="105"/>
  <c r="A238" i="105"/>
  <c r="A242" i="105"/>
  <c r="A246" i="105"/>
  <c r="A250" i="105"/>
  <c r="A255" i="105"/>
  <c r="A259" i="105"/>
  <c r="A263" i="105"/>
  <c r="A267" i="105"/>
  <c r="A271" i="105"/>
  <c r="A275" i="105"/>
  <c r="A365" i="105"/>
  <c r="A369" i="105"/>
  <c r="A373" i="105"/>
  <c r="A280" i="105"/>
  <c r="A284" i="105"/>
  <c r="A288" i="105"/>
  <c r="A292" i="105"/>
  <c r="A296" i="105"/>
  <c r="A300" i="105"/>
  <c r="A304" i="105"/>
  <c r="A308" i="105"/>
  <c r="A312" i="105"/>
  <c r="A316" i="105"/>
  <c r="A320" i="105"/>
  <c r="A324" i="105"/>
  <c r="A328" i="105"/>
  <c r="A332" i="105"/>
  <c r="A336" i="105"/>
  <c r="A340" i="105"/>
  <c r="A344" i="105"/>
  <c r="A348" i="105"/>
  <c r="A352" i="105"/>
  <c r="A356" i="105"/>
  <c r="A360" i="105"/>
  <c r="A376" i="105"/>
  <c r="A380" i="105"/>
  <c r="A384" i="105"/>
  <c r="A388" i="105"/>
  <c r="A392" i="105"/>
  <c r="A396" i="105"/>
  <c r="A400" i="105"/>
  <c r="A404" i="105"/>
  <c r="A408" i="105"/>
  <c r="A412" i="105"/>
  <c r="A416" i="105"/>
  <c r="A420" i="105"/>
  <c r="A424" i="105"/>
  <c r="A428" i="105"/>
  <c r="A432" i="105"/>
  <c r="A436" i="105"/>
  <c r="A440" i="105"/>
  <c r="A444" i="105"/>
  <c r="A448" i="105"/>
  <c r="A452" i="105"/>
  <c r="A456" i="105"/>
  <c r="A460" i="105"/>
  <c r="A464" i="105"/>
  <c r="A468" i="105"/>
  <c r="A472" i="105"/>
  <c r="A476" i="105"/>
  <c r="A480" i="105"/>
  <c r="A484" i="105"/>
  <c r="A488" i="105"/>
  <c r="A492" i="105"/>
  <c r="A496" i="105"/>
  <c r="A500" i="105"/>
  <c r="A504" i="105"/>
  <c r="A508" i="105"/>
  <c r="A512" i="105"/>
  <c r="A516" i="105"/>
  <c r="A520" i="105"/>
  <c r="A524" i="105"/>
  <c r="A528" i="105"/>
  <c r="A253" i="105"/>
  <c r="A311" i="105"/>
  <c r="A327" i="105"/>
  <c r="A343" i="105"/>
  <c r="A358" i="105"/>
  <c r="A378" i="105"/>
  <c r="A383" i="105"/>
  <c r="A389" i="105"/>
  <c r="A394" i="105"/>
  <c r="A399" i="105"/>
  <c r="A405" i="105"/>
  <c r="A410" i="105"/>
  <c r="A415" i="105"/>
  <c r="A421" i="105"/>
  <c r="A426" i="105"/>
  <c r="A431" i="105"/>
  <c r="A437" i="105"/>
  <c r="A442" i="105"/>
  <c r="A447" i="105"/>
  <c r="A453" i="105"/>
  <c r="A458" i="105"/>
  <c r="A463" i="105"/>
  <c r="A469" i="105"/>
  <c r="A474" i="105"/>
  <c r="A479" i="105"/>
  <c r="A485" i="105"/>
  <c r="A490" i="105"/>
  <c r="A495" i="105"/>
  <c r="A501" i="105"/>
  <c r="A506" i="105"/>
  <c r="A511" i="105"/>
  <c r="A517" i="105"/>
  <c r="A522" i="105"/>
  <c r="A527" i="105"/>
  <c r="A363" i="105"/>
  <c r="A351" i="105"/>
  <c r="A386" i="105"/>
  <c r="A402" i="105"/>
  <c r="A413" i="105"/>
  <c r="A434" i="105"/>
  <c r="A461" i="105"/>
  <c r="A477" i="105"/>
  <c r="A493" i="105"/>
  <c r="A509" i="105"/>
  <c r="A31" i="105"/>
  <c r="A315" i="105"/>
  <c r="A331" i="105"/>
  <c r="A347" i="105"/>
  <c r="A359" i="105"/>
  <c r="A379" i="105"/>
  <c r="A385" i="105"/>
  <c r="A390" i="105"/>
  <c r="A395" i="105"/>
  <c r="A401" i="105"/>
  <c r="A406" i="105"/>
  <c r="A411" i="105"/>
  <c r="A417" i="105"/>
  <c r="A422" i="105"/>
  <c r="A427" i="105"/>
  <c r="A433" i="105"/>
  <c r="A438" i="105"/>
  <c r="A443" i="105"/>
  <c r="A449" i="105"/>
  <c r="A454" i="105"/>
  <c r="A459" i="105"/>
  <c r="A465" i="105"/>
  <c r="A470" i="105"/>
  <c r="A475" i="105"/>
  <c r="A481" i="105"/>
  <c r="A486" i="105"/>
  <c r="A491" i="105"/>
  <c r="A497" i="105"/>
  <c r="A502" i="105"/>
  <c r="A507" i="105"/>
  <c r="A513" i="105"/>
  <c r="A518" i="105"/>
  <c r="A523" i="105"/>
  <c r="A32" i="105"/>
  <c r="A335" i="105"/>
  <c r="A362" i="105"/>
  <c r="A391" i="105"/>
  <c r="A407" i="105"/>
  <c r="A423" i="105"/>
  <c r="A439" i="105"/>
  <c r="A455" i="105"/>
  <c r="A471" i="105"/>
  <c r="A487" i="105"/>
  <c r="A503" i="105"/>
  <c r="A519" i="105"/>
  <c r="A450" i="105"/>
  <c r="A323" i="105"/>
  <c r="A339" i="105"/>
  <c r="A355" i="105"/>
  <c r="A375" i="105"/>
  <c r="A382" i="105"/>
  <c r="A387" i="105"/>
  <c r="A393" i="105"/>
  <c r="A398" i="105"/>
  <c r="A403" i="105"/>
  <c r="A409" i="105"/>
  <c r="A414" i="105"/>
  <c r="A419" i="105"/>
  <c r="A425" i="105"/>
  <c r="A430" i="105"/>
  <c r="A435" i="105"/>
  <c r="A441" i="105"/>
  <c r="A446" i="105"/>
  <c r="A451" i="105"/>
  <c r="A457" i="105"/>
  <c r="A462" i="105"/>
  <c r="A467" i="105"/>
  <c r="A473" i="105"/>
  <c r="A478" i="105"/>
  <c r="A483" i="105"/>
  <c r="A489" i="105"/>
  <c r="A494" i="105"/>
  <c r="A499" i="105"/>
  <c r="A505" i="105"/>
  <c r="A510" i="105"/>
  <c r="A515" i="105"/>
  <c r="A521" i="105"/>
  <c r="A526" i="105"/>
  <c r="A90" i="105"/>
  <c r="A319" i="105"/>
  <c r="A381" i="105"/>
  <c r="A397" i="105"/>
  <c r="A418" i="105"/>
  <c r="A429" i="105"/>
  <c r="A445" i="105"/>
  <c r="A466" i="105"/>
  <c r="A482" i="105"/>
  <c r="A498" i="105"/>
  <c r="A514" i="105"/>
  <c r="A525" i="105"/>
  <c r="J19" i="106"/>
  <c r="I19" i="106"/>
  <c r="H19" i="106"/>
  <c r="E19" i="106"/>
  <c r="J15" i="106"/>
  <c r="I15" i="106"/>
  <c r="H15" i="106"/>
  <c r="E15" i="106"/>
  <c r="J10" i="106"/>
  <c r="I10" i="106"/>
  <c r="H10" i="106"/>
  <c r="E10" i="106"/>
  <c r="D19" i="106"/>
  <c r="D15" i="106"/>
  <c r="D11" i="106"/>
  <c r="D10" i="106"/>
  <c r="E6" i="106" l="1"/>
  <c r="D6" i="106"/>
  <c r="C6" i="106"/>
  <c r="B6" i="106" s="1"/>
  <c r="E4" i="106"/>
  <c r="D4" i="106"/>
  <c r="C4" i="106"/>
  <c r="E2" i="106"/>
  <c r="D2" i="106"/>
  <c r="C2" i="106"/>
  <c r="B2" i="106" s="1"/>
  <c r="B6" i="107"/>
  <c r="B4" i="107"/>
  <c r="B2" i="107"/>
  <c r="J11" i="48"/>
  <c r="I11" i="48"/>
  <c r="H11" i="48"/>
  <c r="E11" i="48"/>
  <c r="J19" i="48"/>
  <c r="I19" i="48"/>
  <c r="H19" i="48"/>
  <c r="E19" i="48"/>
  <c r="J15" i="48"/>
  <c r="I15" i="48"/>
  <c r="H15" i="48"/>
  <c r="E15" i="48"/>
  <c r="J10" i="48"/>
  <c r="I10" i="48"/>
  <c r="H10" i="48"/>
  <c r="E10" i="48"/>
  <c r="B4" i="106" l="1"/>
  <c r="E12" i="62" l="1"/>
  <c r="E11" i="62"/>
  <c r="S42" i="62"/>
  <c r="T42" i="62" l="1"/>
  <c r="B6" i="105"/>
  <c r="B2" i="105"/>
  <c r="T44" i="62" l="1"/>
  <c r="B4" i="105"/>
  <c r="U39" i="62" l="1"/>
  <c r="U40" i="62"/>
  <c r="U41" i="62"/>
  <c r="T49" i="62"/>
  <c r="U43" i="62"/>
  <c r="U38" i="62"/>
  <c r="U42" i="62"/>
  <c r="C6" i="62"/>
  <c r="D6" i="62"/>
  <c r="E6" i="62"/>
  <c r="D2" i="29"/>
  <c r="G22" i="62"/>
  <c r="G21" i="62"/>
  <c r="J14" i="62"/>
  <c r="I14" i="62"/>
  <c r="H14" i="62"/>
  <c r="J13" i="62"/>
  <c r="I13" i="62"/>
  <c r="H13" i="62"/>
  <c r="E14" i="62"/>
  <c r="G14" i="62" s="1"/>
  <c r="E13" i="62"/>
  <c r="G13" i="62" s="1"/>
  <c r="B43" i="71"/>
  <c r="E2" i="29"/>
  <c r="C2" i="29"/>
  <c r="A9" i="29" s="1"/>
  <c r="G8" i="29"/>
  <c r="G59" i="29"/>
  <c r="G58" i="29"/>
  <c r="G57" i="29"/>
  <c r="G56" i="29"/>
  <c r="G55" i="29"/>
  <c r="G54" i="29"/>
  <c r="G53" i="29"/>
  <c r="A53" i="29" s="1"/>
  <c r="G52" i="29"/>
  <c r="G51" i="29"/>
  <c r="G50" i="29"/>
  <c r="G49" i="29"/>
  <c r="A49" i="29" s="1"/>
  <c r="G48" i="29"/>
  <c r="G47" i="29"/>
  <c r="G46" i="29"/>
  <c r="G45" i="29"/>
  <c r="A45" i="29" s="1"/>
  <c r="G44" i="29"/>
  <c r="G43" i="29"/>
  <c r="G42" i="29"/>
  <c r="G41" i="29"/>
  <c r="A41" i="29" s="1"/>
  <c r="G40" i="29"/>
  <c r="G39" i="29"/>
  <c r="G38" i="29"/>
  <c r="G37" i="29"/>
  <c r="A37" i="29" s="1"/>
  <c r="G36" i="29"/>
  <c r="G35" i="29"/>
  <c r="G34" i="29"/>
  <c r="G33" i="29"/>
  <c r="A33" i="29" s="1"/>
  <c r="G32" i="29"/>
  <c r="G31" i="29"/>
  <c r="G30" i="29"/>
  <c r="G29" i="29"/>
  <c r="A29" i="29" s="1"/>
  <c r="G28" i="29"/>
  <c r="G27" i="29"/>
  <c r="G26" i="29"/>
  <c r="G25" i="29"/>
  <c r="A25" i="29" s="1"/>
  <c r="G24" i="29"/>
  <c r="G23" i="29"/>
  <c r="G22" i="29"/>
  <c r="G21" i="29"/>
  <c r="A21" i="29" s="1"/>
  <c r="G20" i="29"/>
  <c r="G19" i="29"/>
  <c r="G18" i="29"/>
  <c r="G17" i="29"/>
  <c r="A17" i="29" s="1"/>
  <c r="G16" i="29"/>
  <c r="G15" i="29"/>
  <c r="G14" i="29"/>
  <c r="G13" i="29"/>
  <c r="A13" i="29" s="1"/>
  <c r="G12" i="29"/>
  <c r="G11" i="29"/>
  <c r="J5" i="64"/>
  <c r="I5" i="64"/>
  <c r="H5" i="64"/>
  <c r="E5" i="64"/>
  <c r="G5" i="64" s="1"/>
  <c r="J5" i="65"/>
  <c r="I5" i="65"/>
  <c r="H5" i="65"/>
  <c r="E5" i="65"/>
  <c r="G5" i="65" s="1"/>
  <c r="J12" i="3"/>
  <c r="I12" i="3"/>
  <c r="H12" i="3"/>
  <c r="J10" i="3"/>
  <c r="I10" i="3"/>
  <c r="E10" i="3"/>
  <c r="H10" i="3"/>
  <c r="E12" i="3"/>
  <c r="J15" i="3"/>
  <c r="I15" i="3"/>
  <c r="L15" i="3" s="1"/>
  <c r="H15" i="3"/>
  <c r="J14" i="3"/>
  <c r="I14" i="3"/>
  <c r="L14" i="3" s="1"/>
  <c r="H14" i="3"/>
  <c r="E15" i="3"/>
  <c r="G15" i="3" s="1"/>
  <c r="E14" i="3"/>
  <c r="G14" i="3" s="1"/>
  <c r="A12" i="29" l="1"/>
  <c r="A16" i="29"/>
  <c r="A57" i="29"/>
  <c r="A14" i="29"/>
  <c r="A18" i="29"/>
  <c r="A22" i="29"/>
  <c r="A26" i="29"/>
  <c r="A30" i="29"/>
  <c r="A34" i="29"/>
  <c r="A38" i="29"/>
  <c r="A42" i="29"/>
  <c r="A46" i="29"/>
  <c r="A50" i="29"/>
  <c r="A54" i="29"/>
  <c r="A58" i="29"/>
  <c r="A11" i="29"/>
  <c r="A15" i="29"/>
  <c r="A19" i="29"/>
  <c r="A23" i="29"/>
  <c r="A27" i="29"/>
  <c r="A31" i="29"/>
  <c r="A35" i="29"/>
  <c r="A39" i="29"/>
  <c r="A43" i="29"/>
  <c r="A47" i="29"/>
  <c r="A51" i="29"/>
  <c r="A55" i="29"/>
  <c r="A59" i="29"/>
  <c r="A20" i="29"/>
  <c r="A24" i="29"/>
  <c r="A28" i="29"/>
  <c r="A32" i="29"/>
  <c r="A36" i="29"/>
  <c r="A40" i="29"/>
  <c r="A44" i="29"/>
  <c r="A48" i="29"/>
  <c r="A52" i="29"/>
  <c r="A56" i="29"/>
  <c r="G10" i="29"/>
  <c r="K34" i="29"/>
  <c r="K40" i="29"/>
  <c r="K41" i="29"/>
  <c r="K42" i="29"/>
  <c r="K43" i="29"/>
  <c r="K45" i="29"/>
  <c r="K46" i="29"/>
  <c r="K52" i="29"/>
  <c r="K54" i="29"/>
  <c r="K55" i="29"/>
  <c r="K56" i="29"/>
  <c r="K59" i="29"/>
  <c r="K14" i="29"/>
  <c r="K15" i="29"/>
  <c r="K16" i="29"/>
  <c r="K17" i="29"/>
  <c r="K18" i="29"/>
  <c r="K19" i="29"/>
  <c r="K21" i="29"/>
  <c r="K22" i="29"/>
  <c r="K23" i="29"/>
  <c r="K24" i="29"/>
  <c r="K25" i="29"/>
  <c r="K28" i="29"/>
  <c r="K30" i="29"/>
  <c r="K33" i="29"/>
  <c r="K58" i="29"/>
  <c r="K38" i="29"/>
  <c r="K39" i="29"/>
  <c r="K12" i="29"/>
  <c r="K53" i="29"/>
  <c r="K35" i="29"/>
  <c r="K37" i="29"/>
  <c r="K47" i="29"/>
  <c r="K49" i="29"/>
  <c r="K50" i="29"/>
  <c r="K51" i="29"/>
  <c r="K13" i="29"/>
  <c r="K26" i="29"/>
  <c r="K20" i="29"/>
  <c r="K27" i="29"/>
  <c r="K31" i="29"/>
  <c r="K32" i="29"/>
  <c r="K36" i="29"/>
  <c r="K11" i="29"/>
  <c r="K29" i="29"/>
  <c r="K44" i="29"/>
  <c r="K48" i="29"/>
  <c r="K57" i="29"/>
  <c r="K10" i="29"/>
  <c r="L10" i="29"/>
  <c r="L11" i="29"/>
  <c r="L12" i="29"/>
  <c r="L13" i="29"/>
  <c r="L14" i="29"/>
  <c r="L15" i="29"/>
  <c r="L16" i="29"/>
  <c r="L17" i="29"/>
  <c r="L18" i="29"/>
  <c r="L19" i="29"/>
  <c r="L20" i="29"/>
  <c r="L21" i="29"/>
  <c r="L22" i="29"/>
  <c r="L23" i="29"/>
  <c r="L24" i="29"/>
  <c r="L25" i="29"/>
  <c r="L26" i="29"/>
  <c r="L27" i="29"/>
  <c r="L28" i="29"/>
  <c r="L29" i="29"/>
  <c r="L30" i="29"/>
  <c r="L31" i="29"/>
  <c r="L32" i="29"/>
  <c r="L33" i="29"/>
  <c r="L34" i="29"/>
  <c r="L35" i="29"/>
  <c r="L36" i="29"/>
  <c r="L37" i="29"/>
  <c r="L38" i="29"/>
  <c r="L39" i="29"/>
  <c r="L40" i="29"/>
  <c r="L41" i="29"/>
  <c r="L42" i="29"/>
  <c r="L43" i="29"/>
  <c r="L44" i="29"/>
  <c r="L45" i="29"/>
  <c r="L46" i="29"/>
  <c r="L47" i="29"/>
  <c r="L48" i="29"/>
  <c r="L49" i="29"/>
  <c r="L50" i="29"/>
  <c r="L51" i="29"/>
  <c r="L52" i="29"/>
  <c r="L53" i="29"/>
  <c r="L54" i="29"/>
  <c r="L55" i="29"/>
  <c r="L56" i="29"/>
  <c r="L57" i="29"/>
  <c r="L58" i="29"/>
  <c r="L59" i="29"/>
  <c r="M10" i="29"/>
  <c r="M11" i="29"/>
  <c r="M12" i="29"/>
  <c r="M13" i="29"/>
  <c r="M14" i="29"/>
  <c r="M15" i="29"/>
  <c r="M16" i="29"/>
  <c r="M17" i="29"/>
  <c r="M18" i="29"/>
  <c r="M19" i="29"/>
  <c r="M20" i="29"/>
  <c r="M21" i="29"/>
  <c r="M22" i="29"/>
  <c r="M23" i="29"/>
  <c r="M24" i="29"/>
  <c r="M25" i="29"/>
  <c r="M26" i="29"/>
  <c r="M27" i="29"/>
  <c r="M28" i="29"/>
  <c r="M29" i="29"/>
  <c r="M30" i="29"/>
  <c r="M31" i="29"/>
  <c r="M32" i="29"/>
  <c r="M33" i="29"/>
  <c r="M34" i="29"/>
  <c r="M35" i="29"/>
  <c r="M36" i="29"/>
  <c r="M37" i="29"/>
  <c r="M38" i="29"/>
  <c r="M39" i="29"/>
  <c r="M40" i="29"/>
  <c r="M41" i="29"/>
  <c r="M42" i="29"/>
  <c r="M43" i="29"/>
  <c r="M44" i="29"/>
  <c r="M45" i="29"/>
  <c r="M46" i="29"/>
  <c r="M47" i="29"/>
  <c r="M48" i="29"/>
  <c r="M49" i="29"/>
  <c r="M50" i="29"/>
  <c r="M51" i="29"/>
  <c r="M52" i="29"/>
  <c r="M53" i="29"/>
  <c r="M54" i="29"/>
  <c r="M55" i="29"/>
  <c r="M56" i="29"/>
  <c r="M57" i="29"/>
  <c r="M58" i="29"/>
  <c r="M59" i="29"/>
  <c r="K14" i="3"/>
  <c r="K15" i="3"/>
  <c r="M14" i="3"/>
  <c r="M15" i="3"/>
  <c r="K16" i="114"/>
  <c r="L16" i="114"/>
  <c r="K21" i="114"/>
  <c r="M16" i="114"/>
  <c r="M21" i="114"/>
  <c r="L21" i="114"/>
  <c r="G21" i="114"/>
  <c r="A21" i="114" s="1"/>
  <c r="G16" i="114"/>
  <c r="A16" i="114" s="1"/>
  <c r="M15" i="114"/>
  <c r="L15" i="114"/>
  <c r="K15" i="114"/>
  <c r="M11" i="114"/>
  <c r="L11" i="114"/>
  <c r="K11" i="114"/>
  <c r="K10" i="114"/>
  <c r="L10" i="114"/>
  <c r="M10" i="114"/>
  <c r="M20" i="114"/>
  <c r="L20" i="114"/>
  <c r="K20" i="114"/>
  <c r="G11" i="114"/>
  <c r="A11" i="114" s="1"/>
  <c r="G10" i="114"/>
  <c r="A10" i="114" s="1"/>
  <c r="G20" i="114"/>
  <c r="A20" i="114" s="1"/>
  <c r="G15" i="114"/>
  <c r="A15" i="114" s="1"/>
  <c r="L16" i="112"/>
  <c r="G16" i="112"/>
  <c r="A16" i="112" s="1"/>
  <c r="G11" i="105"/>
  <c r="K21" i="62"/>
  <c r="K22" i="62"/>
  <c r="K14" i="62"/>
  <c r="G27" i="62"/>
  <c r="A27" i="62" s="1"/>
  <c r="K13" i="62"/>
  <c r="L14" i="62"/>
  <c r="L21" i="62"/>
  <c r="L22" i="62"/>
  <c r="M13" i="62"/>
  <c r="M11" i="48"/>
  <c r="L13" i="62"/>
  <c r="M14" i="62"/>
  <c r="M21" i="62"/>
  <c r="M22" i="62"/>
  <c r="G11" i="48"/>
  <c r="K5" i="65"/>
  <c r="M5" i="64"/>
  <c r="L5" i="64"/>
  <c r="K5" i="64"/>
  <c r="M5" i="65"/>
  <c r="L5" i="65"/>
  <c r="A10" i="29" l="1"/>
  <c r="G60" i="29"/>
  <c r="N10" i="114"/>
  <c r="K2" i="114" s="1"/>
  <c r="H2" i="114" s="1"/>
  <c r="D38" i="34" s="1"/>
  <c r="J38" i="34" s="1"/>
  <c r="N15" i="114"/>
  <c r="L4" i="114" s="1"/>
  <c r="I4" i="114" s="1"/>
  <c r="E39" i="34" s="1"/>
  <c r="K39" i="34" s="1"/>
  <c r="N20" i="114"/>
  <c r="J6" i="114" s="1"/>
  <c r="G6" i="114" s="1"/>
  <c r="K16" i="112"/>
  <c r="G15" i="111"/>
  <c r="A15" i="111" s="1"/>
  <c r="G10" i="111"/>
  <c r="A10" i="111" s="1"/>
  <c r="G20" i="111"/>
  <c r="A20" i="111" s="1"/>
  <c r="G11" i="111"/>
  <c r="A11" i="111" s="1"/>
  <c r="M20" i="111"/>
  <c r="L20" i="111"/>
  <c r="L10" i="111"/>
  <c r="M15" i="111"/>
  <c r="K15" i="111"/>
  <c r="K11" i="111"/>
  <c r="K10" i="111"/>
  <c r="L11" i="111"/>
  <c r="K20" i="111"/>
  <c r="M10" i="111"/>
  <c r="L15" i="111"/>
  <c r="M11" i="111"/>
  <c r="G10" i="112"/>
  <c r="A10" i="112" s="1"/>
  <c r="G15" i="112"/>
  <c r="A15" i="112" s="1"/>
  <c r="G11" i="112"/>
  <c r="A11" i="112" s="1"/>
  <c r="G20" i="112"/>
  <c r="A20" i="112" s="1"/>
  <c r="M15" i="112"/>
  <c r="L10" i="112"/>
  <c r="K11" i="112"/>
  <c r="L15" i="112"/>
  <c r="L20" i="112"/>
  <c r="M10" i="112"/>
  <c r="K10" i="112"/>
  <c r="M11" i="112"/>
  <c r="K15" i="112"/>
  <c r="L11" i="112"/>
  <c r="M20" i="112"/>
  <c r="K20" i="112"/>
  <c r="N20" i="112" s="1"/>
  <c r="L21" i="112"/>
  <c r="K21" i="112"/>
  <c r="M21" i="112"/>
  <c r="M16" i="112"/>
  <c r="G21" i="112"/>
  <c r="A21" i="112" s="1"/>
  <c r="K21" i="111"/>
  <c r="L21" i="111"/>
  <c r="M16" i="111"/>
  <c r="L16" i="111"/>
  <c r="M21" i="111"/>
  <c r="K16" i="111"/>
  <c r="G21" i="111"/>
  <c r="A21" i="111" s="1"/>
  <c r="G16" i="111"/>
  <c r="A16" i="111" s="1"/>
  <c r="M16" i="107"/>
  <c r="M21" i="107"/>
  <c r="K21" i="107"/>
  <c r="L21" i="107"/>
  <c r="L16" i="107"/>
  <c r="K16" i="107"/>
  <c r="G16" i="107"/>
  <c r="A16" i="107" s="1"/>
  <c r="G21" i="107"/>
  <c r="A21" i="107" s="1"/>
  <c r="G17" i="105"/>
  <c r="A17" i="105" s="1"/>
  <c r="M11" i="105"/>
  <c r="K11" i="105"/>
  <c r="G12" i="105"/>
  <c r="A12" i="105" s="1"/>
  <c r="K16" i="105"/>
  <c r="G16" i="105"/>
  <c r="A16" i="105" s="1"/>
  <c r="G11" i="107"/>
  <c r="A11" i="107" s="1"/>
  <c r="G10" i="107"/>
  <c r="A10" i="107" s="1"/>
  <c r="G15" i="107"/>
  <c r="A15" i="107" s="1"/>
  <c r="G20" i="107"/>
  <c r="A20" i="107" s="1"/>
  <c r="K10" i="107"/>
  <c r="L10" i="107"/>
  <c r="K11" i="107"/>
  <c r="L11" i="107"/>
  <c r="K20" i="107"/>
  <c r="M10" i="107"/>
  <c r="M20" i="107"/>
  <c r="K15" i="107"/>
  <c r="M15" i="107"/>
  <c r="M11" i="107"/>
  <c r="L20" i="107"/>
  <c r="L15" i="107"/>
  <c r="M12" i="105"/>
  <c r="L16" i="105"/>
  <c r="M17" i="105"/>
  <c r="L11" i="105"/>
  <c r="K17" i="105"/>
  <c r="L17" i="105"/>
  <c r="L19" i="48"/>
  <c r="L12" i="105"/>
  <c r="M16" i="105"/>
  <c r="K12" i="105"/>
  <c r="K11" i="106"/>
  <c r="L19" i="106"/>
  <c r="M10" i="106"/>
  <c r="K15" i="106"/>
  <c r="L10" i="106"/>
  <c r="M11" i="106"/>
  <c r="M15" i="106"/>
  <c r="L11" i="106"/>
  <c r="K10" i="106"/>
  <c r="K19" i="106"/>
  <c r="L15" i="106"/>
  <c r="M19" i="106"/>
  <c r="G11" i="106"/>
  <c r="A11" i="106" s="1"/>
  <c r="G10" i="106"/>
  <c r="A10" i="106" s="1"/>
  <c r="G19" i="106"/>
  <c r="A19" i="106" s="1"/>
  <c r="G15" i="106"/>
  <c r="A15" i="106" s="1"/>
  <c r="K11" i="48"/>
  <c r="L11" i="48"/>
  <c r="A11" i="105"/>
  <c r="G19" i="62"/>
  <c r="G11" i="62"/>
  <c r="G12" i="62"/>
  <c r="G26" i="62"/>
  <c r="A26" i="62" s="1"/>
  <c r="G20" i="62"/>
  <c r="G28" i="62"/>
  <c r="A28" i="62" s="1"/>
  <c r="K10" i="48"/>
  <c r="L10" i="48"/>
  <c r="L15" i="48"/>
  <c r="K15" i="48"/>
  <c r="K19" i="48"/>
  <c r="G15" i="48"/>
  <c r="M15" i="48" s="1"/>
  <c r="G19" i="48"/>
  <c r="M19" i="48" s="1"/>
  <c r="G10" i="48"/>
  <c r="U63" i="71"/>
  <c r="T63" i="71"/>
  <c r="S63" i="71"/>
  <c r="R63" i="71"/>
  <c r="Q63" i="71"/>
  <c r="P63" i="71"/>
  <c r="O63" i="71"/>
  <c r="N63" i="71"/>
  <c r="M63" i="71"/>
  <c r="L63" i="71"/>
  <c r="K63" i="71"/>
  <c r="J63" i="71"/>
  <c r="I63" i="71"/>
  <c r="H63" i="71"/>
  <c r="G63" i="71"/>
  <c r="F63" i="71"/>
  <c r="E63" i="71"/>
  <c r="D63" i="71"/>
  <c r="C63" i="71"/>
  <c r="B63" i="71"/>
  <c r="A63" i="71"/>
  <c r="U62" i="71"/>
  <c r="T62" i="71"/>
  <c r="S62" i="71"/>
  <c r="R62" i="71"/>
  <c r="Q62" i="71"/>
  <c r="P62" i="71"/>
  <c r="O62" i="71"/>
  <c r="N62" i="71"/>
  <c r="M62" i="71"/>
  <c r="L62" i="71"/>
  <c r="K62" i="71"/>
  <c r="J62" i="71"/>
  <c r="I62" i="71"/>
  <c r="H62" i="71"/>
  <c r="G62" i="71"/>
  <c r="F62" i="71"/>
  <c r="E62" i="71"/>
  <c r="D62" i="71"/>
  <c r="C62" i="71"/>
  <c r="B62" i="71"/>
  <c r="A62" i="71"/>
  <c r="U61" i="71"/>
  <c r="T61" i="71"/>
  <c r="S61" i="71"/>
  <c r="R61" i="71"/>
  <c r="Q61" i="71"/>
  <c r="P61" i="71"/>
  <c r="O61" i="71"/>
  <c r="N61" i="71"/>
  <c r="M61" i="71"/>
  <c r="L61" i="71"/>
  <c r="K61" i="71"/>
  <c r="J61" i="71"/>
  <c r="I61" i="71"/>
  <c r="H61" i="71"/>
  <c r="G61" i="71"/>
  <c r="F61" i="71"/>
  <c r="E61" i="71"/>
  <c r="D61" i="71"/>
  <c r="C61" i="71"/>
  <c r="B61" i="71"/>
  <c r="A61" i="71"/>
  <c r="U60" i="71"/>
  <c r="T60" i="71"/>
  <c r="S60" i="71"/>
  <c r="R60" i="71"/>
  <c r="Q60" i="71"/>
  <c r="P60" i="71"/>
  <c r="O60" i="71"/>
  <c r="N60" i="71"/>
  <c r="M60" i="71"/>
  <c r="L60" i="71"/>
  <c r="K60" i="71"/>
  <c r="J60" i="71"/>
  <c r="I60" i="71"/>
  <c r="H60" i="71"/>
  <c r="G60" i="71"/>
  <c r="F60" i="71"/>
  <c r="E60" i="71"/>
  <c r="D60" i="71"/>
  <c r="C60" i="71"/>
  <c r="B60" i="71"/>
  <c r="A60" i="71"/>
  <c r="U59" i="71"/>
  <c r="T59" i="71"/>
  <c r="S59" i="71"/>
  <c r="R59" i="71"/>
  <c r="Q59" i="71"/>
  <c r="P59" i="71"/>
  <c r="O59" i="71"/>
  <c r="N59" i="71"/>
  <c r="M59" i="71"/>
  <c r="L59" i="71"/>
  <c r="K59" i="71"/>
  <c r="J59" i="71"/>
  <c r="I59" i="71"/>
  <c r="H59" i="71"/>
  <c r="G59" i="71"/>
  <c r="F59" i="71"/>
  <c r="E59" i="71"/>
  <c r="D59" i="71"/>
  <c r="C59" i="71"/>
  <c r="B59" i="71"/>
  <c r="A59" i="71"/>
  <c r="U58" i="71"/>
  <c r="T58" i="71"/>
  <c r="S58" i="71"/>
  <c r="R58" i="71"/>
  <c r="Q58" i="71"/>
  <c r="P58" i="71"/>
  <c r="O58" i="71"/>
  <c r="N58" i="71"/>
  <c r="M58" i="71"/>
  <c r="L58" i="71"/>
  <c r="K58" i="71"/>
  <c r="J58" i="71"/>
  <c r="I58" i="71"/>
  <c r="H58" i="71"/>
  <c r="G58" i="71"/>
  <c r="F58" i="71"/>
  <c r="E58" i="71"/>
  <c r="D58" i="71"/>
  <c r="C58" i="71"/>
  <c r="B58" i="71"/>
  <c r="A58" i="71"/>
  <c r="U57" i="71"/>
  <c r="T57" i="71"/>
  <c r="S57" i="71"/>
  <c r="R57" i="71"/>
  <c r="Q57" i="71"/>
  <c r="P57" i="71"/>
  <c r="O57" i="71"/>
  <c r="N57" i="71"/>
  <c r="M57" i="71"/>
  <c r="L57" i="71"/>
  <c r="K57" i="71"/>
  <c r="J57" i="71"/>
  <c r="I57" i="71"/>
  <c r="H57" i="71"/>
  <c r="G57" i="71"/>
  <c r="F57" i="71"/>
  <c r="E57" i="71"/>
  <c r="D57" i="71"/>
  <c r="C57" i="71"/>
  <c r="B57" i="71"/>
  <c r="A57" i="71"/>
  <c r="U56" i="71"/>
  <c r="T56" i="71"/>
  <c r="S56" i="71"/>
  <c r="R56" i="71"/>
  <c r="Q56" i="71"/>
  <c r="P56" i="71"/>
  <c r="O56" i="71"/>
  <c r="N56" i="71"/>
  <c r="M56" i="71"/>
  <c r="L56" i="71"/>
  <c r="K56" i="71"/>
  <c r="J56" i="71"/>
  <c r="I56" i="71"/>
  <c r="H56" i="71"/>
  <c r="G56" i="71"/>
  <c r="F56" i="71"/>
  <c r="E56" i="71"/>
  <c r="D56" i="71"/>
  <c r="C56" i="71"/>
  <c r="B56" i="71"/>
  <c r="A56" i="71"/>
  <c r="U55" i="71"/>
  <c r="T55" i="71"/>
  <c r="S55" i="71"/>
  <c r="R55" i="71"/>
  <c r="Q55" i="71"/>
  <c r="P55" i="71"/>
  <c r="O55" i="71"/>
  <c r="N55" i="71"/>
  <c r="M55" i="71"/>
  <c r="L55" i="71"/>
  <c r="K55" i="71"/>
  <c r="J55" i="71"/>
  <c r="I55" i="71"/>
  <c r="H55" i="71"/>
  <c r="G55" i="71"/>
  <c r="F55" i="71"/>
  <c r="E55" i="71"/>
  <c r="D55" i="71"/>
  <c r="C55" i="71"/>
  <c r="B55" i="71"/>
  <c r="A55" i="71"/>
  <c r="U54" i="71"/>
  <c r="T54" i="71"/>
  <c r="S54" i="71"/>
  <c r="R54" i="71"/>
  <c r="Q54" i="71"/>
  <c r="P54" i="71"/>
  <c r="O54" i="71"/>
  <c r="N54" i="71"/>
  <c r="M54" i="71"/>
  <c r="L54" i="71"/>
  <c r="K54" i="71"/>
  <c r="J54" i="71"/>
  <c r="I54" i="71"/>
  <c r="H54" i="71"/>
  <c r="G54" i="71"/>
  <c r="F54" i="71"/>
  <c r="E54" i="71"/>
  <c r="D54" i="71"/>
  <c r="C54" i="71"/>
  <c r="B54" i="71"/>
  <c r="A54" i="71"/>
  <c r="U53" i="71"/>
  <c r="T53" i="71"/>
  <c r="S53" i="71"/>
  <c r="R53" i="71"/>
  <c r="Q53" i="71"/>
  <c r="P53" i="71"/>
  <c r="O53" i="71"/>
  <c r="N53" i="71"/>
  <c r="M53" i="71"/>
  <c r="L53" i="71"/>
  <c r="K53" i="71"/>
  <c r="J53" i="71"/>
  <c r="I53" i="71"/>
  <c r="H53" i="71"/>
  <c r="G53" i="71"/>
  <c r="F53" i="71"/>
  <c r="E53" i="71"/>
  <c r="D53" i="71"/>
  <c r="C53" i="71"/>
  <c r="B53" i="71"/>
  <c r="A53" i="71"/>
  <c r="U52" i="71"/>
  <c r="T52" i="71"/>
  <c r="S52" i="71"/>
  <c r="R52" i="71"/>
  <c r="Q52" i="71"/>
  <c r="P52" i="71"/>
  <c r="O52" i="71"/>
  <c r="N52" i="71"/>
  <c r="M52" i="71"/>
  <c r="L52" i="71"/>
  <c r="K52" i="71"/>
  <c r="J52" i="71"/>
  <c r="I52" i="71"/>
  <c r="H52" i="71"/>
  <c r="G52" i="71"/>
  <c r="F52" i="71"/>
  <c r="E52" i="71"/>
  <c r="D52" i="71"/>
  <c r="C52" i="71"/>
  <c r="B52" i="71"/>
  <c r="A52" i="71"/>
  <c r="U51" i="71"/>
  <c r="T51" i="71"/>
  <c r="S51" i="71"/>
  <c r="R51" i="71"/>
  <c r="Q51" i="71"/>
  <c r="P51" i="71"/>
  <c r="O51" i="71"/>
  <c r="N51" i="71"/>
  <c r="M51" i="71"/>
  <c r="L51" i="71"/>
  <c r="K51" i="71"/>
  <c r="J51" i="71"/>
  <c r="I51" i="71"/>
  <c r="H51" i="71"/>
  <c r="G51" i="71"/>
  <c r="F51" i="71"/>
  <c r="E51" i="71"/>
  <c r="D51" i="71"/>
  <c r="C51" i="71"/>
  <c r="B51" i="71"/>
  <c r="A51" i="71"/>
  <c r="U50" i="71"/>
  <c r="T50" i="71"/>
  <c r="S50" i="71"/>
  <c r="R50" i="71"/>
  <c r="Q50" i="71"/>
  <c r="P50" i="71"/>
  <c r="O50" i="71"/>
  <c r="N50" i="71"/>
  <c r="M50" i="71"/>
  <c r="L50" i="71"/>
  <c r="K50" i="71"/>
  <c r="J50" i="71"/>
  <c r="I50" i="71"/>
  <c r="H50" i="71"/>
  <c r="G50" i="71"/>
  <c r="F50" i="71"/>
  <c r="E50" i="71"/>
  <c r="D50" i="71"/>
  <c r="C50" i="71"/>
  <c r="B50" i="71"/>
  <c r="A50" i="71"/>
  <c r="U49" i="71"/>
  <c r="T49" i="71"/>
  <c r="S49" i="71"/>
  <c r="R49" i="71"/>
  <c r="Q49" i="71"/>
  <c r="P49" i="71"/>
  <c r="O49" i="71"/>
  <c r="N49" i="71"/>
  <c r="M49" i="71"/>
  <c r="L49" i="71"/>
  <c r="K49" i="71"/>
  <c r="J49" i="71"/>
  <c r="I49" i="71"/>
  <c r="H49" i="71"/>
  <c r="G49" i="71"/>
  <c r="F49" i="71"/>
  <c r="E49" i="71"/>
  <c r="D49" i="71"/>
  <c r="C49" i="71"/>
  <c r="B49" i="71"/>
  <c r="A49" i="71"/>
  <c r="U48" i="71"/>
  <c r="T48" i="71"/>
  <c r="S48" i="71"/>
  <c r="R48" i="71"/>
  <c r="Q48" i="71"/>
  <c r="P48" i="71"/>
  <c r="O48" i="71"/>
  <c r="N48" i="71"/>
  <c r="M48" i="71"/>
  <c r="L48" i="71"/>
  <c r="K48" i="71"/>
  <c r="J48" i="71"/>
  <c r="I48" i="71"/>
  <c r="H48" i="71"/>
  <c r="G48" i="71"/>
  <c r="F48" i="71"/>
  <c r="E48" i="71"/>
  <c r="D48" i="71"/>
  <c r="C48" i="71"/>
  <c r="B48" i="71"/>
  <c r="A48" i="71"/>
  <c r="U47" i="71"/>
  <c r="T47" i="71"/>
  <c r="S47" i="71"/>
  <c r="R47" i="71"/>
  <c r="Q47" i="71"/>
  <c r="P47" i="71"/>
  <c r="O47" i="71"/>
  <c r="N47" i="71"/>
  <c r="M47" i="71"/>
  <c r="L47" i="71"/>
  <c r="K47" i="71"/>
  <c r="J47" i="71"/>
  <c r="I47" i="71"/>
  <c r="H47" i="71"/>
  <c r="G47" i="71"/>
  <c r="F47" i="71"/>
  <c r="E47" i="71"/>
  <c r="D47" i="71"/>
  <c r="C47" i="71"/>
  <c r="B47" i="71"/>
  <c r="A47" i="71"/>
  <c r="U46" i="71"/>
  <c r="T46" i="71"/>
  <c r="S46" i="71"/>
  <c r="R46" i="71"/>
  <c r="Q46" i="71"/>
  <c r="P46" i="71"/>
  <c r="O46" i="71"/>
  <c r="N46" i="71"/>
  <c r="M46" i="71"/>
  <c r="L46" i="71"/>
  <c r="K46" i="71"/>
  <c r="J46" i="71"/>
  <c r="I46" i="71"/>
  <c r="H46" i="71"/>
  <c r="G46" i="71"/>
  <c r="F46" i="71"/>
  <c r="E46" i="71"/>
  <c r="D46" i="71"/>
  <c r="C46" i="71"/>
  <c r="B46" i="71"/>
  <c r="A46" i="71"/>
  <c r="U45" i="71"/>
  <c r="T45" i="71"/>
  <c r="S45" i="71"/>
  <c r="R45" i="71"/>
  <c r="Q45" i="71"/>
  <c r="P45" i="71"/>
  <c r="O45" i="71"/>
  <c r="N45" i="71"/>
  <c r="M45" i="71"/>
  <c r="L45" i="71"/>
  <c r="K45" i="71"/>
  <c r="J45" i="71"/>
  <c r="I45" i="71"/>
  <c r="H45" i="71"/>
  <c r="G45" i="71"/>
  <c r="F45" i="71"/>
  <c r="E45" i="71"/>
  <c r="D45" i="71"/>
  <c r="C45" i="71"/>
  <c r="B45" i="71"/>
  <c r="A45" i="71"/>
  <c r="U44" i="71"/>
  <c r="T44" i="71"/>
  <c r="S44" i="71"/>
  <c r="R44" i="71"/>
  <c r="Q44" i="71"/>
  <c r="P44" i="71"/>
  <c r="O44" i="71"/>
  <c r="N44" i="71"/>
  <c r="M44" i="71"/>
  <c r="L44" i="71"/>
  <c r="K44" i="71"/>
  <c r="J44" i="71"/>
  <c r="I44" i="71"/>
  <c r="H44" i="71"/>
  <c r="G44" i="71"/>
  <c r="F44" i="71"/>
  <c r="E44" i="71"/>
  <c r="D44" i="71"/>
  <c r="C44" i="71"/>
  <c r="B44" i="71"/>
  <c r="A44" i="71"/>
  <c r="U43" i="71"/>
  <c r="T43" i="71"/>
  <c r="S43" i="71"/>
  <c r="R43" i="71"/>
  <c r="Q43" i="71"/>
  <c r="P43" i="71"/>
  <c r="O43" i="71"/>
  <c r="N43" i="71"/>
  <c r="M43" i="71"/>
  <c r="L43" i="71"/>
  <c r="K43" i="71"/>
  <c r="J43" i="71"/>
  <c r="I43" i="71"/>
  <c r="H43" i="71"/>
  <c r="G43" i="71"/>
  <c r="F43" i="71"/>
  <c r="E43" i="71"/>
  <c r="D43" i="71"/>
  <c r="C43" i="71"/>
  <c r="A43" i="71"/>
  <c r="U42" i="71"/>
  <c r="T42" i="71"/>
  <c r="S42" i="71"/>
  <c r="R42" i="71"/>
  <c r="Q42" i="71"/>
  <c r="P42" i="71"/>
  <c r="O42" i="71"/>
  <c r="N42" i="71"/>
  <c r="M42" i="71"/>
  <c r="L42" i="71"/>
  <c r="K42" i="71"/>
  <c r="J42" i="71"/>
  <c r="I42" i="71"/>
  <c r="H42" i="71"/>
  <c r="G42" i="71"/>
  <c r="F42" i="71"/>
  <c r="E42" i="71"/>
  <c r="D42" i="71"/>
  <c r="C42" i="71"/>
  <c r="B42" i="71"/>
  <c r="A42" i="71"/>
  <c r="U41" i="71"/>
  <c r="T41" i="71"/>
  <c r="S41" i="71"/>
  <c r="R41" i="71"/>
  <c r="Q41" i="71"/>
  <c r="P41" i="71"/>
  <c r="O41" i="71"/>
  <c r="N41" i="71"/>
  <c r="M41" i="71"/>
  <c r="L41" i="71"/>
  <c r="K41" i="71"/>
  <c r="J41" i="71"/>
  <c r="I41" i="71"/>
  <c r="H41" i="71"/>
  <c r="G41" i="71"/>
  <c r="F41" i="71"/>
  <c r="E41" i="71"/>
  <c r="D41" i="71"/>
  <c r="C41" i="71"/>
  <c r="B41" i="71"/>
  <c r="A41" i="71"/>
  <c r="U40" i="71"/>
  <c r="T40" i="71"/>
  <c r="S40" i="71"/>
  <c r="R40" i="71"/>
  <c r="Q40" i="71"/>
  <c r="P40" i="71"/>
  <c r="O40" i="71"/>
  <c r="N40" i="71"/>
  <c r="M40" i="71"/>
  <c r="L40" i="71"/>
  <c r="K40" i="71"/>
  <c r="J40" i="71"/>
  <c r="I40" i="71"/>
  <c r="H40" i="71"/>
  <c r="G40" i="71"/>
  <c r="F40" i="71"/>
  <c r="E40" i="71"/>
  <c r="D40" i="71"/>
  <c r="C40" i="71"/>
  <c r="B40" i="71"/>
  <c r="A40" i="71"/>
  <c r="U39" i="71"/>
  <c r="T39" i="71"/>
  <c r="S39" i="71"/>
  <c r="R39" i="71"/>
  <c r="Q39" i="71"/>
  <c r="P39" i="71"/>
  <c r="O39" i="71"/>
  <c r="N39" i="71"/>
  <c r="M39" i="71"/>
  <c r="L39" i="71"/>
  <c r="K39" i="71"/>
  <c r="J39" i="71"/>
  <c r="I39" i="71"/>
  <c r="H39" i="71"/>
  <c r="G39" i="71"/>
  <c r="F39" i="71"/>
  <c r="E39" i="71"/>
  <c r="D39" i="71"/>
  <c r="C39" i="71"/>
  <c r="B39" i="71"/>
  <c r="A39" i="71"/>
  <c r="U38" i="71"/>
  <c r="T38" i="71"/>
  <c r="S38" i="71"/>
  <c r="R38" i="71"/>
  <c r="Q38" i="71"/>
  <c r="P38" i="71"/>
  <c r="O38" i="71"/>
  <c r="N38" i="71"/>
  <c r="M38" i="71"/>
  <c r="L38" i="71"/>
  <c r="K38" i="71"/>
  <c r="J38" i="71"/>
  <c r="I38" i="71"/>
  <c r="H38" i="71"/>
  <c r="G38" i="71"/>
  <c r="F38" i="71"/>
  <c r="E38" i="71"/>
  <c r="D38" i="71"/>
  <c r="C38" i="71"/>
  <c r="B38" i="71"/>
  <c r="A38" i="71"/>
  <c r="U37" i="71"/>
  <c r="T37" i="71"/>
  <c r="S37" i="71"/>
  <c r="R37" i="71"/>
  <c r="Q37" i="71"/>
  <c r="P37" i="71"/>
  <c r="O37" i="71"/>
  <c r="N37" i="71"/>
  <c r="M37" i="71"/>
  <c r="L37" i="71"/>
  <c r="K37" i="71"/>
  <c r="J37" i="71"/>
  <c r="I37" i="71"/>
  <c r="H37" i="71"/>
  <c r="G37" i="71"/>
  <c r="F37" i="71"/>
  <c r="E37" i="71"/>
  <c r="D37" i="71"/>
  <c r="C37" i="71"/>
  <c r="B37" i="71"/>
  <c r="A37" i="71"/>
  <c r="U36" i="71"/>
  <c r="T36" i="71"/>
  <c r="S36" i="71"/>
  <c r="R36" i="71"/>
  <c r="Q36" i="71"/>
  <c r="P36" i="71"/>
  <c r="O36" i="71"/>
  <c r="N36" i="71"/>
  <c r="M36" i="71"/>
  <c r="L36" i="71"/>
  <c r="K36" i="71"/>
  <c r="J36" i="71"/>
  <c r="I36" i="71"/>
  <c r="H36" i="71"/>
  <c r="G36" i="71"/>
  <c r="F36" i="71"/>
  <c r="E36" i="71"/>
  <c r="D36" i="71"/>
  <c r="C36" i="71"/>
  <c r="B36" i="71"/>
  <c r="A36" i="71"/>
  <c r="U35" i="71"/>
  <c r="T35" i="71"/>
  <c r="S35" i="71"/>
  <c r="R35" i="71"/>
  <c r="Q35" i="71"/>
  <c r="P35" i="71"/>
  <c r="O35" i="71"/>
  <c r="N35" i="71"/>
  <c r="M35" i="71"/>
  <c r="L35" i="71"/>
  <c r="K35" i="71"/>
  <c r="J35" i="71"/>
  <c r="I35" i="71"/>
  <c r="H35" i="71"/>
  <c r="G35" i="71"/>
  <c r="F35" i="71"/>
  <c r="E35" i="71"/>
  <c r="D35" i="71"/>
  <c r="C35" i="71"/>
  <c r="B35" i="71"/>
  <c r="A35" i="71"/>
  <c r="U34" i="71"/>
  <c r="T34" i="71"/>
  <c r="S34" i="71"/>
  <c r="R34" i="71"/>
  <c r="Q34" i="71"/>
  <c r="P34" i="71"/>
  <c r="O34" i="71"/>
  <c r="N34" i="71"/>
  <c r="M34" i="71"/>
  <c r="L34" i="71"/>
  <c r="K34" i="71"/>
  <c r="J34" i="71"/>
  <c r="I34" i="71"/>
  <c r="H34" i="71"/>
  <c r="G34" i="71"/>
  <c r="F34" i="71"/>
  <c r="E34" i="71"/>
  <c r="D34" i="71"/>
  <c r="C34" i="71"/>
  <c r="B34" i="71"/>
  <c r="A34" i="71"/>
  <c r="U33" i="71"/>
  <c r="T33" i="71"/>
  <c r="S33" i="71"/>
  <c r="R33" i="71"/>
  <c r="Q33" i="71"/>
  <c r="P33" i="71"/>
  <c r="O33" i="71"/>
  <c r="N33" i="71"/>
  <c r="M33" i="71"/>
  <c r="L33" i="71"/>
  <c r="K33" i="71"/>
  <c r="J33" i="71"/>
  <c r="I33" i="71"/>
  <c r="H33" i="71"/>
  <c r="G33" i="71"/>
  <c r="F33" i="71"/>
  <c r="E33" i="71"/>
  <c r="D33" i="71"/>
  <c r="C33" i="71"/>
  <c r="B33" i="71"/>
  <c r="A33" i="71"/>
  <c r="U32" i="71"/>
  <c r="T32" i="71"/>
  <c r="S32" i="71"/>
  <c r="R32" i="71"/>
  <c r="Q32" i="71"/>
  <c r="P32" i="71"/>
  <c r="O32" i="71"/>
  <c r="N32" i="71"/>
  <c r="M32" i="71"/>
  <c r="L32" i="71"/>
  <c r="K32" i="71"/>
  <c r="J32" i="71"/>
  <c r="I32" i="71"/>
  <c r="H32" i="71"/>
  <c r="G32" i="71"/>
  <c r="F32" i="71"/>
  <c r="E32" i="71"/>
  <c r="D32" i="71"/>
  <c r="C32" i="71"/>
  <c r="B32" i="71"/>
  <c r="A32" i="71"/>
  <c r="U31" i="71"/>
  <c r="T31" i="71"/>
  <c r="S31" i="71"/>
  <c r="R31" i="71"/>
  <c r="Q31" i="71"/>
  <c r="P31" i="71"/>
  <c r="O31" i="71"/>
  <c r="N31" i="71"/>
  <c r="M31" i="71"/>
  <c r="L31" i="71"/>
  <c r="K31" i="71"/>
  <c r="J31" i="71"/>
  <c r="I31" i="71"/>
  <c r="H31" i="71"/>
  <c r="G31" i="71"/>
  <c r="F31" i="71"/>
  <c r="E31" i="71"/>
  <c r="D31" i="71"/>
  <c r="C31" i="71"/>
  <c r="B31" i="71"/>
  <c r="A31" i="71"/>
  <c r="U30" i="71"/>
  <c r="T30" i="71"/>
  <c r="S30" i="71"/>
  <c r="R30" i="71"/>
  <c r="Q30" i="71"/>
  <c r="P30" i="71"/>
  <c r="O30" i="71"/>
  <c r="N30" i="71"/>
  <c r="M30" i="71"/>
  <c r="L30" i="71"/>
  <c r="K30" i="71"/>
  <c r="J30" i="71"/>
  <c r="I30" i="71"/>
  <c r="H30" i="71"/>
  <c r="G30" i="71"/>
  <c r="F30" i="71"/>
  <c r="E30" i="71"/>
  <c r="D30" i="71"/>
  <c r="C30" i="71"/>
  <c r="B30" i="71"/>
  <c r="A30" i="71"/>
  <c r="U29" i="71"/>
  <c r="T29" i="71"/>
  <c r="S29" i="71"/>
  <c r="R29" i="71"/>
  <c r="Q29" i="71"/>
  <c r="P29" i="71"/>
  <c r="O29" i="71"/>
  <c r="N29" i="71"/>
  <c r="M29" i="71"/>
  <c r="L29" i="71"/>
  <c r="K29" i="71"/>
  <c r="J29" i="71"/>
  <c r="I29" i="71"/>
  <c r="H29" i="71"/>
  <c r="G29" i="71"/>
  <c r="F29" i="71"/>
  <c r="E29" i="71"/>
  <c r="D29" i="71"/>
  <c r="C29" i="71"/>
  <c r="B29" i="71"/>
  <c r="A29" i="71"/>
  <c r="U28" i="71"/>
  <c r="T28" i="71"/>
  <c r="S28" i="71"/>
  <c r="R28" i="71"/>
  <c r="Q28" i="71"/>
  <c r="P28" i="71"/>
  <c r="O28" i="71"/>
  <c r="N28" i="71"/>
  <c r="M28" i="71"/>
  <c r="L28" i="71"/>
  <c r="K28" i="71"/>
  <c r="J28" i="71"/>
  <c r="I28" i="71"/>
  <c r="H28" i="71"/>
  <c r="G28" i="71"/>
  <c r="F28" i="71"/>
  <c r="E28" i="71"/>
  <c r="D28" i="71"/>
  <c r="C28" i="71"/>
  <c r="B28" i="71"/>
  <c r="A28" i="71"/>
  <c r="U27" i="71"/>
  <c r="T27" i="71"/>
  <c r="S27" i="71"/>
  <c r="R27" i="71"/>
  <c r="Q27" i="71"/>
  <c r="P27" i="71"/>
  <c r="O27" i="71"/>
  <c r="N27" i="71"/>
  <c r="M27" i="71"/>
  <c r="L27" i="71"/>
  <c r="K27" i="71"/>
  <c r="J27" i="71"/>
  <c r="I27" i="71"/>
  <c r="H27" i="71"/>
  <c r="G27" i="71"/>
  <c r="F27" i="71"/>
  <c r="E27" i="71"/>
  <c r="D27" i="71"/>
  <c r="C27" i="71"/>
  <c r="B27" i="71"/>
  <c r="A27" i="71"/>
  <c r="U26" i="71"/>
  <c r="T26" i="7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D26" i="71"/>
  <c r="C26" i="71"/>
  <c r="B26" i="71"/>
  <c r="A26" i="71"/>
  <c r="U25" i="71"/>
  <c r="T25" i="7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D25" i="71"/>
  <c r="C25" i="71"/>
  <c r="B25" i="71"/>
  <c r="A25" i="71"/>
  <c r="U24" i="71"/>
  <c r="T24" i="7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C24" i="71"/>
  <c r="B24" i="71"/>
  <c r="A24" i="71"/>
  <c r="U23" i="71"/>
  <c r="T23" i="7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D23" i="71"/>
  <c r="C23" i="71"/>
  <c r="B23" i="71"/>
  <c r="A23" i="71"/>
  <c r="U22" i="71"/>
  <c r="T22" i="7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C22" i="71"/>
  <c r="B22" i="71"/>
  <c r="A22" i="71"/>
  <c r="U21" i="71"/>
  <c r="T21" i="7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D21" i="71"/>
  <c r="C21" i="71"/>
  <c r="B21" i="71"/>
  <c r="A21" i="71"/>
  <c r="U20" i="7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C20" i="71"/>
  <c r="B20" i="71"/>
  <c r="A20" i="71"/>
  <c r="U19" i="71"/>
  <c r="T19" i="7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C19" i="71"/>
  <c r="B19" i="71"/>
  <c r="A19" i="71"/>
  <c r="U18" i="71"/>
  <c r="T18" i="7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C18" i="71"/>
  <c r="B18" i="71"/>
  <c r="A18" i="71"/>
  <c r="U17" i="71"/>
  <c r="T17" i="7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C17" i="71"/>
  <c r="B17" i="71"/>
  <c r="A17" i="71"/>
  <c r="U16" i="71"/>
  <c r="T16" i="7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D16" i="71"/>
  <c r="C16" i="71"/>
  <c r="B16" i="71"/>
  <c r="A16" i="71"/>
  <c r="U15" i="71"/>
  <c r="T15" i="7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D15" i="71"/>
  <c r="C15" i="71"/>
  <c r="B15" i="71"/>
  <c r="A15" i="71"/>
  <c r="U14" i="71"/>
  <c r="T14" i="7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C14" i="71"/>
  <c r="B14" i="71"/>
  <c r="A14" i="71"/>
  <c r="U13" i="71"/>
  <c r="T13" i="7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C13" i="71"/>
  <c r="B13" i="71"/>
  <c r="A13" i="71"/>
  <c r="U12" i="71"/>
  <c r="T12" i="7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C12" i="71"/>
  <c r="B12" i="71"/>
  <c r="A12" i="71"/>
  <c r="U11" i="71"/>
  <c r="T11" i="7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C11" i="71"/>
  <c r="B11" i="71"/>
  <c r="A11" i="71"/>
  <c r="U10" i="7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C10" i="71"/>
  <c r="B10" i="71"/>
  <c r="A10" i="71"/>
  <c r="U9" i="7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C9" i="71"/>
  <c r="B9" i="71"/>
  <c r="A9" i="71"/>
  <c r="U8" i="71"/>
  <c r="T8" i="7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C8" i="71"/>
  <c r="B8" i="71"/>
  <c r="A8" i="71"/>
  <c r="U7" i="7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C7" i="71"/>
  <c r="B7" i="71"/>
  <c r="A7" i="71"/>
  <c r="U6" i="71"/>
  <c r="T6" i="7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C6" i="71"/>
  <c r="B6" i="71"/>
  <c r="A6" i="71"/>
  <c r="U5" i="7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C5" i="71"/>
  <c r="B5" i="71"/>
  <c r="A5" i="71"/>
  <c r="U4" i="7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C4" i="71"/>
  <c r="B4" i="71"/>
  <c r="A4" i="71"/>
  <c r="U3" i="7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C3" i="71"/>
  <c r="B3" i="71"/>
  <c r="A3" i="71"/>
  <c r="U2" i="7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B2" i="71"/>
  <c r="A2" i="71"/>
  <c r="A60" i="29" l="1"/>
  <c r="P23" i="29"/>
  <c r="Q23" i="29" s="1"/>
  <c r="J4" i="114"/>
  <c r="G4" i="114" s="1"/>
  <c r="C39" i="34" s="1"/>
  <c r="I39" i="34" s="1"/>
  <c r="K4" i="114"/>
  <c r="H4" i="114" s="1"/>
  <c r="D39" i="34" s="1"/>
  <c r="J39" i="34" s="1"/>
  <c r="L2" i="114"/>
  <c r="I2" i="114" s="1"/>
  <c r="E38" i="34" s="1"/>
  <c r="K38" i="34" s="1"/>
  <c r="J2" i="114"/>
  <c r="G2" i="114" s="1"/>
  <c r="C38" i="34" s="1"/>
  <c r="I38" i="34" s="1"/>
  <c r="K6" i="114"/>
  <c r="I6" i="114" s="1"/>
  <c r="L6" i="114"/>
  <c r="H6" i="114" s="1"/>
  <c r="N15" i="111"/>
  <c r="L4" i="111" s="1"/>
  <c r="I4" i="111" s="1"/>
  <c r="E29" i="34" s="1"/>
  <c r="K29" i="34" s="1"/>
  <c r="N20" i="111"/>
  <c r="L6" i="111" s="1"/>
  <c r="H6" i="111" s="1"/>
  <c r="D30" i="34" s="1"/>
  <c r="J30" i="34" s="1"/>
  <c r="N10" i="111"/>
  <c r="J2" i="111" s="1"/>
  <c r="N15" i="112"/>
  <c r="L4" i="112" s="1"/>
  <c r="I4" i="112" s="1"/>
  <c r="E36" i="34" s="1"/>
  <c r="K36" i="34" s="1"/>
  <c r="N10" i="112"/>
  <c r="L2" i="112" s="1"/>
  <c r="I2" i="112" s="1"/>
  <c r="E35" i="34" s="1"/>
  <c r="K35" i="34" s="1"/>
  <c r="K6" i="112"/>
  <c r="I6" i="112" s="1"/>
  <c r="L6" i="112"/>
  <c r="H6" i="112" s="1"/>
  <c r="J6" i="112"/>
  <c r="G6" i="112" s="1"/>
  <c r="N11" i="105"/>
  <c r="K2" i="105" s="1"/>
  <c r="H2" i="105" s="1"/>
  <c r="D24" i="34" s="1"/>
  <c r="J24" i="34" s="1"/>
  <c r="N15" i="107"/>
  <c r="L4" i="107" s="1"/>
  <c r="N16" i="105"/>
  <c r="L4" i="105" s="1"/>
  <c r="I4" i="105" s="1"/>
  <c r="N20" i="107"/>
  <c r="J6" i="107" s="1"/>
  <c r="N10" i="107"/>
  <c r="J4" i="107" s="1"/>
  <c r="N10" i="106"/>
  <c r="K2" i="106" s="1"/>
  <c r="H2" i="106" s="1"/>
  <c r="D20" i="34" s="1"/>
  <c r="J20" i="34" s="1"/>
  <c r="N19" i="106"/>
  <c r="L6" i="106" s="1"/>
  <c r="H6" i="106" s="1"/>
  <c r="D22" i="34" s="1"/>
  <c r="J22" i="34" s="1"/>
  <c r="N15" i="106"/>
  <c r="L4" i="106" s="1"/>
  <c r="I4" i="106" s="1"/>
  <c r="E21" i="34" s="1"/>
  <c r="K21" i="34" s="1"/>
  <c r="N22" i="105"/>
  <c r="M10" i="48"/>
  <c r="M27" i="3"/>
  <c r="G23" i="65"/>
  <c r="G22" i="65"/>
  <c r="G21" i="65"/>
  <c r="G20" i="65"/>
  <c r="G19" i="65"/>
  <c r="G18" i="65"/>
  <c r="G17" i="65"/>
  <c r="G14" i="65"/>
  <c r="G13" i="65"/>
  <c r="G11" i="65"/>
  <c r="G10" i="65"/>
  <c r="G8" i="65"/>
  <c r="G7" i="65"/>
  <c r="C2" i="65"/>
  <c r="A6" i="65" s="1"/>
  <c r="G36" i="64"/>
  <c r="G35" i="64"/>
  <c r="G34" i="64"/>
  <c r="G33" i="64"/>
  <c r="G32" i="64"/>
  <c r="G31" i="64"/>
  <c r="G30" i="64"/>
  <c r="G29" i="64"/>
  <c r="G28" i="64"/>
  <c r="G27" i="64"/>
  <c r="G26" i="64"/>
  <c r="G25" i="64"/>
  <c r="G24" i="64"/>
  <c r="G23" i="64"/>
  <c r="G22" i="64"/>
  <c r="G21" i="64"/>
  <c r="G20" i="64"/>
  <c r="G19" i="64"/>
  <c r="G18" i="64"/>
  <c r="G17" i="64"/>
  <c r="G16" i="64"/>
  <c r="G15" i="64"/>
  <c r="G14" i="64"/>
  <c r="G13" i="64"/>
  <c r="G12" i="64"/>
  <c r="G11" i="64"/>
  <c r="G10" i="64"/>
  <c r="G9" i="64"/>
  <c r="G8" i="64"/>
  <c r="G7" i="64"/>
  <c r="E2" i="64"/>
  <c r="D2" i="64"/>
  <c r="C2" i="64"/>
  <c r="A6" i="64" s="1"/>
  <c r="E2" i="65"/>
  <c r="D2" i="65"/>
  <c r="C2" i="62"/>
  <c r="D2" i="62"/>
  <c r="E2" i="62"/>
  <c r="C4" i="62"/>
  <c r="D4" i="62"/>
  <c r="E4" i="62"/>
  <c r="B6" i="62"/>
  <c r="E15" i="62"/>
  <c r="G15" i="62" s="1"/>
  <c r="S15" i="62" s="1"/>
  <c r="T15" i="62" s="1"/>
  <c r="H15" i="62"/>
  <c r="I15" i="62"/>
  <c r="J15" i="62"/>
  <c r="B2" i="29"/>
  <c r="C2" i="48"/>
  <c r="A11" i="48" s="1"/>
  <c r="D2" i="48"/>
  <c r="E2" i="48"/>
  <c r="C4" i="48"/>
  <c r="D4" i="48"/>
  <c r="E4" i="48"/>
  <c r="C6" i="48"/>
  <c r="B6" i="48" s="1"/>
  <c r="D6" i="48"/>
  <c r="E6" i="48"/>
  <c r="C2" i="3"/>
  <c r="D2" i="3"/>
  <c r="E2" i="3"/>
  <c r="C4" i="3"/>
  <c r="D4" i="3"/>
  <c r="E4" i="3"/>
  <c r="C6" i="3"/>
  <c r="D6" i="3"/>
  <c r="E6" i="3"/>
  <c r="G10" i="3"/>
  <c r="L10" i="3"/>
  <c r="G12" i="3"/>
  <c r="L12" i="3"/>
  <c r="E19" i="3"/>
  <c r="G19" i="3" s="1"/>
  <c r="H19" i="3"/>
  <c r="I19" i="3"/>
  <c r="L19" i="3" s="1"/>
  <c r="J19" i="3"/>
  <c r="E21" i="3"/>
  <c r="G21" i="3" s="1"/>
  <c r="H21" i="3"/>
  <c r="I21" i="3"/>
  <c r="L21" i="3" s="1"/>
  <c r="J21" i="3"/>
  <c r="E4" i="2"/>
  <c r="Q4" i="2"/>
  <c r="T4" i="2"/>
  <c r="C5" i="2"/>
  <c r="F5" i="2" s="1"/>
  <c r="D5" i="2"/>
  <c r="G5" i="2" s="1"/>
  <c r="H5" i="2" s="1"/>
  <c r="I5" i="2" s="1"/>
  <c r="N5" i="2"/>
  <c r="Q5" i="2" s="1"/>
  <c r="S5" i="2" s="1"/>
  <c r="O5" i="2"/>
  <c r="O6" i="2" s="1"/>
  <c r="O7" i="2" s="1"/>
  <c r="O8" i="2" s="1"/>
  <c r="O9" i="2" s="1"/>
  <c r="O10" i="2" s="1"/>
  <c r="O11" i="2" s="1"/>
  <c r="O12" i="2" s="1"/>
  <c r="O13" i="2" s="1"/>
  <c r="O14" i="2" s="1"/>
  <c r="O15" i="2" s="1"/>
  <c r="P5" i="2"/>
  <c r="C6" i="2"/>
  <c r="F6" i="2" s="1"/>
  <c r="N6" i="2"/>
  <c r="N7" i="2" s="1"/>
  <c r="N8" i="2" s="1"/>
  <c r="N9" i="2" s="1"/>
  <c r="N10" i="2" s="1"/>
  <c r="N11" i="2" s="1"/>
  <c r="N12" i="2" s="1"/>
  <c r="N13" i="2" s="1"/>
  <c r="N14" i="2" s="1"/>
  <c r="N15" i="2" s="1"/>
  <c r="P6" i="2"/>
  <c r="P7" i="2" s="1"/>
  <c r="P8" i="2" s="1"/>
  <c r="P9" i="2" s="1"/>
  <c r="P10" i="2" s="1"/>
  <c r="P11" i="2" s="1"/>
  <c r="P12" i="2" s="1"/>
  <c r="P13" i="2" s="1"/>
  <c r="P14" i="2" s="1"/>
  <c r="P15" i="2" s="1"/>
  <c r="W7" i="2"/>
  <c r="X7" i="2"/>
  <c r="C7" i="2" l="1"/>
  <c r="F7" i="2" s="1"/>
  <c r="Q26" i="29"/>
  <c r="A30" i="3"/>
  <c r="A46" i="3"/>
  <c r="A73" i="3"/>
  <c r="A49" i="3"/>
  <c r="A68" i="3"/>
  <c r="A52" i="3"/>
  <c r="A36" i="3"/>
  <c r="A67" i="3"/>
  <c r="A51" i="3"/>
  <c r="A35" i="3"/>
  <c r="A58" i="3"/>
  <c r="A57" i="3"/>
  <c r="A29" i="3"/>
  <c r="A77" i="3"/>
  <c r="A56" i="3"/>
  <c r="A55" i="3"/>
  <c r="A69" i="3"/>
  <c r="A74" i="3"/>
  <c r="A42" i="3"/>
  <c r="A65" i="3"/>
  <c r="A41" i="3"/>
  <c r="A64" i="3"/>
  <c r="A48" i="3"/>
  <c r="A32" i="3"/>
  <c r="A63" i="3"/>
  <c r="A47" i="3"/>
  <c r="A31" i="3"/>
  <c r="A50" i="3"/>
  <c r="A45" i="3"/>
  <c r="A78" i="3"/>
  <c r="A53" i="3"/>
  <c r="A72" i="3"/>
  <c r="A40" i="3"/>
  <c r="A62" i="3"/>
  <c r="A66" i="3"/>
  <c r="A34" i="3"/>
  <c r="A61" i="3"/>
  <c r="A76" i="3"/>
  <c r="A60" i="3"/>
  <c r="A44" i="3"/>
  <c r="A75" i="3"/>
  <c r="A59" i="3"/>
  <c r="A43" i="3"/>
  <c r="A70" i="3"/>
  <c r="A38" i="3"/>
  <c r="A37" i="3"/>
  <c r="A54" i="3"/>
  <c r="A71" i="3"/>
  <c r="A39" i="3"/>
  <c r="A33" i="3"/>
  <c r="A10" i="65"/>
  <c r="A17" i="65"/>
  <c r="A21" i="65"/>
  <c r="A13" i="64"/>
  <c r="A11" i="65"/>
  <c r="A18" i="65"/>
  <c r="A22" i="65"/>
  <c r="B2" i="64"/>
  <c r="A5" i="64"/>
  <c r="A12" i="64"/>
  <c r="A20" i="64"/>
  <c r="A32" i="64"/>
  <c r="A9" i="64"/>
  <c r="A21" i="64"/>
  <c r="A29" i="64"/>
  <c r="B2" i="65"/>
  <c r="A5" i="65"/>
  <c r="A10" i="64"/>
  <c r="A14" i="64"/>
  <c r="A18" i="64"/>
  <c r="A22" i="64"/>
  <c r="A26" i="64"/>
  <c r="A30" i="64"/>
  <c r="A34" i="64"/>
  <c r="A7" i="65"/>
  <c r="A13" i="65"/>
  <c r="A19" i="65"/>
  <c r="A23" i="65"/>
  <c r="A8" i="64"/>
  <c r="A16" i="64"/>
  <c r="A24" i="64"/>
  <c r="A28" i="64"/>
  <c r="A36" i="64"/>
  <c r="A17" i="64"/>
  <c r="A25" i="64"/>
  <c r="A33" i="64"/>
  <c r="A7" i="64"/>
  <c r="A11" i="64"/>
  <c r="A15" i="64"/>
  <c r="A19" i="64"/>
  <c r="A23" i="64"/>
  <c r="A27" i="64"/>
  <c r="A31" i="64"/>
  <c r="A35" i="64"/>
  <c r="A8" i="65"/>
  <c r="A14" i="65"/>
  <c r="A20" i="65"/>
  <c r="L6" i="105"/>
  <c r="H6" i="105" s="1"/>
  <c r="J6" i="105"/>
  <c r="G6" i="105" s="1"/>
  <c r="C23" i="34" s="1"/>
  <c r="I23" i="34" s="1"/>
  <c r="K6" i="105"/>
  <c r="I6" i="105" s="1"/>
  <c r="T17" i="62"/>
  <c r="U15" i="62" s="1"/>
  <c r="V15" i="62" s="1"/>
  <c r="B4" i="3"/>
  <c r="A22" i="3"/>
  <c r="A20" i="3"/>
  <c r="A13" i="3"/>
  <c r="A11" i="3"/>
  <c r="Q6" i="2"/>
  <c r="S6" i="2" s="1"/>
  <c r="T6" i="2" s="1"/>
  <c r="U6" i="2" s="1"/>
  <c r="R6" i="2"/>
  <c r="T5" i="2"/>
  <c r="U5" i="2" s="1"/>
  <c r="C8" i="2"/>
  <c r="E5" i="2"/>
  <c r="J5" i="2" s="1"/>
  <c r="A12" i="3"/>
  <c r="D6" i="2"/>
  <c r="A10" i="3"/>
  <c r="B2" i="3"/>
  <c r="A14" i="3"/>
  <c r="A15" i="3"/>
  <c r="B6" i="3"/>
  <c r="A28" i="3"/>
  <c r="A27" i="3"/>
  <c r="J6" i="111"/>
  <c r="G6" i="111" s="1"/>
  <c r="C30" i="34" s="1"/>
  <c r="I30" i="34" s="1"/>
  <c r="K6" i="111"/>
  <c r="I6" i="111" s="1"/>
  <c r="E30" i="34" s="1"/>
  <c r="K30" i="34" s="1"/>
  <c r="J4" i="111"/>
  <c r="G4" i="111" s="1"/>
  <c r="C29" i="34" s="1"/>
  <c r="I29" i="34" s="1"/>
  <c r="K2" i="111"/>
  <c r="L2" i="111"/>
  <c r="K4" i="111"/>
  <c r="H4" i="111" s="1"/>
  <c r="D29" i="34" s="1"/>
  <c r="J29" i="34" s="1"/>
  <c r="J2" i="112"/>
  <c r="G2" i="112" s="1"/>
  <c r="C35" i="34" s="1"/>
  <c r="I35" i="34" s="1"/>
  <c r="K2" i="112"/>
  <c r="H2" i="112" s="1"/>
  <c r="D35" i="34" s="1"/>
  <c r="J35" i="34" s="1"/>
  <c r="K4" i="112"/>
  <c r="H4" i="112" s="1"/>
  <c r="D36" i="34" s="1"/>
  <c r="J36" i="34" s="1"/>
  <c r="J4" i="112"/>
  <c r="G4" i="112" s="1"/>
  <c r="C36" i="34" s="1"/>
  <c r="I36" i="34" s="1"/>
  <c r="L6" i="107"/>
  <c r="H6" i="107" s="1"/>
  <c r="D28" i="34" s="1"/>
  <c r="J28" i="34" s="1"/>
  <c r="K4" i="107"/>
  <c r="H4" i="107" s="1"/>
  <c r="D27" i="34" s="1"/>
  <c r="J27" i="34" s="1"/>
  <c r="K6" i="107"/>
  <c r="I6" i="107" s="1"/>
  <c r="E28" i="34" s="1"/>
  <c r="K28" i="34" s="1"/>
  <c r="I4" i="107"/>
  <c r="E27" i="34" s="1"/>
  <c r="K27" i="34" s="1"/>
  <c r="J2" i="105"/>
  <c r="G2" i="105" s="1"/>
  <c r="C24" i="34" s="1"/>
  <c r="I24" i="34" s="1"/>
  <c r="E25" i="34"/>
  <c r="K25" i="34" s="1"/>
  <c r="L2" i="105"/>
  <c r="I2" i="105" s="1"/>
  <c r="E24" i="34" s="1"/>
  <c r="K24" i="34" s="1"/>
  <c r="K4" i="105"/>
  <c r="H4" i="105" s="1"/>
  <c r="J4" i="105"/>
  <c r="G4" i="105" s="1"/>
  <c r="G6" i="107"/>
  <c r="C28" i="34" s="1"/>
  <c r="I28" i="34" s="1"/>
  <c r="K2" i="107"/>
  <c r="H2" i="107" s="1"/>
  <c r="D26" i="34" s="1"/>
  <c r="J26" i="34" s="1"/>
  <c r="L2" i="107"/>
  <c r="I2" i="107" s="1"/>
  <c r="E26" i="34" s="1"/>
  <c r="K26" i="34" s="1"/>
  <c r="J2" i="107"/>
  <c r="G2" i="107" s="1"/>
  <c r="C26" i="34" s="1"/>
  <c r="I26" i="34" s="1"/>
  <c r="G4" i="107"/>
  <c r="C27" i="34" s="1"/>
  <c r="I27" i="34" s="1"/>
  <c r="J6" i="106"/>
  <c r="G6" i="106" s="1"/>
  <c r="C22" i="34" s="1"/>
  <c r="I22" i="34" s="1"/>
  <c r="K6" i="106"/>
  <c r="I6" i="106" s="1"/>
  <c r="E22" i="34" s="1"/>
  <c r="K22" i="34" s="1"/>
  <c r="J2" i="106"/>
  <c r="G2" i="106" s="1"/>
  <c r="C20" i="34" s="1"/>
  <c r="I20" i="34" s="1"/>
  <c r="J4" i="106"/>
  <c r="G4" i="106" s="1"/>
  <c r="C21" i="34" s="1"/>
  <c r="I21" i="34" s="1"/>
  <c r="L2" i="106"/>
  <c r="I2" i="106" s="1"/>
  <c r="E20" i="34" s="1"/>
  <c r="K20" i="34" s="1"/>
  <c r="K4" i="106"/>
  <c r="H4" i="106" s="1"/>
  <c r="D21" i="34" s="1"/>
  <c r="J21" i="34" s="1"/>
  <c r="N10" i="48"/>
  <c r="L2" i="48" s="1"/>
  <c r="A19" i="48"/>
  <c r="B4" i="48"/>
  <c r="A15" i="48"/>
  <c r="B2" i="48"/>
  <c r="A10" i="48"/>
  <c r="B4" i="62"/>
  <c r="A19" i="62"/>
  <c r="A21" i="62"/>
  <c r="A22" i="62"/>
  <c r="A20" i="62"/>
  <c r="A15" i="62"/>
  <c r="B2" i="62"/>
  <c r="A12" i="62"/>
  <c r="A14" i="62"/>
  <c r="A11" i="62"/>
  <c r="A13" i="62"/>
  <c r="K27" i="3"/>
  <c r="L27" i="3"/>
  <c r="G27" i="3"/>
  <c r="M22" i="65"/>
  <c r="K22" i="65"/>
  <c r="K23" i="65"/>
  <c r="L22" i="65"/>
  <c r="L23" i="65"/>
  <c r="M23" i="65"/>
  <c r="A19" i="3"/>
  <c r="M15" i="62"/>
  <c r="K9" i="64"/>
  <c r="K11" i="64"/>
  <c r="K12" i="64"/>
  <c r="K13" i="64"/>
  <c r="K27" i="64"/>
  <c r="K29" i="64"/>
  <c r="L15" i="62"/>
  <c r="K7" i="65"/>
  <c r="K10" i="65"/>
  <c r="K13" i="65"/>
  <c r="K14" i="65"/>
  <c r="K15" i="65"/>
  <c r="K17" i="65"/>
  <c r="K18" i="65"/>
  <c r="K19" i="65"/>
  <c r="K20" i="65"/>
  <c r="K21" i="65"/>
  <c r="L11" i="64"/>
  <c r="L12" i="64"/>
  <c r="L26" i="64"/>
  <c r="L27" i="64"/>
  <c r="L28" i="64"/>
  <c r="L29" i="64"/>
  <c r="K15" i="62"/>
  <c r="L7" i="65"/>
  <c r="L8" i="65"/>
  <c r="L10" i="65"/>
  <c r="L11" i="65"/>
  <c r="L13" i="65"/>
  <c r="L14" i="65"/>
  <c r="L15" i="65"/>
  <c r="L16" i="65"/>
  <c r="L17" i="65"/>
  <c r="L18" i="65"/>
  <c r="L19" i="65"/>
  <c r="L20" i="65"/>
  <c r="L21" i="65"/>
  <c r="M9" i="64"/>
  <c r="M11" i="64"/>
  <c r="M12" i="64"/>
  <c r="M15" i="64"/>
  <c r="M26" i="64"/>
  <c r="M61" i="3"/>
  <c r="M60" i="3"/>
  <c r="M58" i="3"/>
  <c r="M57" i="3"/>
  <c r="M56" i="3"/>
  <c r="M55" i="3"/>
  <c r="M54" i="3"/>
  <c r="M53" i="3"/>
  <c r="M52" i="3"/>
  <c r="M51" i="3"/>
  <c r="M50" i="3"/>
  <c r="M49" i="3"/>
  <c r="M47" i="3"/>
  <c r="M39" i="3"/>
  <c r="M38" i="3"/>
  <c r="M37" i="3"/>
  <c r="M36" i="3"/>
  <c r="M35" i="3"/>
  <c r="M34" i="3"/>
  <c r="M19" i="3"/>
  <c r="M12" i="3"/>
  <c r="M7" i="65"/>
  <c r="M8" i="65"/>
  <c r="M9" i="65"/>
  <c r="M10" i="65"/>
  <c r="M11" i="65"/>
  <c r="M12" i="65"/>
  <c r="K72" i="3"/>
  <c r="K61" i="3"/>
  <c r="K60" i="3"/>
  <c r="K58" i="3"/>
  <c r="K57" i="3"/>
  <c r="K51" i="3"/>
  <c r="K47" i="3"/>
  <c r="K1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K48" i="3"/>
  <c r="M16" i="64"/>
  <c r="L46" i="3"/>
  <c r="M13" i="65"/>
  <c r="M15" i="65"/>
  <c r="L8" i="64"/>
  <c r="K78" i="3"/>
  <c r="K77" i="3"/>
  <c r="K76" i="3"/>
  <c r="K75" i="3"/>
  <c r="K74" i="3"/>
  <c r="K73" i="3"/>
  <c r="K71" i="3"/>
  <c r="K70" i="3"/>
  <c r="K69" i="3"/>
  <c r="K68" i="3"/>
  <c r="K67" i="3"/>
  <c r="K66" i="3"/>
  <c r="K65" i="3"/>
  <c r="K64" i="3"/>
  <c r="K63" i="3"/>
  <c r="K62" i="3"/>
  <c r="M10" i="3"/>
  <c r="M7" i="64"/>
  <c r="M8" i="64"/>
  <c r="L9" i="64"/>
  <c r="M17" i="64"/>
  <c r="M18" i="64"/>
  <c r="M19" i="64"/>
  <c r="M20" i="64"/>
  <c r="M21" i="64"/>
  <c r="M22" i="64"/>
  <c r="M23" i="64"/>
  <c r="M24" i="64"/>
  <c r="M25" i="64"/>
  <c r="M30" i="64"/>
  <c r="L78" i="3"/>
  <c r="L77" i="3"/>
  <c r="L76" i="3"/>
  <c r="L75" i="3"/>
  <c r="L74" i="3"/>
  <c r="L72" i="3"/>
  <c r="L71" i="3"/>
  <c r="L70" i="3"/>
  <c r="L69" i="3"/>
  <c r="L68" i="3"/>
  <c r="L67" i="3"/>
  <c r="L66" i="3"/>
  <c r="L65" i="3"/>
  <c r="L64" i="3"/>
  <c r="L63" i="3"/>
  <c r="L62" i="3"/>
  <c r="K39" i="3"/>
  <c r="K38" i="3"/>
  <c r="K37" i="3"/>
  <c r="K36" i="3"/>
  <c r="K35" i="3"/>
  <c r="K34" i="3"/>
  <c r="K21" i="3"/>
  <c r="K19" i="3"/>
  <c r="L7" i="64"/>
  <c r="M13" i="64"/>
  <c r="L15" i="64"/>
  <c r="L16" i="64"/>
  <c r="L17" i="64"/>
  <c r="L18" i="64"/>
  <c r="L19" i="64"/>
  <c r="L20" i="64"/>
  <c r="L21" i="64"/>
  <c r="L22" i="64"/>
  <c r="L23" i="64"/>
  <c r="L24" i="64"/>
  <c r="L25" i="64"/>
  <c r="M27" i="64"/>
  <c r="M29" i="64"/>
  <c r="L30" i="64"/>
  <c r="M28" i="64"/>
  <c r="M78" i="3"/>
  <c r="M77" i="3"/>
  <c r="M76" i="3"/>
  <c r="M75" i="3"/>
  <c r="M74" i="3"/>
  <c r="M72" i="3"/>
  <c r="M71" i="3"/>
  <c r="M70" i="3"/>
  <c r="M69" i="3"/>
  <c r="M68" i="3"/>
  <c r="M67" i="3"/>
  <c r="M66" i="3"/>
  <c r="M65" i="3"/>
  <c r="M64" i="3"/>
  <c r="M63" i="3"/>
  <c r="M62" i="3"/>
  <c r="K56" i="3"/>
  <c r="K55" i="3"/>
  <c r="K54" i="3"/>
  <c r="K53" i="3"/>
  <c r="K52" i="3"/>
  <c r="K50" i="3"/>
  <c r="K49" i="3"/>
  <c r="L39" i="3"/>
  <c r="L38" i="3"/>
  <c r="L37" i="3"/>
  <c r="L36" i="3"/>
  <c r="L35" i="3"/>
  <c r="L34" i="3"/>
  <c r="K10" i="3"/>
  <c r="M14" i="65"/>
  <c r="M16" i="65"/>
  <c r="M17" i="65"/>
  <c r="M18" i="65"/>
  <c r="M19" i="65"/>
  <c r="M20" i="65"/>
  <c r="M21" i="65"/>
  <c r="K7" i="64"/>
  <c r="K8" i="64"/>
  <c r="L13" i="64"/>
  <c r="K15" i="64"/>
  <c r="K16" i="64"/>
  <c r="K25" i="64"/>
  <c r="K26" i="64"/>
  <c r="K28" i="64"/>
  <c r="K30" i="64"/>
  <c r="G15" i="65"/>
  <c r="A15" i="65" s="1"/>
  <c r="M73" i="3"/>
  <c r="L73" i="3"/>
  <c r="M45" i="3"/>
  <c r="M44" i="3"/>
  <c r="M43" i="3"/>
  <c r="M42" i="3"/>
  <c r="M41" i="3"/>
  <c r="M40" i="3"/>
  <c r="M59" i="3"/>
  <c r="M46" i="3"/>
  <c r="K46" i="3"/>
  <c r="K33" i="3"/>
  <c r="M33" i="3"/>
  <c r="L33" i="3"/>
  <c r="K32" i="3"/>
  <c r="L32" i="3"/>
  <c r="M32" i="3"/>
  <c r="L10" i="64"/>
  <c r="K10" i="64"/>
  <c r="K14" i="64"/>
  <c r="L14" i="64"/>
  <c r="M14" i="64"/>
  <c r="K31" i="3"/>
  <c r="K30" i="3"/>
  <c r="K29" i="3"/>
  <c r="K31" i="64"/>
  <c r="K32" i="64"/>
  <c r="K33" i="64"/>
  <c r="K34" i="64"/>
  <c r="K35" i="64"/>
  <c r="K36" i="64"/>
  <c r="A21" i="3"/>
  <c r="M21" i="3"/>
  <c r="K16" i="65"/>
  <c r="G16" i="65"/>
  <c r="A16" i="65" s="1"/>
  <c r="K59" i="3"/>
  <c r="M48" i="3"/>
  <c r="K45" i="3"/>
  <c r="K44" i="3"/>
  <c r="K43" i="3"/>
  <c r="K42" i="3"/>
  <c r="K41" i="3"/>
  <c r="K40" i="3"/>
  <c r="L31" i="3"/>
  <c r="L30" i="3"/>
  <c r="L29" i="3"/>
  <c r="K8" i="65"/>
  <c r="K11" i="65"/>
  <c r="M10" i="64"/>
  <c r="K17" i="64"/>
  <c r="K18" i="64"/>
  <c r="K19" i="64"/>
  <c r="K20" i="64"/>
  <c r="K21" i="64"/>
  <c r="K22" i="64"/>
  <c r="K23" i="64"/>
  <c r="K24" i="64"/>
  <c r="M31" i="64"/>
  <c r="M32" i="64"/>
  <c r="M33" i="64"/>
  <c r="M34" i="64"/>
  <c r="M35" i="64"/>
  <c r="M36" i="64"/>
  <c r="K9" i="65"/>
  <c r="G9" i="65"/>
  <c r="A9" i="65" s="1"/>
  <c r="L9" i="65"/>
  <c r="L12" i="65"/>
  <c r="G12" i="65"/>
  <c r="A12" i="65" s="1"/>
  <c r="K12" i="65"/>
  <c r="L59" i="3"/>
  <c r="L45" i="3"/>
  <c r="L44" i="3"/>
  <c r="L43" i="3"/>
  <c r="L42" i="3"/>
  <c r="L41" i="3"/>
  <c r="L40" i="3"/>
  <c r="M31" i="3"/>
  <c r="M30" i="3"/>
  <c r="M29" i="3"/>
  <c r="L31" i="64"/>
  <c r="L32" i="64"/>
  <c r="L33" i="64"/>
  <c r="L34" i="64"/>
  <c r="L35" i="64"/>
  <c r="L36" i="64"/>
  <c r="R21" i="29" l="1"/>
  <c r="T21" i="29" s="1"/>
  <c r="R22" i="29"/>
  <c r="S22" i="29" s="1"/>
  <c r="R20" i="29"/>
  <c r="S20" i="29" s="1"/>
  <c r="R19" i="29"/>
  <c r="S19" i="29" s="1"/>
  <c r="R23" i="29"/>
  <c r="S23" i="29" s="1"/>
  <c r="R17" i="29"/>
  <c r="T17" i="29" s="1"/>
  <c r="R25" i="29"/>
  <c r="T25" i="29" s="1"/>
  <c r="R18" i="29"/>
  <c r="S18" i="29" s="1"/>
  <c r="U18" i="29" s="1"/>
  <c r="O8" i="29" s="1"/>
  <c r="R24" i="29"/>
  <c r="N5" i="65"/>
  <c r="L2" i="65" s="1"/>
  <c r="N19" i="3"/>
  <c r="J4" i="3" s="1"/>
  <c r="G4" i="3" s="1"/>
  <c r="N27" i="3"/>
  <c r="K6" i="3" s="1"/>
  <c r="U8" i="62"/>
  <c r="U10" i="62"/>
  <c r="V10" i="62" s="1"/>
  <c r="U6" i="62"/>
  <c r="U11" i="62"/>
  <c r="W11" i="62" s="1"/>
  <c r="U16" i="62"/>
  <c r="W16" i="62" s="1"/>
  <c r="U12" i="62"/>
  <c r="V12" i="62" s="1"/>
  <c r="U7" i="62"/>
  <c r="U13" i="62"/>
  <c r="W13" i="62" s="1"/>
  <c r="U14" i="62"/>
  <c r="V14" i="62" s="1"/>
  <c r="U9" i="62"/>
  <c r="W9" i="62" s="1"/>
  <c r="K9" i="29"/>
  <c r="L9" i="29"/>
  <c r="M9" i="29"/>
  <c r="K8" i="29"/>
  <c r="L8" i="29"/>
  <c r="M8" i="29"/>
  <c r="F8" i="2"/>
  <c r="C9" i="2"/>
  <c r="G6" i="2"/>
  <c r="H6" i="2" s="1"/>
  <c r="I6" i="2" s="1"/>
  <c r="D7" i="2"/>
  <c r="E6" i="2"/>
  <c r="J6" i="2" s="1"/>
  <c r="R7" i="2"/>
  <c r="C25" i="34"/>
  <c r="I25" i="34" s="1"/>
  <c r="D25" i="34"/>
  <c r="J25" i="34" s="1"/>
  <c r="E23" i="34"/>
  <c r="K23" i="34" s="1"/>
  <c r="D23" i="34"/>
  <c r="J23" i="34" s="1"/>
  <c r="J2" i="48"/>
  <c r="K2" i="48"/>
  <c r="M28" i="62"/>
  <c r="L28" i="62"/>
  <c r="K28" i="62"/>
  <c r="L26" i="62"/>
  <c r="K27" i="62"/>
  <c r="M27" i="62"/>
  <c r="K26" i="62"/>
  <c r="L27" i="62"/>
  <c r="M26" i="62"/>
  <c r="L19" i="62"/>
  <c r="M19" i="62"/>
  <c r="M20" i="62"/>
  <c r="K19" i="62"/>
  <c r="K20" i="62"/>
  <c r="L20" i="62"/>
  <c r="K11" i="62"/>
  <c r="K12" i="62"/>
  <c r="M11" i="62"/>
  <c r="L11" i="62"/>
  <c r="L12" i="62"/>
  <c r="M12" i="62"/>
  <c r="A8" i="29"/>
  <c r="B61" i="29" s="1"/>
  <c r="B17" i="3"/>
  <c r="N10" i="3"/>
  <c r="J2" i="3" s="1"/>
  <c r="N5" i="64"/>
  <c r="L2" i="64" s="1"/>
  <c r="U20" i="29" l="1"/>
  <c r="P8" i="29" s="1"/>
  <c r="J2" i="64"/>
  <c r="G2" i="64" s="1"/>
  <c r="K2" i="64"/>
  <c r="H2" i="64" s="1"/>
  <c r="J2" i="65"/>
  <c r="G2" i="65" s="1"/>
  <c r="K2" i="65"/>
  <c r="H2" i="65" s="1"/>
  <c r="V8" i="62"/>
  <c r="V17" i="62" s="1"/>
  <c r="X7" i="62"/>
  <c r="O11" i="62" s="1"/>
  <c r="W7" i="62"/>
  <c r="W17" i="62" s="1"/>
  <c r="U17" i="62"/>
  <c r="S44" i="62"/>
  <c r="H6" i="3"/>
  <c r="D3" i="34" s="1"/>
  <c r="J3" i="34" s="1"/>
  <c r="L6" i="3"/>
  <c r="I6" i="3" s="1"/>
  <c r="J6" i="3"/>
  <c r="G7" i="2"/>
  <c r="H7" i="2" s="1"/>
  <c r="I7" i="2" s="1"/>
  <c r="D8" i="2"/>
  <c r="E7" i="2"/>
  <c r="J7" i="2" s="1"/>
  <c r="V7" i="2"/>
  <c r="Q7" i="2"/>
  <c r="S7" i="2" s="1"/>
  <c r="T7" i="2" s="1"/>
  <c r="U7" i="2" s="1"/>
  <c r="F9" i="2"/>
  <c r="C10" i="2"/>
  <c r="C5" i="34"/>
  <c r="I5" i="34" s="1"/>
  <c r="N19" i="62"/>
  <c r="N26" i="62"/>
  <c r="G2" i="3"/>
  <c r="K2" i="3"/>
  <c r="H2" i="3" s="1"/>
  <c r="L2" i="3"/>
  <c r="I2" i="3" s="1"/>
  <c r="L4" i="3"/>
  <c r="H4" i="3" s="1"/>
  <c r="K4" i="3"/>
  <c r="I4" i="3" s="1"/>
  <c r="N15" i="48"/>
  <c r="L4" i="48" s="1"/>
  <c r="N19" i="48"/>
  <c r="L6" i="48" s="1"/>
  <c r="H6" i="48" s="1"/>
  <c r="D19" i="34" s="1"/>
  <c r="J19" i="34" s="1"/>
  <c r="I2" i="64"/>
  <c r="I2" i="65"/>
  <c r="K4" i="62" l="1"/>
  <c r="J4" i="62"/>
  <c r="L4" i="62"/>
  <c r="I4" i="62" s="1"/>
  <c r="U37" i="62"/>
  <c r="X17" i="62"/>
  <c r="F10" i="2"/>
  <c r="C11" i="2"/>
  <c r="R8" i="2"/>
  <c r="D9" i="2"/>
  <c r="E8" i="2"/>
  <c r="J8" i="2" s="1"/>
  <c r="G8" i="2"/>
  <c r="H8" i="2" s="1"/>
  <c r="I8" i="2" s="1"/>
  <c r="C9" i="34"/>
  <c r="I9" i="34" s="1"/>
  <c r="E9" i="34"/>
  <c r="K9" i="34" s="1"/>
  <c r="D9" i="34"/>
  <c r="J9" i="34" s="1"/>
  <c r="D5" i="34"/>
  <c r="J5" i="34" s="1"/>
  <c r="E5" i="34"/>
  <c r="K5" i="34" s="1"/>
  <c r="C4" i="34"/>
  <c r="I4" i="34" s="1"/>
  <c r="D4" i="34"/>
  <c r="J4" i="34" s="1"/>
  <c r="E4" i="34"/>
  <c r="K4" i="34" s="1"/>
  <c r="E3" i="34"/>
  <c r="K3" i="34" s="1"/>
  <c r="J4" i="48"/>
  <c r="G4" i="48" s="1"/>
  <c r="C18" i="34" s="1"/>
  <c r="I18" i="34" s="1"/>
  <c r="G2" i="48"/>
  <c r="C17" i="34" s="1"/>
  <c r="I17" i="34" s="1"/>
  <c r="I2" i="48"/>
  <c r="E17" i="34" s="1"/>
  <c r="K17" i="34" s="1"/>
  <c r="H2" i="48"/>
  <c r="D17" i="34" s="1"/>
  <c r="J17" i="34" s="1"/>
  <c r="B8" i="3"/>
  <c r="G6" i="3"/>
  <c r="K6" i="48"/>
  <c r="I6" i="48" s="1"/>
  <c r="E19" i="34" s="1"/>
  <c r="K19" i="34" s="1"/>
  <c r="J6" i="48"/>
  <c r="G6" i="48" s="1"/>
  <c r="C19" i="34" s="1"/>
  <c r="I19" i="34" s="1"/>
  <c r="N11" i="62"/>
  <c r="I4" i="48"/>
  <c r="E18" i="34" s="1"/>
  <c r="K18" i="34" s="1"/>
  <c r="K4" i="48"/>
  <c r="H4" i="48" s="1"/>
  <c r="D18" i="34" s="1"/>
  <c r="J18" i="34" s="1"/>
  <c r="V42" i="62" l="1"/>
  <c r="W41" i="62"/>
  <c r="W43" i="62"/>
  <c r="V40" i="62"/>
  <c r="W38" i="62"/>
  <c r="V39" i="62"/>
  <c r="X39" i="62"/>
  <c r="J2" i="62"/>
  <c r="G2" i="62" s="1"/>
  <c r="L2" i="62"/>
  <c r="I2" i="62" s="1"/>
  <c r="K2" i="62"/>
  <c r="H2" i="62" s="1"/>
  <c r="U44" i="62"/>
  <c r="D10" i="2"/>
  <c r="E9" i="2"/>
  <c r="J9" i="2" s="1"/>
  <c r="G9" i="2"/>
  <c r="H9" i="2" s="1"/>
  <c r="I9" i="2" s="1"/>
  <c r="Q8" i="2"/>
  <c r="S8" i="2" s="1"/>
  <c r="T8" i="2" s="1"/>
  <c r="U8" i="2" s="1"/>
  <c r="R9" i="2"/>
  <c r="F11" i="2"/>
  <c r="C12" i="2"/>
  <c r="E16" i="34"/>
  <c r="K16" i="34" s="1"/>
  <c r="C3" i="34"/>
  <c r="I3" i="34" s="1"/>
  <c r="N8" i="29"/>
  <c r="H4" i="62"/>
  <c r="V44" i="62" l="1"/>
  <c r="W44" i="62"/>
  <c r="O26" i="62"/>
  <c r="X41" i="62"/>
  <c r="L2" i="29"/>
  <c r="I2" i="29" s="1"/>
  <c r="E13" i="34" s="1"/>
  <c r="K13" i="34" s="1"/>
  <c r="K2" i="29"/>
  <c r="H2" i="29" s="1"/>
  <c r="J2" i="29"/>
  <c r="G2" i="29" s="1"/>
  <c r="Q9" i="2"/>
  <c r="S9" i="2" s="1"/>
  <c r="T9" i="2" s="1"/>
  <c r="U9" i="2" s="1"/>
  <c r="R10" i="2"/>
  <c r="F12" i="2"/>
  <c r="C13" i="2"/>
  <c r="D11" i="2"/>
  <c r="E10" i="2"/>
  <c r="J10" i="2" s="1"/>
  <c r="G10" i="2"/>
  <c r="H10" i="2" s="1"/>
  <c r="I10" i="2" s="1"/>
  <c r="D16" i="34"/>
  <c r="J16" i="34" s="1"/>
  <c r="E15" i="34"/>
  <c r="K15" i="34" s="1"/>
  <c r="C15" i="34"/>
  <c r="I15" i="34" s="1"/>
  <c r="D15" i="34"/>
  <c r="J15" i="34" s="1"/>
  <c r="G4" i="62"/>
  <c r="X44" i="62" l="1"/>
  <c r="P26" i="62"/>
  <c r="K6" i="62" s="1"/>
  <c r="I6" i="62" s="1"/>
  <c r="E14" i="34" s="1"/>
  <c r="K14" i="34" s="1"/>
  <c r="Q10" i="2"/>
  <c r="S10" i="2" s="1"/>
  <c r="T10" i="2" s="1"/>
  <c r="U10" i="2" s="1"/>
  <c r="D12" i="2"/>
  <c r="E11" i="2"/>
  <c r="J11" i="2" s="1"/>
  <c r="G11" i="2"/>
  <c r="H11" i="2" s="1"/>
  <c r="I11" i="2" s="1"/>
  <c r="F13" i="2"/>
  <c r="C14" i="2"/>
  <c r="C16" i="34"/>
  <c r="I16" i="34" s="1"/>
  <c r="D13" i="34"/>
  <c r="J13" i="34" s="1"/>
  <c r="C13" i="34"/>
  <c r="I13" i="34" s="1"/>
  <c r="R11" i="2" l="1"/>
  <c r="L6" i="62"/>
  <c r="H6" i="62" s="1"/>
  <c r="D14" i="34" s="1"/>
  <c r="J14" i="34" s="1"/>
  <c r="J6" i="62"/>
  <c r="G6" i="62" s="1"/>
  <c r="C14" i="34" s="1"/>
  <c r="I14" i="34" s="1"/>
  <c r="C15" i="2"/>
  <c r="F15" i="2" s="1"/>
  <c r="F14" i="2"/>
  <c r="D13" i="2"/>
  <c r="E12" i="2"/>
  <c r="J12" i="2" s="1"/>
  <c r="G12" i="2"/>
  <c r="H12" i="2" s="1"/>
  <c r="I12" i="2" s="1"/>
  <c r="Q11" i="2"/>
  <c r="S11" i="2" s="1"/>
  <c r="T11" i="2" s="1"/>
  <c r="U11" i="2" s="1"/>
  <c r="R12" i="2"/>
  <c r="Q12" i="2" l="1"/>
  <c r="S12" i="2" s="1"/>
  <c r="T12" i="2" s="1"/>
  <c r="U12" i="2" s="1"/>
  <c r="D14" i="2"/>
  <c r="E13" i="2"/>
  <c r="J13" i="2" s="1"/>
  <c r="G13" i="2"/>
  <c r="H13" i="2" s="1"/>
  <c r="I13" i="2" s="1"/>
  <c r="R13" i="2" l="1"/>
  <c r="D15" i="2"/>
  <c r="E14" i="2"/>
  <c r="J14" i="2" s="1"/>
  <c r="G14" i="2"/>
  <c r="H14" i="2" s="1"/>
  <c r="I14" i="2" s="1"/>
  <c r="Q13" i="2"/>
  <c r="S13" i="2" s="1"/>
  <c r="T13" i="2" s="1"/>
  <c r="U13" i="2" s="1"/>
  <c r="R14" i="2" l="1"/>
  <c r="Q14" i="2" s="1"/>
  <c r="S14" i="2" s="1"/>
  <c r="T14" i="2" s="1"/>
  <c r="U14" i="2" s="1"/>
  <c r="G15" i="2"/>
  <c r="H15" i="2" s="1"/>
  <c r="I15" i="2" s="1"/>
  <c r="E15" i="2"/>
  <c r="J15" i="2" s="1"/>
  <c r="R15" i="2" l="1"/>
  <c r="Q15" i="2" s="1"/>
  <c r="S15" i="2" s="1"/>
  <c r="T15" i="2" s="1"/>
  <c r="U15" i="2" s="1"/>
  <c r="S26" i="29" l="1"/>
  <c r="R26" i="29"/>
  <c r="T26" i="29"/>
  <c r="U25" i="29" l="1"/>
</calcChain>
</file>

<file path=xl/comments1.xml><?xml version="1.0" encoding="utf-8"?>
<comments xmlns="http://schemas.openxmlformats.org/spreadsheetml/2006/main">
  <authors>
    <author>柯鈞逵</author>
  </authors>
  <commentList>
    <comment ref="I3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3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4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4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7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7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9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90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102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102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112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112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118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118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  <comment ref="I125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賣出後申購
可套利之 </t>
        </r>
        <r>
          <rPr>
            <b/>
            <sz val="9"/>
            <color indexed="81"/>
            <rFont val="細明體"/>
            <family val="3"/>
            <charset val="136"/>
          </rPr>
          <t>溢價幅度</t>
        </r>
      </text>
    </comment>
    <comment ref="N125" authorId="0">
      <text>
        <r>
          <rPr>
            <b/>
            <sz val="9"/>
            <color indexed="81"/>
            <rFont val="細明體"/>
            <family val="3"/>
            <charset val="136"/>
          </rPr>
          <t>柯鈞逵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買進後買回
可套利之 </t>
        </r>
        <r>
          <rPr>
            <b/>
            <sz val="9"/>
            <color indexed="81"/>
            <rFont val="細明體"/>
            <family val="3"/>
            <charset val="136"/>
          </rPr>
          <t>折價幅度</t>
        </r>
      </text>
    </comment>
  </commentList>
</comments>
</file>

<file path=xl/comments2.xml><?xml version="1.0" encoding="utf-8"?>
<comments xmlns="http://schemas.openxmlformats.org/spreadsheetml/2006/main">
  <authors>
    <author>鄭世濱</author>
  </authors>
  <commentList>
    <comment ref="O1" authorId="0">
      <text>
        <r>
          <rPr>
            <b/>
            <sz val="9"/>
            <color indexed="81"/>
            <rFont val="細明體"/>
            <family val="3"/>
            <charset val="136"/>
          </rPr>
          <t>鄭世濱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KEY IN PCF</t>
        </r>
        <r>
          <rPr>
            <sz val="9"/>
            <color indexed="81"/>
            <rFont val="細明體"/>
            <family val="3"/>
            <charset val="136"/>
          </rPr>
          <t>資料</t>
        </r>
      </text>
    </comment>
  </commentList>
</comments>
</file>

<file path=xl/sharedStrings.xml><?xml version="1.0" encoding="utf-8"?>
<sst xmlns="http://schemas.openxmlformats.org/spreadsheetml/2006/main" count="4893" uniqueCount="2655">
  <si>
    <t>Day</t>
    <phoneticPr fontId="0" type="noConversion"/>
  </si>
  <si>
    <t>指數漲跌</t>
    <phoneticPr fontId="0" type="noConversion"/>
  </si>
  <si>
    <t>每日資產市值</t>
    <phoneticPr fontId="0" type="noConversion"/>
  </si>
  <si>
    <t>每日總損益</t>
    <phoneticPr fontId="0" type="noConversion"/>
  </si>
  <si>
    <t>槓桿市值</t>
    <phoneticPr fontId="0" type="noConversion"/>
  </si>
  <si>
    <t>反向市值</t>
    <phoneticPr fontId="0" type="noConversion"/>
  </si>
  <si>
    <t>槓桿損益</t>
    <phoneticPr fontId="0" type="noConversion"/>
  </si>
  <si>
    <t>反向損益</t>
    <phoneticPr fontId="0" type="noConversion"/>
  </si>
  <si>
    <t>每日報酬率</t>
    <phoneticPr fontId="0" type="noConversion"/>
  </si>
  <si>
    <t>累計報酬率</t>
    <phoneticPr fontId="0" type="noConversion"/>
  </si>
  <si>
    <t>市值差額</t>
    <phoneticPr fontId="0" type="noConversion"/>
  </si>
  <si>
    <t>靜態Hedge</t>
    <phoneticPr fontId="0" type="noConversion"/>
  </si>
  <si>
    <t>動態Hedge</t>
    <phoneticPr fontId="0" type="noConversion"/>
  </si>
  <si>
    <t>動態Hedge總市值</t>
    <phoneticPr fontId="0" type="noConversion"/>
  </si>
  <si>
    <t>單位(百萬)</t>
    <phoneticPr fontId="0" type="noConversion"/>
  </si>
  <si>
    <r>
      <t>槓桿</t>
    </r>
    <r>
      <rPr>
        <sz val="12"/>
        <rFont val="新細明體"/>
        <family val="1"/>
        <charset val="136"/>
      </rPr>
      <t>+2*</t>
    </r>
    <r>
      <rPr>
        <sz val="12"/>
        <rFont val="新細明體"/>
        <family val="1"/>
        <charset val="136"/>
      </rPr>
      <t>反向</t>
    </r>
    <r>
      <rPr>
        <sz val="12"/>
        <rFont val="新細明體"/>
        <family val="1"/>
        <charset val="136"/>
      </rPr>
      <t>ETF(</t>
    </r>
    <r>
      <rPr>
        <sz val="12"/>
        <rFont val="新細明體"/>
        <family val="1"/>
        <charset val="136"/>
      </rPr>
      <t>動態</t>
    </r>
    <r>
      <rPr>
        <sz val="12"/>
        <rFont val="新細明體"/>
        <family val="1"/>
        <charset val="136"/>
      </rPr>
      <t>Hedge</t>
    </r>
    <r>
      <rPr>
        <sz val="12"/>
        <rFont val="新細明體"/>
        <family val="1"/>
        <charset val="136"/>
      </rPr>
      <t>前</t>
    </r>
    <r>
      <rPr>
        <sz val="12"/>
        <rFont val="新細明體"/>
        <family val="1"/>
        <charset val="136"/>
      </rPr>
      <t>)</t>
    </r>
    <phoneticPr fontId="0" type="noConversion"/>
  </si>
  <si>
    <r>
      <t>槓桿</t>
    </r>
    <r>
      <rPr>
        <sz val="12"/>
        <rFont val="新細明體"/>
        <family val="1"/>
        <charset val="136"/>
      </rPr>
      <t>+</t>
    </r>
    <r>
      <rPr>
        <sz val="12"/>
        <rFont val="新細明體"/>
        <family val="1"/>
        <charset val="136"/>
      </rPr>
      <t>反向</t>
    </r>
    <r>
      <rPr>
        <sz val="12"/>
        <rFont val="新細明體"/>
        <family val="1"/>
        <charset val="136"/>
      </rPr>
      <t>ETF(</t>
    </r>
    <r>
      <rPr>
        <sz val="12"/>
        <rFont val="新細明體"/>
        <family val="1"/>
        <charset val="136"/>
      </rPr>
      <t>動態</t>
    </r>
    <r>
      <rPr>
        <sz val="12"/>
        <rFont val="新細明體"/>
        <family val="1"/>
        <charset val="136"/>
      </rPr>
      <t>Hedge</t>
    </r>
    <r>
      <rPr>
        <sz val="12"/>
        <rFont val="新細明體"/>
        <family val="1"/>
        <charset val="136"/>
      </rPr>
      <t>後</t>
    </r>
    <r>
      <rPr>
        <sz val="12"/>
        <rFont val="新細明體"/>
        <family val="1"/>
        <charset val="136"/>
      </rPr>
      <t>)</t>
    </r>
    <phoneticPr fontId="0" type="noConversion"/>
  </si>
  <si>
    <r>
      <t>槓桿反向</t>
    </r>
    <r>
      <rPr>
        <sz val="12"/>
        <rFont val="新細明體"/>
        <family val="1"/>
        <charset val="136"/>
      </rPr>
      <t>ETF</t>
    </r>
    <r>
      <rPr>
        <sz val="12"/>
        <rFont val="新細明體"/>
        <family val="1"/>
        <charset val="136"/>
      </rPr>
      <t>動態調整過程</t>
    </r>
    <r>
      <rPr>
        <sz val="12"/>
        <rFont val="新細明體"/>
        <family val="1"/>
        <charset val="136"/>
      </rPr>
      <t>(</t>
    </r>
    <r>
      <rPr>
        <sz val="12"/>
        <rFont val="新細明體"/>
        <family val="1"/>
        <charset val="136"/>
      </rPr>
      <t>實際狀況</t>
    </r>
    <r>
      <rPr>
        <sz val="12"/>
        <rFont val="新細明體"/>
        <family val="1"/>
        <charset val="136"/>
      </rPr>
      <t>)</t>
    </r>
    <phoneticPr fontId="0" type="noConversion"/>
  </si>
  <si>
    <t>權重</t>
    <phoneticPr fontId="0" type="noConversion"/>
  </si>
  <si>
    <t>代號</t>
    <phoneticPr fontId="0" type="noConversion"/>
  </si>
  <si>
    <t>單位數</t>
    <phoneticPr fontId="0" type="noConversion"/>
  </si>
  <si>
    <t>即時淨值</t>
    <phoneticPr fontId="0" type="noConversion"/>
  </si>
  <si>
    <t>預估費用</t>
    <phoneticPr fontId="0" type="noConversion"/>
  </si>
  <si>
    <t>發行單位數</t>
    <phoneticPr fontId="0" type="noConversion"/>
  </si>
  <si>
    <t>類別</t>
    <phoneticPr fontId="0" type="noConversion"/>
  </si>
  <si>
    <t>00632R</t>
  </si>
  <si>
    <t>折溢價</t>
    <phoneticPr fontId="0" type="noConversion"/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</si>
  <si>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</si>
  <si>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</si>
  <si>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</si>
  <si>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</si>
  <si>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</si>
  <si>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</si>
  <si>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</si>
  <si>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</si>
  <si>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</si>
  <si>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</si>
  <si>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0061</t>
  </si>
  <si>
    <t>006201</t>
  </si>
  <si>
    <t>006203</t>
  </si>
  <si>
    <t>006204</t>
  </si>
  <si>
    <t>006205</t>
  </si>
  <si>
    <t>006206</t>
  </si>
  <si>
    <t>006207</t>
  </si>
  <si>
    <t>006208</t>
  </si>
  <si>
    <t>00631L</t>
  </si>
  <si>
    <t>008201</t>
  </si>
  <si>
    <t>昨價</t>
    <phoneticPr fontId="0" type="noConversion"/>
  </si>
  <si>
    <t>FITX*1</t>
    <phoneticPr fontId="0" type="noConversion"/>
  </si>
  <si>
    <t>匯率</t>
    <phoneticPr fontId="0" type="noConversion"/>
  </si>
  <si>
    <t>00633L</t>
  </si>
  <si>
    <t>00634R</t>
  </si>
  <si>
    <t>Bid</t>
    <phoneticPr fontId="0" type="noConversion"/>
  </si>
  <si>
    <t>Ask</t>
    <phoneticPr fontId="0" type="noConversion"/>
  </si>
  <si>
    <t>ETF商品</t>
    <phoneticPr fontId="0" type="noConversion"/>
  </si>
  <si>
    <t>股票名稱</t>
  </si>
  <si>
    <t>00636</t>
  </si>
  <si>
    <t>股票代號</t>
  </si>
  <si>
    <t>00639</t>
  </si>
  <si>
    <t>00643</t>
  </si>
  <si>
    <t>00637L</t>
  </si>
  <si>
    <t>00638R</t>
  </si>
  <si>
    <t>00635U</t>
  </si>
  <si>
    <t>00642U</t>
  </si>
  <si>
    <t>00646</t>
  </si>
  <si>
    <t>00647L</t>
  </si>
  <si>
    <t>00648R</t>
  </si>
  <si>
    <t>00652</t>
  </si>
  <si>
    <t>00653L</t>
  </si>
  <si>
    <t>00654R</t>
  </si>
  <si>
    <t>0050</t>
    <phoneticPr fontId="0" type="noConversion"/>
  </si>
  <si>
    <t>0055</t>
    <phoneticPr fontId="0" type="noConversion"/>
  </si>
  <si>
    <t>00631L</t>
    <phoneticPr fontId="0" type="noConversion"/>
  </si>
  <si>
    <t>00632R</t>
    <phoneticPr fontId="0" type="noConversion"/>
  </si>
  <si>
    <t>00637L</t>
    <phoneticPr fontId="0" type="noConversion"/>
  </si>
  <si>
    <t>00638R</t>
    <phoneticPr fontId="0" type="noConversion"/>
  </si>
  <si>
    <t>00642U</t>
    <phoneticPr fontId="0" type="noConversion"/>
  </si>
  <si>
    <t>00640L</t>
  </si>
  <si>
    <t>00641R</t>
  </si>
  <si>
    <t>00658L</t>
  </si>
  <si>
    <t>00659R</t>
  </si>
  <si>
    <t>00655L</t>
  </si>
  <si>
    <t>00656R</t>
  </si>
  <si>
    <t>00649</t>
  </si>
  <si>
    <t>00650L</t>
  </si>
  <si>
    <t>00651R</t>
  </si>
  <si>
    <t>00657</t>
  </si>
  <si>
    <t>00660</t>
  </si>
  <si>
    <t>00661</t>
  </si>
  <si>
    <t>00662</t>
  </si>
  <si>
    <t>00645</t>
  </si>
  <si>
    <t>00625K</t>
  </si>
  <si>
    <t>00663L</t>
  </si>
  <si>
    <t>00664R</t>
  </si>
  <si>
    <t>00665L</t>
  </si>
  <si>
    <t>00666R</t>
  </si>
  <si>
    <t>00667</t>
  </si>
  <si>
    <t>00672L</t>
  </si>
  <si>
    <t>00673R</t>
  </si>
  <si>
    <t>00674R</t>
  </si>
  <si>
    <t>00668</t>
  </si>
  <si>
    <t>00669R</t>
  </si>
  <si>
    <t>00675L</t>
  </si>
  <si>
    <t>00676R</t>
  </si>
  <si>
    <t>00677U</t>
  </si>
  <si>
    <t>00678</t>
  </si>
  <si>
    <t>00679B</t>
  </si>
  <si>
    <t>00680L</t>
  </si>
  <si>
    <t>00681R</t>
  </si>
  <si>
    <t>00671R</t>
  </si>
  <si>
    <t>00670L</t>
  </si>
  <si>
    <t>00685L</t>
  </si>
  <si>
    <t>00686R</t>
  </si>
  <si>
    <t>00691R</t>
  </si>
  <si>
    <t>00690</t>
  </si>
  <si>
    <t>格式：一般排行///文字///日期//否/</t>
  </si>
  <si>
    <t>表格欄位/代號種類^=^S^;^週期編號^=^D^;^AllCMenuIDs^=^M708,M708,M708,M707,M707,M707,M707,M326,M326,M326^;^是否轉置^=^False^;^檢視方式^=^2^;^AllFields^=^淨值,基金淨資產價值(千),已發行受益權單位總數(千),每申購／買回基數之受益權單位數(千),每申購／買回基數約當市值(元),每申購／買回基數估計現金差額(元),每申購基數之實際申購總價金(元),交易手續費費率,管理費(%),保管費(%)^;^MainTable^=^^;^ListType^=^^;^SelectDate^=^TOP 1|TOP 1|TOP 1|TOP 1|TOP 1|TOP 1|TOP 1|TOP 1|TOP 1|TOP 1^;^SelectCMenuID^=^M708|M707|M326^;^SelectDate種類^=^1|1|1|1|1|1|1|1|1|1^;^AllFieldsNO^=^,,,,,,,,,^;^自訂欄位公式^=^|||||||||^;^自訂欄位Where條件^=^|||||||||^;^多期數值處理方式^=^1|1|1|1|1|1|1|1|1|1^;^多欄指定個股方式^=^^;^多欄指定個股^=^^;^多欄指定群組名稱^=^^;^欄位顯示狀態^=^1|1|1|1|1|1|1|1|1|1^;^欄位轉換日期方式^=^|||||||||^;^欄位排序方式^=^|||||||||^;^欄位採用各期最新^=^1|1|1|1|1|1|1|||^;^樣本表系統定義全部代號^=^^;^單項目比較欄位^=^^;^單項目比較欄位編號^=^^;^表格類型^=^</t>
  </si>
  <si>
    <t>ETF折溢價表.淨值/每一期/最近/1/遞增/日//最新</t>
  </si>
  <si>
    <t>ETF折溢價表.基金淨資產價值(千)/每一期/最近/1/遞增/日//最新</t>
  </si>
  <si>
    <t>ETF折溢價表.已發行受益權單位總數(千)/每一期/最近/1/遞增/日//最新</t>
  </si>
  <si>
    <t>ETF申購買回清單.每申購／買回基數之受益權單位數(千)/每一期/最近/1/遞增/日//最新</t>
  </si>
  <si>
    <t>ETF申購買回清單.每申購／買回基數約當市值(元)/每一期/最近/1/遞增/日//最新</t>
  </si>
  <si>
    <t>ETF申購買回清單.每申購／買回基數估計現金差額(元)/每一期/最近/1/遞增/日//最新</t>
  </si>
  <si>
    <t>ETF申購買回清單.每申購基數之實際申購總價金(元)/每一期/最近/1/遞增/日//最新</t>
  </si>
  <si>
    <t>ETF基本資料表.交易手續費費率/每一期/最近/1/遞增/年//</t>
  </si>
  <si>
    <t>ETF基本資料表.管理費(%)/每一期/最近/1/遞增/年//</t>
  </si>
  <si>
    <t>ETF基本資料表.保管費(%)/每一期/最近/1/遞增/年//</t>
  </si>
  <si>
    <t>基準日:最近一日</t>
  </si>
  <si>
    <t>資料日期/</t>
  </si>
  <si>
    <t>更新標題:是</t>
  </si>
  <si>
    <t>參考標題</t>
  </si>
  <si>
    <t>同上市證券，由證券商訂定，但不得超過千分之一．四二五</t>
  </si>
  <si>
    <t>同上櫃證券</t>
  </si>
  <si>
    <t>同上市證券，由證券商訂定，但不得超過千分之一點四二五</t>
  </si>
  <si>
    <t>基金淨資產價值7.8億港元的部分，每年0.89%；基金淨資產價值超過7.8億港元的部分，每年0.99%。</t>
  </si>
  <si>
    <t>從管理費中支出</t>
  </si>
  <si>
    <t>萬分之一</t>
  </si>
  <si>
    <t>ETFID</t>
    <phoneticPr fontId="0" type="noConversion"/>
  </si>
  <si>
    <t>資產淨值</t>
    <phoneticPr fontId="0" type="noConversion"/>
  </si>
  <si>
    <t>發行單位數(千)</t>
    <phoneticPr fontId="0" type="noConversion"/>
  </si>
  <si>
    <t>昨日淨值</t>
    <phoneticPr fontId="0" type="noConversion"/>
  </si>
  <si>
    <t>鴻海</t>
    <phoneticPr fontId="0" type="noConversion"/>
  </si>
  <si>
    <t>鴻準</t>
    <phoneticPr fontId="0" type="noConversion"/>
  </si>
  <si>
    <t>FINYF*1</t>
    <phoneticPr fontId="0" type="noConversion"/>
  </si>
  <si>
    <t>00672L</t>
    <phoneticPr fontId="0" type="noConversion"/>
  </si>
  <si>
    <t>00673R</t>
    <phoneticPr fontId="0" type="noConversion"/>
  </si>
  <si>
    <t>代碼</t>
  </si>
  <si>
    <t>商品</t>
  </si>
  <si>
    <t>成交</t>
  </si>
  <si>
    <t>買進</t>
  </si>
  <si>
    <t>賣出</t>
  </si>
  <si>
    <t>現價</t>
    <phoneticPr fontId="0" type="noConversion"/>
  </si>
  <si>
    <t>現貨價格</t>
    <phoneticPr fontId="0" type="noConversion"/>
  </si>
  <si>
    <t>自算淨值</t>
    <phoneticPr fontId="0" type="noConversion"/>
  </si>
  <si>
    <t>30億(含)以下：0.17%30億(不含)以上，200億(含)以下：0.10%200億(不含)以上：0.06%</t>
  </si>
  <si>
    <t>0061</t>
    <phoneticPr fontId="0" type="noConversion"/>
  </si>
  <si>
    <t>代碼</t>
    <phoneticPr fontId="0" type="noConversion"/>
  </si>
  <si>
    <t>成交價</t>
    <phoneticPr fontId="0" type="noConversion"/>
  </si>
  <si>
    <t>台泥</t>
  </si>
  <si>
    <t>亞泥</t>
  </si>
  <si>
    <t>統一</t>
  </si>
  <si>
    <t>台塑</t>
  </si>
  <si>
    <t>南亞</t>
  </si>
  <si>
    <t>台化</t>
  </si>
  <si>
    <t>遠東新</t>
  </si>
  <si>
    <t>中鋼</t>
  </si>
  <si>
    <t>正新</t>
  </si>
  <si>
    <t>和泰車</t>
  </si>
  <si>
    <t>光寶科</t>
  </si>
  <si>
    <t>聯電</t>
  </si>
  <si>
    <t>台達電</t>
  </si>
  <si>
    <t>鴻海</t>
  </si>
  <si>
    <t>仁寶</t>
  </si>
  <si>
    <t>矽品</t>
  </si>
  <si>
    <t>台積電</t>
  </si>
  <si>
    <t>華碩</t>
  </si>
  <si>
    <t>廣達</t>
  </si>
  <si>
    <t>研華</t>
  </si>
  <si>
    <t>南亞科</t>
  </si>
  <si>
    <t>友達</t>
  </si>
  <si>
    <t>中華電</t>
  </si>
  <si>
    <t>聯發科</t>
  </si>
  <si>
    <t>可成</t>
  </si>
  <si>
    <t>台灣高鐵</t>
  </si>
  <si>
    <t>彰銀</t>
  </si>
  <si>
    <t>中壽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</si>
  <si>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</si>
  <si>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</si>
  <si>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</si>
  <si>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</si>
  <si>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</si>
  <si>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</si>
  <si>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</si>
  <si>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</si>
  <si>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永豐金</t>
  </si>
  <si>
    <t>中信金</t>
  </si>
  <si>
    <t>第一金</t>
  </si>
  <si>
    <t>統一超</t>
  </si>
  <si>
    <t>大立光</t>
  </si>
  <si>
    <t>台灣大</t>
  </si>
  <si>
    <t>群創</t>
  </si>
  <si>
    <t>遠傳</t>
  </si>
  <si>
    <t>和碩</t>
  </si>
  <si>
    <t>合庫金</t>
  </si>
  <si>
    <t>台塑化</t>
  </si>
  <si>
    <t>寶成</t>
  </si>
  <si>
    <t>臺企銀</t>
  </si>
  <si>
    <t>新光金</t>
  </si>
  <si>
    <t>中租-KY</t>
  </si>
  <si>
    <t>聚陽</t>
  </si>
  <si>
    <t>榮成</t>
  </si>
  <si>
    <t>智邦</t>
  </si>
  <si>
    <t>聯強</t>
  </si>
  <si>
    <t>英業達</t>
  </si>
  <si>
    <t>技嘉</t>
  </si>
  <si>
    <t>微星</t>
  </si>
  <si>
    <t>群光</t>
  </si>
  <si>
    <t>京元電子</t>
  </si>
  <si>
    <t>創見</t>
  </si>
  <si>
    <t>興富發</t>
  </si>
  <si>
    <t>聯詠</t>
  </si>
  <si>
    <t>緯創</t>
  </si>
  <si>
    <t>大聯大</t>
  </si>
  <si>
    <t>鎧勝-KY</t>
  </si>
  <si>
    <t>瑞儀</t>
  </si>
  <si>
    <t>力成</t>
  </si>
  <si>
    <t>南茂</t>
  </si>
  <si>
    <t>中鼎</t>
  </si>
  <si>
    <t>ES</t>
  </si>
  <si>
    <t>CL</t>
  </si>
  <si>
    <t>市值</t>
  </si>
  <si>
    <t>代號</t>
  </si>
  <si>
    <t>成交價</t>
  </si>
  <si>
    <t>漲幅%</t>
  </si>
  <si>
    <t>單量</t>
  </si>
  <si>
    <t>總量</t>
  </si>
  <si>
    <t>開盤</t>
  </si>
  <si>
    <t>最高</t>
  </si>
  <si>
    <t>最低</t>
  </si>
  <si>
    <t>振幅%</t>
  </si>
  <si>
    <t>昨收</t>
  </si>
  <si>
    <t>昨量</t>
  </si>
  <si>
    <t>漲跌</t>
  </si>
  <si>
    <t>FITX*1</t>
  </si>
  <si>
    <t>股數/口數</t>
    <phoneticPr fontId="0" type="noConversion"/>
  </si>
  <si>
    <t>股數/口數</t>
    <phoneticPr fontId="0" type="noConversion"/>
  </si>
  <si>
    <t>金融期</t>
    <phoneticPr fontId="5" type="noConversion"/>
  </si>
  <si>
    <t>FITF*1</t>
  </si>
  <si>
    <t>ETFID</t>
    <phoneticPr fontId="0" type="noConversion"/>
  </si>
  <si>
    <t>Bid</t>
    <phoneticPr fontId="0" type="noConversion"/>
  </si>
  <si>
    <t>Ask</t>
    <phoneticPr fontId="0" type="noConversion"/>
  </si>
  <si>
    <t>0056</t>
    <phoneticPr fontId="0" type="noConversion"/>
  </si>
  <si>
    <t>即時表彰市值</t>
    <phoneticPr fontId="0" type="noConversion"/>
  </si>
  <si>
    <t>即時表彰市值(Bid)</t>
    <phoneticPr fontId="0" type="noConversion"/>
  </si>
  <si>
    <t>即時表彰市值(Ask)</t>
    <phoneticPr fontId="0" type="noConversion"/>
  </si>
  <si>
    <t>預估淨資產</t>
    <phoneticPr fontId="0" type="noConversion"/>
  </si>
  <si>
    <t>預估淨資產(Bid)</t>
    <phoneticPr fontId="0" type="noConversion"/>
  </si>
  <si>
    <t>預估淨資產(Ask)</t>
    <phoneticPr fontId="0" type="noConversion"/>
  </si>
  <si>
    <t>基金資產淨值</t>
    <phoneticPr fontId="0" type="noConversion"/>
  </si>
  <si>
    <t>單位淨值_昨日</t>
    <phoneticPr fontId="0" type="noConversion"/>
  </si>
  <si>
    <t>流通單位數</t>
    <phoneticPr fontId="0" type="noConversion"/>
  </si>
  <si>
    <t>昨日表彰市值</t>
    <phoneticPr fontId="0" type="noConversion"/>
  </si>
  <si>
    <t>預估淨資產(成交價)</t>
    <phoneticPr fontId="0" type="noConversion"/>
  </si>
  <si>
    <t>浦發銀行</t>
  </si>
  <si>
    <t>民生銀行</t>
  </si>
  <si>
    <t>中國石化</t>
  </si>
  <si>
    <t>南方航空</t>
  </si>
  <si>
    <t>中信證券</t>
  </si>
  <si>
    <t>招商銀行</t>
  </si>
  <si>
    <t>保利地產</t>
  </si>
  <si>
    <t>中國聯通</t>
  </si>
  <si>
    <t>同方股份</t>
  </si>
  <si>
    <t>上汽集團</t>
  </si>
  <si>
    <t>北方稀土</t>
  </si>
  <si>
    <t>華夏幸福</t>
  </si>
  <si>
    <t>信威集團</t>
  </si>
  <si>
    <t>康美藥業</t>
  </si>
  <si>
    <t>貴州茅臺</t>
  </si>
  <si>
    <t>山東黃金</t>
  </si>
  <si>
    <t>綠地控股</t>
  </si>
  <si>
    <t>海通證券</t>
  </si>
  <si>
    <t>伊利股份</t>
  </si>
  <si>
    <t>江蘇銀行</t>
  </si>
  <si>
    <t>東方證券</t>
  </si>
  <si>
    <t>招商證券</t>
  </si>
  <si>
    <t>大秦鐵路</t>
  </si>
  <si>
    <t>中國神華</t>
  </si>
  <si>
    <t>興業銀行</t>
  </si>
  <si>
    <t>北京銀行</t>
  </si>
  <si>
    <t>中國鐵建</t>
  </si>
  <si>
    <t>東興證券</t>
  </si>
  <si>
    <t>國泰君安</t>
  </si>
  <si>
    <t>上海銀行</t>
  </si>
  <si>
    <t>農業銀行</t>
  </si>
  <si>
    <t>中國平安</t>
  </si>
  <si>
    <t>交通銀行</t>
  </si>
  <si>
    <t>新華保險</t>
  </si>
  <si>
    <t>中國中鐵</t>
  </si>
  <si>
    <t>工商銀行</t>
  </si>
  <si>
    <t>中國太保</t>
  </si>
  <si>
    <t>中國人壽</t>
  </si>
  <si>
    <t>中國建筑</t>
  </si>
  <si>
    <t>華泰證券</t>
  </si>
  <si>
    <t>中國中車</t>
  </si>
  <si>
    <t>光大證券</t>
  </si>
  <si>
    <t>中國交建</t>
  </si>
  <si>
    <t>光大銀行</t>
  </si>
  <si>
    <t>中國石油</t>
  </si>
  <si>
    <t>中國銀河</t>
  </si>
  <si>
    <t>方正證券</t>
  </si>
  <si>
    <t>中國核電</t>
  </si>
  <si>
    <t>中國銀行</t>
  </si>
  <si>
    <t>中國重工</t>
  </si>
  <si>
    <t>CN*1.SG</t>
  </si>
  <si>
    <t>即時表彰市值</t>
    <phoneticPr fontId="0" type="noConversion"/>
  </si>
  <si>
    <t>即時表彰市值(Bid)</t>
    <phoneticPr fontId="0" type="noConversion"/>
  </si>
  <si>
    <t>即時表彰市值(Ask)</t>
    <phoneticPr fontId="0" type="noConversion"/>
  </si>
  <si>
    <t>昨日表彰市值</t>
    <phoneticPr fontId="0" type="noConversion"/>
  </si>
  <si>
    <t>單位數(含匯率、期貨點數價值)</t>
    <phoneticPr fontId="0" type="noConversion"/>
  </si>
  <si>
    <t>權重</t>
  </si>
  <si>
    <t>類別</t>
  </si>
  <si>
    <t>單位數</t>
  </si>
  <si>
    <t>昨價</t>
  </si>
  <si>
    <t>股數/口數</t>
  </si>
  <si>
    <t>昨日表彰市值</t>
  </si>
  <si>
    <t>Bid</t>
  </si>
  <si>
    <t>Ask</t>
  </si>
  <si>
    <t>即時表彰市值</t>
  </si>
  <si>
    <t>即時表彰市值(Bid)</t>
  </si>
  <si>
    <t>即時表彰市值(Ask)</t>
  </si>
  <si>
    <t>A50_09</t>
    <phoneticPr fontId="0" type="noConversion"/>
  </si>
  <si>
    <t>0061</t>
    <phoneticPr fontId="5" type="noConversion"/>
  </si>
  <si>
    <t>元大寶滬深</t>
    <phoneticPr fontId="0" type="noConversion"/>
  </si>
  <si>
    <t>CN*2.SG</t>
  </si>
  <si>
    <t>FINZF*1.TF</t>
    <phoneticPr fontId="5" type="noConversion"/>
  </si>
  <si>
    <t>FINZF*2.TF</t>
  </si>
  <si>
    <t>(台北時間下午四點或接近四點以前：Bloomberg優先，Reuter次之)</t>
    <phoneticPr fontId="5" type="noConversion"/>
  </si>
  <si>
    <t>USD/TWD</t>
  </si>
  <si>
    <t>USD/TWD</t>
    <phoneticPr fontId="0" type="noConversion"/>
  </si>
  <si>
    <t>CNY/TW</t>
  </si>
  <si>
    <t>CNY/TW</t>
    <phoneticPr fontId="0" type="noConversion"/>
  </si>
  <si>
    <t>現價(XQ)</t>
    <phoneticPr fontId="0" type="noConversion"/>
  </si>
  <si>
    <t>流通單位數(千)</t>
    <phoneticPr fontId="0" type="noConversion"/>
  </si>
  <si>
    <t>流通單位數(千)</t>
    <phoneticPr fontId="0" type="noConversion"/>
  </si>
  <si>
    <t>2827.HK</t>
    <phoneticPr fontId="0" type="noConversion"/>
  </si>
  <si>
    <t>HKD/TW</t>
  </si>
  <si>
    <t>HKD/TW</t>
    <phoneticPr fontId="0" type="noConversion"/>
  </si>
  <si>
    <t>成交價</t>
    <phoneticPr fontId="0" type="noConversion"/>
  </si>
  <si>
    <t>即時單位淨值</t>
    <phoneticPr fontId="0" type="noConversion"/>
  </si>
  <si>
    <t>即時單位淨值</t>
    <phoneticPr fontId="0" type="noConversion"/>
  </si>
  <si>
    <t>AUM(億)</t>
    <phoneticPr fontId="0" type="noConversion"/>
  </si>
  <si>
    <t>CL1710</t>
    <phoneticPr fontId="0" type="noConversion"/>
  </si>
  <si>
    <t>紐約輕原油</t>
    <phoneticPr fontId="0" type="noConversion"/>
  </si>
  <si>
    <t>預估淨資產(成交價)</t>
  </si>
  <si>
    <t>預估淨資產(成交價)</t>
    <phoneticPr fontId="0" type="noConversion"/>
  </si>
  <si>
    <t>預估淨資產(Bid)</t>
  </si>
  <si>
    <t>預估淨資產(Bid)</t>
    <phoneticPr fontId="0" type="noConversion"/>
  </si>
  <si>
    <t>預估淨資產(Ask)</t>
  </si>
  <si>
    <t>預估淨資產(Ask)</t>
    <phoneticPr fontId="0" type="noConversion"/>
  </si>
  <si>
    <t>USD/TWD</t>
    <phoneticPr fontId="0" type="noConversion"/>
  </si>
  <si>
    <t>CNY/TWD</t>
    <phoneticPr fontId="0" type="noConversion"/>
  </si>
  <si>
    <t>昨日設算匯率</t>
    <phoneticPr fontId="0" type="noConversion"/>
  </si>
  <si>
    <t>00692</t>
  </si>
  <si>
    <t>00687B</t>
  </si>
  <si>
    <t>00688L</t>
  </si>
  <si>
    <t>00689R</t>
  </si>
  <si>
    <t>00693U</t>
  </si>
  <si>
    <t>00703</t>
  </si>
  <si>
    <t>00704L</t>
  </si>
  <si>
    <t>00705R</t>
  </si>
  <si>
    <t>最高千分之一點四二五</t>
  </si>
  <si>
    <t>30億以下：0.17%30億以上：0.10%</t>
  </si>
  <si>
    <t>檔數(↓輸入)</t>
    <phoneticPr fontId="5" type="noConversion"/>
  </si>
  <si>
    <t xml:space="preserve"> </t>
    <phoneticPr fontId="5" type="noConversion"/>
  </si>
  <si>
    <t>交易所代碼(↓輸入)</t>
    <phoneticPr fontId="5" type="noConversion"/>
  </si>
  <si>
    <t>交易所名稱</t>
    <phoneticPr fontId="5" type="noConversion"/>
  </si>
  <si>
    <t>商品代碼(↓輸入)</t>
    <phoneticPr fontId="5" type="noConversion"/>
  </si>
  <si>
    <t>商品名稱</t>
    <phoneticPr fontId="5" type="noConversion"/>
  </si>
  <si>
    <t>開盤價</t>
    <phoneticPr fontId="5" type="noConversion"/>
  </si>
  <si>
    <t>最高價</t>
    <phoneticPr fontId="5" type="noConversion"/>
  </si>
  <si>
    <t>最低價</t>
    <phoneticPr fontId="5" type="noConversion"/>
  </si>
  <si>
    <t>成交價</t>
    <phoneticPr fontId="5" type="noConversion"/>
  </si>
  <si>
    <t>結算價</t>
  </si>
  <si>
    <t>昨收、參考價</t>
    <phoneticPr fontId="5" type="noConversion"/>
  </si>
  <si>
    <t>買價</t>
  </si>
  <si>
    <t>買量</t>
  </si>
  <si>
    <t>賣價</t>
  </si>
  <si>
    <t>賣量</t>
  </si>
  <si>
    <t>成交量</t>
    <phoneticPr fontId="5" type="noConversion"/>
  </si>
  <si>
    <t>SGX</t>
  </si>
  <si>
    <t>CNIDX</t>
    <phoneticPr fontId="5" type="noConversion"/>
  </si>
  <si>
    <t>CME</t>
  </si>
  <si>
    <t>元大台灣50</t>
  </si>
  <si>
    <t>元大中型100</t>
  </si>
  <si>
    <t>元大電子</t>
  </si>
  <si>
    <t>元大台商50</t>
  </si>
  <si>
    <t>元大MSCI金融</t>
  </si>
  <si>
    <t>元大高股息</t>
  </si>
  <si>
    <t>元大寶滬深</t>
  </si>
  <si>
    <t>元大富櫃50</t>
  </si>
  <si>
    <t>元大MSCI台灣</t>
  </si>
  <si>
    <t>元大台灣50正2</t>
  </si>
  <si>
    <t>元大台灣50反1</t>
  </si>
  <si>
    <t>元大上證50</t>
  </si>
  <si>
    <t>元大滬深300正2</t>
  </si>
  <si>
    <t>元大滬深300反1</t>
  </si>
  <si>
    <t>元大S&amp;P黃金</t>
  </si>
  <si>
    <t>元大S&amp;P石油</t>
  </si>
  <si>
    <t>元大S&amp;P500</t>
  </si>
  <si>
    <t>元大S&amp;P500正2</t>
  </si>
  <si>
    <t>元大S&amp;P500反1</t>
  </si>
  <si>
    <t>元大歐洲50</t>
  </si>
  <si>
    <t>元大日經225</t>
  </si>
  <si>
    <t>元大韓國</t>
  </si>
  <si>
    <t>元大S&amp;P原油正2</t>
  </si>
  <si>
    <t>元大S&amp;P原油反1</t>
  </si>
  <si>
    <t>元大S&amp;P黃金反1</t>
  </si>
  <si>
    <t>元大美債20年</t>
  </si>
  <si>
    <t>元大美債20正2</t>
  </si>
  <si>
    <t>元大美債20反1</t>
  </si>
  <si>
    <t>元大美元指數</t>
  </si>
  <si>
    <t>元大美元指數正2</t>
  </si>
  <si>
    <t>元大美元指數反1</t>
  </si>
  <si>
    <t>元大美債7-10</t>
  </si>
  <si>
    <t>元大美債7-10正2</t>
  </si>
  <si>
    <t>元大美債7-10反1</t>
  </si>
  <si>
    <t>0050</t>
    <phoneticPr fontId="0" type="noConversion"/>
  </si>
  <si>
    <t>00631L</t>
    <phoneticPr fontId="0" type="noConversion"/>
  </si>
  <si>
    <t>00632R</t>
    <phoneticPr fontId="0" type="noConversion"/>
  </si>
  <si>
    <t>0051</t>
    <phoneticPr fontId="0" type="noConversion"/>
  </si>
  <si>
    <t>0053</t>
    <phoneticPr fontId="0" type="noConversion"/>
  </si>
  <si>
    <t>0054</t>
    <phoneticPr fontId="0" type="noConversion"/>
  </si>
  <si>
    <t>0055</t>
    <phoneticPr fontId="0" type="noConversion"/>
  </si>
  <si>
    <t>0056</t>
    <phoneticPr fontId="0" type="noConversion"/>
  </si>
  <si>
    <t>006201</t>
    <phoneticPr fontId="0" type="noConversion"/>
  </si>
  <si>
    <t>006203</t>
    <phoneticPr fontId="0" type="noConversion"/>
  </si>
  <si>
    <t>006206</t>
    <phoneticPr fontId="0" type="noConversion"/>
  </si>
  <si>
    <t>0061</t>
    <phoneticPr fontId="0" type="noConversion"/>
  </si>
  <si>
    <t>00637L</t>
    <phoneticPr fontId="0" type="noConversion"/>
  </si>
  <si>
    <t>00638R</t>
    <phoneticPr fontId="0" type="noConversion"/>
  </si>
  <si>
    <t>00642U</t>
    <phoneticPr fontId="0" type="noConversion"/>
  </si>
  <si>
    <t>00672L</t>
    <phoneticPr fontId="0" type="noConversion"/>
  </si>
  <si>
    <t>00673R</t>
    <phoneticPr fontId="0" type="noConversion"/>
  </si>
  <si>
    <t>00635U</t>
    <phoneticPr fontId="0" type="noConversion"/>
  </si>
  <si>
    <t>元大S&amp;P黃金正2</t>
    <phoneticPr fontId="0" type="noConversion"/>
  </si>
  <si>
    <t>00674R</t>
    <phoneticPr fontId="0" type="noConversion"/>
  </si>
  <si>
    <t>00646</t>
    <phoneticPr fontId="0" type="noConversion"/>
  </si>
  <si>
    <t>00647L</t>
    <phoneticPr fontId="0" type="noConversion"/>
  </si>
  <si>
    <t>00648R</t>
    <phoneticPr fontId="0" type="noConversion"/>
  </si>
  <si>
    <t>00682U</t>
    <phoneticPr fontId="0" type="noConversion"/>
  </si>
  <si>
    <t>00683L</t>
    <phoneticPr fontId="0" type="noConversion"/>
  </si>
  <si>
    <t>00684R</t>
    <phoneticPr fontId="0" type="noConversion"/>
  </si>
  <si>
    <t>元大日圓正2</t>
    <phoneticPr fontId="0" type="noConversion"/>
  </si>
  <si>
    <t>元大日圓反1</t>
    <phoneticPr fontId="0" type="noConversion"/>
  </si>
  <si>
    <t>00660</t>
    <phoneticPr fontId="0" type="noConversion"/>
  </si>
  <si>
    <t>00661</t>
    <phoneticPr fontId="0" type="noConversion"/>
  </si>
  <si>
    <t>00667</t>
    <phoneticPr fontId="0" type="noConversion"/>
  </si>
  <si>
    <t>00679B</t>
    <phoneticPr fontId="0" type="noConversion"/>
  </si>
  <si>
    <t>00680L</t>
    <phoneticPr fontId="0" type="noConversion"/>
  </si>
  <si>
    <t>00681R</t>
    <phoneticPr fontId="0" type="noConversion"/>
  </si>
  <si>
    <t>00697B</t>
    <phoneticPr fontId="0" type="noConversion"/>
  </si>
  <si>
    <t>00698L</t>
    <phoneticPr fontId="0" type="noConversion"/>
  </si>
  <si>
    <t>00699R</t>
    <phoneticPr fontId="0" type="noConversion"/>
  </si>
  <si>
    <t>00708L</t>
    <phoneticPr fontId="0" type="noConversion"/>
  </si>
  <si>
    <t>00708L</t>
    <phoneticPr fontId="0" type="noConversion"/>
  </si>
  <si>
    <t>00706L</t>
    <phoneticPr fontId="0" type="noConversion"/>
  </si>
  <si>
    <t>00707R</t>
    <phoneticPr fontId="0" type="noConversion"/>
  </si>
  <si>
    <t>AAPL</t>
  </si>
  <si>
    <t>ABBV</t>
  </si>
  <si>
    <t>ADSK</t>
  </si>
  <si>
    <t>AKAM</t>
  </si>
  <si>
    <t>ALGN</t>
  </si>
  <si>
    <t>ALLE</t>
  </si>
  <si>
    <t>ALXN</t>
  </si>
  <si>
    <t>AMAT</t>
  </si>
  <si>
    <t>AMGN</t>
  </si>
  <si>
    <t>AMZN</t>
  </si>
  <si>
    <t>ANDV</t>
  </si>
  <si>
    <t>ANSS</t>
  </si>
  <si>
    <t>ANTM</t>
  </si>
  <si>
    <t>ARNC</t>
  </si>
  <si>
    <t>ATVI</t>
  </si>
  <si>
    <t>AVGO</t>
  </si>
  <si>
    <t>BHGE</t>
  </si>
  <si>
    <t>BIIB</t>
  </si>
  <si>
    <t>CBOE</t>
  </si>
  <si>
    <t>CELG</t>
  </si>
  <si>
    <t>CERN</t>
  </si>
  <si>
    <t>CHRW</t>
  </si>
  <si>
    <t>CHTR</t>
  </si>
  <si>
    <t>CINF</t>
  </si>
  <si>
    <t>COST</t>
  </si>
  <si>
    <t>COTY</t>
  </si>
  <si>
    <t>CSCO</t>
  </si>
  <si>
    <t>CSRA</t>
  </si>
  <si>
    <t>CTAS</t>
  </si>
  <si>
    <t>CTSH</t>
  </si>
  <si>
    <t>CTXS</t>
  </si>
  <si>
    <t>DISH</t>
  </si>
  <si>
    <t>DLPH</t>
  </si>
  <si>
    <t>DLTR</t>
  </si>
  <si>
    <t>EBAY</t>
  </si>
  <si>
    <t>EQIX</t>
  </si>
  <si>
    <t>ESRX</t>
  </si>
  <si>
    <t>ETFC</t>
  </si>
  <si>
    <t>EVHC</t>
  </si>
  <si>
    <t>EXPD</t>
  </si>
  <si>
    <t>EXPE</t>
  </si>
  <si>
    <t>FAST</t>
  </si>
  <si>
    <t>FBHS</t>
  </si>
  <si>
    <t>FFIV</t>
  </si>
  <si>
    <t>FISV</t>
  </si>
  <si>
    <t>FITB</t>
  </si>
  <si>
    <t>FLIR</t>
  </si>
  <si>
    <t>FOXA</t>
  </si>
  <si>
    <t>GILD</t>
  </si>
  <si>
    <t>GOOG</t>
  </si>
  <si>
    <t>GRMN</t>
  </si>
  <si>
    <t>HBAN</t>
  </si>
  <si>
    <t>HSIC</t>
  </si>
  <si>
    <t>IDXX</t>
  </si>
  <si>
    <t>ILMN</t>
  </si>
  <si>
    <t>INCY</t>
  </si>
  <si>
    <t>INFO</t>
  </si>
  <si>
    <t>INTC</t>
  </si>
  <si>
    <t>INTU</t>
  </si>
  <si>
    <t>ISRG</t>
  </si>
  <si>
    <t>JBHT</t>
  </si>
  <si>
    <t>JNPR</t>
  </si>
  <si>
    <t>KLAC</t>
  </si>
  <si>
    <t>KORS</t>
  </si>
  <si>
    <t>LRCX</t>
  </si>
  <si>
    <t>LVLT</t>
  </si>
  <si>
    <t>MCHP</t>
  </si>
  <si>
    <t>MDLZ</t>
  </si>
  <si>
    <t>MNST</t>
  </si>
  <si>
    <t>MSFT</t>
  </si>
  <si>
    <t>NAVI</t>
  </si>
  <si>
    <t>NDAQ</t>
  </si>
  <si>
    <t>NFLX</t>
  </si>
  <si>
    <t>NTAP</t>
  </si>
  <si>
    <t>NTRS</t>
  </si>
  <si>
    <t>NVDA</t>
  </si>
  <si>
    <t>NWSA</t>
  </si>
  <si>
    <t>ORCL</t>
  </si>
  <si>
    <t>ORLY</t>
  </si>
  <si>
    <t>PAYX</t>
  </si>
  <si>
    <t>PBCT</t>
  </si>
  <si>
    <t>PCAR</t>
  </si>
  <si>
    <t>PCLN</t>
  </si>
  <si>
    <t>PDCO</t>
  </si>
  <si>
    <t>PRGO</t>
  </si>
  <si>
    <t>PYPL</t>
  </si>
  <si>
    <t>QCOM</t>
  </si>
  <si>
    <t>QRVO</t>
  </si>
  <si>
    <t>REGN</t>
  </si>
  <si>
    <t>ROST</t>
  </si>
  <si>
    <t>SBUX</t>
  </si>
  <si>
    <t>SCHW</t>
  </si>
  <si>
    <t>SNPS</t>
  </si>
  <si>
    <t>SPGI</t>
  </si>
  <si>
    <t>SRCL</t>
  </si>
  <si>
    <t>SWKS</t>
  </si>
  <si>
    <t>SYMC</t>
  </si>
  <si>
    <t>TRIP</t>
  </si>
  <si>
    <t>TROW</t>
  </si>
  <si>
    <t>TSCO</t>
  </si>
  <si>
    <t>ULTA</t>
  </si>
  <si>
    <t>VIAB</t>
  </si>
  <si>
    <t>VRSK</t>
  </si>
  <si>
    <t>VRSN</t>
  </si>
  <si>
    <t>VRTX</t>
  </si>
  <si>
    <t>WLTW</t>
  </si>
  <si>
    <t>WYNN</t>
  </si>
  <si>
    <t>XLNX</t>
  </si>
  <si>
    <t>XRAY</t>
  </si>
  <si>
    <t>ZION</t>
  </si>
  <si>
    <t>BK</t>
  </si>
  <si>
    <t>BRK.B</t>
  </si>
  <si>
    <t>C</t>
  </si>
  <si>
    <t>CA</t>
  </si>
  <si>
    <t>CB</t>
  </si>
  <si>
    <t>CF</t>
  </si>
  <si>
    <t>CI</t>
  </si>
  <si>
    <t>D</t>
  </si>
  <si>
    <t>DE</t>
  </si>
  <si>
    <t>DG</t>
  </si>
  <si>
    <t>EA</t>
  </si>
  <si>
    <t>ED</t>
  </si>
  <si>
    <t>EL</t>
  </si>
  <si>
    <t>EW</t>
  </si>
  <si>
    <t>F</t>
  </si>
  <si>
    <t>FB</t>
  </si>
  <si>
    <t>FE</t>
  </si>
  <si>
    <t>FL</t>
  </si>
  <si>
    <t>GD</t>
  </si>
  <si>
    <t>GE</t>
  </si>
  <si>
    <t>GM</t>
  </si>
  <si>
    <t>GS</t>
  </si>
  <si>
    <t>GT</t>
  </si>
  <si>
    <t>HD</t>
  </si>
  <si>
    <t>HP</t>
  </si>
  <si>
    <t>IP</t>
  </si>
  <si>
    <t>IR</t>
  </si>
  <si>
    <t>IT</t>
  </si>
  <si>
    <t>K</t>
  </si>
  <si>
    <t>KO</t>
  </si>
  <si>
    <t>KR</t>
  </si>
  <si>
    <t>L</t>
  </si>
  <si>
    <t>LB</t>
  </si>
  <si>
    <t>LH</t>
  </si>
  <si>
    <t>M</t>
  </si>
  <si>
    <t>MA</t>
  </si>
  <si>
    <t>MO</t>
  </si>
  <si>
    <t>MS</t>
  </si>
  <si>
    <t>MU</t>
  </si>
  <si>
    <t>NI</t>
  </si>
  <si>
    <t>O</t>
  </si>
  <si>
    <t>PG</t>
  </si>
  <si>
    <t>PH</t>
  </si>
  <si>
    <t>PM</t>
  </si>
  <si>
    <t>PX</t>
  </si>
  <si>
    <t>RF</t>
  </si>
  <si>
    <t>RL</t>
  </si>
  <si>
    <t>SO</t>
  </si>
  <si>
    <t>T</t>
  </si>
  <si>
    <t>UA</t>
  </si>
  <si>
    <t>V</t>
  </si>
  <si>
    <t>VZ</t>
  </si>
  <si>
    <t>WM</t>
  </si>
  <si>
    <t>WU</t>
  </si>
  <si>
    <t>WY</t>
  </si>
  <si>
    <t>XL</t>
  </si>
  <si>
    <t>ES_1709</t>
    <phoneticPr fontId="0" type="noConversion"/>
  </si>
  <si>
    <t>ES_1712</t>
    <phoneticPr fontId="0" type="noConversion"/>
  </si>
  <si>
    <t>小SP期_09</t>
    <phoneticPr fontId="0" type="noConversion"/>
  </si>
  <si>
    <t>小SP期_12</t>
    <phoneticPr fontId="0" type="noConversion"/>
  </si>
  <si>
    <t>SGX</t>
    <phoneticPr fontId="5" type="noConversion"/>
  </si>
  <si>
    <t>NYM</t>
    <phoneticPr fontId="5" type="noConversion"/>
  </si>
  <si>
    <t>25</t>
    <phoneticPr fontId="5" type="noConversion"/>
  </si>
  <si>
    <t>NYB</t>
    <phoneticPr fontId="5" type="noConversion"/>
  </si>
  <si>
    <t>NYB</t>
    <phoneticPr fontId="5" type="noConversion"/>
  </si>
  <si>
    <t>CBT</t>
    <phoneticPr fontId="5" type="noConversion"/>
  </si>
  <si>
    <t>CFFE</t>
    <phoneticPr fontId="5" type="noConversion"/>
  </si>
  <si>
    <t>NKI</t>
    <phoneticPr fontId="5" type="noConversion"/>
  </si>
  <si>
    <t>CIF1709</t>
    <phoneticPr fontId="5" type="noConversion"/>
  </si>
  <si>
    <t>CIF1710</t>
    <phoneticPr fontId="5" type="noConversion"/>
  </si>
  <si>
    <t>NKN1709</t>
    <phoneticPr fontId="5" type="noConversion"/>
  </si>
  <si>
    <t>NKN1710</t>
    <phoneticPr fontId="5" type="noConversion"/>
  </si>
  <si>
    <t>CN1709</t>
    <phoneticPr fontId="5" type="noConversion"/>
  </si>
  <si>
    <t>CN1710</t>
    <phoneticPr fontId="5" type="noConversion"/>
  </si>
  <si>
    <t>JY_1709</t>
    <phoneticPr fontId="5" type="noConversion"/>
  </si>
  <si>
    <t>JY_1712</t>
    <phoneticPr fontId="5" type="noConversion"/>
  </si>
  <si>
    <t>ES_1709</t>
    <phoneticPr fontId="5" type="noConversion"/>
  </si>
  <si>
    <t>ES_1712</t>
    <phoneticPr fontId="5" type="noConversion"/>
  </si>
  <si>
    <t>DX1709</t>
    <phoneticPr fontId="5" type="noConversion"/>
  </si>
  <si>
    <t>DX1712</t>
    <phoneticPr fontId="5" type="noConversion"/>
  </si>
  <si>
    <t>CL1710</t>
    <phoneticPr fontId="5" type="noConversion"/>
  </si>
  <si>
    <t>CL1711</t>
    <phoneticPr fontId="5" type="noConversion"/>
  </si>
  <si>
    <t>CL1812</t>
    <phoneticPr fontId="5" type="noConversion"/>
  </si>
  <si>
    <t>GC1710</t>
    <phoneticPr fontId="5" type="noConversion"/>
  </si>
  <si>
    <t>GC1712</t>
    <phoneticPr fontId="5" type="noConversion"/>
  </si>
  <si>
    <t>UB1709</t>
    <phoneticPr fontId="5" type="noConversion"/>
  </si>
  <si>
    <t>A50_10</t>
    <phoneticPr fontId="0" type="noConversion"/>
  </si>
  <si>
    <t>CL1812</t>
    <phoneticPr fontId="0" type="noConversion"/>
  </si>
  <si>
    <t>00706L</t>
    <phoneticPr fontId="0" type="noConversion"/>
  </si>
  <si>
    <t>00707R</t>
    <phoneticPr fontId="0" type="noConversion"/>
  </si>
  <si>
    <t>00708L</t>
    <phoneticPr fontId="0" type="noConversion"/>
  </si>
  <si>
    <t>紐約黃金</t>
    <phoneticPr fontId="0" type="noConversion"/>
  </si>
  <si>
    <t>GC1712</t>
    <phoneticPr fontId="0" type="noConversion"/>
  </si>
  <si>
    <t>GC1712</t>
    <phoneticPr fontId="5" type="noConversion"/>
  </si>
  <si>
    <t>00682U</t>
  </si>
  <si>
    <t>00683L</t>
  </si>
  <si>
    <t>00684R</t>
  </si>
  <si>
    <t>00697B</t>
  </si>
  <si>
    <t>00698L</t>
  </si>
  <si>
    <t>00699R</t>
  </si>
  <si>
    <t>00694B</t>
  </si>
  <si>
    <t>00695B</t>
  </si>
  <si>
    <t>00696B</t>
  </si>
  <si>
    <t>00700</t>
  </si>
  <si>
    <t>00709</t>
  </si>
  <si>
    <t>00701</t>
  </si>
  <si>
    <t>00702</t>
  </si>
  <si>
    <t>00710B</t>
  </si>
  <si>
    <t>00711B</t>
  </si>
  <si>
    <t>00712</t>
  </si>
  <si>
    <t>未達30億元(不含)：0.46%30億元(含)以上~100億元(含)：0.41%100億元(不含)以上：0.36%</t>
  </si>
  <si>
    <t>未達30億元(不含)：0.16%30億元(含)以上~100億元(含)：0.10%100億元(不含)以上：0.08%</t>
  </si>
  <si>
    <t>未達30億元(不含)：0.50%30億元(含)以上~100億元(含)：0.45%100億元(不含)以上：0.40%</t>
  </si>
  <si>
    <t>未達30億元(不含)：0.16%30億元(含)以上~100億元(含)：0.14%100億元(不含)以上：0.12%</t>
  </si>
  <si>
    <t>未達30億元(不含)：0.35%30億元(含)以上~100億元(含)：0.30%100億元(不含)以上：0.25%</t>
  </si>
  <si>
    <t>NYB美元指數</t>
    <phoneticPr fontId="0" type="noConversion"/>
  </si>
  <si>
    <t>DX1709</t>
    <phoneticPr fontId="0" type="noConversion"/>
  </si>
  <si>
    <t>DX1712</t>
    <phoneticPr fontId="0" type="noConversion"/>
  </si>
  <si>
    <t>DX1712</t>
    <phoneticPr fontId="5" type="noConversion"/>
  </si>
  <si>
    <t>CME日圓</t>
    <phoneticPr fontId="0" type="noConversion"/>
  </si>
  <si>
    <t>JY_1709</t>
  </si>
  <si>
    <t>JY_1712</t>
  </si>
  <si>
    <t>00680L</t>
    <phoneticPr fontId="5" type="noConversion"/>
  </si>
  <si>
    <t>UB1712</t>
    <phoneticPr fontId="5" type="noConversion"/>
  </si>
  <si>
    <t>UB1709</t>
  </si>
  <si>
    <t>UB1712</t>
  </si>
  <si>
    <t>UB1712</t>
    <phoneticPr fontId="5" type="noConversion"/>
  </si>
  <si>
    <t>CBT超長債券</t>
    <phoneticPr fontId="0" type="noConversion"/>
  </si>
  <si>
    <t>ZN = TY</t>
    <phoneticPr fontId="5" type="noConversion"/>
  </si>
  <si>
    <t>ZN1709</t>
    <phoneticPr fontId="5" type="noConversion"/>
  </si>
  <si>
    <t>ZN1712</t>
    <phoneticPr fontId="5" type="noConversion"/>
  </si>
  <si>
    <t>CBT十年債</t>
    <phoneticPr fontId="0" type="noConversion"/>
  </si>
  <si>
    <t>ZN1709</t>
    <phoneticPr fontId="5" type="noConversion"/>
  </si>
  <si>
    <t>ZN1712</t>
    <phoneticPr fontId="5" type="noConversion"/>
  </si>
  <si>
    <t>現價(XQ)</t>
    <phoneticPr fontId="0" type="noConversion"/>
  </si>
  <si>
    <t>昨收(PCF匯率)</t>
  </si>
  <si>
    <t>昨收(PCF匯率)</t>
    <phoneticPr fontId="0" type="noConversion"/>
  </si>
  <si>
    <t>SGX新加坡交易所</t>
    <phoneticPr fontId="5" type="noConversion"/>
  </si>
  <si>
    <t>星日經電1709</t>
    <phoneticPr fontId="5" type="noConversion"/>
  </si>
  <si>
    <t>印度指十檔1709</t>
    <phoneticPr fontId="5" type="noConversion"/>
  </si>
  <si>
    <t>A50現貨</t>
    <phoneticPr fontId="5" type="noConversion"/>
  </si>
  <si>
    <t>SGX新加坡交易所</t>
    <phoneticPr fontId="5" type="noConversion"/>
  </si>
  <si>
    <t>日經指數</t>
    <phoneticPr fontId="5" type="noConversion"/>
  </si>
  <si>
    <t>中國金融期貨交易所</t>
    <phoneticPr fontId="5" type="noConversion"/>
  </si>
  <si>
    <t>滬深300期1709</t>
    <phoneticPr fontId="5" type="noConversion"/>
  </si>
  <si>
    <t>滬深300期1710</t>
    <phoneticPr fontId="5" type="noConversion"/>
  </si>
  <si>
    <t>A50指1709</t>
    <phoneticPr fontId="5" type="noConversion"/>
  </si>
  <si>
    <t>A50指1710</t>
    <phoneticPr fontId="5" type="noConversion"/>
  </si>
  <si>
    <t>CME芝加哥商品交易所</t>
    <phoneticPr fontId="5" type="noConversion"/>
  </si>
  <si>
    <t>日元1709</t>
    <phoneticPr fontId="5" type="noConversion"/>
  </si>
  <si>
    <t>日元1712</t>
    <phoneticPr fontId="5" type="noConversion"/>
  </si>
  <si>
    <t>小SP指數1709</t>
    <phoneticPr fontId="5" type="noConversion"/>
  </si>
  <si>
    <t>小SP指數1712</t>
    <phoneticPr fontId="5" type="noConversion"/>
  </si>
  <si>
    <t>NYBOT紐約期貨交易所</t>
    <phoneticPr fontId="5" type="noConversion"/>
  </si>
  <si>
    <t>美元指數1709</t>
    <phoneticPr fontId="5" type="noConversion"/>
  </si>
  <si>
    <t>美元指數1712</t>
    <phoneticPr fontId="5" type="noConversion"/>
  </si>
  <si>
    <t>NYM紐約商業交易所</t>
    <phoneticPr fontId="5" type="noConversion"/>
  </si>
  <si>
    <t>紐約輕原油1710</t>
    <phoneticPr fontId="5" type="noConversion"/>
  </si>
  <si>
    <t>紐約輕原油1711</t>
    <phoneticPr fontId="5" type="noConversion"/>
  </si>
  <si>
    <t>紐約輕原油1812</t>
    <phoneticPr fontId="5" type="noConversion"/>
  </si>
  <si>
    <t>紐約黃金1710</t>
    <phoneticPr fontId="5" type="noConversion"/>
  </si>
  <si>
    <t>紐約黃金1712</t>
    <phoneticPr fontId="5" type="noConversion"/>
  </si>
  <si>
    <t>CBOT芝加哥期貨交易所UB1709</t>
    <phoneticPr fontId="5" type="noConversion"/>
  </si>
  <si>
    <t>超長債券1709</t>
    <phoneticPr fontId="5" type="noConversion"/>
  </si>
  <si>
    <t>CBOT芝加哥期貨交易所UB1712</t>
    <phoneticPr fontId="5" type="noConversion"/>
  </si>
  <si>
    <t>超長債券1712</t>
    <phoneticPr fontId="5" type="noConversion"/>
  </si>
  <si>
    <t>CBOT芝加哥期貨交易所ZN1709</t>
    <phoneticPr fontId="5" type="noConversion"/>
  </si>
  <si>
    <t>十年債券1709</t>
    <phoneticPr fontId="5" type="noConversion"/>
  </si>
  <si>
    <t>CBOT芝加哥期貨交易所ZN1712</t>
    <phoneticPr fontId="5" type="noConversion"/>
  </si>
  <si>
    <t>十年債券1712</t>
    <phoneticPr fontId="5" type="noConversion"/>
  </si>
  <si>
    <t>台幣比</t>
    <phoneticPr fontId="5" type="noConversion"/>
  </si>
  <si>
    <t>遠匯(TWD/USD)</t>
    <phoneticPr fontId="5" type="noConversion"/>
  </si>
  <si>
    <t>遠匯(TWD/USD)</t>
    <phoneticPr fontId="5" type="noConversion"/>
  </si>
  <si>
    <t>保證金(TWD)</t>
    <phoneticPr fontId="5" type="noConversion"/>
  </si>
  <si>
    <t>現金(TWD)</t>
    <phoneticPr fontId="5" type="noConversion"/>
  </si>
  <si>
    <t>SUM</t>
    <phoneticPr fontId="5" type="noConversion"/>
  </si>
  <si>
    <t>項目</t>
    <phoneticPr fontId="5" type="noConversion"/>
  </si>
  <si>
    <t>淨值佔比</t>
    <phoneticPr fontId="5" type="noConversion"/>
  </si>
  <si>
    <t>外幣比</t>
    <phoneticPr fontId="5" type="noConversion"/>
  </si>
  <si>
    <t>台幣比</t>
    <phoneticPr fontId="5" type="noConversion"/>
  </si>
  <si>
    <t>遠匯(TWD/USD)</t>
    <phoneticPr fontId="5" type="noConversion"/>
  </si>
  <si>
    <t>保證金(TWD)</t>
    <phoneticPr fontId="5" type="noConversion"/>
  </si>
  <si>
    <t>現金(USD)</t>
    <phoneticPr fontId="5" type="noConversion"/>
  </si>
  <si>
    <t>項目</t>
    <phoneticPr fontId="5" type="noConversion"/>
  </si>
  <si>
    <t>保證金(USD)</t>
    <phoneticPr fontId="5" type="noConversion"/>
  </si>
  <si>
    <t>應付受益權益單位買回款(TWD)</t>
    <phoneticPr fontId="5" type="noConversion"/>
  </si>
  <si>
    <t>SUM</t>
    <phoneticPr fontId="5" type="noConversion"/>
  </si>
  <si>
    <t>006206</t>
    <phoneticPr fontId="5" type="noConversion"/>
  </si>
  <si>
    <t>網頁金額(TWD)</t>
    <phoneticPr fontId="5" type="noConversion"/>
  </si>
  <si>
    <t>淨值佔比</t>
    <phoneticPr fontId="5" type="noConversion"/>
  </si>
  <si>
    <t>外幣比</t>
    <phoneticPr fontId="5" type="noConversion"/>
  </si>
  <si>
    <t>台幣比</t>
    <phoneticPr fontId="5" type="noConversion"/>
  </si>
  <si>
    <t>USD</t>
    <phoneticPr fontId="5" type="noConversion"/>
  </si>
  <si>
    <t>保證金(USD)</t>
    <phoneticPr fontId="5" type="noConversion"/>
  </si>
  <si>
    <t>現金(TWD)</t>
    <phoneticPr fontId="5" type="noConversion"/>
  </si>
  <si>
    <t>應付受益權益單位買回款(TWD)</t>
    <phoneticPr fontId="5" type="noConversion"/>
  </si>
  <si>
    <t>項目</t>
    <phoneticPr fontId="5" type="noConversion"/>
  </si>
  <si>
    <t>淨值佔比</t>
    <phoneticPr fontId="5" type="noConversion"/>
  </si>
  <si>
    <t>台幣比</t>
    <phoneticPr fontId="5" type="noConversion"/>
  </si>
  <si>
    <t>USD</t>
    <phoneticPr fontId="5" type="noConversion"/>
  </si>
  <si>
    <t>SUM</t>
    <phoneticPr fontId="5" type="noConversion"/>
  </si>
  <si>
    <t>應付受益權益單位買回款(TWD)</t>
    <phoneticPr fontId="5" type="noConversion"/>
  </si>
  <si>
    <t>網頁金額(TWD)</t>
    <phoneticPr fontId="5" type="noConversion"/>
  </si>
  <si>
    <t>現金(USD)</t>
    <phoneticPr fontId="5" type="noConversion"/>
  </si>
  <si>
    <t>保證金(TWD)</t>
    <phoneticPr fontId="5" type="noConversion"/>
  </si>
  <si>
    <t>CNH/TWD</t>
    <phoneticPr fontId="0" type="noConversion"/>
  </si>
  <si>
    <t>現金(CNH)</t>
    <phoneticPr fontId="5" type="noConversion"/>
  </si>
  <si>
    <t>現金(CNY)</t>
    <phoneticPr fontId="5" type="noConversion"/>
  </si>
  <si>
    <t>現金(TWD)</t>
    <phoneticPr fontId="5" type="noConversion"/>
  </si>
  <si>
    <t>股票(CNY)</t>
    <phoneticPr fontId="5" type="noConversion"/>
  </si>
  <si>
    <t>預估費用</t>
    <phoneticPr fontId="0" type="noConversion"/>
  </si>
  <si>
    <t>外幣比(USD)</t>
    <phoneticPr fontId="0" type="noConversion"/>
  </si>
  <si>
    <t>外幣比(CN)</t>
    <phoneticPr fontId="0" type="noConversion"/>
  </si>
  <si>
    <t>00638R</t>
    <phoneticPr fontId="5" type="noConversion"/>
  </si>
  <si>
    <t>00637L</t>
    <phoneticPr fontId="5" type="noConversion"/>
  </si>
  <si>
    <t>FITX*2</t>
  </si>
  <si>
    <t>FINYF*2</t>
  </si>
  <si>
    <t>委買</t>
  </si>
  <si>
    <t>委賣</t>
  </si>
  <si>
    <t>內外盤比圖</t>
  </si>
  <si>
    <t>均價</t>
  </si>
  <si>
    <t>股本</t>
  </si>
  <si>
    <t>盈餘</t>
  </si>
  <si>
    <t>006206</t>
    <phoneticPr fontId="0" type="noConversion"/>
  </si>
  <si>
    <t>WISE-CSI300 CHINA
標智滬深300</t>
    <phoneticPr fontId="0" type="noConversion"/>
  </si>
  <si>
    <t>遠匯(TWD/USD)</t>
    <phoneticPr fontId="5" type="noConversion"/>
  </si>
  <si>
    <t>保證金(TWD)</t>
    <phoneticPr fontId="5" type="noConversion"/>
  </si>
  <si>
    <t>保證金(USD)</t>
    <phoneticPr fontId="5" type="noConversion"/>
  </si>
  <si>
    <t>現金(HKD)</t>
    <phoneticPr fontId="5" type="noConversion"/>
  </si>
  <si>
    <t>現金(TWD)</t>
    <phoneticPr fontId="5" type="noConversion"/>
  </si>
  <si>
    <t>股票2827.HK(HKD)</t>
    <phoneticPr fontId="5" type="noConversion"/>
  </si>
  <si>
    <t>HKD</t>
    <phoneticPr fontId="5" type="noConversion"/>
  </si>
  <si>
    <t>外幣比(HKD)</t>
    <phoneticPr fontId="0" type="noConversion"/>
  </si>
  <si>
    <t>CNY</t>
    <phoneticPr fontId="5" type="noConversion"/>
  </si>
  <si>
    <t>股票_0061(TWD)</t>
    <phoneticPr fontId="5" type="noConversion"/>
  </si>
  <si>
    <t>應收利息(TWD)</t>
    <phoneticPr fontId="0" type="noConversion"/>
  </si>
  <si>
    <t>應收利息(USD)</t>
    <phoneticPr fontId="0" type="noConversion"/>
  </si>
  <si>
    <t>附買回債券(TWD)</t>
    <phoneticPr fontId="0" type="noConversion"/>
  </si>
  <si>
    <t>附買回債券(USD)</t>
    <phoneticPr fontId="0" type="noConversion"/>
  </si>
  <si>
    <t>網頁金額(TWD)</t>
    <phoneticPr fontId="5" type="noConversion"/>
  </si>
  <si>
    <t>網頁金額(原幣)</t>
    <phoneticPr fontId="5" type="noConversion"/>
  </si>
  <si>
    <t>網頁金額(原幣)</t>
    <phoneticPr fontId="5" type="noConversion"/>
  </si>
  <si>
    <t>寶滬深股期_10</t>
    <phoneticPr fontId="5" type="noConversion"/>
  </si>
  <si>
    <t>寶滬深股期_11</t>
    <phoneticPr fontId="0" type="noConversion"/>
  </si>
  <si>
    <t>寶滬深股期_11</t>
    <phoneticPr fontId="0" type="noConversion"/>
  </si>
  <si>
    <t>網頁金額(原幣)</t>
  </si>
  <si>
    <t>網頁金額(TWD)</t>
  </si>
  <si>
    <t>應付款(TWD)</t>
    <phoneticPr fontId="5" type="noConversion"/>
  </si>
  <si>
    <t>USD</t>
    <phoneticPr fontId="0" type="noConversion"/>
  </si>
  <si>
    <t>CNY</t>
    <phoneticPr fontId="0" type="noConversion"/>
  </si>
  <si>
    <t>項目</t>
  </si>
  <si>
    <t>遠匯(TWD/USD)</t>
  </si>
  <si>
    <t>保證金(TWD)</t>
  </si>
  <si>
    <t>保證金(USD)</t>
  </si>
  <si>
    <t>現金(TWD)</t>
  </si>
  <si>
    <t>現金(USD)</t>
  </si>
  <si>
    <t>附買回債券(TWD)</t>
  </si>
  <si>
    <t>附買回債券(USD)</t>
  </si>
  <si>
    <t>應收利息(TWD)</t>
  </si>
  <si>
    <t>應收利息(USD)</t>
  </si>
  <si>
    <t>應付受益權益單位買回款(TWD)</t>
  </si>
  <si>
    <t>SUM</t>
  </si>
  <si>
    <t>淨值佔比</t>
  </si>
  <si>
    <t>外幣比</t>
  </si>
  <si>
    <t>台幣比</t>
  </si>
  <si>
    <t>USD</t>
    <phoneticPr fontId="5" type="noConversion"/>
  </si>
  <si>
    <t>CNY</t>
    <phoneticPr fontId="5" type="noConversion"/>
  </si>
  <si>
    <t>00642U</t>
    <phoneticPr fontId="5" type="noConversion"/>
  </si>
  <si>
    <t>00672L</t>
    <phoneticPr fontId="5" type="noConversion"/>
  </si>
  <si>
    <t>00673R</t>
    <phoneticPr fontId="5" type="noConversion"/>
  </si>
  <si>
    <t>USD/JPY</t>
    <phoneticPr fontId="0" type="noConversion"/>
  </si>
  <si>
    <t>EUR/USD</t>
    <phoneticPr fontId="0" type="noConversion"/>
  </si>
  <si>
    <t>定存(TWD)</t>
    <phoneticPr fontId="0" type="noConversion"/>
  </si>
  <si>
    <t>附買回債券(TWD)</t>
    <phoneticPr fontId="0" type="noConversion"/>
  </si>
  <si>
    <t>USD</t>
    <phoneticPr fontId="0" type="noConversion"/>
  </si>
  <si>
    <t>外幣比</t>
    <phoneticPr fontId="5" type="noConversion"/>
  </si>
  <si>
    <t>00635U</t>
    <phoneticPr fontId="5" type="noConversion"/>
  </si>
  <si>
    <t>00708L</t>
    <phoneticPr fontId="5" type="noConversion"/>
  </si>
  <si>
    <t>00674R</t>
    <phoneticPr fontId="5" type="noConversion"/>
  </si>
  <si>
    <t>00682U</t>
    <phoneticPr fontId="5" type="noConversion"/>
  </si>
  <si>
    <t>00683L</t>
    <phoneticPr fontId="5" type="noConversion"/>
  </si>
  <si>
    <t>00684R</t>
    <phoneticPr fontId="5" type="noConversion"/>
  </si>
  <si>
    <t>00706L</t>
    <phoneticPr fontId="5" type="noConversion"/>
  </si>
  <si>
    <t>00707R</t>
    <phoneticPr fontId="5" type="noConversion"/>
  </si>
  <si>
    <t>00680L</t>
    <phoneticPr fontId="5" type="noConversion"/>
  </si>
  <si>
    <t>00681R</t>
    <phoneticPr fontId="5" type="noConversion"/>
  </si>
  <si>
    <t>00679B</t>
    <phoneticPr fontId="5" type="noConversion"/>
  </si>
  <si>
    <t>Bond(USD)</t>
    <phoneticPr fontId="0" type="noConversion"/>
  </si>
  <si>
    <t>Bond(USD)</t>
    <phoneticPr fontId="0" type="noConversion"/>
  </si>
  <si>
    <t>00646</t>
    <phoneticPr fontId="5" type="noConversion"/>
  </si>
  <si>
    <t>00647L</t>
    <phoneticPr fontId="5" type="noConversion"/>
  </si>
  <si>
    <t>00648R</t>
    <phoneticPr fontId="5" type="noConversion"/>
  </si>
  <si>
    <t>Stock(USD)</t>
    <phoneticPr fontId="0" type="noConversion"/>
  </si>
  <si>
    <t>A</t>
  </si>
  <si>
    <t>AAL</t>
  </si>
  <si>
    <t>AAP</t>
  </si>
  <si>
    <t>ABC</t>
  </si>
  <si>
    <t>ABT</t>
  </si>
  <si>
    <t>ADI</t>
  </si>
  <si>
    <t>ADM</t>
  </si>
  <si>
    <t>ADP</t>
  </si>
  <si>
    <t>ADS</t>
  </si>
  <si>
    <t>AEE</t>
  </si>
  <si>
    <t>AEP</t>
  </si>
  <si>
    <t>AES</t>
  </si>
  <si>
    <t>AET</t>
  </si>
  <si>
    <t>AFL</t>
  </si>
  <si>
    <t>AGN</t>
  </si>
  <si>
    <t>AIG</t>
  </si>
  <si>
    <t>AIV</t>
  </si>
  <si>
    <t>AIZ</t>
  </si>
  <si>
    <t>AJG</t>
  </si>
  <si>
    <t>ALB</t>
  </si>
  <si>
    <t>ALK</t>
  </si>
  <si>
    <t>ALL</t>
  </si>
  <si>
    <t>AMD</t>
  </si>
  <si>
    <t>AME</t>
  </si>
  <si>
    <t>AMG</t>
  </si>
  <si>
    <t>AMP</t>
  </si>
  <si>
    <t>AMT</t>
  </si>
  <si>
    <t>AON</t>
  </si>
  <si>
    <t>AOS</t>
  </si>
  <si>
    <t>APA</t>
  </si>
  <si>
    <t>APC</t>
  </si>
  <si>
    <t>APD</t>
  </si>
  <si>
    <t>APH</t>
  </si>
  <si>
    <t>ARE</t>
  </si>
  <si>
    <t>AVB</t>
  </si>
  <si>
    <t>AVY</t>
  </si>
  <si>
    <t>AWK</t>
  </si>
  <si>
    <t>AXP</t>
  </si>
  <si>
    <t>AYI</t>
  </si>
  <si>
    <t>AZO</t>
  </si>
  <si>
    <t>BA</t>
  </si>
  <si>
    <t>BAC</t>
  </si>
  <si>
    <t>BAX</t>
  </si>
  <si>
    <t>BBT</t>
  </si>
  <si>
    <t>BBY</t>
  </si>
  <si>
    <t>BCR</t>
  </si>
  <si>
    <t>BDX</t>
  </si>
  <si>
    <t>BEN</t>
  </si>
  <si>
    <t>BHF</t>
  </si>
  <si>
    <t>BLK</t>
  </si>
  <si>
    <t>BLL</t>
  </si>
  <si>
    <t>BMY</t>
  </si>
  <si>
    <t>BSX</t>
  </si>
  <si>
    <t>BWA</t>
  </si>
  <si>
    <t>BXP</t>
  </si>
  <si>
    <t>CAG</t>
  </si>
  <si>
    <t>CAH</t>
  </si>
  <si>
    <t>CAT</t>
  </si>
  <si>
    <t>CBG</t>
  </si>
  <si>
    <t>CBS</t>
  </si>
  <si>
    <t>CCI</t>
  </si>
  <si>
    <t>CCL</t>
  </si>
  <si>
    <t>CDNS</t>
  </si>
  <si>
    <t>CFG</t>
  </si>
  <si>
    <t>CHD</t>
  </si>
  <si>
    <t>CHK</t>
  </si>
  <si>
    <t>CLX</t>
  </si>
  <si>
    <t>CMA</t>
  </si>
  <si>
    <t>CMCSA</t>
  </si>
  <si>
    <t>CMG</t>
  </si>
  <si>
    <t>CMI</t>
  </si>
  <si>
    <t>CMS</t>
  </si>
  <si>
    <t>CNC</t>
  </si>
  <si>
    <t>CNP</t>
  </si>
  <si>
    <t>COF</t>
  </si>
  <si>
    <t>COG</t>
  </si>
  <si>
    <t>COH</t>
  </si>
  <si>
    <t>COL</t>
  </si>
  <si>
    <t>COO</t>
  </si>
  <si>
    <t>COP</t>
  </si>
  <si>
    <t>CPB</t>
  </si>
  <si>
    <t>CRM</t>
  </si>
  <si>
    <t>CSX</t>
  </si>
  <si>
    <t>CTL</t>
  </si>
  <si>
    <t>CVS</t>
  </si>
  <si>
    <t>CVX</t>
  </si>
  <si>
    <t>CXO</t>
  </si>
  <si>
    <t>DAL</t>
  </si>
  <si>
    <t>DFS</t>
  </si>
  <si>
    <t>DGX</t>
  </si>
  <si>
    <t>DHI</t>
  </si>
  <si>
    <t>DHR</t>
  </si>
  <si>
    <t>DIS</t>
  </si>
  <si>
    <t>DISCA</t>
  </si>
  <si>
    <t>DISCK</t>
  </si>
  <si>
    <t>DLR</t>
  </si>
  <si>
    <t>DOV</t>
  </si>
  <si>
    <t>DPS</t>
  </si>
  <si>
    <t>DRE</t>
  </si>
  <si>
    <t>DRI</t>
  </si>
  <si>
    <t>DTE</t>
  </si>
  <si>
    <t>DUK</t>
  </si>
  <si>
    <t>DVA</t>
  </si>
  <si>
    <t>DVN</t>
  </si>
  <si>
    <t>DWDP</t>
  </si>
  <si>
    <t>DXC</t>
  </si>
  <si>
    <t>ECL</t>
  </si>
  <si>
    <t>EFX</t>
  </si>
  <si>
    <t>EIX</t>
  </si>
  <si>
    <t>EMN</t>
  </si>
  <si>
    <t>EMR</t>
  </si>
  <si>
    <t>EOG</t>
  </si>
  <si>
    <t>EQR</t>
  </si>
  <si>
    <t>EQT</t>
  </si>
  <si>
    <t>ESS</t>
  </si>
  <si>
    <t>ETN</t>
  </si>
  <si>
    <t>ETR</t>
  </si>
  <si>
    <t>EXC</t>
  </si>
  <si>
    <t>EXR</t>
  </si>
  <si>
    <t>FCX</t>
  </si>
  <si>
    <t>FDX</t>
  </si>
  <si>
    <t>FIS</t>
  </si>
  <si>
    <t>FLR</t>
  </si>
  <si>
    <t>FLS</t>
  </si>
  <si>
    <t>FMC</t>
  </si>
  <si>
    <t>FOX</t>
  </si>
  <si>
    <t>FRT</t>
  </si>
  <si>
    <t>FTI</t>
  </si>
  <si>
    <t>FTV</t>
  </si>
  <si>
    <t>GGP</t>
  </si>
  <si>
    <t>GIS</t>
  </si>
  <si>
    <t>GLW</t>
  </si>
  <si>
    <t>GOOGL</t>
  </si>
  <si>
    <t>GPC</t>
  </si>
  <si>
    <t>GPN</t>
  </si>
  <si>
    <t>GPS</t>
  </si>
  <si>
    <t>GWW</t>
  </si>
  <si>
    <t>HAL</t>
  </si>
  <si>
    <t>HAS</t>
  </si>
  <si>
    <t>HBI</t>
  </si>
  <si>
    <t>HCA</t>
  </si>
  <si>
    <t>HCN</t>
  </si>
  <si>
    <t>HCP</t>
  </si>
  <si>
    <t>HES</t>
  </si>
  <si>
    <t>HIG</t>
  </si>
  <si>
    <t>HLT</t>
  </si>
  <si>
    <t>HOG</t>
  </si>
  <si>
    <t>HON</t>
  </si>
  <si>
    <t>HPE</t>
  </si>
  <si>
    <t>HPQ</t>
  </si>
  <si>
    <t>HRB</t>
  </si>
  <si>
    <t>HRL</t>
  </si>
  <si>
    <t>HRS</t>
  </si>
  <si>
    <t>HST</t>
  </si>
  <si>
    <t>HSY</t>
  </si>
  <si>
    <t>HUM</t>
  </si>
  <si>
    <t>IBM</t>
  </si>
  <si>
    <t>ICE</t>
  </si>
  <si>
    <t>IFF</t>
  </si>
  <si>
    <t>IPG</t>
  </si>
  <si>
    <t>IRM</t>
  </si>
  <si>
    <t>ITW</t>
  </si>
  <si>
    <t>IVZ</t>
  </si>
  <si>
    <t>JCI</t>
  </si>
  <si>
    <t>JEC</t>
  </si>
  <si>
    <t>JNJ</t>
  </si>
  <si>
    <t>JPM</t>
  </si>
  <si>
    <t>JWN</t>
  </si>
  <si>
    <t>KEY</t>
  </si>
  <si>
    <t>KHC</t>
  </si>
  <si>
    <t>KIM</t>
  </si>
  <si>
    <t>KMB</t>
  </si>
  <si>
    <t>KMI</t>
  </si>
  <si>
    <t>KMX</t>
  </si>
  <si>
    <t>KSS</t>
  </si>
  <si>
    <t>KSU</t>
  </si>
  <si>
    <t>LEG</t>
  </si>
  <si>
    <t>LEN</t>
  </si>
  <si>
    <t>LKQ</t>
  </si>
  <si>
    <t>LLL</t>
  </si>
  <si>
    <t>LLY</t>
  </si>
  <si>
    <t>LMT</t>
  </si>
  <si>
    <t>LNC</t>
  </si>
  <si>
    <t>LNT</t>
  </si>
  <si>
    <t>LOW</t>
  </si>
  <si>
    <t>LUK</t>
  </si>
  <si>
    <t>LUV</t>
  </si>
  <si>
    <t>LYB</t>
  </si>
  <si>
    <t>MAA</t>
  </si>
  <si>
    <t>MAC</t>
  </si>
  <si>
    <t>MAR</t>
  </si>
  <si>
    <t>MAS</t>
  </si>
  <si>
    <t>MAT</t>
  </si>
  <si>
    <t>MCD</t>
  </si>
  <si>
    <t>MCK</t>
  </si>
  <si>
    <t>MCO</t>
  </si>
  <si>
    <t>MDT</t>
  </si>
  <si>
    <t>MET</t>
  </si>
  <si>
    <t>MGM</t>
  </si>
  <si>
    <t>MHK</t>
  </si>
  <si>
    <t>MKC</t>
  </si>
  <si>
    <t>MLM</t>
  </si>
  <si>
    <t>MMC</t>
  </si>
  <si>
    <t>MMM</t>
  </si>
  <si>
    <t>MON</t>
  </si>
  <si>
    <t>MOS</t>
  </si>
  <si>
    <t>MPC</t>
  </si>
  <si>
    <t>MRK</t>
  </si>
  <si>
    <t>MRO</t>
  </si>
  <si>
    <t>MSI</t>
  </si>
  <si>
    <t>MTB</t>
  </si>
  <si>
    <t>MTD</t>
  </si>
  <si>
    <t>MYL</t>
  </si>
  <si>
    <t>NBL</t>
  </si>
  <si>
    <t>NEE</t>
  </si>
  <si>
    <t>NEM</t>
  </si>
  <si>
    <t>NFX</t>
  </si>
  <si>
    <t>NKE</t>
  </si>
  <si>
    <t>NOV</t>
  </si>
  <si>
    <t>NRG</t>
  </si>
  <si>
    <t>NSC</t>
  </si>
  <si>
    <t>NUE</t>
  </si>
  <si>
    <t>NWL</t>
  </si>
  <si>
    <t>NWS</t>
  </si>
  <si>
    <t>OKE</t>
  </si>
  <si>
    <t>OMC</t>
  </si>
  <si>
    <t>OXY</t>
  </si>
  <si>
    <t>PCG</t>
  </si>
  <si>
    <t>PEG</t>
  </si>
  <si>
    <t>PEP</t>
  </si>
  <si>
    <t>PFE</t>
  </si>
  <si>
    <t>PFG</t>
  </si>
  <si>
    <t>PGR</t>
  </si>
  <si>
    <t>PHM</t>
  </si>
  <si>
    <t>PKG</t>
  </si>
  <si>
    <t>PKI</t>
  </si>
  <si>
    <t>PLD</t>
  </si>
  <si>
    <t>PNC</t>
  </si>
  <si>
    <t>PNR</t>
  </si>
  <si>
    <t>PNW</t>
  </si>
  <si>
    <t>PPG</t>
  </si>
  <si>
    <t>PPL</t>
  </si>
  <si>
    <t>PRU</t>
  </si>
  <si>
    <t>PSA</t>
  </si>
  <si>
    <t>PSX</t>
  </si>
  <si>
    <t>PVH</t>
  </si>
  <si>
    <t>PWR</t>
  </si>
  <si>
    <t>PXD</t>
  </si>
  <si>
    <t>Q</t>
  </si>
  <si>
    <t>RCL</t>
  </si>
  <si>
    <t>RE</t>
  </si>
  <si>
    <t>REG</t>
  </si>
  <si>
    <t>RHI</t>
  </si>
  <si>
    <t>RHT</t>
  </si>
  <si>
    <t>RJF</t>
  </si>
  <si>
    <t>RMD</t>
  </si>
  <si>
    <t>ROK</t>
  </si>
  <si>
    <t>ROP</t>
  </si>
  <si>
    <t>RRC</t>
  </si>
  <si>
    <t>RSG</t>
  </si>
  <si>
    <t>RTN</t>
  </si>
  <si>
    <t>SBAC</t>
  </si>
  <si>
    <t>SCG</t>
  </si>
  <si>
    <t>SEE</t>
  </si>
  <si>
    <t>SHW</t>
  </si>
  <si>
    <t>SIG</t>
  </si>
  <si>
    <t>SJM</t>
  </si>
  <si>
    <t>SLB</t>
  </si>
  <si>
    <t>SLG</t>
  </si>
  <si>
    <t>SNA</t>
  </si>
  <si>
    <t>SNI</t>
  </si>
  <si>
    <t>SPG</t>
  </si>
  <si>
    <t>SRE</t>
  </si>
  <si>
    <t>STI</t>
  </si>
  <si>
    <t>STT</t>
  </si>
  <si>
    <t>STX</t>
  </si>
  <si>
    <t>STZ</t>
  </si>
  <si>
    <t>SWK</t>
  </si>
  <si>
    <t>SYF</t>
  </si>
  <si>
    <t>SYK</t>
  </si>
  <si>
    <t>SYY</t>
  </si>
  <si>
    <t>TAP</t>
  </si>
  <si>
    <t>TDG</t>
  </si>
  <si>
    <t>TEL</t>
  </si>
  <si>
    <t>TGT</t>
  </si>
  <si>
    <t>TIF</t>
  </si>
  <si>
    <t>TJX</t>
  </si>
  <si>
    <t>TMK</t>
  </si>
  <si>
    <t>TMO</t>
  </si>
  <si>
    <t>TRV</t>
  </si>
  <si>
    <t>TSN</t>
  </si>
  <si>
    <t>TSS</t>
  </si>
  <si>
    <t>TWX</t>
  </si>
  <si>
    <t>TXN</t>
  </si>
  <si>
    <t>TXT</t>
  </si>
  <si>
    <t>UAA</t>
  </si>
  <si>
    <t>UAL</t>
  </si>
  <si>
    <t>UDR</t>
  </si>
  <si>
    <t>UHS</t>
  </si>
  <si>
    <t>UNH</t>
  </si>
  <si>
    <t>UNM</t>
  </si>
  <si>
    <t>UNP</t>
  </si>
  <si>
    <t>UPS</t>
  </si>
  <si>
    <t>URI</t>
  </si>
  <si>
    <t>USB</t>
  </si>
  <si>
    <t>UTX</t>
  </si>
  <si>
    <t>VAR</t>
  </si>
  <si>
    <t>VFC</t>
  </si>
  <si>
    <t>VLO</t>
  </si>
  <si>
    <t>VMC</t>
  </si>
  <si>
    <t>VNO</t>
  </si>
  <si>
    <t>VTR</t>
  </si>
  <si>
    <t>WAT</t>
  </si>
  <si>
    <t>WBA</t>
  </si>
  <si>
    <t>WDC</t>
  </si>
  <si>
    <t>WEC</t>
  </si>
  <si>
    <t>WFC</t>
  </si>
  <si>
    <t>WHR</t>
  </si>
  <si>
    <t>WMB</t>
  </si>
  <si>
    <t>WMT</t>
  </si>
  <si>
    <t>WRK</t>
  </si>
  <si>
    <t>WYN</t>
  </si>
  <si>
    <t>XEC</t>
  </si>
  <si>
    <t>XEL</t>
  </si>
  <si>
    <t>XOM</t>
  </si>
  <si>
    <t>XRX</t>
  </si>
  <si>
    <t>XYL</t>
  </si>
  <si>
    <t>YUM</t>
  </si>
  <si>
    <t>ZBH</t>
  </si>
  <si>
    <t>ZTS</t>
  </si>
  <si>
    <t>AGILENT TECHNOLOGIES INC</t>
  </si>
  <si>
    <t>AMERICAN AIRLINES GROUP INC</t>
  </si>
  <si>
    <t>ADVANCE AUTO PARTS INC</t>
  </si>
  <si>
    <t>APPLE INC</t>
  </si>
  <si>
    <t>ABBVIE INC</t>
  </si>
  <si>
    <t>AMERISOURCEBERGEN CORP</t>
  </si>
  <si>
    <t>ABBOTT LABORATORIES</t>
  </si>
  <si>
    <t>ACCENTURE PLC-CL A</t>
  </si>
  <si>
    <t>ADOBE SYSTEMS INC</t>
  </si>
  <si>
    <t>ANALOG DEVICES INC</t>
  </si>
  <si>
    <t>ARCHER-DANIELS-MIDLAND CO</t>
  </si>
  <si>
    <t>AUTOMATIC DATA PROCESSING</t>
  </si>
  <si>
    <t>ALLIANCE DATA SYSTEMS CORP</t>
  </si>
  <si>
    <t>AUTODESK INC</t>
  </si>
  <si>
    <t>AMEREN CORPORATION</t>
  </si>
  <si>
    <t>AMERICAN ELECTRIC POWER</t>
  </si>
  <si>
    <t>AES CORP</t>
  </si>
  <si>
    <t>AETNA INC</t>
  </si>
  <si>
    <t>AFLAC INC</t>
  </si>
  <si>
    <t>ALLERGAN PLC</t>
  </si>
  <si>
    <t>AMERICAN INTERNATIONAL GROUP</t>
  </si>
  <si>
    <t>APARTMENT INVT &amp; MGMT CO -A</t>
  </si>
  <si>
    <t>ASSURANT INC</t>
  </si>
  <si>
    <t>ARTHUR J GALLAGHER &amp; CO</t>
  </si>
  <si>
    <t>AKAMAI TECHNOLOGIES INC</t>
  </si>
  <si>
    <t>ALBEMARLE CORP</t>
  </si>
  <si>
    <t>ALIGN TECHNOLOGY INC</t>
  </si>
  <si>
    <t>ALASKA AIR GROUP INC</t>
  </si>
  <si>
    <t>ALLSTATE CORP</t>
  </si>
  <si>
    <t>ALLEGION PLC</t>
  </si>
  <si>
    <t>ALEXION PHARMACEUTICALS INC</t>
  </si>
  <si>
    <t>APPLIED MATERIALS INC</t>
  </si>
  <si>
    <t>ADVANCED MICRO DEVICES</t>
  </si>
  <si>
    <t>AMETEK INC</t>
  </si>
  <si>
    <t>AFFILIATED MANAGERS GROUP</t>
  </si>
  <si>
    <t>AMGEN INC</t>
  </si>
  <si>
    <t>AMERIPRISE FINANCIAL INC</t>
  </si>
  <si>
    <t>AMERICAN TOWER CORP</t>
  </si>
  <si>
    <t>AMAZON.COM INC</t>
  </si>
  <si>
    <t>ANDEAVOR</t>
  </si>
  <si>
    <t>ANSYS INC</t>
  </si>
  <si>
    <t>ANTHEM INC</t>
  </si>
  <si>
    <t>AON PLC</t>
  </si>
  <si>
    <t>SMITH (A.O.) CORP</t>
  </si>
  <si>
    <t>APACHE CORP</t>
  </si>
  <si>
    <t>ANADARKO PETROLEUM CORP</t>
  </si>
  <si>
    <t>AIR PRODUCTS &amp; CHEMICALS INC</t>
  </si>
  <si>
    <t>AMPHENOL CORP-CL A</t>
  </si>
  <si>
    <t>ALEXANDRIA REAL ESTATE EQUIT</t>
  </si>
  <si>
    <t>ARCONIC INC</t>
  </si>
  <si>
    <t>ACTIVISION BLIZZARD INC</t>
  </si>
  <si>
    <t>AVALONBAY COMMUNITIES INC</t>
  </si>
  <si>
    <t>BROADCOM LTD</t>
  </si>
  <si>
    <t>AVERY DENNISON CORP</t>
  </si>
  <si>
    <t>AMERICAN WATER WORKS CO INC</t>
  </si>
  <si>
    <t>AMERICAN EXPRESS CO</t>
  </si>
  <si>
    <t>ACUITY BRANDS INC</t>
  </si>
  <si>
    <t>AUTOZONE INC</t>
  </si>
  <si>
    <t>BOEING CO/THE</t>
  </si>
  <si>
    <t>BANK OF AMERICA CORP</t>
  </si>
  <si>
    <t>BAXTER INTERNATIONAL INC</t>
  </si>
  <si>
    <t>BB&amp;T CORP</t>
  </si>
  <si>
    <t>BEST BUY CO INC</t>
  </si>
  <si>
    <t>CR BARD INC</t>
  </si>
  <si>
    <t>BECTON DICKINSON AND CO</t>
  </si>
  <si>
    <t>FRANKLIN RESOURCES INC</t>
  </si>
  <si>
    <t>BROWN-FORMAN CORP-CLASS B</t>
  </si>
  <si>
    <t>BRIGHTHOUSE FINANCIAL INC</t>
  </si>
  <si>
    <t>BAKER HUGHES A GE CO</t>
  </si>
  <si>
    <t>BIOGEN INC</t>
  </si>
  <si>
    <t>BANK OF NEW YORK MELLON CORP</t>
  </si>
  <si>
    <t>BLACKROCK INC</t>
  </si>
  <si>
    <t>BALL CORP</t>
  </si>
  <si>
    <t>BRISTOL-MYERS SQUIBB CO</t>
  </si>
  <si>
    <t>BERKSHIRE HATHAWAY INC-CL B</t>
  </si>
  <si>
    <t>BOSTON SCIENTIFIC CORP</t>
  </si>
  <si>
    <t>BORGWARNER INC</t>
  </si>
  <si>
    <t>BOSTON PROPERTIES INC</t>
  </si>
  <si>
    <t>CITIGROUP INC</t>
  </si>
  <si>
    <t>CA INC</t>
  </si>
  <si>
    <t>CONAGRA BRANDS INC</t>
  </si>
  <si>
    <t>CARDINAL HEALTH INC</t>
  </si>
  <si>
    <t>CATERPILLAR INC</t>
  </si>
  <si>
    <t>CHUBB LTD</t>
  </si>
  <si>
    <t>CBRE GROUP INC - A</t>
  </si>
  <si>
    <t>CBOE HOLDINGS INC</t>
  </si>
  <si>
    <t>CBS CORP-CLASS B NON VOTING</t>
  </si>
  <si>
    <t>CROWN CASTLE INTL CORP</t>
  </si>
  <si>
    <t>CARNIVAL CORP</t>
  </si>
  <si>
    <t>CADENCE DESIGN SYS INC</t>
  </si>
  <si>
    <t>CELGENE CORP</t>
  </si>
  <si>
    <t>CERNER CORP</t>
  </si>
  <si>
    <t>CF INDUSTRIES HOLDINGS INC</t>
  </si>
  <si>
    <t>CITIZENS FINANCIAL GROUP</t>
  </si>
  <si>
    <t>CHURCH &amp; DWIGHT CO INC</t>
  </si>
  <si>
    <t>CHESAPEAKE ENERGY CORP</t>
  </si>
  <si>
    <t>C.H. ROBINSON WORLDWIDE INC</t>
  </si>
  <si>
    <t>CHARTER COMMUNICATIONS INC-A</t>
  </si>
  <si>
    <t>CIGNA CORP</t>
  </si>
  <si>
    <t>CINCINNATI FINANCIAL CORP</t>
  </si>
  <si>
    <t>COLGATE-PALMOLIVE CO</t>
  </si>
  <si>
    <t>CLOROX COMPANY</t>
  </si>
  <si>
    <t>COMERICA INC</t>
  </si>
  <si>
    <t>COMCAST CORP-CLASS A</t>
  </si>
  <si>
    <t>CME GROUP INC</t>
  </si>
  <si>
    <t>CHIPOTLE MEXICAN GRILL INC</t>
  </si>
  <si>
    <t>CUMMINS INC</t>
  </si>
  <si>
    <t>CMS ENERGY CORP</t>
  </si>
  <si>
    <t>CENTENE CORP</t>
  </si>
  <si>
    <t>CENTERPOINT ENERGY INC</t>
  </si>
  <si>
    <t>CAPITAL ONE FINANCIAL CORP</t>
  </si>
  <si>
    <t>CABOT OIL &amp; GAS CORP</t>
  </si>
  <si>
    <t>COACH INC</t>
  </si>
  <si>
    <t>ROCKWELL COLLINS INC</t>
  </si>
  <si>
    <t>COOPER COS INC/THE</t>
  </si>
  <si>
    <t>CONOCOPHILLIPS</t>
  </si>
  <si>
    <t>COSTCO WHOLESALE CORP</t>
  </si>
  <si>
    <t>COTY INC-CL A</t>
  </si>
  <si>
    <t>CAMPBELL SOUP CO</t>
  </si>
  <si>
    <t>SALESFORCE.COM INC</t>
  </si>
  <si>
    <t>CISCO SYSTEMS INC</t>
  </si>
  <si>
    <t>CSRA INC</t>
  </si>
  <si>
    <t>CSX CORP</t>
  </si>
  <si>
    <t>CINTAS CORP</t>
  </si>
  <si>
    <t>CENTURYLINK INC</t>
  </si>
  <si>
    <t>COGNIZANT TECH SOLUTIONS-A</t>
  </si>
  <si>
    <t>CITRIX SYSTEMS INC</t>
  </si>
  <si>
    <t>CVS HEALTH CORP</t>
  </si>
  <si>
    <t>CHEVRON CORP</t>
  </si>
  <si>
    <t>CONCHO RESOURCES INC</t>
  </si>
  <si>
    <t>DOMINION ENERGY INC</t>
  </si>
  <si>
    <t>DELTA AIR LINES INC</t>
  </si>
  <si>
    <t>DEERE &amp; CO</t>
  </si>
  <si>
    <t>DISCOVER FINANCIAL SERVICES</t>
  </si>
  <si>
    <t>DOLLAR GENERAL CORP</t>
  </si>
  <si>
    <t>QUEST DIAGNOSTICS INC</t>
  </si>
  <si>
    <t>DR HORTON INC</t>
  </si>
  <si>
    <t>DANAHER CORP</t>
  </si>
  <si>
    <t>WALT DISNEY CO/THE</t>
  </si>
  <si>
    <t>DISCOVERY COMMUNICATIONS-A</t>
  </si>
  <si>
    <t>DISCOVERY COMMUNICATIONS-C</t>
  </si>
  <si>
    <t>DISH NETWORK CORP-A</t>
  </si>
  <si>
    <t>DELPHI AUTOMOTIVE PLC</t>
  </si>
  <si>
    <t>DIGITAL REALTY TRUST INC</t>
  </si>
  <si>
    <t>DOLLAR TREE INC</t>
  </si>
  <si>
    <t>DOVER CORP</t>
  </si>
  <si>
    <t>DR PEPPER SNAPPLE GROUP INC</t>
  </si>
  <si>
    <t>DUKE REALTY CORP</t>
  </si>
  <si>
    <t>DARDEN RESTAURANTS INC</t>
  </si>
  <si>
    <t>DTE ENERGY COMPANY</t>
  </si>
  <si>
    <t>DUKE ENERGY CORP</t>
  </si>
  <si>
    <t>DAVITA INC</t>
  </si>
  <si>
    <t>DEVON ENERGY CORP</t>
  </si>
  <si>
    <t>DOWDUPONT INC</t>
  </si>
  <si>
    <t>DXC TECHNOLOGY CO</t>
  </si>
  <si>
    <t>ELECTRONIC ARTS INC</t>
  </si>
  <si>
    <t>EBAY INC</t>
  </si>
  <si>
    <t>ECOLAB INC</t>
  </si>
  <si>
    <t>CONSOLIDATED EDISON INC</t>
  </si>
  <si>
    <t>EQUIFAX INC</t>
  </si>
  <si>
    <t>EDISON INTERNATIONAL</t>
  </si>
  <si>
    <t>ESTEE LAUDER COMPANIES-CL A</t>
  </si>
  <si>
    <t>EASTMAN CHEMICAL CO</t>
  </si>
  <si>
    <t>EMERSON ELECTRIC CO</t>
  </si>
  <si>
    <t>EOG RESOURCES INC</t>
  </si>
  <si>
    <t>EQUINIX INC</t>
  </si>
  <si>
    <t>EQUITY RESIDENTIAL</t>
  </si>
  <si>
    <t>EQT CORP</t>
  </si>
  <si>
    <t>EVERSOURCE ENERGY</t>
  </si>
  <si>
    <t>EXPRESS SCRIPTS HOLDING CO</t>
  </si>
  <si>
    <t>ESSEX PROPERTY TRUST INC</t>
  </si>
  <si>
    <t>E*TRADE FINANCIAL CORP</t>
  </si>
  <si>
    <t>EATON CORP PLC</t>
  </si>
  <si>
    <t>ENTERGY CORP</t>
  </si>
  <si>
    <t>ENVISION HEALTHCARE CORP</t>
  </si>
  <si>
    <t>EDWARDS LIFESCIENCES CORP</t>
  </si>
  <si>
    <t>EXELON CORP</t>
  </si>
  <si>
    <t>EXPEDITORS INTL WASH INC</t>
  </si>
  <si>
    <t>EXPEDIA INC</t>
  </si>
  <si>
    <t>EXTRA SPACE STORAGE INC</t>
  </si>
  <si>
    <t>FORD MOTOR CO</t>
  </si>
  <si>
    <t>FASTENAL CO</t>
  </si>
  <si>
    <t>FACEBOOK INC-A</t>
  </si>
  <si>
    <t>FORTUNE BRANDS HOME &amp; SECURI</t>
  </si>
  <si>
    <t>FREEPORT-MCMORAN INC</t>
  </si>
  <si>
    <t>FEDEX CORP</t>
  </si>
  <si>
    <t>FIRSTENERGY CORP</t>
  </si>
  <si>
    <t>F5 NETWORKS INC</t>
  </si>
  <si>
    <t>FIDELITY NATIONAL INFO SERV</t>
  </si>
  <si>
    <t>FISERV INC</t>
  </si>
  <si>
    <t>FIFTH THIRD BANCORP</t>
  </si>
  <si>
    <t>FOOT LOCKER INC</t>
  </si>
  <si>
    <t>FLIR SYSTEMS INC</t>
  </si>
  <si>
    <t>FLUOR CORP</t>
  </si>
  <si>
    <t>FLOWSERVE CORP</t>
  </si>
  <si>
    <t>FMC CORP</t>
  </si>
  <si>
    <t>TWENTY-FIRST CENTURY FOX - B</t>
  </si>
  <si>
    <t>TWENTY-FIRST CENTURY FOX-A</t>
  </si>
  <si>
    <t>FEDERAL REALTY INVS TRUST</t>
  </si>
  <si>
    <t>TECHNIPFMC PLC</t>
  </si>
  <si>
    <t>FORTIVE CORP</t>
  </si>
  <si>
    <t>GENERAL DYNAMICS CORP</t>
  </si>
  <si>
    <t>GENERAL ELECTRIC CO</t>
  </si>
  <si>
    <t>GGP INC</t>
  </si>
  <si>
    <t>GILEAD SCIENCES INC</t>
  </si>
  <si>
    <t>GENERAL MILLS INC</t>
  </si>
  <si>
    <t>CORNING INC</t>
  </si>
  <si>
    <t>GENERAL MOTORS CO</t>
  </si>
  <si>
    <t>ALPHABET INC-CL C</t>
  </si>
  <si>
    <t>ALPHABET INC-CL A</t>
  </si>
  <si>
    <t>GENUINE PARTS CO</t>
  </si>
  <si>
    <t>GLOBAL PAYMENTS INC</t>
  </si>
  <si>
    <t>GAP INC/THE</t>
  </si>
  <si>
    <t>GARMIN LTD</t>
  </si>
  <si>
    <t>GOLDMAN SACHS GROUP INC</t>
  </si>
  <si>
    <t>GOODYEAR TIRE &amp; RUBBER CO</t>
  </si>
  <si>
    <t>WW GRAINGER INC</t>
  </si>
  <si>
    <t>HALLIBURTON CO</t>
  </si>
  <si>
    <t>HASBRO INC</t>
  </si>
  <si>
    <t>HUNTINGTON BANCSHARES INC</t>
  </si>
  <si>
    <t>HANESBRANDS INC</t>
  </si>
  <si>
    <t>HCA HEALTHCARE INC</t>
  </si>
  <si>
    <t>WELLTOWER INC</t>
  </si>
  <si>
    <t>HCP INC</t>
  </si>
  <si>
    <t>HOME DEPOT INC</t>
  </si>
  <si>
    <t>HESS CORP</t>
  </si>
  <si>
    <t>HARTFORD FINANCIAL SVCS GRP</t>
  </si>
  <si>
    <t>HILTON WORLDWIDE HOLDINGS IN</t>
  </si>
  <si>
    <t>HARLEY-DAVIDSON INC</t>
  </si>
  <si>
    <t>HOLOGIC INC</t>
  </si>
  <si>
    <t>HONEYWELL INTERNATIONAL INC</t>
  </si>
  <si>
    <t>HELMERICH &amp; PAYNE</t>
  </si>
  <si>
    <t>HEWLETT PACKARD ENTERPRIS</t>
  </si>
  <si>
    <t>HP INC</t>
  </si>
  <si>
    <t>H&amp;R BLOCK INC</t>
  </si>
  <si>
    <t>HORMEL FOODS CORP</t>
  </si>
  <si>
    <t>HARRIS CORP</t>
  </si>
  <si>
    <t>HENRY SCHEIN INC</t>
  </si>
  <si>
    <t>HOST HOTELS &amp; RESORTS INC</t>
  </si>
  <si>
    <t>HERSHEY CO/THE</t>
  </si>
  <si>
    <t>HUMANA INC</t>
  </si>
  <si>
    <t>INTL BUSINESS MACHINES CORP</t>
  </si>
  <si>
    <t>INTERCONTINENTAL EXCHANGE IN</t>
  </si>
  <si>
    <t>IDEXX LABORATORIES INC</t>
  </si>
  <si>
    <t>INTL FLAVORS &amp; FRAGRANCES</t>
  </si>
  <si>
    <t>ILLUMINA INC</t>
  </si>
  <si>
    <t>INCYTE CORP</t>
  </si>
  <si>
    <t>IHS MARKIT LTD</t>
  </si>
  <si>
    <t>INTEL CORP</t>
  </si>
  <si>
    <t>INTUIT INC</t>
  </si>
  <si>
    <t>INTERNATIONAL PAPER CO</t>
  </si>
  <si>
    <t>INTERPUBLIC GROUP OF COS INC</t>
  </si>
  <si>
    <t>INGERSOLL-RAND PLC</t>
  </si>
  <si>
    <t>IRON MOUNTAIN INC</t>
  </si>
  <si>
    <t>INTUITIVE SURGICAL INC</t>
  </si>
  <si>
    <t>GARTNER INC</t>
  </si>
  <si>
    <t>ILLINOIS TOOL WORKS</t>
  </si>
  <si>
    <t>INVESCO LTD</t>
  </si>
  <si>
    <t>HUNT (JB) TRANSPRT SVCS INC</t>
  </si>
  <si>
    <t>JOHNSON CONTROLS INTERNATION</t>
  </si>
  <si>
    <t>JACOBS ENGINEERING GROUP INC</t>
  </si>
  <si>
    <t>JOHNSON &amp; JOHNSON</t>
  </si>
  <si>
    <t>JUNIPER NETWORKS INC</t>
  </si>
  <si>
    <t>JPMORGAN CHASE &amp; CO</t>
  </si>
  <si>
    <t>NORDSTROM INC</t>
  </si>
  <si>
    <t>KELLOGG CO</t>
  </si>
  <si>
    <t>KEYCORP</t>
  </si>
  <si>
    <t>KRAFT HEINZ CO/THE</t>
  </si>
  <si>
    <t>KIMCO REALTY CORP</t>
  </si>
  <si>
    <t>KLA-TENCOR CORP</t>
  </si>
  <si>
    <t>KIMBERLY-CLARK CORP</t>
  </si>
  <si>
    <t>KINDER MORGAN INC</t>
  </si>
  <si>
    <t>CARMAX INC</t>
  </si>
  <si>
    <t>COCA-COLA CO/THE</t>
  </si>
  <si>
    <t>MICHAEL KORS HOLDINGS LTD</t>
  </si>
  <si>
    <t>KROGER CO</t>
  </si>
  <si>
    <t>KOHLS CORP</t>
  </si>
  <si>
    <t>KANSAS CITY SOUTHERN</t>
  </si>
  <si>
    <t>LOEWS CORP</t>
  </si>
  <si>
    <t>L BRANDS INC</t>
  </si>
  <si>
    <t>LEGGETT &amp; PLATT INC</t>
  </si>
  <si>
    <t>LENNAR CORP-A</t>
  </si>
  <si>
    <t>LABORATORY CRP OF AMER HLDGS</t>
  </si>
  <si>
    <t>LKQ CORP</t>
  </si>
  <si>
    <t>L3 TECHNOLOGIES INC</t>
  </si>
  <si>
    <t>ELI LILLY &amp; CO</t>
  </si>
  <si>
    <t>LOCKHEED MARTIN CORP</t>
  </si>
  <si>
    <t>LINCOLN NATIONAL CORP</t>
  </si>
  <si>
    <t>ALLIANT ENERGY CORP</t>
  </si>
  <si>
    <t>LOWE`S COS INC</t>
  </si>
  <si>
    <t>LAM RESEARCH CORP</t>
  </si>
  <si>
    <t>LEUCADIA NATIONAL CORP</t>
  </si>
  <si>
    <t>SOUTHWEST AIRLINES CO</t>
  </si>
  <si>
    <t>LEVEL 3 COMMUNICATIONS INC</t>
  </si>
  <si>
    <t>LYONDELLBASELL INDU-CL A</t>
  </si>
  <si>
    <t>MACY`S INC</t>
  </si>
  <si>
    <t>MASTERCARD INC - A</t>
  </si>
  <si>
    <t>MID-AMERICA APARTMENT COMM</t>
  </si>
  <si>
    <t>MACERICH CO/THE</t>
  </si>
  <si>
    <t>MARRIOTT INTERNATIONAL -CL A</t>
  </si>
  <si>
    <t>MASCO CORP</t>
  </si>
  <si>
    <t>MATTEL INC</t>
  </si>
  <si>
    <t>MCDONALD`S CORP</t>
  </si>
  <si>
    <t>MICROCHIP TECHNOLOGY INC</t>
  </si>
  <si>
    <t>MCKESSON CORP</t>
  </si>
  <si>
    <t>MOODY`S CORP</t>
  </si>
  <si>
    <t>MONDELEZ INTERNATIONAL INC-A</t>
  </si>
  <si>
    <t>MEDTRONIC PLC</t>
  </si>
  <si>
    <t>METLIFE INC</t>
  </si>
  <si>
    <t>MGM RESORTS INTERNATIONAL</t>
  </si>
  <si>
    <t>MOHAWK INDUSTRIES INC</t>
  </si>
  <si>
    <t>MCCORMICK &amp; CO-NON VTG SHRS</t>
  </si>
  <si>
    <t>MARTIN MARIETTA MATERIALS</t>
  </si>
  <si>
    <t>MARSH &amp; MCLENNAN COS</t>
  </si>
  <si>
    <t>3M CO</t>
  </si>
  <si>
    <t>MONSTER BEVERAGE CORP</t>
  </si>
  <si>
    <t>ALTRIA GROUP INC</t>
  </si>
  <si>
    <t>MONSANTO CO</t>
  </si>
  <si>
    <t>MOSAIC CO/THE</t>
  </si>
  <si>
    <t>MARATHON PETROLEUM CORP</t>
  </si>
  <si>
    <t>MERCK &amp; CO. INC.</t>
  </si>
  <si>
    <t>MARATHON OIL CORP</t>
  </si>
  <si>
    <t>MORGAN STANLEY</t>
  </si>
  <si>
    <t>MICROSOFT CORP</t>
  </si>
  <si>
    <t>MOTOROLA SOLUTIONS INC</t>
  </si>
  <si>
    <t>M &amp; T BANK CORP</t>
  </si>
  <si>
    <t>METTLER-TOLEDO INTERNATIONAL</t>
  </si>
  <si>
    <t>MICRON TECHNOLOGY INC</t>
  </si>
  <si>
    <t>MYLAN NV</t>
  </si>
  <si>
    <t>NAVIENT CORP</t>
  </si>
  <si>
    <t>NOBLE ENERGY INC</t>
  </si>
  <si>
    <t>NASDAQ INC</t>
  </si>
  <si>
    <t>NEXTERA ENERGY INC</t>
  </si>
  <si>
    <t>NEWMONT MINING CORP</t>
  </si>
  <si>
    <t>NETFLIX INC</t>
  </si>
  <si>
    <t>NEWFIELD EXPLORATION CO</t>
  </si>
  <si>
    <t>NISOURCE INC</t>
  </si>
  <si>
    <t>NIKE INC -CL B</t>
  </si>
  <si>
    <t>NIELSEN HOLDINGS PLC</t>
  </si>
  <si>
    <t>NORTHROP GRUMMAN CORP</t>
  </si>
  <si>
    <t>NATIONAL OILWELL VARCO INC</t>
  </si>
  <si>
    <t>NRG ENERGY INC</t>
  </si>
  <si>
    <t>NORFOLK SOUTHERN CORP</t>
  </si>
  <si>
    <t>NETAPP INC</t>
  </si>
  <si>
    <t>NORTHERN TRUST CORP</t>
  </si>
  <si>
    <t>NUCOR CORP</t>
  </si>
  <si>
    <t>NVIDIA CORP</t>
  </si>
  <si>
    <t>NEWELL BRANDS INC</t>
  </si>
  <si>
    <t>NEWS CORP - CLASS B</t>
  </si>
  <si>
    <t>NEWS CORP - CLASS A</t>
  </si>
  <si>
    <t>REALTY INCOME CORP</t>
  </si>
  <si>
    <t>ONEOK INC</t>
  </si>
  <si>
    <t>OMNICOM GROUP</t>
  </si>
  <si>
    <t>ORACLE CORP</t>
  </si>
  <si>
    <t>O`REILLY AUTOMOTIVE INC</t>
  </si>
  <si>
    <t>OCCIDENTAL PETROLEUM CORP</t>
  </si>
  <si>
    <t>PAYCHEX INC</t>
  </si>
  <si>
    <t>PEOPLE`S UNITED FINANCIAL</t>
  </si>
  <si>
    <t>PACCAR INC</t>
  </si>
  <si>
    <t>P G &amp; E CORP</t>
  </si>
  <si>
    <t>PRICELINE GROUP INC/THE</t>
  </si>
  <si>
    <t>PATTERSON COS INC</t>
  </si>
  <si>
    <t>PUBLIC SERVICE ENTERPRISE GP</t>
  </si>
  <si>
    <t>PEPSICO INC</t>
  </si>
  <si>
    <t>PFIZER INC</t>
  </si>
  <si>
    <t>PRINCIPAL FINANCIAL GROUP</t>
  </si>
  <si>
    <t>PROCTER &amp; GAMBLE CO/THE</t>
  </si>
  <si>
    <t>PROGRESSIVE CORP</t>
  </si>
  <si>
    <t>PARKER HANNIFIN CORP</t>
  </si>
  <si>
    <t>PULTEGROUP INC</t>
  </si>
  <si>
    <t>PACKAGING CORP OF AMERICA</t>
  </si>
  <si>
    <t>PERKINELMER INC</t>
  </si>
  <si>
    <t>PROLOGIS INC</t>
  </si>
  <si>
    <t>PHILIP MORRIS INTERNATIONAL</t>
  </si>
  <si>
    <t>PNC FINANCIAL SERVICES GROUP</t>
  </si>
  <si>
    <t>PENTAIR PLC</t>
  </si>
  <si>
    <t>PINNACLE WEST CAPITAL</t>
  </si>
  <si>
    <t>PPG INDUSTRIES INC</t>
  </si>
  <si>
    <t>PPL CORP</t>
  </si>
  <si>
    <t>PERRIGO CO PLC</t>
  </si>
  <si>
    <t>PRUDENTIAL FINANCIAL INC</t>
  </si>
  <si>
    <t>PUBLIC STORAGE</t>
  </si>
  <si>
    <t>PHILLIPS 66</t>
  </si>
  <si>
    <t>PVH CORP</t>
  </si>
  <si>
    <t>QUANTA SERVICES INC</t>
  </si>
  <si>
    <t>PRAXAIR INC</t>
  </si>
  <si>
    <t>PIONEER NATURAL RESOURCES CO</t>
  </si>
  <si>
    <t>PAYPAL HOLDINGS INC</t>
  </si>
  <si>
    <t>QUINTILES IMS HOLDINGS INC</t>
  </si>
  <si>
    <t>QUALCOMM INC</t>
  </si>
  <si>
    <t>QORVO INC</t>
  </si>
  <si>
    <t>ROYAL CARIBBEAN CRUISES LTD</t>
  </si>
  <si>
    <t>EVEREST RE GROUP LTD</t>
  </si>
  <si>
    <t>REGENCY CENTERS CORP</t>
  </si>
  <si>
    <t>REGENERON PHARMACEUTICALS</t>
  </si>
  <si>
    <t>REGIONS FINANCIAL CORP</t>
  </si>
  <si>
    <t>ROBERT HALF INTL INC</t>
  </si>
  <si>
    <t>RED HAT INC</t>
  </si>
  <si>
    <t>RAYMOND JAMES FINANCIAL INC</t>
  </si>
  <si>
    <t>RALPH LAUREN CORP</t>
  </si>
  <si>
    <t>RESMED INC</t>
  </si>
  <si>
    <t>ROCKWELL AUTOMATION INC</t>
  </si>
  <si>
    <t>ROPER TECHNOLOGIES INC</t>
  </si>
  <si>
    <t>ROSS STORES INC</t>
  </si>
  <si>
    <t>RANGE RESOURCES CORP</t>
  </si>
  <si>
    <t>REPUBLIC SERVICES INC</t>
  </si>
  <si>
    <t>RAYTHEON COMPANY</t>
  </si>
  <si>
    <t>SBA COMMUNICATIONS CORP</t>
  </si>
  <si>
    <t>STARBUCKS CORP</t>
  </si>
  <si>
    <t>SCANA CORP</t>
  </si>
  <si>
    <t>SCHWAB (CHARLES) CORP</t>
  </si>
  <si>
    <t>SEALED AIR CORP</t>
  </si>
  <si>
    <t>SHERWIN-WILLIAMS CO/THE</t>
  </si>
  <si>
    <t>SIGNET JEWELERS LTD</t>
  </si>
  <si>
    <t>JM SMUCKER CO/THE</t>
  </si>
  <si>
    <t>SCHLUMBERGER LTD</t>
  </si>
  <si>
    <t>SL GREEN REALTY CORP</t>
  </si>
  <si>
    <t>SNAP-ON INC</t>
  </si>
  <si>
    <t>SCRIPPS NETWORKS INTER-CL A</t>
  </si>
  <si>
    <t>SYNOPSYS INC</t>
  </si>
  <si>
    <t>SOUTHERN CO/THE</t>
  </si>
  <si>
    <t>SIMON PROPERTY GROUP INC</t>
  </si>
  <si>
    <t>S&amp;P GLOBAL INC</t>
  </si>
  <si>
    <t>STERICYCLE INC</t>
  </si>
  <si>
    <t>SEMPRA ENERGY</t>
  </si>
  <si>
    <t>SUNTRUST BANKS INC</t>
  </si>
  <si>
    <t>STATE STREET CORP</t>
  </si>
  <si>
    <t>SEAGATE TECHNOLOGY</t>
  </si>
  <si>
    <t>CONSTELLATION BRANDS INC-A</t>
  </si>
  <si>
    <t>STANLEY BLACK &amp; DECKER INC</t>
  </si>
  <si>
    <t>SKYWORKS SOLUTIONS INC</t>
  </si>
  <si>
    <t>SYNCHRONY FINANCIAL</t>
  </si>
  <si>
    <t>STRYKER CORP</t>
  </si>
  <si>
    <t>SYMANTEC CORP</t>
  </si>
  <si>
    <t>SYSCO CORP</t>
  </si>
  <si>
    <t>AT&amp;T INC</t>
  </si>
  <si>
    <t>MOLSON COORS BREWING CO -B</t>
  </si>
  <si>
    <t>TRANSDIGM GROUP INC</t>
  </si>
  <si>
    <t>TE CONNECTIVITY LTD</t>
  </si>
  <si>
    <t>TARGET CORP</t>
  </si>
  <si>
    <t>TIFFANY &amp; CO</t>
  </si>
  <si>
    <t>TJX COMPANIES INC</t>
  </si>
  <si>
    <t>TORCHMARK CORP</t>
  </si>
  <si>
    <t>THERMO FISHER SCIENTIFIC INC</t>
  </si>
  <si>
    <t>TRIPADVISOR INC</t>
  </si>
  <si>
    <t>T ROWE PRICE GROUP INC</t>
  </si>
  <si>
    <t>TRAVELERS COS INC/THE</t>
  </si>
  <si>
    <t>TRACTOR SUPPLY COMPANY</t>
  </si>
  <si>
    <t>TYSON FOODS INC-CL A</t>
  </si>
  <si>
    <t>TOTAL SYSTEM SERVICES INC</t>
  </si>
  <si>
    <t>TIME WARNER INC</t>
  </si>
  <si>
    <t>TEXAS INSTRUMENTS INC</t>
  </si>
  <si>
    <t>TEXTRON INC</t>
  </si>
  <si>
    <t>UNDER ARMOUR INC-CLASS C</t>
  </si>
  <si>
    <t>UNDER ARMOUR INC-CLASS A</t>
  </si>
  <si>
    <t>UNITED CONTINENTAL HOLDINGS</t>
  </si>
  <si>
    <t>UDR INC</t>
  </si>
  <si>
    <t>UNIVERSAL HEALTH SERVICES-B</t>
  </si>
  <si>
    <t>ULTA BEAUTY INC</t>
  </si>
  <si>
    <t>UNITEDHEALTH GROUP INC</t>
  </si>
  <si>
    <t>UNUM GROUP</t>
  </si>
  <si>
    <t>UNION PACIFIC CORP</t>
  </si>
  <si>
    <t>UNITED PARCEL SERVICE-CL B</t>
  </si>
  <si>
    <t>UNITED RENTALS INC</t>
  </si>
  <si>
    <t>US BANCORP</t>
  </si>
  <si>
    <t>UNITED TECHNOLOGIES CORP</t>
  </si>
  <si>
    <t>VISA INC-CLASS A SHARES</t>
  </si>
  <si>
    <t>VARIAN MEDICAL SYSTEMS INC</t>
  </si>
  <si>
    <t>VF CORP</t>
  </si>
  <si>
    <t>VIACOM INC-CLASS B</t>
  </si>
  <si>
    <t>VALERO ENERGY CORP</t>
  </si>
  <si>
    <t>VULCAN MATERIALS CO</t>
  </si>
  <si>
    <t>VORNADO REALTY TRUST</t>
  </si>
  <si>
    <t>VERISK ANALYTICS INC</t>
  </si>
  <si>
    <t>VERISIGN INC</t>
  </si>
  <si>
    <t>VERTEX PHARMACEUTICALS INC</t>
  </si>
  <si>
    <t>VENTAS INC</t>
  </si>
  <si>
    <t>VERIZON COMMUNICATIONS INC</t>
  </si>
  <si>
    <t>WATERS CORP</t>
  </si>
  <si>
    <t>WALGREENS BOOTS ALLIANCE INC</t>
  </si>
  <si>
    <t>WESTERN DIGITAL CORP</t>
  </si>
  <si>
    <t>WEC ENERGY GROUP INC</t>
  </si>
  <si>
    <t>WELLS FARGO &amp; CO</t>
  </si>
  <si>
    <t>WHIRLPOOL CORP</t>
  </si>
  <si>
    <t>WILLIS TOWERS WATSON PLC</t>
  </si>
  <si>
    <t>WASTE MANAGEMENT INC</t>
  </si>
  <si>
    <t>WILLIAMS COS INC</t>
  </si>
  <si>
    <t>WAL-MART STORES INC</t>
  </si>
  <si>
    <t>WESTROCK CO</t>
  </si>
  <si>
    <t>WESTERN UNION CO</t>
  </si>
  <si>
    <t>WEYERHAEUSER CO</t>
  </si>
  <si>
    <t>WYNDHAM WORLDWIDE CORP</t>
  </si>
  <si>
    <t>WYNN RESORTS LTD</t>
  </si>
  <si>
    <t>CIMAREX ENERGY CO</t>
  </si>
  <si>
    <t>XCEL ENERGY INC</t>
  </si>
  <si>
    <t>XL GROUP LTD</t>
  </si>
  <si>
    <t>XILINX INC</t>
  </si>
  <si>
    <t>EXXON MOBIL CORP</t>
  </si>
  <si>
    <t>DENTSPLY SIRONA INC</t>
  </si>
  <si>
    <t>XEROX CORP</t>
  </si>
  <si>
    <t>XYLEM INC</t>
  </si>
  <si>
    <t>YUM! BRANDS INC</t>
  </si>
  <si>
    <t>ZIMMER BIOMET HOLDINGS INC</t>
  </si>
  <si>
    <t>ZIONS BANCORPORATION</t>
  </si>
  <si>
    <t>ZOETIS INC</t>
  </si>
  <si>
    <t>ADBE</t>
    <phoneticPr fontId="5" type="noConversion"/>
  </si>
  <si>
    <t>AC N</t>
    <phoneticPr fontId="5" type="noConversion"/>
  </si>
  <si>
    <t>BF.B</t>
    <phoneticPr fontId="5" type="noConversion"/>
  </si>
  <si>
    <t>HOLX</t>
    <phoneticPr fontId="5" type="noConversion"/>
  </si>
  <si>
    <t>NLSN</t>
    <phoneticPr fontId="5" type="noConversion"/>
  </si>
  <si>
    <t>NOC</t>
    <phoneticPr fontId="5" type="noConversion"/>
  </si>
  <si>
    <t>ETFId</t>
  </si>
  <si>
    <t>API位置</t>
  </si>
  <si>
    <t>發行商</t>
  </si>
  <si>
    <t>富邦投信</t>
  </si>
  <si>
    <t>http://websys.fsit.com.tw/FubonETF/Trade/FundInvestJson.aspx?stkId=00654R&amp;checkSum=37815</t>
  </si>
  <si>
    <t>元大投信</t>
  </si>
  <si>
    <t>群益投信</t>
  </si>
  <si>
    <t>http://websys.fsit.com.tw/FubonETF/Trade/FundInvestJson.aspx?stkId=006205&amp;checkSum=37815</t>
  </si>
  <si>
    <t>http://websys.fsit.com.tw/FubonETF/Trade/FundInvestJson.aspx?stkId=00625K&amp;checkSum=37815</t>
  </si>
  <si>
    <t>http://websys.fsit.com.tw/FubonETF/Trade/FundInvestJson.aspx?stkId=00639&amp;checkSum=37815</t>
  </si>
  <si>
    <t>http://websys.fsit.com.tw/FubonETF/Trade/FundInvestJson.aspx?stkId=00633L&amp;checkSum=37815</t>
  </si>
  <si>
    <t>http://websys.fsit.com.tw/FubonETF/Trade/FundInvestJson.aspx?stkId=00634R&amp;checkSum=37815</t>
  </si>
  <si>
    <t>http://websys.fsit.com.tw/FubonETF/Trade/FundInvestJson.aspx?stkId=00665L&amp;checkSum=37815</t>
  </si>
  <si>
    <t>http://websys.fsit.com.tw/FubonETF/Trade/FundInvestJson.aspx?stkId=00666R&amp;checkSum=37815</t>
  </si>
  <si>
    <t>http://websys.fsit.com.tw/FubonETF/Trade/FundInvestJson.aspx?stkId=00652&amp;checkSum=37815</t>
  </si>
  <si>
    <t>國泰投信</t>
  </si>
  <si>
    <t>https://www.cathaysite.com.tw/funds/etf/etf_ws.asmx/GetFundAssetsByStock?_stock_code=00655L</t>
  </si>
  <si>
    <t>http://websys.fsit.com.tw/FubonETF/Trade/FundInvestJson.aspx?stkId=00645&amp;checkSum=37815</t>
  </si>
  <si>
    <t>http://websys.fsit.com.tw/FubonETF/Trade/FundInvestJson.aspx?stkId=00640L&amp;checkSum=37815</t>
  </si>
  <si>
    <t>http://websys.fsit.com.tw/FubonETF/Trade/FundInvestJson.aspx?stkId=00641R&amp;checkSum=37815</t>
  </si>
  <si>
    <t>http://websys.fsit.com.tw/FubonETF/Trade/FundInvestJson.aspx?stkId=00662&amp;checkSum=37815</t>
  </si>
  <si>
    <t>https://www.cathaysite.com.tw/funds/etf/etf_ws.asmx/GetFundAssetsByStock?_stock_code=00656R</t>
  </si>
  <si>
    <t>https://www.cathaysite.com.tw/funds/etf/etf_ws.asmx/GetFundAssetsByStock?_stock_code=00657</t>
  </si>
  <si>
    <t>https://www.cathaysite.com.tw/funds/etf/etf_ws.asmx/GetFundAssetsByStock?_stock_code=00658L</t>
  </si>
  <si>
    <t>http://websys.fsit.com.tw/FubonETF/Trade/FundInvestJson.aspx?stkId=0052&amp;checkSum=37815</t>
  </si>
  <si>
    <t>http://websys.fsit.com.tw/FubonETF/Trade/FundInvestJson.aspx?stkId=0057&amp;checkSum=37815</t>
  </si>
  <si>
    <t>http://websys.fsit.com.tw/FubonETF/Trade/FundInvestJson.aspx?stkId=0058&amp;checkSum=37815</t>
  </si>
  <si>
    <t>http://websys.fsit.com.tw/FubonETF/Trade/FundInvestJson.aspx?stkId=0059&amp;checkSum=37815</t>
  </si>
  <si>
    <t>https://www.cathaysite.com.tw/funds/etf/etf_ws.asmx/GetFundAssetsByStock?_stock_code=00659R</t>
  </si>
  <si>
    <t>https://www.cathaysite.com.tw/funds/etf/etf_ws.asmx/GetFundAssetsByStock?_stock_code=00663L</t>
  </si>
  <si>
    <t>https://www.cathaysite.com.tw/funds/etf/etf_ws.asmx/GetFundAssetsByStock?_stock_code=00664R</t>
  </si>
  <si>
    <t>復華投信</t>
  </si>
  <si>
    <t>http://www.fhtrust.com.tw/funds/fund_intro_ETF_pcf.asp?QueryFund=ETF03</t>
  </si>
  <si>
    <t>http://www.fhtrust.com.tw/funds/fund_intro_ETF_pcf.asp?QueryFund=ETF04</t>
  </si>
  <si>
    <t>http://www.yuantaetfs.com/api/Orders?fundid=1082</t>
  </si>
  <si>
    <t>http://www.yuantaetfs.com/api/Orders?fundid=1083</t>
  </si>
  <si>
    <t>http://www.yuantaetfs.com/api/Orders?fundid=1084</t>
  </si>
  <si>
    <t>http://www.yuantaetfs.com/api/Orders?fundid=1090</t>
  </si>
  <si>
    <t>http://www.yuantaetfs.com/api/Orders?fundid=1099</t>
  </si>
  <si>
    <t>http://www.yuantaetfs.com/api/Orders?fundid=1103</t>
  </si>
  <si>
    <t>http://www.yuantaetfs.com/api/Orders?fundid=1106</t>
  </si>
  <si>
    <t>http://www.yuantaetfs.com/api/Orders?fundid=1116</t>
  </si>
  <si>
    <t>http://www.yuantaetfs.com/api/Orders?fundid=1117</t>
  </si>
  <si>
    <t>http://www.yuantaetfs.com/api/Orders?fundid=1120</t>
  </si>
  <si>
    <t>http://www.yuantaetfs.com/api/Orders?fundid=1121</t>
  </si>
  <si>
    <t>http://www.yuantaetfs.com/api/Orders?fundid=1129</t>
  </si>
  <si>
    <t>http://www.yuantaetfs.com/api/Orders?fundid=1130</t>
  </si>
  <si>
    <t>http://www.yuantaetfs.com/api/Orders?fundid=1131</t>
  </si>
  <si>
    <t>http://www.yuantaetfs.com/api/Orders?fundid=1144</t>
  </si>
  <si>
    <t>http://www.yuantaetfs.com/api/Orders?fundid=1145</t>
  </si>
  <si>
    <t>http://www.yuantaetfs.com/api/Orders?fundid=2004</t>
  </si>
  <si>
    <t>http://www.yuantaetfs.com/api/Orders?fundid=2005</t>
  </si>
  <si>
    <t>https://www.cathaysite.com.tw/funds/etf/etf_ws.asmx/GetFundAssetsByStock?_stock_code=00668</t>
  </si>
  <si>
    <t>https://www.cathaysite.com.tw/funds/etf/etf_ws.asmx/GetFundAssetsByStock?_stock_code=00669R</t>
  </si>
  <si>
    <t>http://www.yuantaetfs.com/api/Orders?fundid=1148</t>
  </si>
  <si>
    <t>http://www.yuantaetfs.com/api/Orders?fundid=2007</t>
  </si>
  <si>
    <t>http://www.yuantaetfs.com/api/Orders?fundid=2008</t>
  </si>
  <si>
    <t>http://websys.fsit.com.tw/FubonETF/Trade/FundInvestJson.aspx?stkId=00675L&amp;checkSum=37815</t>
  </si>
  <si>
    <t>http://websys.fsit.com.tw/FubonETF/Trade/FundInvestJson.aspx?stkId=00676R&amp;checkSum=37815</t>
  </si>
  <si>
    <t>http://websys.fsit.com.tw/FubonETF/Trade/FundInvestJson.aspx?stkId=00677U&amp;checkSum=37815</t>
  </si>
  <si>
    <t>兆豐投信</t>
  </si>
  <si>
    <t>http://www.megafunds.com.tw/ETF/api/Orders/X002</t>
  </si>
  <si>
    <t>https://www.cathaysite.com.tw/funds/etf/etf_ws.asmx/GetFundAssetsByStock?_stock_code=00687B</t>
  </si>
  <si>
    <t>https://www.cathaysite.com.tw/funds/etf/etf_ws.asmx/GetFundAssetsByStock?_stock_code=00688L</t>
  </si>
  <si>
    <t>https://www.cathaysite.com.tw/funds/etf/etf_ws.asmx/GetFundAssetsByStock?_stock_code=00689R</t>
  </si>
  <si>
    <t>http://websys.fsit.com.tw/FubonETF/Trade/FundInvestJson.aspx?stkId=00692&amp;checkSum=37815</t>
  </si>
  <si>
    <t>台新投信</t>
  </si>
  <si>
    <t>http://www.yuantaetfs.com/api/StkWeights?date=&amp;fundid=1081</t>
  </si>
  <si>
    <t>http://www.yuantaetfs.com/api/StkWeights?date=&amp;fundid=1090</t>
  </si>
  <si>
    <t>http://www.yuantaetfs.com/api/FutWeights?date=&amp;fundid=1090</t>
  </si>
  <si>
    <t>http://www.yuantaetfs.com/api/EtfWeights?date=&amp;fundid=1090</t>
  </si>
  <si>
    <t>http://www.yuantaetfs.com/api/Composition?fundid=1099</t>
  </si>
  <si>
    <t>http://www.yuantaetfs.com/api/Composition?fundid=1103</t>
  </si>
  <si>
    <t>http://www.yuantaetfs.com/api/StkWeights?date=&amp;fundid=1106</t>
  </si>
  <si>
    <t>http://www.yuantaetfs.com/api/FutWeights?date=&amp;fundid=1106</t>
  </si>
  <si>
    <t>http://www.yuantaetfs.com/api/EtfWeights?date=&amp;fundid=1106</t>
  </si>
  <si>
    <t>http://www.yuantaetfs.com/api/StkWeights?date=&amp;fundid=1116</t>
  </si>
  <si>
    <t>http://www.yuantaetfs.com/api/FutWeights?date=&amp;fundid=1116</t>
  </si>
  <si>
    <t>http://www.yuantaetfs.com/api/EtfWeights?date=&amp;fundid=1116</t>
  </si>
  <si>
    <t>http://www.yuantaetfs.com/api/StkWeights?date=&amp;fundid=1117</t>
  </si>
  <si>
    <t>http://www.yuantaetfs.com/api/FutWeights?date=&amp;fundid=1117</t>
  </si>
  <si>
    <t>http://www.yuantaetfs.com/api/EtfWeights?date=&amp;fundid=1117</t>
  </si>
  <si>
    <t>http://www.yuantaetfs.com/api/StkWeights?date=&amp;fundid=1120</t>
  </si>
  <si>
    <t>http://www.yuantaetfs.com/api/FutWeights?date=&amp;fundid=1120</t>
  </si>
  <si>
    <t>http://www.yuantaetfs.com/api/EtfWeights?date=&amp;fundid=1120</t>
  </si>
  <si>
    <t>http://www.yuantaetfs.com/api/StkWeights?date=&amp;fundid=1121</t>
  </si>
  <si>
    <t>http://www.yuantaetfs.com/api/FutWeights?date=&amp;fundid=1121</t>
  </si>
  <si>
    <t>http://www.yuantaetfs.com/api/EtfWeights?date=&amp;fundid=1121</t>
  </si>
  <si>
    <t>http://www.yuantaetfs.com/api/StkWeights?date=&amp;fundid=1129</t>
  </si>
  <si>
    <t>http://www.yuantaetfs.com/api/FutWeights?date=&amp;fundid=1129</t>
  </si>
  <si>
    <t>http://www.yuantaetfs.com/api/EtfWeights?date=&amp;fundid=1129</t>
  </si>
  <si>
    <t>http://www.yuantaetfs.com/api/StkWeights?date=&amp;fundid=1130</t>
  </si>
  <si>
    <t>http://www.yuantaetfs.com/api/FutWeights?date=&amp;fundid=1130</t>
  </si>
  <si>
    <t>http://www.yuantaetfs.com/api/EtfWeights?date=&amp;fundid=1130</t>
  </si>
  <si>
    <t>http://www.yuantaetfs.com/api/StkWeights?date=&amp;fundid=1131</t>
  </si>
  <si>
    <t>http://www.yuantaetfs.com/api/FutWeights?date=&amp;fundid=1131</t>
  </si>
  <si>
    <t>http://www.yuantaetfs.com/api/EtfWeights?date=&amp;fundid=1131</t>
  </si>
  <si>
    <t>http://www.yuantaetfs.com/api/StkWeights?date=&amp;fundid=1144</t>
  </si>
  <si>
    <t>http://www.yuantaetfs.com/api/FutWeights?date=&amp;fundid=1144</t>
  </si>
  <si>
    <t>http://www.yuantaetfs.com/api/EtfWeights?date=&amp;fundid=1144</t>
  </si>
  <si>
    <t>http://www.yuantaetfs.com/api/StkWeights?date=&amp;fundid=1145</t>
  </si>
  <si>
    <t>http://www.yuantaetfs.com/api/FutWeights?date=&amp;fundid=1145</t>
  </si>
  <si>
    <t>http://www.yuantaetfs.com/api/EtfWeights?date=&amp;fundid=1145</t>
  </si>
  <si>
    <t>http://www.yuantaetfs.com/api/StkWeights?date=&amp;fundid=2004</t>
  </si>
  <si>
    <t>http://www.yuantaetfs.com/api/FutWeights?date=&amp;fundid=2004</t>
  </si>
  <si>
    <t>http://www.yuantaetfs.com/api/EtfWeights?date=&amp;fundid=2004</t>
  </si>
  <si>
    <t>http://www.yuantaetfs.com/api/StkWeights?date=&amp;fundid=2005</t>
  </si>
  <si>
    <t>http://www.yuantaetfs.com/api/FutWeights?date=&amp;fundid=2005</t>
  </si>
  <si>
    <t>http://www.yuantaetfs.com/api/EtfWeights?date=&amp;fundid=2005</t>
  </si>
  <si>
    <t>https://www.cathaysite.com.tw/funds/etf/etf_ws.asmx/GetFundAssetsByStock?_stock_code=00636</t>
  </si>
  <si>
    <t>http://websys.fsit.com.tw/FubonETF/Trade/FundInvestJson.aspx?stkId=00653L&amp;checkSum=37815</t>
  </si>
  <si>
    <t>http://websys.fsit.com.tw/FubonETF/Trade/FundInvestJson.aspx?stkId=006208&amp;checkSum=37815</t>
  </si>
  <si>
    <t>http://www.fhtrust.com.tw/funds/fund_intro_ETF_FundAsset.asp?QueryFund=ETF01</t>
  </si>
  <si>
    <t>http://www.yuantaetfs.com/api/StkWeights?date=&amp;fundid=1148</t>
  </si>
  <si>
    <t>https://www.capitalfund.com.tw/ETFAPI/pcdstock?etfcode=00643</t>
  </si>
  <si>
    <t>https://www.capitalfund.com.tw/ETFAPI/pcdfutures?etfcode=00643</t>
  </si>
  <si>
    <t>http://www.fhtrust.com.tw/funds/fund_intro_ETF_FundAsset.asp?QueryFund=ETF02</t>
  </si>
  <si>
    <t>http://www.fhtrust.com.tw/funds/fund_intro_ETF_FundAsset.asp?QueryFund=ETF03</t>
  </si>
  <si>
    <t>http://www.fhtrust.com.tw/funds/fund_intro_ETF_FundAsset.asp?QueryFund=ETF04</t>
  </si>
  <si>
    <t>http://www.yuantaetfs.com/api/StkWeights?date=&amp;fundid=1066</t>
  </si>
  <si>
    <t>http://www.yuantaetfs.com/api/FutWeights?date=&amp;fundid=1066</t>
  </si>
  <si>
    <t>http://www.yuantaetfs.com/api/EtfWeights?date=&amp;fundid=1066</t>
  </si>
  <si>
    <t>http://www.yuantaetfs.com/api/StkWeights?date=&amp;fundid=1078</t>
  </si>
  <si>
    <t>http://www.yuantaetfs.com/api/FutWeights?date=&amp;fundid=1078</t>
  </si>
  <si>
    <t>http://www.yuantaetfs.com/api/EtfWeights?date=&amp;fundid=1078</t>
  </si>
  <si>
    <t>http://www.yuantaetfs.com/api/FutWeights?date=&amp;fundid=1081</t>
  </si>
  <si>
    <t>http://www.yuantaetfs.com/api/EtfWeights?date=&amp;fundid=1081</t>
  </si>
  <si>
    <t>http://www.yuantaetfs.com/api/StkWeights?date=&amp;fundid=1082</t>
  </si>
  <si>
    <t>http://www.yuantaetfs.com/api/FutWeights?date=&amp;fundid=1082</t>
  </si>
  <si>
    <t>http://www.yuantaetfs.com/api/EtfWeights?date=&amp;fundid=1082</t>
  </si>
  <si>
    <t>http://www.yuantaetfs.com/api/StkWeights?date=&amp;fundid=1083</t>
  </si>
  <si>
    <t>http://www.yuantaetfs.com/api/FutWeights?date=&amp;fundid=1083</t>
  </si>
  <si>
    <t>http://www.yuantaetfs.com/api/EtfWeights?date=&amp;fundid=1083</t>
  </si>
  <si>
    <t>http://www.yuantaetfs.com/api/StkWeights?date=&amp;fundid=1084</t>
  </si>
  <si>
    <t>http://www.yuantaetfs.com/api/FutWeights?date=&amp;fundid=1084</t>
  </si>
  <si>
    <t>http://www.yuantaetfs.com/api/EtfWeights?date=&amp;fundid=1084</t>
  </si>
  <si>
    <t>http://www.yuantaetfs.com/api/FutWeights?date=&amp;fundid=1148</t>
  </si>
  <si>
    <t>http://www.yuantaetfs.com/api/EtfWeights?date=&amp;fundid=1148</t>
  </si>
  <si>
    <t>http://www.yuantaetfs.com/api/StkWeights?date=&amp;fundid=2006</t>
  </si>
  <si>
    <t>http://www.yuantaetfs.com/api/FutWeights?date=&amp;fundid=2006</t>
  </si>
  <si>
    <t>http://www.yuantaetfs.com/api/EtfWeights?date=&amp;fundid=2006</t>
  </si>
  <si>
    <t>http://www.yuantaetfs.com/api/StkWeights?date=&amp;fundid=2007</t>
  </si>
  <si>
    <t>http://www.yuantaetfs.com/api/FutWeights?date=&amp;fundid=2007</t>
  </si>
  <si>
    <t>http://www.yuantaetfs.com/api/EtfWeights?date=&amp;fundid=2007</t>
  </si>
  <si>
    <t>http://www.yuantaetfs.com/api/StkWeights?date=&amp;fundid=2008</t>
  </si>
  <si>
    <t>http://www.yuantaetfs.com/api/FutWeights?date=&amp;fundid=2008</t>
  </si>
  <si>
    <t>http://www.yuantaetfs.com/api/EtfWeights?date=&amp;fundid=2008</t>
  </si>
  <si>
    <t>https://www.capitalfund.com.tw/ETFAPI/pcdstock?etfcode=00678</t>
  </si>
  <si>
    <t>https://www.capitalfund.com.tw/ETFAPI/pcdfutures?etfcode=00678</t>
  </si>
  <si>
    <t>https://www.capitalfund.com.tw/ETFAPI/pcdstock?etfcode=00685L</t>
  </si>
  <si>
    <t>https://www.capitalfund.com.tw/ETFAPI/pcdfutures?etfcode=00685L</t>
  </si>
  <si>
    <t>https://www.capitalfund.com.tw/ETFAPI/pcdstock?etfcode=00686R</t>
  </si>
  <si>
    <t>https://www.capitalfund.com.tw/ETFAPI/pcdfutures?etfcode=00686R</t>
  </si>
  <si>
    <t>http://www.megafunds.com.tw/ETF/api/StkWeights/X001/</t>
  </si>
  <si>
    <t>http://www.megafunds.com.tw/ETF/api/FutWeights/X001/</t>
  </si>
  <si>
    <t>http://www.megafunds.com.tw/ETF/api/StkWeights/X002/</t>
  </si>
  <si>
    <t>http://www.megafunds.com.tw/ETF/api/FutWeights/X002/</t>
  </si>
  <si>
    <t>http://www.yuantaetfs.com/api/PCF/get?etfid=00635U</t>
  </si>
  <si>
    <t>http://www.tsit.com.tw/api/pcd?etfcode=00705R</t>
  </si>
  <si>
    <t>http://www.tsit.com.tw/api/pcd?etfcode=00703</t>
  </si>
  <si>
    <t>http://www.yuantaetfs.com/api/PCF/get?etfid=00672L</t>
  </si>
  <si>
    <t>http://www.yuantaetfs.com/api/PCF/get?etfid=00673R</t>
  </si>
  <si>
    <t>http://www.yuantaetfs.com/api/PCF/get?etfid=00674R</t>
  </si>
  <si>
    <t>http://www.yuantaetfs.com/api/PCF/get?etfid=00642U</t>
  </si>
  <si>
    <t>http://www.tsit.com.tw/api/pcd?etfcode=00704L</t>
  </si>
  <si>
    <t>http://websys.fsit.com.tw/FubonETF/Trade/FundInvestJson.aspx?stkId=00653L&amp;checkSum=37815</t>
    <phoneticPr fontId="23" type="noConversion"/>
  </si>
  <si>
    <t>http://www.yuantaetfs.com/api/Orders?fundid=1066</t>
    <phoneticPr fontId="23" type="noConversion"/>
  </si>
  <si>
    <t>https://www.capitalfund.com.tw/ETFAPI/pcf?etfcode=00643&amp;qdate=2017/09/27</t>
    <phoneticPr fontId="5" type="noConversion"/>
  </si>
  <si>
    <t>http://websys.fsit.com.tw/FubonETF/Trade/FundInvestJson.aspx?stkId=006208&amp;checkSum=37815</t>
    <phoneticPr fontId="23" type="noConversion"/>
  </si>
  <si>
    <t>http://websys.fsit.com.tw/FubonETF/Trade/FundInvestJson.aspx?stkId=006205&amp;checkSum=37815</t>
    <phoneticPr fontId="5" type="noConversion"/>
  </si>
  <si>
    <t>http://websys.fsit.com.tw/FubonETF/Trade/FundInvestJson.aspx?stkId=00625K&amp;checkSum=37815</t>
    <phoneticPr fontId="5" type="noConversion"/>
  </si>
  <si>
    <t>http://websys.fsit.com.tw/FubonETF/Trade/FundInvestJson.aspx?stkId=00639&amp;checkSum=37815</t>
    <phoneticPr fontId="5" type="noConversion"/>
  </si>
  <si>
    <t>https://www.cathaysite.com.tw/funds/etf/etf_ws.asmx/GetFundAssetsByStock?_stock_code=00636</t>
    <phoneticPr fontId="23" type="noConversion"/>
  </si>
  <si>
    <t>655L</t>
    <phoneticPr fontId="5" type="noConversion"/>
  </si>
  <si>
    <t>https://www.cathaysite.com.tw/funds/etf/etf_ws.asmx/GetFundAssetsByStock?_stock_code=00655L</t>
    <phoneticPr fontId="5" type="noConversion"/>
  </si>
  <si>
    <t>656L</t>
    <phoneticPr fontId="5" type="noConversion"/>
  </si>
  <si>
    <t>https://www.cathaysite.com.tw/funds/etf/etf_ws.asmx/GetFundAssetsByStock?_stock_code=00656R</t>
    <phoneticPr fontId="5" type="noConversion"/>
  </si>
  <si>
    <t>http://websys.fsit.com.tw/FubonETF/Trade/FundInvestJson.aspx?stkId=00645&amp;checkSum=37815</t>
    <phoneticPr fontId="5" type="noConversion"/>
  </si>
  <si>
    <t>http://websys.fsit.com.tw/FubonETF/Trade/FundInvestJson.aspx?stkId=00640L&amp;checkSum=37815</t>
    <phoneticPr fontId="5" type="noConversion"/>
  </si>
  <si>
    <t>http://www.yuantaetfs.com/api/Orders?fundid=1078</t>
    <phoneticPr fontId="5" type="noConversion"/>
  </si>
  <si>
    <t>http://www.fhtrust.com.tw/funds/fund_intro_ETF_pcf.asp?QueryFund=ETF01</t>
    <phoneticPr fontId="5" type="noConversion"/>
  </si>
  <si>
    <t>http://www.fhtrust.com.tw/funds/fund_intro_ETF_pcf.asp?QueryFund=ETF02</t>
    <phoneticPr fontId="5" type="noConversion"/>
  </si>
  <si>
    <t>http://www.yuantaetfs.com/api/Orders?fundid=1081</t>
    <phoneticPr fontId="5" type="noConversion"/>
  </si>
  <si>
    <t>https://www.cathaysite.com.tw/funds/etf/etf_ws.asmx/GetFundAssetsByStock?_stock_code=00668</t>
    <phoneticPr fontId="5" type="noConversion"/>
  </si>
  <si>
    <t>https://www.cathaysite.com.tw/funds/etf/etf_ws.asmx/GetFundAssetsByStock?_stock_code=00669R</t>
    <phoneticPr fontId="5" type="noConversion"/>
  </si>
  <si>
    <t>http://www.yuantaetfs.com/api/Orders?fundid=2006</t>
    <phoneticPr fontId="5" type="noConversion"/>
  </si>
  <si>
    <t>http://websys.fsit.com.tw/FubonETF/Trade/FundInvestJson.aspx?stkId=00675L&amp;checkSum=37815</t>
    <phoneticPr fontId="5" type="noConversion"/>
  </si>
  <si>
    <t>http://websys.fsit.com.tw/FubonETF/Trade/FundInvestJson.aspx?stkId=00676R&amp;checkSum=37815</t>
    <phoneticPr fontId="5" type="noConversion"/>
  </si>
  <si>
    <t>http://websys.fsit.com.tw/FubonETF/Trade/FundInvestJson.aspx?stkId=00677U&amp;checkSum=37815</t>
    <phoneticPr fontId="5" type="noConversion"/>
  </si>
  <si>
    <t>http://www.megafunds.com.tw/ETF/api/Orders/X001</t>
    <phoneticPr fontId="5" type="noConversion"/>
  </si>
  <si>
    <t>691R</t>
    <phoneticPr fontId="5" type="noConversion"/>
  </si>
  <si>
    <t>https://www.capitalfund.com.tw/ETFAPI/pcf?etfcode=00685L&amp;qdate=2017/09/27</t>
    <phoneticPr fontId="5" type="noConversion"/>
  </si>
  <si>
    <t>https://www.capitalfund.com.tw/ETFAPI/pcf?etfcode=00686R&amp;qdate=2017/09/27</t>
    <phoneticPr fontId="5" type="noConversion"/>
  </si>
  <si>
    <t>http://www.megafunds.com.tw/ETF/api/Orders/X002</t>
    <phoneticPr fontId="5" type="noConversion"/>
  </si>
  <si>
    <t>https://www.cathaysite.com.tw/funds/etf/etf_ws.asmx/GetFundAssetsByStock?_stock_code=00687B</t>
    <phoneticPr fontId="5" type="noConversion"/>
  </si>
  <si>
    <t>https://www.cathaysite.com.tw/funds/etf/etf_ws.asmx/GetFundAssetsByStock?_stock_code=00688L</t>
    <phoneticPr fontId="5" type="noConversion"/>
  </si>
  <si>
    <t>https://www.cathaysite.com.tw/funds/etf/etf_ws.asmx/GetFundAssetsByStock?_stock_code=00689R</t>
    <phoneticPr fontId="5" type="noConversion"/>
  </si>
  <si>
    <t>http://websys.fsit.com.tw/FubonETF/Trade/FundInvestJson.aspx?stkId=00692&amp;checkSum=37815</t>
    <phoneticPr fontId="5" type="noConversion"/>
  </si>
  <si>
    <t>http://www.tsit.com.tw/api/pcf?etfcode=00703&amp;date=2017/09/27</t>
    <phoneticPr fontId="5" type="noConversion"/>
  </si>
  <si>
    <t>http://www.tsit.com.tw/api/pcf?etfcode=00704L&amp;date=2017/09/27</t>
    <phoneticPr fontId="5" type="noConversion"/>
  </si>
  <si>
    <t>http://www.tsit.com.tw/api/pcf?etfcode=00705R&amp;date=2017/09/27</t>
    <phoneticPr fontId="5" type="noConversion"/>
  </si>
  <si>
    <t>00693U</t>
    <phoneticPr fontId="5" type="noConversion"/>
  </si>
  <si>
    <t>http://www.paradigm-fund.com/ETF/PDLP.ashx?fundID=34</t>
    <phoneticPr fontId="5" type="noConversion"/>
  </si>
  <si>
    <t>華頓投信_黃豆</t>
    <phoneticPr fontId="5" type="noConversion"/>
  </si>
  <si>
    <r>
      <t>0</t>
    </r>
    <r>
      <rPr>
        <sz val="12"/>
        <rFont val="新細明體"/>
        <family val="1"/>
        <charset val="136"/>
      </rPr>
      <t>0713</t>
    </r>
    <phoneticPr fontId="0" type="noConversion"/>
  </si>
  <si>
    <t>淨資產價值&lt;=20億為0.45%20億&lt;淨資產價值&lt;=50億為0.35%50億&lt;淨資產價值為0.3%</t>
  </si>
  <si>
    <t>ETF基本資料表.追蹤指數中文名稱/每一期/最近/1/遞增/年//</t>
    <phoneticPr fontId="25" type="noConversion"/>
  </si>
  <si>
    <t>臺灣50指數</t>
  </si>
  <si>
    <t>臺灣中型100指數</t>
  </si>
  <si>
    <t>臺灣資訊科技指數</t>
  </si>
  <si>
    <t>電子類加權股價指數</t>
  </si>
  <si>
    <t>S&amp;P台商收成指數</t>
  </si>
  <si>
    <t>MSCI台灣金融指數</t>
  </si>
  <si>
    <t>臺灣高股息指數</t>
  </si>
  <si>
    <t>MSCI臺灣指數</t>
  </si>
  <si>
    <t>臺灣發達指數</t>
  </si>
  <si>
    <t>金融保險類股指數</t>
  </si>
  <si>
    <t>滬深300指數</t>
  </si>
  <si>
    <t>富櫃五十指數</t>
  </si>
  <si>
    <t>臺灣證券交易所發行量加權股價指數</t>
  </si>
  <si>
    <t>上証180指數</t>
  </si>
  <si>
    <t>上證50指數</t>
  </si>
  <si>
    <t>富時中國A50指數</t>
  </si>
  <si>
    <t>深証100指數</t>
  </si>
  <si>
    <t>深証中小板指數</t>
  </si>
  <si>
    <t>上証180兩倍槓桿指數</t>
  </si>
  <si>
    <t>上証180反向指數</t>
  </si>
  <si>
    <t>滬深300日報酬正向兩倍指數</t>
  </si>
  <si>
    <t>滬深300日報酬反向一倍指數</t>
  </si>
  <si>
    <t>富時中國A50兩倍槓桿指數</t>
  </si>
  <si>
    <t>富時中國A50反向指數</t>
  </si>
  <si>
    <t>標普高盛黃金ER指數</t>
  </si>
  <si>
    <t>標普高盛原油增強超額回報指數</t>
  </si>
  <si>
    <t>標普500指數</t>
  </si>
  <si>
    <t>標普500 2倍槓桿指數</t>
  </si>
  <si>
    <t>標普500反向指數</t>
  </si>
  <si>
    <t>NIFTY指數</t>
  </si>
  <si>
    <t>NIFTY正向2倍指數</t>
  </si>
  <si>
    <t>NIFTY反向1倍指數</t>
  </si>
  <si>
    <t>恒生指數</t>
  </si>
  <si>
    <t>恒指槓桿指數</t>
  </si>
  <si>
    <t>恒指短倉指數</t>
  </si>
  <si>
    <t>東証正向二倍指數</t>
  </si>
  <si>
    <t>東証反向一倍指數</t>
  </si>
  <si>
    <t>日經225</t>
  </si>
  <si>
    <t>富時日本單日正向2倍指數</t>
  </si>
  <si>
    <t>富時日本單日反向1倍指數</t>
  </si>
  <si>
    <t>歐洲 STOXX50 指數</t>
  </si>
  <si>
    <t>日經225指數</t>
  </si>
  <si>
    <t>NASDAQ-100 指數</t>
  </si>
  <si>
    <t>東證股價指數</t>
  </si>
  <si>
    <t>臺灣加權指數單日正向2倍指數</t>
  </si>
  <si>
    <t>臺灣證券交易所發行量加權股價日報酬反向一倍指數</t>
  </si>
  <si>
    <t>標普高盛原油日報酬正向兩倍ER指數</t>
  </si>
  <si>
    <t>標普高盛原油日報酬反向一倍ER指數</t>
  </si>
  <si>
    <t>標普高盛黃金日報酬反向一倍ER指數</t>
  </si>
  <si>
    <t>道瓊斯工業平均指數</t>
  </si>
  <si>
    <t>道瓊斯工業平均單日反向指數</t>
  </si>
  <si>
    <t>臺灣證券交易所發行量加權股價日報酬正向兩倍指數</t>
  </si>
  <si>
    <t>標普500波動率短期期貨ER指數</t>
  </si>
  <si>
    <t>那斯達克生技指數</t>
  </si>
  <si>
    <t>ICE美國政府20+年期債券指數</t>
  </si>
  <si>
    <t>ICE美國政府20+年期債券2倍槓桿指數</t>
  </si>
  <si>
    <t>ICE美國政府20+年期債券1倍反向指數</t>
  </si>
  <si>
    <t>NASDAQ-100反向1倍指數</t>
  </si>
  <si>
    <t>NASDAQ-100正向2倍指數</t>
  </si>
  <si>
    <t>藍籌30反向一倍指數</t>
  </si>
  <si>
    <t>藍籌30指數</t>
  </si>
  <si>
    <t>彭博巴克萊20年期(以上)美國公債指數</t>
  </si>
  <si>
    <t>彭博巴克萊20年期(以上)美國公債單日正向2倍指數</t>
  </si>
  <si>
    <t>彭博巴克萊20年期(以上)美國公債單日反向1倍指數</t>
  </si>
  <si>
    <t>標普高盛黃豆ER指數</t>
  </si>
  <si>
    <t>臺灣證券交易所公司治理100指數</t>
  </si>
  <si>
    <t>MSCI中國指數</t>
  </si>
  <si>
    <t>標普日圓期貨日報酬正向2倍ER指數</t>
  </si>
  <si>
    <t>標普日圓期貨日報酬反向1倍ER指數</t>
  </si>
  <si>
    <t>標普高盛黃金日報酬正向兩倍ER指數</t>
  </si>
  <si>
    <t>標普美元ER指數</t>
  </si>
  <si>
    <t>標普美元日報酬正向兩倍ER指數</t>
  </si>
  <si>
    <t>標普美元日報酬反向一倍ER指數</t>
  </si>
  <si>
    <t>ICE美國政府7-10年期債券指數</t>
  </si>
  <si>
    <t>恒生中國企業指數</t>
  </si>
  <si>
    <t>標普500低波動高股息指數</t>
  </si>
  <si>
    <t>富時發展歐洲指數</t>
  </si>
  <si>
    <t>彭博巴克萊1至5年期美元高收益債券(不含中國)發行量五億美元產業10%上限指數</t>
  </si>
  <si>
    <t>彭博巴克萊新興市場10年期以上美元投資等級債券(不含中國)國家10%上限指數</t>
  </si>
  <si>
    <t>富時NAREIT抵押權型不動產投資信託指數</t>
  </si>
  <si>
    <t>臺灣指數公司特選高股息低波動指數</t>
  </si>
  <si>
    <t>00715L</t>
    <phoneticPr fontId="0" type="noConversion"/>
  </si>
  <si>
    <t>00716R</t>
    <phoneticPr fontId="0" type="noConversion"/>
  </si>
  <si>
    <t>富邦台50</t>
  </si>
  <si>
    <t>富邦上証</t>
  </si>
  <si>
    <t>FH滬深</t>
  </si>
  <si>
    <t>國泰中國A50</t>
  </si>
  <si>
    <t>富邦深100</t>
  </si>
  <si>
    <t>群益深証中小</t>
  </si>
  <si>
    <t>富邦上証正2</t>
  </si>
  <si>
    <t>富邦上証反1</t>
  </si>
  <si>
    <t>國泰中國A50正2</t>
  </si>
  <si>
    <t>國泰中國A50反1</t>
  </si>
  <si>
    <t>富邦印度</t>
  </si>
  <si>
    <t>富邦印度正2</t>
  </si>
  <si>
    <t>富邦印度反1</t>
  </si>
  <si>
    <t>FH香港</t>
  </si>
  <si>
    <t>FH香港正2</t>
  </si>
  <si>
    <t>FH香港反1</t>
  </si>
  <si>
    <t>富邦日本正2</t>
  </si>
  <si>
    <t>富邦日本反1</t>
  </si>
  <si>
    <t>國泰日經225</t>
  </si>
  <si>
    <t>國泰日本正2</t>
  </si>
  <si>
    <t>國泰日本反1</t>
  </si>
  <si>
    <t>富邦NASDAQ</t>
  </si>
  <si>
    <t>富邦日本</t>
  </si>
  <si>
    <t>國泰臺灣加權正2</t>
  </si>
  <si>
    <t>國泰臺灣加權反1</t>
  </si>
  <si>
    <t>富邦H股正2</t>
  </si>
  <si>
    <t>富邦H股反1</t>
  </si>
  <si>
    <t>國泰美國道瓊</t>
  </si>
  <si>
    <t>國泰美國道瓊反1</t>
  </si>
  <si>
    <t>富邦臺灣加權正2</t>
  </si>
  <si>
    <t>富邦臺灣加權反1</t>
  </si>
  <si>
    <t>富邦VIX</t>
  </si>
  <si>
    <t>群益NBI生技</t>
  </si>
  <si>
    <t>富邦NASDAQ反1</t>
  </si>
  <si>
    <t>富邦NASDAQ正2</t>
  </si>
  <si>
    <t>群益臺灣加權正2</t>
  </si>
  <si>
    <t>群益臺灣加權反1</t>
  </si>
  <si>
    <t>兆豐藍籌30</t>
  </si>
  <si>
    <t>富邦公司治理</t>
  </si>
  <si>
    <t>富邦美債20年</t>
  </si>
  <si>
    <t>富邦H股</t>
  </si>
  <si>
    <t>富邦歐洲</t>
  </si>
  <si>
    <t>資產淨值API</t>
    <phoneticPr fontId="5" type="noConversion"/>
  </si>
  <si>
    <t>申購買回API</t>
    <phoneticPr fontId="5" type="noConversion"/>
  </si>
  <si>
    <t>網頁:</t>
  </si>
  <si>
    <t>83188:http://www.cam-hk.mdgms.com/iopv/nav.html?l=sc</t>
  </si>
  <si>
    <t>投信提供NAV:</t>
  </si>
  <si>
    <t>1.富邦網址:  http://websys.fsit.com.tw/fubonetf/TWSE/FubonRealtime.aspx</t>
  </si>
  <si>
    <t xml:space="preserve">   ETF: 006205、00625K、00639、00645、00652、00662</t>
  </si>
  <si>
    <t>2.復華網址: http://channel.ifund.com.tw/channel/data/etfInfo.ashx</t>
  </si>
  <si>
    <t xml:space="preserve">    ETF: 006207、00649</t>
  </si>
  <si>
    <t>3.元大網址: http://www.yuantaetfs.com/api/RtNav</t>
  </si>
  <si>
    <t xml:space="preserve">    ETF: 0061、006206、00646、00647L、00648R、00660、00661、00667、00679B</t>
  </si>
  <si>
    <t>4.國泰網址: https://www.cathaysite.com.tw/funds/etf/twse_inav.aspx</t>
  </si>
  <si>
    <t xml:space="preserve">   ETF: 00636、00668、00657</t>
  </si>
  <si>
    <t>5.群益網址: https://www.capitalfund.com.tw/ETFAPI/etf</t>
  </si>
  <si>
    <t xml:space="preserve">   ETF:00643、00643K、00678</t>
  </si>
  <si>
    <t>接投信提供WebAPI 的PCF自算淨值:</t>
  </si>
  <si>
    <t>1.富邦ETF:  00633L、00634R、00640L、00641R、00653L、00654R、00665L、00666R、00675L、00676R、00677U</t>
  </si>
  <si>
    <t xml:space="preserve">     網址:</t>
  </si>
  <si>
    <t>2.復華 ETF(網頁，未提供Werb API): 00650L、00651R</t>
  </si>
  <si>
    <t xml:space="preserve">    網址:</t>
  </si>
  <si>
    <t>http://www.fhtrust.com.tw/funds/fund_intro_ETF_pcf.asp?QueryFund=ETF03&amp;ShowDay=</t>
  </si>
  <si>
    <t>3.元大ETF: 00631L、00632R、00635U、00637L、00638R、00642U、00672L、00673R、00674R、00680L、00681R</t>
  </si>
  <si>
    <t xml:space="preserve">   非跨境網址:</t>
  </si>
  <si>
    <t xml:space="preserve">     </t>
  </si>
  <si>
    <t xml:space="preserve">    </t>
  </si>
  <si>
    <t>http://www.yuantaetfs.com/api/StkWeights?fundid=1116&amp;date=</t>
  </si>
  <si>
    <t>http://www.yuantaetfs.com/api/etfWeights?fundid=1116&amp;date=</t>
  </si>
  <si>
    <t>http://www.yuantaetfs.com/api/FutWeights?fundid=1116&amp;date=</t>
  </si>
  <si>
    <t xml:space="preserve">   跨境網址:</t>
  </si>
  <si>
    <t xml:space="preserve"> </t>
  </si>
  <si>
    <t>http://www.yuantaetfs.com/api/TodayPcd?etfid=00642U</t>
  </si>
  <si>
    <t>4.國泰ETF: 00655L、00656R、00658L、00659R、00663L、00664R、00669R</t>
  </si>
  <si>
    <t xml:space="preserve">  網址:</t>
  </si>
  <si>
    <t>https://www.cathaysite.com.tw/funds/etf/etf_ws.asmx 並以SOAPAction使用GetFundAssetsByStock 取得。</t>
  </si>
  <si>
    <t>5.元大ETF: 00690、00691R</t>
  </si>
  <si>
    <t>http://www.megafunds.com.tw/ETF/api/Orders/X001</t>
  </si>
  <si>
    <t>http://www.megafunds.com.tw/ETF/api/StkWeights/X001</t>
  </si>
  <si>
    <t>http://www.megafunds.com.tw/ETF/api/FutWeights/X001</t>
  </si>
  <si>
    <t>接投信提供WebAPI 的資產比例:</t>
  </si>
  <si>
    <t>http://www.yuantaetfs.com/api/PCF/get?etfid=00672l</t>
  </si>
  <si>
    <t>{"todaypcf":[{"cmEtfid":"00672L","iFundSize":5668766622.00,"iOsUnit":416687000.00,"iNav":13.6000}],"todaypcd":[{"cmEtfId":"00672L","cmObjId":"CL_201706","cmObjStockNos":4837.00,"cmCprice":46.4300000,"cpricedate":"20170508","crncy":"USD","exchange":30.16000000,"fx_date":"20170508","cm_obj_type":"Future","cm_obj_name":"輕原油","ratio":1.194861,"futures_date":"201706"},{"cmEtfId":"00672L","cmObjId":"CL_201707","cmObjStockNos":3199.00,"cmCprice":46.8400000,"cpricedate":"20170508","crncy":"USD","exchange":30.16000000,"fx_date":"20170508","cm_obj_type":"Future","cm_obj_name":"輕原油","ratio":0.797212,"futures_date":"201707"},{"cmEtfId":"00672L","cmObjId":"USD CASH","cmObjStockNos":45979278.28,"cmCprice":1.0000000,"cpricedate":"","crncy":"USD","exchange":30.16000000,"fx_date":"20170508","cm_obj_type":"Cash","cm_obj_name":"United States Dollar","ratio":0.253264,"futures_date":""}]}</t>
  </si>
  <si>
    <t>mObjStockNos":45979278.28,(美金現金部位)</t>
  </si>
  <si>
    <t>ratio:0.253264,"(美金現金比例)</t>
  </si>
  <si>
    <t>3188:  http://www.cam-hk.mdgms.com/iopv/nav.html?l=sc</t>
    <phoneticPr fontId="23" type="noConversion"/>
  </si>
  <si>
    <t>http://www.yuantaetfs.com/api/TodayPcf?etfid=00642U</t>
    <phoneticPr fontId="23" type="noConversion"/>
  </si>
  <si>
    <t>http://www.yuantaetfs.com/api/Orders?fundid=1116</t>
    <phoneticPr fontId="23" type="noConversion"/>
  </si>
  <si>
    <t>http://www.yuantaetfs.com/api/Orders?</t>
    <phoneticPr fontId="5" type="noConversion"/>
  </si>
  <si>
    <t>(查詢ETF代碼)</t>
    <phoneticPr fontId="5" type="noConversion"/>
  </si>
  <si>
    <t>元石油</t>
  </si>
  <si>
    <t>富邦美債1-3</t>
  </si>
  <si>
    <t>富邦美債7-10</t>
  </si>
  <si>
    <t>華頓標普高盛黃豆ER指數股票型期貨信託基金</t>
  </si>
  <si>
    <t>兆豐藍籌30反1</t>
  </si>
  <si>
    <t>台新MSCI中國基金</t>
  </si>
  <si>
    <t>台新MSCI台灣單日正向2倍基金</t>
  </si>
  <si>
    <t>元大投信</t>
    <phoneticPr fontId="23" type="noConversion"/>
  </si>
  <si>
    <t>証券代碼</t>
    <phoneticPr fontId="23" type="noConversion"/>
  </si>
  <si>
    <t>名稱</t>
    <phoneticPr fontId="23" type="noConversion"/>
  </si>
  <si>
    <t>淨值</t>
    <phoneticPr fontId="23" type="noConversion"/>
  </si>
  <si>
    <t>申購
手續費</t>
    <phoneticPr fontId="23" type="noConversion"/>
  </si>
  <si>
    <t>贖回
手續費</t>
    <phoneticPr fontId="23" type="noConversion"/>
  </si>
  <si>
    <t>取高者</t>
    <phoneticPr fontId="23" type="noConversion"/>
  </si>
  <si>
    <t>最高30萬台幣</t>
    <phoneticPr fontId="23" type="noConversion"/>
  </si>
  <si>
    <t>交割天期</t>
    <phoneticPr fontId="23" type="noConversion"/>
  </si>
  <si>
    <t>手續費率(%)</t>
    <phoneticPr fontId="23" type="noConversion"/>
  </si>
  <si>
    <t>申購交易費固定</t>
    <phoneticPr fontId="23" type="noConversion"/>
  </si>
  <si>
    <t>申購交易
費率(%)</t>
    <phoneticPr fontId="23" type="noConversion"/>
  </si>
  <si>
    <t>賣出
交易稅</t>
    <phoneticPr fontId="23" type="noConversion"/>
  </si>
  <si>
    <r>
      <rPr>
        <b/>
        <sz val="10"/>
        <color theme="1"/>
        <rFont val="微軟正黑體"/>
        <family val="2"/>
        <charset val="136"/>
      </rPr>
      <t>申購</t>
    </r>
    <r>
      <rPr>
        <b/>
        <sz val="10"/>
        <color theme="1"/>
        <rFont val="Arial"/>
        <family val="2"/>
      </rPr>
      <t>/</t>
    </r>
    <r>
      <rPr>
        <b/>
        <sz val="10"/>
        <color theme="1"/>
        <rFont val="微軟正黑體"/>
        <family val="2"/>
        <charset val="136"/>
      </rPr>
      <t>賣出
成本</t>
    </r>
    <phoneticPr fontId="23" type="noConversion"/>
  </si>
  <si>
    <t>贖回交易費</t>
    <phoneticPr fontId="23" type="noConversion"/>
  </si>
  <si>
    <t>贖回交易
費率(%)</t>
    <phoneticPr fontId="23" type="noConversion"/>
  </si>
  <si>
    <r>
      <rPr>
        <b/>
        <sz val="10"/>
        <color theme="1"/>
        <rFont val="微軟正黑體"/>
        <family val="2"/>
        <charset val="136"/>
      </rPr>
      <t>買進</t>
    </r>
    <r>
      <rPr>
        <b/>
        <sz val="10"/>
        <color theme="1"/>
        <rFont val="Arial"/>
        <family val="2"/>
      </rPr>
      <t>/</t>
    </r>
    <r>
      <rPr>
        <b/>
        <sz val="10"/>
        <color theme="1"/>
        <rFont val="微軟正黑體"/>
        <family val="2"/>
        <charset val="136"/>
      </rPr>
      <t>贖回
成本</t>
    </r>
    <phoneticPr fontId="23" type="noConversion"/>
  </si>
  <si>
    <t>經理費</t>
    <phoneticPr fontId="23" type="noConversion"/>
  </si>
  <si>
    <t>指數授權費(孰高者)</t>
    <phoneticPr fontId="23" type="noConversion"/>
  </si>
  <si>
    <t>保管費</t>
    <phoneticPr fontId="23" type="noConversion"/>
  </si>
  <si>
    <t>上市費</t>
    <phoneticPr fontId="23" type="noConversion"/>
  </si>
  <si>
    <t>sum</t>
    <phoneticPr fontId="23" type="noConversion"/>
  </si>
  <si>
    <t>召開受益人會議費用</t>
    <phoneticPr fontId="23" type="noConversion"/>
  </si>
  <si>
    <t>財務部資金成本</t>
    <phoneticPr fontId="23" type="noConversion"/>
  </si>
  <si>
    <t>借券成本</t>
    <phoneticPr fontId="23" type="noConversion"/>
  </si>
  <si>
    <t>申購ETF</t>
    <phoneticPr fontId="23" type="noConversion"/>
  </si>
  <si>
    <t>買回價金給付</t>
    <phoneticPr fontId="23" type="noConversion"/>
  </si>
  <si>
    <t>0055</t>
    <phoneticPr fontId="23" type="noConversion"/>
  </si>
  <si>
    <t>元大MSCI金融(實物)</t>
    <phoneticPr fontId="23" type="noConversion"/>
  </si>
  <si>
    <t>T+2</t>
    <phoneticPr fontId="23" type="noConversion"/>
  </si>
  <si>
    <t>0056</t>
    <phoneticPr fontId="23" type="noConversion"/>
  </si>
  <si>
    <t>元大高股息(實物)</t>
    <phoneticPr fontId="23" type="noConversion"/>
  </si>
  <si>
    <t>0050</t>
    <phoneticPr fontId="23" type="noConversion"/>
  </si>
  <si>
    <t>元大台灣50(實物)</t>
    <phoneticPr fontId="23" type="noConversion"/>
  </si>
  <si>
    <t>00631L</t>
    <phoneticPr fontId="23" type="noConversion"/>
  </si>
  <si>
    <t>00632R</t>
    <phoneticPr fontId="23" type="noConversion"/>
  </si>
  <si>
    <t>0061</t>
    <phoneticPr fontId="23" type="noConversion"/>
  </si>
  <si>
    <t>006206</t>
    <phoneticPr fontId="23" type="noConversion"/>
  </si>
  <si>
    <t>20萬人幣/0.04%</t>
    <phoneticPr fontId="23" type="noConversion"/>
  </si>
  <si>
    <t>00637L</t>
    <phoneticPr fontId="23" type="noConversion"/>
  </si>
  <si>
    <t>00638R</t>
    <phoneticPr fontId="23" type="noConversion"/>
  </si>
  <si>
    <t>00660</t>
    <phoneticPr fontId="23" type="noConversion"/>
  </si>
  <si>
    <t>2.5萬歐元/0.05%</t>
    <phoneticPr fontId="23" type="noConversion"/>
  </si>
  <si>
    <t>00661</t>
    <phoneticPr fontId="23" type="noConversion"/>
  </si>
  <si>
    <t>00667</t>
    <phoneticPr fontId="23" type="noConversion"/>
  </si>
  <si>
    <t>1000萬韓圜/0.03%</t>
    <phoneticPr fontId="23" type="noConversion"/>
  </si>
  <si>
    <t> 00646</t>
    <phoneticPr fontId="23" type="noConversion"/>
  </si>
  <si>
    <t>2.25萬美金/0.05%</t>
    <phoneticPr fontId="23" type="noConversion"/>
  </si>
  <si>
    <t> 00647L</t>
    <phoneticPr fontId="23" type="noConversion"/>
  </si>
  <si>
    <t>00648R</t>
    <phoneticPr fontId="23" type="noConversion"/>
  </si>
  <si>
    <t>00642U</t>
    <phoneticPr fontId="23" type="noConversion"/>
  </si>
  <si>
    <t>1.5萬美金/0.05%</t>
    <phoneticPr fontId="23" type="noConversion"/>
  </si>
  <si>
    <t>00672L</t>
    <phoneticPr fontId="23" type="noConversion"/>
  </si>
  <si>
    <t>元石油正2</t>
    <phoneticPr fontId="23" type="noConversion"/>
  </si>
  <si>
    <t>00673R</t>
    <phoneticPr fontId="23" type="noConversion"/>
  </si>
  <si>
    <t>元石油反1</t>
    <phoneticPr fontId="23" type="noConversion"/>
  </si>
  <si>
    <t>00635U</t>
    <phoneticPr fontId="23" type="noConversion"/>
  </si>
  <si>
    <t>元黃金</t>
    <phoneticPr fontId="23" type="noConversion"/>
  </si>
  <si>
    <t>00708L</t>
    <phoneticPr fontId="23" type="noConversion"/>
  </si>
  <si>
    <t>元黃金正2</t>
    <phoneticPr fontId="23" type="noConversion"/>
  </si>
  <si>
    <t>00674R</t>
    <phoneticPr fontId="23" type="noConversion"/>
  </si>
  <si>
    <t>元黃金反1</t>
    <phoneticPr fontId="23" type="noConversion"/>
  </si>
  <si>
    <t>00682U</t>
    <phoneticPr fontId="23" type="noConversion"/>
  </si>
  <si>
    <t>元大美元指數</t>
    <phoneticPr fontId="23" type="noConversion"/>
  </si>
  <si>
    <t>00683L</t>
    <phoneticPr fontId="23" type="noConversion"/>
  </si>
  <si>
    <t>元大美元指正2</t>
    <phoneticPr fontId="23" type="noConversion"/>
  </si>
  <si>
    <t>00684R</t>
    <phoneticPr fontId="23" type="noConversion"/>
  </si>
  <si>
    <t>元大美元指反1</t>
    <phoneticPr fontId="23" type="noConversion"/>
  </si>
  <si>
    <t>00706L</t>
    <phoneticPr fontId="23" type="noConversion"/>
  </si>
  <si>
    <t>元大日圓正2</t>
    <phoneticPr fontId="23" type="noConversion"/>
  </si>
  <si>
    <t>1.5萬美金/0.08%</t>
    <phoneticPr fontId="23" type="noConversion"/>
  </si>
  <si>
    <t>00707R</t>
    <phoneticPr fontId="23" type="noConversion"/>
  </si>
  <si>
    <t>元大日圓反1</t>
    <phoneticPr fontId="23" type="noConversion"/>
  </si>
  <si>
    <t>元大美債20年以上</t>
    <phoneticPr fontId="23" type="noConversion"/>
  </si>
  <si>
    <t>1.5萬美金/0.03%</t>
    <phoneticPr fontId="23" type="noConversion"/>
  </si>
  <si>
    <t>元大美債20年正2</t>
    <phoneticPr fontId="23" type="noConversion"/>
  </si>
  <si>
    <t>2.0萬美金/0.04%</t>
    <phoneticPr fontId="23" type="noConversion"/>
  </si>
  <si>
    <t>元大美債20年反1</t>
    <phoneticPr fontId="23" type="noConversion"/>
  </si>
  <si>
    <t>元大美債7-10年</t>
    <phoneticPr fontId="23" type="noConversion"/>
  </si>
  <si>
    <t>元大美債7-10年正2</t>
    <phoneticPr fontId="23" type="noConversion"/>
  </si>
  <si>
    <t>元大美債7-10年反1</t>
    <phoneticPr fontId="23" type="noConversion"/>
  </si>
  <si>
    <t>富邦投信</t>
    <phoneticPr fontId="23" type="noConversion"/>
  </si>
  <si>
    <t>証券代碼</t>
    <phoneticPr fontId="23" type="noConversion"/>
  </si>
  <si>
    <t>00677U</t>
    <phoneticPr fontId="23" type="noConversion"/>
  </si>
  <si>
    <t>25000美金/0.1%</t>
    <phoneticPr fontId="23" type="noConversion"/>
  </si>
  <si>
    <t>006208</t>
    <phoneticPr fontId="23" type="noConversion"/>
  </si>
  <si>
    <t>00692</t>
    <phoneticPr fontId="23" type="noConversion"/>
  </si>
  <si>
    <t>40萬台幣/0.02%</t>
    <phoneticPr fontId="23" type="noConversion"/>
  </si>
  <si>
    <t>00675L</t>
    <phoneticPr fontId="23" type="noConversion"/>
  </si>
  <si>
    <t>00676R</t>
    <phoneticPr fontId="23" type="noConversion"/>
  </si>
  <si>
    <t>006205</t>
    <phoneticPr fontId="23" type="noConversion"/>
  </si>
  <si>
    <t>10萬人幣/0.04%</t>
    <phoneticPr fontId="23" type="noConversion"/>
  </si>
  <si>
    <t>00633L</t>
    <phoneticPr fontId="23" type="noConversion"/>
  </si>
  <si>
    <t>00634R</t>
    <phoneticPr fontId="23" type="noConversion"/>
  </si>
  <si>
    <t>00639</t>
    <phoneticPr fontId="23" type="noConversion"/>
  </si>
  <si>
    <t>20萬人幣</t>
    <phoneticPr fontId="23" type="noConversion"/>
  </si>
  <si>
    <t>00700</t>
    <phoneticPr fontId="23" type="noConversion"/>
  </si>
  <si>
    <t>10萬港幣/0.04%</t>
    <phoneticPr fontId="23" type="noConversion"/>
  </si>
  <si>
    <t>00665L</t>
    <phoneticPr fontId="23" type="noConversion"/>
  </si>
  <si>
    <t>10萬港幣/0.05%</t>
  </si>
  <si>
    <t>00666R</t>
    <phoneticPr fontId="23" type="noConversion"/>
  </si>
  <si>
    <t>10萬港幣/0.06%</t>
  </si>
  <si>
    <t>00645</t>
    <phoneticPr fontId="23" type="noConversion"/>
  </si>
  <si>
    <t>50萬日幣/0.03%</t>
    <phoneticPr fontId="23" type="noConversion"/>
  </si>
  <si>
    <t>00640L</t>
    <phoneticPr fontId="23" type="noConversion"/>
  </si>
  <si>
    <t>50萬日幣/0.06%</t>
    <phoneticPr fontId="23" type="noConversion"/>
  </si>
  <si>
    <t>00641R</t>
    <phoneticPr fontId="23" type="noConversion"/>
  </si>
  <si>
    <t>00652</t>
    <phoneticPr fontId="23" type="noConversion"/>
  </si>
  <si>
    <t>15000美元/0.05%</t>
    <phoneticPr fontId="23" type="noConversion"/>
  </si>
  <si>
    <t>00653L</t>
    <phoneticPr fontId="23" type="noConversion"/>
  </si>
  <si>
    <t>00654R</t>
    <phoneticPr fontId="23" type="noConversion"/>
  </si>
  <si>
    <t>00662</t>
    <phoneticPr fontId="23" type="noConversion"/>
  </si>
  <si>
    <t>40000美元/0.06%</t>
    <phoneticPr fontId="23" type="noConversion"/>
  </si>
  <si>
    <t>00670L</t>
    <phoneticPr fontId="23" type="noConversion"/>
  </si>
  <si>
    <t>10000美元/0.06%</t>
    <phoneticPr fontId="23" type="noConversion"/>
  </si>
  <si>
    <t>00671R</t>
    <phoneticPr fontId="23" type="noConversion"/>
  </si>
  <si>
    <t>00709</t>
    <phoneticPr fontId="23" type="noConversion"/>
  </si>
  <si>
    <t>0.02%-0.04%</t>
    <phoneticPr fontId="23" type="noConversion"/>
  </si>
  <si>
    <t>00694B</t>
    <phoneticPr fontId="23" type="noConversion"/>
  </si>
  <si>
    <t>3750美元/0.03%</t>
    <phoneticPr fontId="23" type="noConversion"/>
  </si>
  <si>
    <t>0.17-0.1%</t>
    <phoneticPr fontId="23" type="noConversion"/>
  </si>
  <si>
    <t>00695B</t>
    <phoneticPr fontId="23" type="noConversion"/>
  </si>
  <si>
    <t>0.17-0.2%</t>
  </si>
  <si>
    <t>00696B</t>
    <phoneticPr fontId="23" type="noConversion"/>
  </si>
  <si>
    <t>0.17-0.3%</t>
  </si>
  <si>
    <t>國泰投信</t>
    <phoneticPr fontId="23" type="noConversion"/>
  </si>
  <si>
    <t>指數授權費</t>
    <phoneticPr fontId="23" type="noConversion"/>
  </si>
  <si>
    <t>sum</t>
    <phoneticPr fontId="23" type="noConversion"/>
  </si>
  <si>
    <t>00663L</t>
    <phoneticPr fontId="23" type="noConversion"/>
  </si>
  <si>
    <t>40萬台幣/0.02%</t>
    <phoneticPr fontId="23" type="noConversion"/>
  </si>
  <si>
    <t>00664R</t>
    <phoneticPr fontId="23" type="noConversion"/>
  </si>
  <si>
    <t>00636</t>
    <phoneticPr fontId="23" type="noConversion"/>
  </si>
  <si>
    <t>00655L</t>
    <phoneticPr fontId="23" type="noConversion"/>
  </si>
  <si>
    <t>00656R</t>
    <phoneticPr fontId="23" type="noConversion"/>
  </si>
  <si>
    <t>00657</t>
    <phoneticPr fontId="23" type="noConversion"/>
  </si>
  <si>
    <t>00658L</t>
    <phoneticPr fontId="23" type="noConversion"/>
  </si>
  <si>
    <t>00659R</t>
    <phoneticPr fontId="23" type="noConversion"/>
  </si>
  <si>
    <t>00668</t>
    <phoneticPr fontId="23" type="noConversion"/>
  </si>
  <si>
    <t>2.25萬美金/0.05%</t>
    <phoneticPr fontId="23" type="noConversion"/>
  </si>
  <si>
    <t>00669R</t>
    <phoneticPr fontId="23" type="noConversion"/>
  </si>
  <si>
    <t>00687B</t>
    <phoneticPr fontId="23" type="noConversion"/>
  </si>
  <si>
    <t>國泰20年巴克萊美債</t>
    <phoneticPr fontId="23" type="noConversion"/>
  </si>
  <si>
    <t>00688L</t>
    <phoneticPr fontId="23" type="noConversion"/>
  </si>
  <si>
    <t>國泰20年巴克萊美債正2</t>
    <phoneticPr fontId="23" type="noConversion"/>
  </si>
  <si>
    <t>00689R</t>
    <phoneticPr fontId="23" type="noConversion"/>
  </si>
  <si>
    <t>國泰20年巴克萊美債反1</t>
    <phoneticPr fontId="23" type="noConversion"/>
  </si>
  <si>
    <t>00701</t>
    <phoneticPr fontId="23" type="noConversion"/>
  </si>
  <si>
    <t>國泰台灣低波30</t>
    <phoneticPr fontId="23" type="noConversion"/>
  </si>
  <si>
    <t>30萬台幣/0.0075%</t>
    <phoneticPr fontId="23" type="noConversion"/>
  </si>
  <si>
    <t>00702</t>
    <phoneticPr fontId="23" type="noConversion"/>
  </si>
  <si>
    <t>國泰標普低波高息</t>
    <phoneticPr fontId="23" type="noConversion"/>
  </si>
  <si>
    <t>2.0萬美金/0.05%</t>
    <phoneticPr fontId="23" type="noConversion"/>
  </si>
  <si>
    <t>復華投信</t>
    <phoneticPr fontId="23" type="noConversion"/>
  </si>
  <si>
    <t>20萬人幣/0.04%</t>
    <phoneticPr fontId="23" type="noConversion"/>
  </si>
  <si>
    <t>10萬港幣/0.04%</t>
    <phoneticPr fontId="23" type="noConversion"/>
  </si>
  <si>
    <t>註</t>
    <phoneticPr fontId="23" type="noConversion"/>
  </si>
  <si>
    <t>00710B</t>
    <phoneticPr fontId="23" type="noConversion"/>
  </si>
  <si>
    <t>FH彭博高收益債(1-5Y)</t>
    <phoneticPr fontId="23" type="noConversion"/>
  </si>
  <si>
    <t>5000張</t>
    <phoneticPr fontId="23" type="noConversion"/>
  </si>
  <si>
    <t>2萬美金/0.05%</t>
    <phoneticPr fontId="23" type="noConversion"/>
  </si>
  <si>
    <t>00711B</t>
    <phoneticPr fontId="23" type="noConversion"/>
  </si>
  <si>
    <t>FH彭博新興債(10Y)</t>
    <phoneticPr fontId="23" type="noConversion"/>
  </si>
  <si>
    <t>00712</t>
    <phoneticPr fontId="23" type="noConversion"/>
  </si>
  <si>
    <t>FH富時不動產(REITs)</t>
    <phoneticPr fontId="23" type="noConversion"/>
  </si>
  <si>
    <t>群益投信</t>
    <phoneticPr fontId="23" type="noConversion"/>
  </si>
  <si>
    <t>20萬人幣/0.05%</t>
    <phoneticPr fontId="23" type="noConversion"/>
  </si>
  <si>
    <t>2萬美金/0.06%</t>
    <phoneticPr fontId="23" type="noConversion"/>
  </si>
  <si>
    <t>華頓投信</t>
    <phoneticPr fontId="23" type="noConversion"/>
  </si>
  <si>
    <t>00693U</t>
    <phoneticPr fontId="23" type="noConversion"/>
  </si>
  <si>
    <t>兆豐投信</t>
    <phoneticPr fontId="23" type="noConversion"/>
  </si>
  <si>
    <t>30萬台幣+AUM*0.03%</t>
    <phoneticPr fontId="23" type="noConversion"/>
  </si>
  <si>
    <t>30萬台幣+AUM*0.04%</t>
    <phoneticPr fontId="23" type="noConversion"/>
  </si>
  <si>
    <t>台新投信</t>
    <phoneticPr fontId="23" type="noConversion"/>
  </si>
  <si>
    <t>1萬美金+AUM*0.0175%</t>
    <phoneticPr fontId="23" type="noConversion"/>
  </si>
  <si>
    <t>3600美金+AUM*0.015%</t>
    <phoneticPr fontId="23" type="noConversion"/>
  </si>
  <si>
    <t>Master</t>
    <phoneticPr fontId="25" type="noConversion"/>
  </si>
  <si>
    <t>V_INDEX</t>
    <phoneticPr fontId="25" type="noConversion"/>
  </si>
  <si>
    <t>8:45要收到資料，沒的話，請看Server上的EstimatedIndexSource排程</t>
    <phoneticPr fontId="25" type="noConversion"/>
  </si>
  <si>
    <t>Index</t>
    <phoneticPr fontId="25" type="noConversion"/>
  </si>
  <si>
    <t>MSCITW</t>
    <phoneticPr fontId="25" type="noConversion"/>
  </si>
  <si>
    <t>TSE26</t>
    <phoneticPr fontId="25" type="noConversion"/>
  </si>
  <si>
    <t>TSE13</t>
    <phoneticPr fontId="25" type="noConversion"/>
  </si>
  <si>
    <t>TSE33</t>
    <phoneticPr fontId="25" type="noConversion"/>
  </si>
  <si>
    <t>TSE00</t>
    <phoneticPr fontId="25" type="noConversion"/>
  </si>
  <si>
    <t>檢核</t>
    <phoneticPr fontId="25" type="noConversion"/>
  </si>
  <si>
    <t>DataSource</t>
    <phoneticPr fontId="25" type="noConversion"/>
  </si>
  <si>
    <t>ModifyTime</t>
    <phoneticPr fontId="25" type="noConversion"/>
  </si>
  <si>
    <t>Exchange</t>
    <phoneticPr fontId="25" type="noConversion"/>
  </si>
  <si>
    <t>EnvID</t>
    <phoneticPr fontId="25" type="noConversion"/>
  </si>
  <si>
    <t>Bid</t>
    <phoneticPr fontId="25" type="noConversion"/>
  </si>
  <si>
    <t>Ask</t>
    <phoneticPr fontId="25" type="noConversion"/>
  </si>
  <si>
    <t>Time</t>
    <phoneticPr fontId="25" type="noConversion"/>
  </si>
  <si>
    <t>TimeDiff</t>
    <phoneticPr fontId="25" type="noConversion"/>
  </si>
  <si>
    <t>商品資訊</t>
    <phoneticPr fontId="25" type="noConversion"/>
  </si>
  <si>
    <t>TW-V17</t>
    <phoneticPr fontId="25" type="noConversion"/>
  </si>
  <si>
    <t>SGX</t>
    <phoneticPr fontId="25" type="noConversion"/>
  </si>
  <si>
    <t>QuoteAPI</t>
    <phoneticPr fontId="25" type="noConversion"/>
  </si>
  <si>
    <t>9:00要收到資料，沒的話要看Server上的排程QuoteAPISource是否有正常執行</t>
    <phoneticPr fontId="25" type="noConversion"/>
  </si>
  <si>
    <t>9:30要收到資料，沒的話要看Server上的排程QuoteAPISource是否有正常執行</t>
    <phoneticPr fontId="25" type="noConversion"/>
  </si>
  <si>
    <t>JPX</t>
    <phoneticPr fontId="25" type="noConversion"/>
  </si>
  <si>
    <t>NYMEX</t>
    <phoneticPr fontId="25" type="noConversion"/>
  </si>
  <si>
    <t>Estimated Index(自算淨值)</t>
    <phoneticPr fontId="25" type="noConversion"/>
  </si>
  <si>
    <t>CN-V17</t>
    <phoneticPr fontId="25" type="noConversion"/>
  </si>
  <si>
    <t>月份</t>
    <phoneticPr fontId="5" type="noConversion"/>
  </si>
  <si>
    <t>代碼</t>
    <phoneticPr fontId="5" type="noConversion"/>
  </si>
  <si>
    <t>1</t>
    <phoneticPr fontId="5" type="noConversion"/>
  </si>
  <si>
    <t>2</t>
    <phoneticPr fontId="5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</si>
  <si>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</si>
  <si>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</si>
  <si>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</si>
  <si>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</si>
  <si>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</si>
  <si>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</si>
  <si>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</si>
  <si>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</si>
  <si>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</si>
  <si>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</si>
  <si>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F</t>
    <phoneticPr fontId="5" type="noConversion"/>
  </si>
  <si>
    <t>G</t>
    <phoneticPr fontId="5" type="noConversion"/>
  </si>
  <si>
    <t>H</t>
    <phoneticPr fontId="5" type="noConversion"/>
  </si>
  <si>
    <t>J</t>
    <phoneticPr fontId="5" type="noConversion"/>
  </si>
  <si>
    <t>K</t>
    <phoneticPr fontId="5" type="noConversion"/>
  </si>
  <si>
    <t>M</t>
    <phoneticPr fontId="5" type="noConversion"/>
  </si>
  <si>
    <t>N</t>
    <phoneticPr fontId="5" type="noConversion"/>
  </si>
  <si>
    <t>Q</t>
    <phoneticPr fontId="5" type="noConversion"/>
  </si>
  <si>
    <t>U</t>
    <phoneticPr fontId="5" type="noConversion"/>
  </si>
  <si>
    <t>V</t>
    <phoneticPr fontId="5" type="noConversion"/>
  </si>
  <si>
    <t>X</t>
    <phoneticPr fontId="5" type="noConversion"/>
  </si>
  <si>
    <t>Z</t>
    <phoneticPr fontId="5" type="noConversion"/>
  </si>
  <si>
    <t>TW-X17</t>
    <phoneticPr fontId="25" type="noConversion"/>
  </si>
  <si>
    <t>TW-Z17</t>
    <phoneticPr fontId="25" type="noConversion"/>
  </si>
  <si>
    <t>CN-X17</t>
    <phoneticPr fontId="25" type="noConversion"/>
  </si>
  <si>
    <t>CN-Z17</t>
    <phoneticPr fontId="25" type="noConversion"/>
  </si>
  <si>
    <r>
      <rPr>
        <sz val="12"/>
        <color theme="1"/>
        <rFont val="新細明體"/>
        <family val="1"/>
        <charset val="136"/>
        <scheme val="minor"/>
      </rPr>
      <t>NK</t>
    </r>
    <r>
      <rPr>
        <sz val="12"/>
        <color theme="1"/>
        <rFont val="新細明體"/>
        <family val="2"/>
        <scheme val="minor"/>
      </rPr>
      <t>-V17</t>
    </r>
    <phoneticPr fontId="25" type="noConversion"/>
  </si>
  <si>
    <r>
      <rPr>
        <sz val="12"/>
        <color theme="1"/>
        <rFont val="新細明體"/>
        <family val="1"/>
        <charset val="136"/>
        <scheme val="minor"/>
      </rPr>
      <t>NK</t>
    </r>
    <r>
      <rPr>
        <sz val="12"/>
        <color theme="1"/>
        <rFont val="新細明體"/>
        <family val="2"/>
        <scheme val="minor"/>
      </rPr>
      <t>-X17</t>
    </r>
    <phoneticPr fontId="25" type="noConversion"/>
  </si>
  <si>
    <r>
      <rPr>
        <sz val="12"/>
        <color theme="1"/>
        <rFont val="新細明體"/>
        <family val="1"/>
        <charset val="136"/>
        <scheme val="minor"/>
      </rPr>
      <t>NK</t>
    </r>
    <r>
      <rPr>
        <sz val="12"/>
        <color theme="1"/>
        <rFont val="新細明體"/>
        <family val="2"/>
        <scheme val="minor"/>
      </rPr>
      <t>-Z17</t>
    </r>
    <phoneticPr fontId="25" type="noConversion"/>
  </si>
  <si>
    <r>
      <t>IN</t>
    </r>
    <r>
      <rPr>
        <sz val="12"/>
        <color theme="1"/>
        <rFont val="新細明體"/>
        <family val="2"/>
        <scheme val="minor"/>
      </rPr>
      <t>-V17</t>
    </r>
    <phoneticPr fontId="25" type="noConversion"/>
  </si>
  <si>
    <r>
      <t>IN</t>
    </r>
    <r>
      <rPr>
        <sz val="12"/>
        <color theme="1"/>
        <rFont val="新細明體"/>
        <family val="2"/>
        <scheme val="minor"/>
      </rPr>
      <t>-X17</t>
    </r>
    <phoneticPr fontId="25" type="noConversion"/>
  </si>
  <si>
    <r>
      <t>IN</t>
    </r>
    <r>
      <rPr>
        <sz val="12"/>
        <color theme="1"/>
        <rFont val="新細明體"/>
        <family val="2"/>
        <scheme val="minor"/>
      </rPr>
      <t>-Z17</t>
    </r>
    <phoneticPr fontId="25" type="noConversion"/>
  </si>
  <si>
    <r>
      <t>HSI</t>
    </r>
    <r>
      <rPr>
        <sz val="12"/>
        <color theme="1"/>
        <rFont val="新細明體"/>
        <family val="2"/>
        <scheme val="minor"/>
      </rPr>
      <t>-V17</t>
    </r>
    <phoneticPr fontId="25" type="noConversion"/>
  </si>
  <si>
    <t>HKEX</t>
    <phoneticPr fontId="25" type="noConversion"/>
  </si>
  <si>
    <r>
      <t>HSI</t>
    </r>
    <r>
      <rPr>
        <sz val="12"/>
        <color theme="1"/>
        <rFont val="新細明體"/>
        <family val="2"/>
        <scheme val="minor"/>
      </rPr>
      <t>-X17</t>
    </r>
    <phoneticPr fontId="25" type="noConversion"/>
  </si>
  <si>
    <r>
      <t>HSI</t>
    </r>
    <r>
      <rPr>
        <sz val="12"/>
        <color theme="1"/>
        <rFont val="新細明體"/>
        <family val="2"/>
        <scheme val="minor"/>
      </rPr>
      <t>-Z17</t>
    </r>
    <phoneticPr fontId="25" type="noConversion"/>
  </si>
  <si>
    <r>
      <rPr>
        <sz val="12"/>
        <color theme="1"/>
        <rFont val="新細明體"/>
        <family val="2"/>
        <scheme val="minor"/>
      </rPr>
      <t>H</t>
    </r>
    <r>
      <rPr>
        <sz val="12"/>
        <color theme="1"/>
        <rFont val="新細明體"/>
        <family val="1"/>
        <charset val="136"/>
        <scheme val="minor"/>
      </rPr>
      <t>HI</t>
    </r>
    <r>
      <rPr>
        <sz val="12"/>
        <color theme="1"/>
        <rFont val="新細明體"/>
        <family val="2"/>
        <scheme val="minor"/>
      </rPr>
      <t>-V17</t>
    </r>
    <phoneticPr fontId="25" type="noConversion"/>
  </si>
  <si>
    <r>
      <t>HHI</t>
    </r>
    <r>
      <rPr>
        <sz val="12"/>
        <color theme="1"/>
        <rFont val="新細明體"/>
        <family val="2"/>
        <scheme val="minor"/>
      </rPr>
      <t>-X17</t>
    </r>
    <phoneticPr fontId="25" type="noConversion"/>
  </si>
  <si>
    <r>
      <t>HHI</t>
    </r>
    <r>
      <rPr>
        <sz val="12"/>
        <color theme="1"/>
        <rFont val="新細明體"/>
        <family val="2"/>
        <scheme val="minor"/>
      </rPr>
      <t>-Z17</t>
    </r>
    <phoneticPr fontId="25" type="noConversion"/>
  </si>
  <si>
    <t>Reference(昨收)</t>
    <phoneticPr fontId="25" type="noConversion"/>
  </si>
  <si>
    <t>CBOT</t>
    <phoneticPr fontId="25" type="noConversion"/>
  </si>
  <si>
    <r>
      <t>UB</t>
    </r>
    <r>
      <rPr>
        <sz val="12"/>
        <color theme="1"/>
        <rFont val="新細明體"/>
        <family val="2"/>
        <scheme val="minor"/>
      </rPr>
      <t>-H18</t>
    </r>
    <phoneticPr fontId="25" type="noConversion"/>
  </si>
  <si>
    <t>UB-Z17</t>
    <phoneticPr fontId="25" type="noConversion"/>
  </si>
  <si>
    <t>超長債</t>
    <phoneticPr fontId="5" type="noConversion"/>
  </si>
  <si>
    <t>10年債</t>
    <phoneticPr fontId="5" type="noConversion"/>
  </si>
  <si>
    <t>10年債</t>
    <phoneticPr fontId="5" type="noConversion"/>
  </si>
  <si>
    <r>
      <t>ES</t>
    </r>
    <r>
      <rPr>
        <sz val="12"/>
        <color theme="1"/>
        <rFont val="新細明體"/>
        <family val="2"/>
        <scheme val="minor"/>
      </rPr>
      <t>-Z17</t>
    </r>
    <phoneticPr fontId="25" type="noConversion"/>
  </si>
  <si>
    <t>CME</t>
    <phoneticPr fontId="25" type="noConversion"/>
  </si>
  <si>
    <r>
      <t>ES</t>
    </r>
    <r>
      <rPr>
        <sz val="12"/>
        <color theme="1"/>
        <rFont val="新細明體"/>
        <family val="2"/>
        <scheme val="minor"/>
      </rPr>
      <t>-H18</t>
    </r>
    <phoneticPr fontId="25" type="noConversion"/>
  </si>
  <si>
    <r>
      <t>NQ</t>
    </r>
    <r>
      <rPr>
        <sz val="12"/>
        <color theme="1"/>
        <rFont val="新細明體"/>
        <family val="2"/>
        <scheme val="minor"/>
      </rPr>
      <t>-Z17</t>
    </r>
    <phoneticPr fontId="25" type="noConversion"/>
  </si>
  <si>
    <r>
      <t>NQ</t>
    </r>
    <r>
      <rPr>
        <sz val="12"/>
        <color theme="1"/>
        <rFont val="新細明體"/>
        <family val="2"/>
        <scheme val="minor"/>
      </rPr>
      <t>-H18</t>
    </r>
    <phoneticPr fontId="25" type="noConversion"/>
  </si>
  <si>
    <t>CME</t>
    <phoneticPr fontId="25" type="noConversion"/>
  </si>
  <si>
    <t>CME</t>
    <phoneticPr fontId="25" type="noConversion"/>
  </si>
  <si>
    <t>DX-Z17</t>
    <phoneticPr fontId="5" type="noConversion"/>
  </si>
  <si>
    <t>CL-X17</t>
    <phoneticPr fontId="5" type="noConversion"/>
  </si>
  <si>
    <t>CL-Z17</t>
    <phoneticPr fontId="5" type="noConversion"/>
  </si>
  <si>
    <t>CL-F18</t>
    <phoneticPr fontId="5" type="noConversion"/>
  </si>
  <si>
    <t>CL-Z18</t>
    <phoneticPr fontId="5" type="noConversion"/>
  </si>
  <si>
    <t>GC-X17</t>
    <phoneticPr fontId="5" type="noConversion"/>
  </si>
  <si>
    <t>GC-Z17</t>
    <phoneticPr fontId="5" type="noConversion"/>
  </si>
  <si>
    <t>NYBOT</t>
    <phoneticPr fontId="25" type="noConversion"/>
  </si>
  <si>
    <t>DX-H18</t>
    <phoneticPr fontId="5" type="noConversion"/>
  </si>
  <si>
    <t>遠月石油</t>
    <phoneticPr fontId="5" type="noConversion"/>
  </si>
  <si>
    <t>GC-G18</t>
    <phoneticPr fontId="5" type="noConversion"/>
  </si>
  <si>
    <t>YM-H18</t>
    <phoneticPr fontId="5" type="noConversion"/>
  </si>
  <si>
    <r>
      <t>YM</t>
    </r>
    <r>
      <rPr>
        <sz val="12"/>
        <color theme="1"/>
        <rFont val="新細明體"/>
        <family val="2"/>
        <scheme val="minor"/>
      </rPr>
      <t>-Z17</t>
    </r>
    <phoneticPr fontId="25" type="noConversion"/>
  </si>
  <si>
    <t>CFE</t>
    <phoneticPr fontId="5" type="noConversion"/>
  </si>
  <si>
    <t>VX-Z17</t>
    <phoneticPr fontId="5" type="noConversion"/>
  </si>
  <si>
    <t>VX-V17</t>
    <phoneticPr fontId="5" type="noConversion"/>
  </si>
  <si>
    <t>VX-X17</t>
    <phoneticPr fontId="5" type="noConversion"/>
  </si>
  <si>
    <r>
      <t>6J</t>
    </r>
    <r>
      <rPr>
        <sz val="12"/>
        <color theme="1"/>
        <rFont val="新細明體"/>
        <family val="2"/>
        <scheme val="minor"/>
      </rPr>
      <t>-V17</t>
    </r>
    <phoneticPr fontId="25" type="noConversion"/>
  </si>
  <si>
    <r>
      <t>6J</t>
    </r>
    <r>
      <rPr>
        <sz val="12"/>
        <color theme="1"/>
        <rFont val="新細明體"/>
        <family val="2"/>
        <scheme val="minor"/>
      </rPr>
      <t>-X17</t>
    </r>
    <phoneticPr fontId="25" type="noConversion"/>
  </si>
  <si>
    <t>6J-Z17</t>
    <phoneticPr fontId="25" type="noConversion"/>
  </si>
  <si>
    <t>日圓</t>
    <phoneticPr fontId="5" type="noConversion"/>
  </si>
  <si>
    <t>TOPIX-Z17</t>
    <phoneticPr fontId="5" type="noConversion"/>
  </si>
  <si>
    <t>TOPIXM-H18</t>
    <phoneticPr fontId="5" type="noConversion"/>
  </si>
  <si>
    <r>
      <t>NK225</t>
    </r>
    <r>
      <rPr>
        <sz val="12"/>
        <color theme="1"/>
        <rFont val="新細明體"/>
        <family val="2"/>
        <scheme val="minor"/>
      </rPr>
      <t>-Z17</t>
    </r>
    <phoneticPr fontId="5" type="noConversion"/>
  </si>
  <si>
    <t>東證</t>
    <phoneticPr fontId="5" type="noConversion"/>
  </si>
  <si>
    <t>東證</t>
    <phoneticPr fontId="5" type="noConversion"/>
  </si>
  <si>
    <t>日經</t>
    <phoneticPr fontId="5" type="noConversion"/>
  </si>
  <si>
    <t>日經</t>
    <phoneticPr fontId="5" type="noConversion"/>
  </si>
  <si>
    <t>NK225-H18</t>
    <phoneticPr fontId="5" type="noConversion"/>
  </si>
  <si>
    <t>006204</t>
    <phoneticPr fontId="5" type="noConversion"/>
  </si>
  <si>
    <t>永豐台灣加權</t>
    <phoneticPr fontId="5" type="noConversion"/>
  </si>
  <si>
    <t>(http://sitc.sinopac.com/newweb/sitcFundUnitPurchase/getTradeinfo.do?stock_id=37)，</t>
    <phoneticPr fontId="5" type="noConversion"/>
  </si>
  <si>
    <t>台灣50期_11</t>
    <phoneticPr fontId="0" type="noConversion"/>
  </si>
  <si>
    <t>台灣50期_12</t>
    <phoneticPr fontId="0" type="noConversion"/>
  </si>
  <si>
    <t>台指期_11</t>
    <phoneticPr fontId="0" type="noConversion"/>
  </si>
  <si>
    <t>台指期_12</t>
    <phoneticPr fontId="0" type="noConversion"/>
  </si>
  <si>
    <t>台指期_12</t>
    <phoneticPr fontId="0" type="noConversion"/>
  </si>
  <si>
    <t>FITF*2</t>
  </si>
  <si>
    <t>台指期_11</t>
    <phoneticPr fontId="5" type="noConversion"/>
  </si>
  <si>
    <t>台指期_12</t>
    <phoneticPr fontId="5" type="noConversion"/>
  </si>
  <si>
    <t>CN-V17</t>
    <phoneticPr fontId="25" type="noConversion"/>
  </si>
  <si>
    <t>SGX</t>
    <phoneticPr fontId="25" type="noConversion"/>
  </si>
  <si>
    <t>Master</t>
    <phoneticPr fontId="25" type="noConversion"/>
  </si>
  <si>
    <t>交易所</t>
    <phoneticPr fontId="0" type="noConversion"/>
  </si>
  <si>
    <t>Server</t>
    <phoneticPr fontId="0" type="noConversion"/>
  </si>
  <si>
    <t>月份</t>
    <phoneticPr fontId="5" type="noConversion"/>
  </si>
  <si>
    <t>1</t>
    <phoneticPr fontId="5" type="noConversion"/>
  </si>
  <si>
    <t>2</t>
    <phoneticPr fontId="5" type="noConversion"/>
  </si>
  <si>
    <t>代碼</t>
    <phoneticPr fontId="5" type="noConversion"/>
  </si>
  <si>
    <t>F</t>
    <phoneticPr fontId="5" type="noConversion"/>
  </si>
  <si>
    <t>G</t>
    <phoneticPr fontId="5" type="noConversion"/>
  </si>
  <si>
    <t>H</t>
    <phoneticPr fontId="5" type="noConversion"/>
  </si>
  <si>
    <t>J</t>
    <phoneticPr fontId="5" type="noConversion"/>
  </si>
  <si>
    <t>K</t>
    <phoneticPr fontId="5" type="noConversion"/>
  </si>
  <si>
    <t>M</t>
    <phoneticPr fontId="5" type="noConversion"/>
  </si>
  <si>
    <t>N</t>
    <phoneticPr fontId="5" type="noConversion"/>
  </si>
  <si>
    <t>Q</t>
    <phoneticPr fontId="5" type="noConversion"/>
  </si>
  <si>
    <t>U</t>
    <phoneticPr fontId="5" type="noConversion"/>
  </si>
  <si>
    <t>V</t>
    <phoneticPr fontId="5" type="noConversion"/>
  </si>
  <si>
    <t>X</t>
    <phoneticPr fontId="5" type="noConversion"/>
  </si>
  <si>
    <t>Z</t>
    <phoneticPr fontId="5" type="noConversion"/>
  </si>
  <si>
    <t>CN-X17</t>
    <phoneticPr fontId="25" type="noConversion"/>
  </si>
  <si>
    <t>A50期_10</t>
    <phoneticPr fontId="0" type="noConversion"/>
  </si>
  <si>
    <t>A50期_11</t>
    <phoneticPr fontId="0" type="noConversion"/>
  </si>
  <si>
    <t>標普高盛布蘭特原油日報酬正向兩倍ER指數</t>
  </si>
  <si>
    <t>標普高盛布蘭特原油日報酬反向一倍ER指數</t>
  </si>
  <si>
    <t>30億元(含)以下：0.12%30億元~50億元(含)：0.0850億元以上0.07%</t>
  </si>
  <si>
    <t>30億元(含)以下：0.10%30億元~50億元(含)：0.07%50億元以上0.06%</t>
  </si>
  <si>
    <t>30億元(含)以下：0.20%30億元~200億元(含)：0.12%200億元以上：0.10%</t>
  </si>
  <si>
    <t>30億元(含)以下：0.10%30億元~200億元(含)：0.07%200億元以上：0.06%</t>
  </si>
  <si>
    <t>20億元(含)以下0.50%；20億元-50億元(含)以下0.40%；50億元以上0.30%</t>
  </si>
  <si>
    <t>現金(USD)</t>
    <phoneticPr fontId="5" type="noConversion"/>
  </si>
  <si>
    <t>600000 CH</t>
  </si>
  <si>
    <t>600016 CH</t>
  </si>
  <si>
    <t>600028 CH</t>
  </si>
  <si>
    <t>600029 CH</t>
  </si>
  <si>
    <t>600030 CH</t>
  </si>
  <si>
    <t>600036 CH</t>
  </si>
  <si>
    <t>600048 CH</t>
  </si>
  <si>
    <t>600050 CH</t>
  </si>
  <si>
    <t>600019 CH</t>
  </si>
  <si>
    <t>600104 CH</t>
  </si>
  <si>
    <t>600111 CH</t>
  </si>
  <si>
    <t>600340 CH</t>
  </si>
  <si>
    <t>600485 CH</t>
  </si>
  <si>
    <t>600518 CH</t>
  </si>
  <si>
    <t>600519 CH</t>
  </si>
  <si>
    <t>600547 CH</t>
  </si>
  <si>
    <t>600606 CH</t>
  </si>
  <si>
    <t>600837 CH</t>
  </si>
  <si>
    <t>600887 CH</t>
  </si>
  <si>
    <t>600919 CH</t>
  </si>
  <si>
    <t>600958 CH</t>
  </si>
  <si>
    <t>600999 CH</t>
  </si>
  <si>
    <t>601006 CH</t>
  </si>
  <si>
    <t>601088 CH</t>
  </si>
  <si>
    <t>601166 CH</t>
  </si>
  <si>
    <t>601169 CH</t>
  </si>
  <si>
    <t>601186 CH</t>
  </si>
  <si>
    <t>601669 CH</t>
  </si>
  <si>
    <t>601211 CH</t>
  </si>
  <si>
    <t>601229 CH</t>
  </si>
  <si>
    <t>601288 CH</t>
  </si>
  <si>
    <t>601318 CH</t>
  </si>
  <si>
    <t>601328 CH</t>
  </si>
  <si>
    <t>601336 CH</t>
  </si>
  <si>
    <t>601390 CH</t>
  </si>
  <si>
    <t>601398 CH</t>
  </si>
  <si>
    <t>601601 CH</t>
  </si>
  <si>
    <t>601628 CH</t>
  </si>
  <si>
    <t>601668 CH</t>
  </si>
  <si>
    <t>601688 CH</t>
  </si>
  <si>
    <t>601766 CH</t>
  </si>
  <si>
    <t>601878 CH</t>
  </si>
  <si>
    <t>601800 CH</t>
  </si>
  <si>
    <t>601818 CH</t>
  </si>
  <si>
    <t>601857 CH</t>
  </si>
  <si>
    <t>601881 CH</t>
  </si>
  <si>
    <t>603993 CH</t>
  </si>
  <si>
    <t>601985 CH</t>
  </si>
  <si>
    <t>601988 CH</t>
  </si>
  <si>
    <t>601989 CH</t>
  </si>
  <si>
    <t>恒生國企槓桿指數</t>
  </si>
  <si>
    <t>恒生國企短倉指數</t>
  </si>
  <si>
    <t>30億(含)以下：0.50%30億(不含)以上，200億(含)以下：0.20%200億(不含)以上，300億(含)以下：0.14%300億(不含)以上：0.13%</t>
  </si>
  <si>
    <t>富時美國政府債券1-3年期指數</t>
  </si>
  <si>
    <t>富時美國政府債券7-10年期指數</t>
  </si>
  <si>
    <t>富時美國政府債券20年期以上指數</t>
  </si>
  <si>
    <t>低波動股利精選30指數</t>
  </si>
  <si>
    <t>元大台灣50</t>
    <phoneticPr fontId="0" type="noConversion"/>
  </si>
  <si>
    <t>元大中型100</t>
    <phoneticPr fontId="0" type="noConversion"/>
  </si>
  <si>
    <t>富邦科技</t>
    <phoneticPr fontId="0" type="noConversion"/>
  </si>
  <si>
    <t>元大電子</t>
    <phoneticPr fontId="0" type="noConversion"/>
  </si>
  <si>
    <t>元大台商50</t>
    <phoneticPr fontId="0" type="noConversion"/>
  </si>
  <si>
    <t>元大MSCI金融</t>
    <phoneticPr fontId="0" type="noConversion"/>
  </si>
  <si>
    <t>元大高股息</t>
    <phoneticPr fontId="0" type="noConversion"/>
  </si>
  <si>
    <t>富邦摩台</t>
    <phoneticPr fontId="0" type="noConversion"/>
  </si>
  <si>
    <t>富邦發達</t>
    <phoneticPr fontId="0" type="noConversion"/>
  </si>
  <si>
    <t>富邦金融</t>
    <phoneticPr fontId="0" type="noConversion"/>
  </si>
  <si>
    <t>元大寶滬深</t>
    <phoneticPr fontId="0" type="noConversion"/>
  </si>
  <si>
    <t>元大富櫃50</t>
    <phoneticPr fontId="0" type="noConversion"/>
  </si>
  <si>
    <t>元大MSCI台灣</t>
    <phoneticPr fontId="0" type="noConversion"/>
  </si>
  <si>
    <t>永豐臺灣加權</t>
    <phoneticPr fontId="0" type="noConversion"/>
  </si>
  <si>
    <t>富邦台50</t>
    <phoneticPr fontId="0" type="noConversion"/>
  </si>
  <si>
    <t>元大台灣50正2</t>
    <phoneticPr fontId="0" type="noConversion"/>
  </si>
  <si>
    <t>元大台灣50反1</t>
    <phoneticPr fontId="0" type="noConversion"/>
  </si>
  <si>
    <t>富邦上証</t>
    <phoneticPr fontId="0" type="noConversion"/>
  </si>
  <si>
    <t>元大上證50</t>
    <phoneticPr fontId="0" type="noConversion"/>
  </si>
  <si>
    <t>FH滬深</t>
    <phoneticPr fontId="0" type="noConversion"/>
  </si>
  <si>
    <t>國泰中國A50</t>
    <phoneticPr fontId="0" type="noConversion"/>
  </si>
  <si>
    <t>BP上證50</t>
    <phoneticPr fontId="0" type="noConversion"/>
  </si>
  <si>
    <t>富邦深100</t>
    <phoneticPr fontId="0" type="noConversion"/>
  </si>
  <si>
    <t>群益深証中小</t>
    <phoneticPr fontId="0" type="noConversion"/>
  </si>
  <si>
    <t>富邦上証正2</t>
    <phoneticPr fontId="0" type="noConversion"/>
  </si>
  <si>
    <t>富邦上証反1</t>
    <phoneticPr fontId="0" type="noConversion"/>
  </si>
  <si>
    <t>元大滬深300正2</t>
    <phoneticPr fontId="0" type="noConversion"/>
  </si>
  <si>
    <t>元大滬深300反1</t>
    <phoneticPr fontId="0" type="noConversion"/>
  </si>
  <si>
    <t>國泰中國A50正2</t>
    <phoneticPr fontId="0" type="noConversion"/>
  </si>
  <si>
    <t>國泰中國A50反1</t>
    <phoneticPr fontId="0" type="noConversion"/>
  </si>
  <si>
    <t>元大S&amp;P黃金</t>
    <phoneticPr fontId="0" type="noConversion"/>
  </si>
  <si>
    <t>元大S&amp;P石油</t>
    <phoneticPr fontId="0" type="noConversion"/>
  </si>
  <si>
    <t>元大S&amp;P500</t>
    <phoneticPr fontId="0" type="noConversion"/>
  </si>
  <si>
    <t>元大S&amp;P500正2</t>
    <phoneticPr fontId="0" type="noConversion"/>
  </si>
  <si>
    <t>元大S&amp;P500反1</t>
    <phoneticPr fontId="0" type="noConversion"/>
  </si>
  <si>
    <t>富邦印度</t>
    <phoneticPr fontId="0" type="noConversion"/>
  </si>
  <si>
    <t>富邦印度正2</t>
    <phoneticPr fontId="0" type="noConversion"/>
  </si>
  <si>
    <t>富邦印度反1</t>
    <phoneticPr fontId="0" type="noConversion"/>
  </si>
  <si>
    <t>FH香港</t>
    <phoneticPr fontId="0" type="noConversion"/>
  </si>
  <si>
    <t>FH香港正2</t>
    <phoneticPr fontId="0" type="noConversion"/>
  </si>
  <si>
    <t>FH香港反1</t>
    <phoneticPr fontId="0" type="noConversion"/>
  </si>
  <si>
    <t>富邦日本正2</t>
    <phoneticPr fontId="0" type="noConversion"/>
  </si>
  <si>
    <t>富邦日本反1</t>
    <phoneticPr fontId="0" type="noConversion"/>
  </si>
  <si>
    <t>國泰日經225</t>
    <phoneticPr fontId="0" type="noConversion"/>
  </si>
  <si>
    <t>國泰日本正2</t>
    <phoneticPr fontId="0" type="noConversion"/>
  </si>
  <si>
    <t>國泰日本反1</t>
    <phoneticPr fontId="0" type="noConversion"/>
  </si>
  <si>
    <t>元大歐洲50</t>
    <phoneticPr fontId="0" type="noConversion"/>
  </si>
  <si>
    <t>元大日經225</t>
    <phoneticPr fontId="0" type="noConversion"/>
  </si>
  <si>
    <t>富邦NASDAQ</t>
    <phoneticPr fontId="0" type="noConversion"/>
  </si>
  <si>
    <t>富邦日本</t>
    <phoneticPr fontId="0" type="noConversion"/>
  </si>
  <si>
    <t>富邦上証+R</t>
    <phoneticPr fontId="0" type="noConversion"/>
  </si>
  <si>
    <t>國泰臺灣加權正2</t>
    <phoneticPr fontId="0" type="noConversion"/>
  </si>
  <si>
    <t>國泰臺灣加權反1</t>
    <phoneticPr fontId="0" type="noConversion"/>
  </si>
  <si>
    <t>富邦恒生國企正2</t>
    <phoneticPr fontId="0" type="noConversion"/>
  </si>
  <si>
    <t>富邦恒生國企反1</t>
    <phoneticPr fontId="0" type="noConversion"/>
  </si>
  <si>
    <t>元大S&amp;P原油正2</t>
    <phoneticPr fontId="0" type="noConversion"/>
  </si>
  <si>
    <t>元大S&amp;P原油反1</t>
    <phoneticPr fontId="0" type="noConversion"/>
  </si>
  <si>
    <t>元大S&amp;P黃金反1</t>
    <phoneticPr fontId="0" type="noConversion"/>
  </si>
  <si>
    <t>國泰美國道瓊</t>
    <phoneticPr fontId="0" type="noConversion"/>
  </si>
  <si>
    <t>國泰美國道瓊反1</t>
    <phoneticPr fontId="0" type="noConversion"/>
  </si>
  <si>
    <t>富邦臺灣加權正2</t>
    <phoneticPr fontId="0" type="noConversion"/>
  </si>
  <si>
    <t>富邦臺灣加權反1</t>
    <phoneticPr fontId="0" type="noConversion"/>
  </si>
  <si>
    <t>富邦VIX</t>
    <phoneticPr fontId="0" type="noConversion"/>
  </si>
  <si>
    <t>群益NBI生技</t>
    <phoneticPr fontId="0" type="noConversion"/>
  </si>
  <si>
    <t>元大美債20年</t>
    <phoneticPr fontId="0" type="noConversion"/>
  </si>
  <si>
    <t>元大美債20正2</t>
    <phoneticPr fontId="0" type="noConversion"/>
  </si>
  <si>
    <t>元大美債20反1</t>
    <phoneticPr fontId="0" type="noConversion"/>
  </si>
  <si>
    <t>富邦NASDAQ反1</t>
    <phoneticPr fontId="0" type="noConversion"/>
  </si>
  <si>
    <t>富邦NASDAQ正2</t>
    <phoneticPr fontId="0" type="noConversion"/>
  </si>
  <si>
    <t>群益臺灣加權正2</t>
    <phoneticPr fontId="0" type="noConversion"/>
  </si>
  <si>
    <t>群益臺灣加權反1</t>
    <phoneticPr fontId="0" type="noConversion"/>
  </si>
  <si>
    <t>兆豐藍籌30反一</t>
    <phoneticPr fontId="0" type="noConversion"/>
  </si>
  <si>
    <t>兆豐藍籌30</t>
    <phoneticPr fontId="0" type="noConversion"/>
  </si>
  <si>
    <t>國泰20年美債</t>
    <phoneticPr fontId="0" type="noConversion"/>
  </si>
  <si>
    <t>國泰20年美債正2</t>
    <phoneticPr fontId="0" type="noConversion"/>
  </si>
  <si>
    <t>國泰20年美債反1</t>
    <phoneticPr fontId="0" type="noConversion"/>
  </si>
  <si>
    <t>華頓S&amp;P黃豆</t>
    <phoneticPr fontId="0" type="noConversion"/>
  </si>
  <si>
    <t>富邦公司治理</t>
    <phoneticPr fontId="0" type="noConversion"/>
  </si>
  <si>
    <t>台新MSCI中國</t>
    <phoneticPr fontId="0" type="noConversion"/>
  </si>
  <si>
    <t>元大S&amp;P日圓正2</t>
    <phoneticPr fontId="0" type="noConversion"/>
  </si>
  <si>
    <t>元大S&amp;P日圓反1</t>
    <phoneticPr fontId="0" type="noConversion"/>
  </si>
  <si>
    <t>元大S&amp;P黃金正2</t>
    <phoneticPr fontId="0" type="noConversion"/>
  </si>
  <si>
    <t>元大美元指數</t>
    <phoneticPr fontId="0" type="noConversion"/>
  </si>
  <si>
    <t>元大美元指數正2</t>
    <phoneticPr fontId="0" type="noConversion"/>
  </si>
  <si>
    <t>元大美元指數反1</t>
    <phoneticPr fontId="0" type="noConversion"/>
  </si>
  <si>
    <t>富邦美債1-3年</t>
    <phoneticPr fontId="0" type="noConversion"/>
  </si>
  <si>
    <t>富邦美債7-10年</t>
    <phoneticPr fontId="0" type="noConversion"/>
  </si>
  <si>
    <t>富邦美債20年</t>
    <phoneticPr fontId="0" type="noConversion"/>
  </si>
  <si>
    <t>元大美債7-10</t>
    <phoneticPr fontId="0" type="noConversion"/>
  </si>
  <si>
    <t>富邦恆生國企</t>
    <phoneticPr fontId="0" type="noConversion"/>
  </si>
  <si>
    <t>國泰臺灣低波動30</t>
    <phoneticPr fontId="0" type="noConversion"/>
  </si>
  <si>
    <t>國泰標普低波高息</t>
    <phoneticPr fontId="0" type="noConversion"/>
  </si>
  <si>
    <t>富邦歐洲</t>
    <phoneticPr fontId="0" type="noConversion"/>
  </si>
  <si>
    <t>FH彭博高收益債</t>
    <phoneticPr fontId="0" type="noConversion"/>
  </si>
  <si>
    <t>FH彭博新興債</t>
    <phoneticPr fontId="0" type="noConversion"/>
  </si>
  <si>
    <t>FH富時不動產</t>
    <phoneticPr fontId="0" type="noConversion"/>
  </si>
  <si>
    <t>元大台灣高息低波</t>
    <phoneticPr fontId="0" type="noConversion"/>
  </si>
  <si>
    <t>華頓S&amp;P布蘭特正2</t>
    <phoneticPr fontId="0" type="noConversion"/>
  </si>
  <si>
    <t>華頓S&amp;P布蘭特反1</t>
    <phoneticPr fontId="0" type="noConversion"/>
  </si>
  <si>
    <t>20190708各代號最新一期淨值</t>
    <phoneticPr fontId="0" type="noConversion"/>
  </si>
  <si>
    <t>20190708各代號最新一期淨值</t>
    <phoneticPr fontId="0" type="noConversion"/>
  </si>
  <si>
    <t>20190708各代號最新一期基金淨資產價值(千)</t>
    <phoneticPr fontId="0" type="noConversion"/>
  </si>
  <si>
    <t>20190708各代號最新一期已發行受益權單位總數(千)</t>
    <phoneticPr fontId="0" type="noConversion"/>
  </si>
  <si>
    <t>20190709各代號最新一期每申購／買回基數之受益權單位數(千)</t>
    <phoneticPr fontId="0" type="noConversion"/>
  </si>
  <si>
    <t>20190709各代號最新一期每申購／買回基數約當市值(元)</t>
    <phoneticPr fontId="0" type="noConversion"/>
  </si>
  <si>
    <t>20190709各代號最新一期每申購／買回基數估計現金差額(元)</t>
    <phoneticPr fontId="0" type="noConversion"/>
  </si>
  <si>
    <t>20190709各代號最新一期每申購／買回基數估計現金差額(元)</t>
    <phoneticPr fontId="0" type="noConversion"/>
  </si>
  <si>
    <t>20190709各代號最新一期每申購基數之實際申購總價金(元)</t>
    <phoneticPr fontId="0" type="noConversion"/>
  </si>
  <si>
    <t>2019交易手續費費率</t>
    <phoneticPr fontId="0" type="noConversion"/>
  </si>
  <si>
    <t>2019交易手續費費率</t>
    <phoneticPr fontId="0" type="noConversion"/>
  </si>
  <si>
    <t>2019管理費(%)</t>
    <phoneticPr fontId="0" type="noConversion"/>
  </si>
  <si>
    <t>2019保管費(%)</t>
    <phoneticPr fontId="0" type="noConversion"/>
  </si>
  <si>
    <t>2019追蹤指數中文名稱</t>
    <phoneticPr fontId="25" type="noConversion"/>
  </si>
  <si>
    <t>2019追蹤指數中文名稱</t>
    <phoneticPr fontId="0" type="noConversion"/>
  </si>
  <si>
    <t>1101</t>
  </si>
  <si>
    <t>1102</t>
  </si>
  <si>
    <t>1216</t>
  </si>
  <si>
    <t>1301</t>
  </si>
  <si>
    <t>1303</t>
  </si>
  <si>
    <t>1326</t>
  </si>
  <si>
    <t>1402</t>
  </si>
  <si>
    <t>2002</t>
  </si>
  <si>
    <t>2105</t>
  </si>
  <si>
    <t>2207</t>
  </si>
  <si>
    <t>2301</t>
  </si>
  <si>
    <t>2303</t>
  </si>
  <si>
    <t>2308</t>
  </si>
  <si>
    <t>2317</t>
  </si>
  <si>
    <t>2327</t>
  </si>
  <si>
    <t>2330</t>
  </si>
  <si>
    <t>2357</t>
  </si>
  <si>
    <t>2382</t>
  </si>
  <si>
    <t>2395</t>
  </si>
  <si>
    <t>2408</t>
  </si>
  <si>
    <t>2409</t>
  </si>
  <si>
    <t>2412</t>
  </si>
  <si>
    <t>2454</t>
  </si>
  <si>
    <t>2474</t>
  </si>
  <si>
    <t>2633</t>
  </si>
  <si>
    <t>2801</t>
  </si>
  <si>
    <t>2823</t>
  </si>
  <si>
    <t>2880</t>
  </si>
  <si>
    <t>2881</t>
  </si>
  <si>
    <t>2882</t>
  </si>
  <si>
    <t>2883</t>
  </si>
  <si>
    <t>2884</t>
  </si>
  <si>
    <t>2885</t>
  </si>
  <si>
    <t>2886</t>
  </si>
  <si>
    <t>2887</t>
  </si>
  <si>
    <t>2890</t>
  </si>
  <si>
    <t>2891</t>
  </si>
  <si>
    <t>2892</t>
  </si>
  <si>
    <t>2912</t>
  </si>
  <si>
    <t>3008</t>
  </si>
  <si>
    <t>3045</t>
  </si>
  <si>
    <t>3711</t>
  </si>
  <si>
    <t>4904</t>
  </si>
  <si>
    <t>4938</t>
  </si>
  <si>
    <t>5871</t>
  </si>
  <si>
    <t>5876</t>
  </si>
  <si>
    <t>5880</t>
  </si>
  <si>
    <t>6505</t>
  </si>
  <si>
    <t>9904</t>
  </si>
  <si>
    <t>9910</t>
  </si>
  <si>
    <t>國巨</t>
  </si>
  <si>
    <t>日月光投控</t>
  </si>
  <si>
    <t>上海商銀</t>
  </si>
  <si>
    <t>豐泰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</si>
</sst>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76" formatCode="_(* #,##0.00_);_(* \(#,##0.00\);_(* &quot;-&quot;??_);_(@_)"/>
    <numFmt numFmtId="177" formatCode="&quot;$&quot;#,##0_);[Red]\(&quot;$&quot;#,##0\)"/>
    <numFmt numFmtId="178" formatCode="_(&quot;$&quot;* #,##0.00_);_(&quot;$&quot;* \(#,##0.00\);_(&quot;$&quot;* &quot;-&quot;??_);_(@_)"/>
    <numFmt numFmtId="179" formatCode="0.00_ "/>
    <numFmt numFmtId="180" formatCode="0.000_ "/>
    <numFmt numFmtId="181" formatCode="_-* #,##0_-;\-* #,##0_-;_-* &quot;-&quot;??_-;_-@_-"/>
    <numFmt numFmtId="182" formatCode="0.000%"/>
    <numFmt numFmtId="183" formatCode="_-* #,##0.0_-;\-* #,##0.0_-;_-* &quot;-&quot;??_-;_-@_-"/>
    <numFmt numFmtId="184" formatCode="_-&quot;$&quot;* #,##0_-;\-&quot;$&quot;* #,##0_-;_-&quot;$&quot;* &quot;-&quot;??_-;_-@_-"/>
    <numFmt numFmtId="185" formatCode="#,##0_ ;[Red]\-#,##0\ "/>
    <numFmt numFmtId="186" formatCode="_-* #,##0.0000_-;\-* #,##0.0000_-;_-* &quot;-&quot;??_-;_-@_-"/>
    <numFmt numFmtId="187" formatCode="0_ "/>
    <numFmt numFmtId="188" formatCode="_(* #,##0_);_(* \(#,##0\);_(* &quot;-&quot;??_);_(@_)"/>
    <numFmt numFmtId="189" formatCode="#,##0.00_ ;[Red]\-#,##0.00\ "/>
    <numFmt numFmtId="190" formatCode="hhmmss"/>
    <numFmt numFmtId="191" formatCode="0.0"/>
  </numFmts>
  <fonts count="42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8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color rgb="FF333333"/>
      <name val="微軟正黑體"/>
      <family val="2"/>
      <charset val="136"/>
    </font>
    <font>
      <sz val="12"/>
      <color theme="5" tint="-0.499984740745262"/>
      <name val="新細明體"/>
      <family val="1"/>
      <charset val="136"/>
      <scheme val="minor"/>
    </font>
    <font>
      <sz val="10"/>
      <name val="新細明體"/>
      <family val="1"/>
      <charset val="136"/>
    </font>
    <font>
      <b/>
      <sz val="12"/>
      <color theme="5" tint="-0.499984740745262"/>
      <name val="新細明體"/>
      <family val="1"/>
      <charset val="136"/>
      <scheme val="minor"/>
    </font>
    <font>
      <b/>
      <sz val="12"/>
      <color theme="8" tint="-0.499984740745262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0"/>
      <color theme="1"/>
      <name val="Arial Unicode MS"/>
      <family val="2"/>
      <charset val="136"/>
    </font>
    <font>
      <sz val="10"/>
      <color rgb="FFFFFFFF"/>
      <name val="Arial Unicode MS"/>
      <family val="2"/>
      <charset val="136"/>
    </font>
    <font>
      <b/>
      <sz val="10"/>
      <color rgb="FFFFFFFF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FF00"/>
      <name val="Arial Unicode MS"/>
      <family val="2"/>
      <charset val="136"/>
    </font>
    <font>
      <b/>
      <sz val="10"/>
      <color rgb="FFFFFF00"/>
      <name val="Arial Unicode MS"/>
      <family val="2"/>
      <charset val="136"/>
    </font>
    <font>
      <sz val="12"/>
      <color indexed="23"/>
      <name val="新細明體"/>
      <family val="1"/>
      <charset val="136"/>
    </font>
    <font>
      <b/>
      <sz val="12"/>
      <name val="新細明體"/>
      <family val="1"/>
      <charset val="136"/>
    </font>
    <font>
      <u/>
      <sz val="12"/>
      <color theme="10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color indexed="23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6"/>
      <name val="新細明體"/>
      <family val="1"/>
      <charset val="136"/>
    </font>
    <font>
      <b/>
      <sz val="18"/>
      <color theme="0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0"/>
      <color rgb="FFFF0000"/>
      <name val="微軟正黑體"/>
      <family val="2"/>
      <charset val="136"/>
    </font>
    <font>
      <b/>
      <sz val="10"/>
      <color theme="1"/>
      <name val="Arial"/>
      <family val="2"/>
    </font>
    <font>
      <b/>
      <sz val="10"/>
      <color theme="1"/>
      <name val="微軟正黑體"/>
      <family val="2"/>
      <charset val="136"/>
    </font>
    <font>
      <b/>
      <sz val="12"/>
      <color theme="1"/>
      <name val="Arial"/>
      <family val="2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name val="微軟正黑體"/>
      <family val="2"/>
      <charset val="136"/>
    </font>
    <font>
      <sz val="12"/>
      <color theme="1"/>
      <name val="新細明體"/>
      <family val="2"/>
      <scheme val="minor"/>
    </font>
    <font>
      <u/>
      <sz val="12"/>
      <color theme="1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</fills>
  <borders count="6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8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20" borderId="1" applyNumberFormat="0" applyAlignment="0" applyProtection="0">
      <alignment vertical="center"/>
    </xf>
    <xf numFmtId="0" fontId="3" fillId="21" borderId="2" applyNumberForma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0" borderId="3" applyNumberFormat="0" applyFill="0" applyAlignment="0" applyProtection="0">
      <alignment vertical="center"/>
    </xf>
    <xf numFmtId="0" fontId="3" fillId="0" borderId="4" applyNumberFormat="0" applyFill="0" applyAlignment="0" applyProtection="0">
      <alignment vertical="center"/>
    </xf>
    <xf numFmtId="0" fontId="3" fillId="0" borderId="5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7" borderId="1" applyNumberFormat="0" applyAlignment="0" applyProtection="0">
      <alignment vertical="center"/>
    </xf>
    <xf numFmtId="0" fontId="3" fillId="0" borderId="6" applyNumberFormat="0" applyFill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3" fillId="20" borderId="8" applyNumberForma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9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8" fontId="3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top"/>
      <protection locked="0"/>
    </xf>
    <xf numFmtId="0" fontId="39" fillId="0" borderId="0"/>
    <xf numFmtId="0" fontId="40" fillId="0" borderId="0" applyNumberFormat="0" applyFill="0" applyBorder="0" applyAlignment="0" applyProtection="0"/>
    <xf numFmtId="0" fontId="1" fillId="0" borderId="0">
      <alignment vertical="center"/>
    </xf>
  </cellStyleXfs>
  <cellXfs count="520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24" borderId="0" xfId="0" applyFill="1">
      <alignment vertical="center"/>
    </xf>
    <xf numFmtId="0" fontId="0" fillId="25" borderId="10" xfId="0" applyFill="1" applyBorder="1">
      <alignment vertical="center"/>
    </xf>
    <xf numFmtId="10" fontId="0" fillId="0" borderId="0" xfId="0" applyNumberFormat="1">
      <alignment vertical="center"/>
    </xf>
    <xf numFmtId="3" fontId="8" fillId="0" borderId="0" xfId="0" applyNumberFormat="1" applyFont="1">
      <alignment vertical="center"/>
    </xf>
    <xf numFmtId="0" fontId="0" fillId="0" borderId="10" xfId="0" applyBorder="1">
      <alignment vertical="center"/>
    </xf>
    <xf numFmtId="49" fontId="0" fillId="0" borderId="0" xfId="0" applyNumberFormat="1">
      <alignment vertical="center"/>
    </xf>
    <xf numFmtId="0" fontId="0" fillId="0" borderId="11" xfId="0" applyBorder="1">
      <alignment vertical="center"/>
    </xf>
    <xf numFmtId="0" fontId="0" fillId="24" borderId="15" xfId="0" applyFont="1" applyFill="1" applyBorder="1" applyAlignment="1">
      <alignment horizontal="center" vertical="center"/>
    </xf>
    <xf numFmtId="0" fontId="0" fillId="24" borderId="16" xfId="0" applyFont="1" applyFill="1" applyBorder="1" applyAlignment="1">
      <alignment horizontal="center" vertical="center"/>
    </xf>
    <xf numFmtId="0" fontId="0" fillId="0" borderId="18" xfId="0" applyBorder="1">
      <alignment vertical="center"/>
    </xf>
    <xf numFmtId="0" fontId="0" fillId="24" borderId="19" xfId="0" applyFont="1" applyFill="1" applyBorder="1" applyAlignment="1">
      <alignment horizontal="center" vertical="center"/>
    </xf>
    <xf numFmtId="0" fontId="0" fillId="27" borderId="26" xfId="0" applyFill="1" applyBorder="1" applyAlignment="1">
      <alignment horizontal="left" vertical="center"/>
    </xf>
    <xf numFmtId="0" fontId="0" fillId="25" borderId="17" xfId="0" applyFill="1" applyBorder="1">
      <alignment vertical="center"/>
    </xf>
    <xf numFmtId="3" fontId="0" fillId="25" borderId="17" xfId="0" applyNumberFormat="1" applyFill="1" applyBorder="1">
      <alignment vertical="center"/>
    </xf>
    <xf numFmtId="0" fontId="0" fillId="0" borderId="30" xfId="0" applyBorder="1">
      <alignment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10" fontId="0" fillId="0" borderId="10" xfId="69" applyNumberFormat="1" applyFont="1" applyBorder="1" applyAlignment="1">
      <alignment horizontal="right" vertical="center"/>
    </xf>
    <xf numFmtId="49" fontId="0" fillId="27" borderId="10" xfId="0" applyNumberForma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0" fillId="0" borderId="13" xfId="71" applyNumberFormat="1" applyFont="1" applyBorder="1">
      <alignment vertical="center"/>
    </xf>
    <xf numFmtId="176" fontId="0" fillId="0" borderId="10" xfId="71" applyNumberFormat="1" applyFont="1" applyBorder="1">
      <alignment vertical="center"/>
    </xf>
    <xf numFmtId="0" fontId="0" fillId="24" borderId="13" xfId="0" applyFill="1" applyBorder="1" applyAlignment="1">
      <alignment horizontal="center" vertical="center"/>
    </xf>
    <xf numFmtId="181" fontId="0" fillId="25" borderId="10" xfId="71" applyNumberFormat="1" applyFont="1" applyFill="1" applyBorder="1" applyAlignment="1">
      <alignment horizontal="center" vertical="center"/>
    </xf>
    <xf numFmtId="49" fontId="0" fillId="29" borderId="10" xfId="0" applyNumberFormat="1" applyFill="1" applyBorder="1" applyAlignment="1">
      <alignment horizontal="center" vertical="center"/>
    </xf>
    <xf numFmtId="0" fontId="0" fillId="0" borderId="0" xfId="0">
      <alignment vertical="center"/>
    </xf>
    <xf numFmtId="0" fontId="0" fillId="24" borderId="10" xfId="0" applyFill="1" applyBorder="1" applyAlignment="1">
      <alignment horizontal="center" vertical="center"/>
    </xf>
    <xf numFmtId="182" fontId="0" fillId="0" borderId="10" xfId="69" applyNumberFormat="1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10" fontId="0" fillId="0" borderId="24" xfId="0" applyNumberFormat="1" applyBorder="1" applyAlignment="1">
      <alignment horizontal="center" vertical="center"/>
    </xf>
    <xf numFmtId="10" fontId="0" fillId="0" borderId="26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4" borderId="10" xfId="0" applyFont="1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/>
    </xf>
    <xf numFmtId="179" fontId="0" fillId="30" borderId="10" xfId="0" applyNumberFormat="1" applyFill="1" applyBorder="1" applyAlignment="1">
      <alignment horizontal="center" vertical="center"/>
    </xf>
    <xf numFmtId="179" fontId="0" fillId="30" borderId="17" xfId="0" applyNumberForma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4" borderId="10" xfId="0" applyFill="1" applyBorder="1" applyAlignment="1">
      <alignment horizontal="center" vertical="center"/>
    </xf>
    <xf numFmtId="0" fontId="0" fillId="0" borderId="0" xfId="0">
      <alignment vertical="center"/>
    </xf>
    <xf numFmtId="49" fontId="0" fillId="27" borderId="26" xfId="0" applyNumberFormat="1" applyFill="1" applyBorder="1" applyAlignment="1">
      <alignment horizontal="center" vertical="center"/>
    </xf>
    <xf numFmtId="0" fontId="0" fillId="27" borderId="24" xfId="0" applyFill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0" fontId="0" fillId="30" borderId="20" xfId="0" applyFill="1" applyBorder="1" applyAlignment="1">
      <alignment horizontal="center" vertical="center"/>
    </xf>
    <xf numFmtId="179" fontId="0" fillId="0" borderId="17" xfId="0" applyNumberFormat="1" applyBorder="1" applyAlignment="1">
      <alignment horizontal="center" vertical="center"/>
    </xf>
    <xf numFmtId="0" fontId="0" fillId="24" borderId="33" xfId="0" applyFill="1" applyBorder="1" applyAlignment="1">
      <alignment horizontal="center" vertical="center"/>
    </xf>
    <xf numFmtId="183" fontId="0" fillId="26" borderId="34" xfId="71" applyNumberFormat="1" applyFont="1" applyFill="1" applyBorder="1" applyAlignment="1">
      <alignment horizontal="center" vertical="center"/>
    </xf>
    <xf numFmtId="0" fontId="0" fillId="24" borderId="22" xfId="0" applyFill="1" applyBorder="1" applyAlignment="1">
      <alignment horizontal="center" vertical="center"/>
    </xf>
    <xf numFmtId="179" fontId="0" fillId="27" borderId="23" xfId="0" applyNumberFormat="1" applyFill="1" applyBorder="1" applyAlignment="1">
      <alignment horizontal="center" vertical="center"/>
    </xf>
    <xf numFmtId="179" fontId="0" fillId="27" borderId="17" xfId="0" applyNumberFormat="1" applyFill="1" applyBorder="1" applyAlignment="1">
      <alignment horizontal="center" vertical="center"/>
    </xf>
    <xf numFmtId="179" fontId="0" fillId="27" borderId="18" xfId="0" applyNumberFormat="1" applyFill="1" applyBorder="1" applyAlignment="1">
      <alignment horizontal="center" vertical="center"/>
    </xf>
    <xf numFmtId="182" fontId="0" fillId="0" borderId="10" xfId="69" applyNumberFormat="1" applyFont="1" applyBorder="1">
      <alignment vertical="center"/>
    </xf>
    <xf numFmtId="49" fontId="0" fillId="27" borderId="10" xfId="0" applyNumberFormat="1" applyFill="1" applyBorder="1" applyAlignment="1">
      <alignment horizontal="center" vertical="center"/>
    </xf>
    <xf numFmtId="3" fontId="0" fillId="25" borderId="10" xfId="0" applyNumberFormat="1" applyFill="1" applyBorder="1" applyAlignment="1">
      <alignment horizontal="center" vertical="center"/>
    </xf>
    <xf numFmtId="181" fontId="0" fillId="26" borderId="10" xfId="71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81" fontId="0" fillId="0" borderId="10" xfId="71" applyNumberFormat="1" applyFont="1" applyBorder="1" applyAlignment="1">
      <alignment horizontal="center" vertical="center"/>
    </xf>
    <xf numFmtId="181" fontId="0" fillId="0" borderId="0" xfId="71" applyNumberFormat="1" applyFont="1">
      <alignment vertical="center"/>
    </xf>
    <xf numFmtId="181" fontId="0" fillId="0" borderId="0" xfId="0" applyNumberFormat="1">
      <alignment vertical="center"/>
    </xf>
    <xf numFmtId="181" fontId="0" fillId="0" borderId="10" xfId="71" applyNumberFormat="1" applyFont="1" applyBorder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184" fontId="0" fillId="0" borderId="0" xfId="73" applyNumberFormat="1" applyFont="1" applyAlignment="1">
      <alignment horizontal="right" vertical="center"/>
    </xf>
    <xf numFmtId="184" fontId="0" fillId="0" borderId="0" xfId="73" applyNumberFormat="1" applyFont="1" applyAlignment="1">
      <alignment horizontal="center" vertical="center"/>
    </xf>
    <xf numFmtId="184" fontId="0" fillId="0" borderId="0" xfId="0" applyNumberFormat="1">
      <alignment vertical="center"/>
    </xf>
    <xf numFmtId="0" fontId="0" fillId="0" borderId="0" xfId="0">
      <alignment vertical="center"/>
    </xf>
    <xf numFmtId="0" fontId="0" fillId="24" borderId="10" xfId="0" applyFill="1" applyBorder="1" applyAlignment="1">
      <alignment horizontal="center" vertical="center"/>
    </xf>
    <xf numFmtId="0" fontId="0" fillId="24" borderId="19" xfId="0" applyFill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0" fillId="25" borderId="17" xfId="71" applyNumberFormat="1" applyFont="1" applyFill="1" applyBorder="1">
      <alignment vertical="center"/>
    </xf>
    <xf numFmtId="0" fontId="0" fillId="24" borderId="29" xfId="0" applyFill="1" applyBorder="1" applyAlignment="1">
      <alignment horizontal="center" vertical="center"/>
    </xf>
    <xf numFmtId="0" fontId="0" fillId="24" borderId="27" xfId="0" applyFill="1" applyBorder="1" applyAlignment="1">
      <alignment horizontal="center" vertical="center"/>
    </xf>
    <xf numFmtId="181" fontId="0" fillId="0" borderId="25" xfId="71" applyNumberFormat="1" applyFont="1" applyBorder="1" applyAlignment="1">
      <alignment horizontal="center" vertical="center"/>
    </xf>
    <xf numFmtId="176" fontId="0" fillId="26" borderId="13" xfId="71" applyFont="1" applyFill="1" applyBorder="1" applyAlignment="1">
      <alignment horizontal="center" vertical="center"/>
    </xf>
    <xf numFmtId="181" fontId="0" fillId="26" borderId="13" xfId="71" applyNumberFormat="1" applyFont="1" applyFill="1" applyBorder="1" applyAlignment="1">
      <alignment horizontal="center" vertical="center"/>
    </xf>
    <xf numFmtId="10" fontId="0" fillId="26" borderId="25" xfId="69" applyNumberFormat="1" applyFont="1" applyFill="1" applyBorder="1" applyAlignment="1">
      <alignment horizontal="center" vertical="center"/>
    </xf>
    <xf numFmtId="181" fontId="0" fillId="0" borderId="10" xfId="71" applyNumberFormat="1" applyFont="1" applyBorder="1" applyAlignment="1">
      <alignment horizontal="right" vertical="center"/>
    </xf>
    <xf numFmtId="0" fontId="0" fillId="27" borderId="20" xfId="0" applyFill="1" applyBorder="1" applyAlignment="1">
      <alignment horizontal="left" vertical="center"/>
    </xf>
    <xf numFmtId="49" fontId="0" fillId="27" borderId="20" xfId="0" applyNumberFormat="1" applyFill="1" applyBorder="1" applyAlignment="1">
      <alignment horizontal="left" vertical="center"/>
    </xf>
    <xf numFmtId="181" fontId="0" fillId="0" borderId="25" xfId="71" applyNumberFormat="1" applyFont="1" applyBorder="1" applyAlignment="1">
      <alignment horizontal="right" vertical="center"/>
    </xf>
    <xf numFmtId="0" fontId="0" fillId="24" borderId="28" xfId="0" applyFill="1" applyBorder="1" applyAlignment="1">
      <alignment horizontal="center" vertical="center"/>
    </xf>
    <xf numFmtId="10" fontId="0" fillId="26" borderId="10" xfId="69" applyNumberFormat="1" applyFont="1" applyFill="1" applyBorder="1" applyAlignment="1">
      <alignment horizontal="center" vertical="center"/>
    </xf>
    <xf numFmtId="179" fontId="0" fillId="0" borderId="10" xfId="0" applyNumberFormat="1" applyBorder="1">
      <alignment vertical="center"/>
    </xf>
    <xf numFmtId="0" fontId="0" fillId="31" borderId="10" xfId="0" applyFill="1" applyBorder="1" applyAlignment="1">
      <alignment horizontal="center" vertical="center"/>
    </xf>
    <xf numFmtId="49" fontId="0" fillId="31" borderId="10" xfId="0" applyNumberFormat="1" applyFill="1" applyBorder="1" applyAlignment="1">
      <alignment horizontal="center" vertical="center"/>
    </xf>
    <xf numFmtId="0" fontId="0" fillId="28" borderId="10" xfId="0" applyFill="1" applyBorder="1" applyAlignment="1">
      <alignment horizontal="center" vertical="center"/>
    </xf>
    <xf numFmtId="179" fontId="0" fillId="25" borderId="10" xfId="0" applyNumberFormat="1" applyFill="1" applyBorder="1" applyAlignment="1">
      <alignment horizontal="right" vertical="center"/>
    </xf>
    <xf numFmtId="181" fontId="0" fillId="25" borderId="17" xfId="71" applyNumberFormat="1" applyFont="1" applyFill="1" applyBorder="1" applyAlignment="1">
      <alignment horizontal="center" vertical="center"/>
    </xf>
    <xf numFmtId="181" fontId="0" fillId="0" borderId="17" xfId="71" applyNumberFormat="1" applyFont="1" applyBorder="1" applyAlignment="1">
      <alignment horizontal="center" vertical="center"/>
    </xf>
    <xf numFmtId="181" fontId="0" fillId="0" borderId="18" xfId="71" applyNumberFormat="1" applyFont="1" applyBorder="1" applyAlignment="1">
      <alignment horizontal="center" vertical="center"/>
    </xf>
    <xf numFmtId="185" fontId="0" fillId="0" borderId="23" xfId="71" applyNumberFormat="1" applyFont="1" applyBorder="1">
      <alignment vertical="center"/>
    </xf>
    <xf numFmtId="185" fontId="0" fillId="0" borderId="17" xfId="71" applyNumberFormat="1" applyFont="1" applyBorder="1">
      <alignment vertical="center"/>
    </xf>
    <xf numFmtId="185" fontId="0" fillId="0" borderId="18" xfId="71" applyNumberFormat="1" applyFont="1" applyBorder="1">
      <alignment vertical="center"/>
    </xf>
    <xf numFmtId="176" fontId="0" fillId="24" borderId="33" xfId="71" applyNumberFormat="1" applyFont="1" applyFill="1" applyBorder="1" applyAlignment="1">
      <alignment horizontal="center" vertical="center"/>
    </xf>
    <xf numFmtId="176" fontId="0" fillId="26" borderId="34" xfId="71" applyNumberFormat="1" applyFont="1" applyFill="1" applyBorder="1" applyAlignment="1">
      <alignment horizontal="center" vertical="center"/>
    </xf>
    <xf numFmtId="185" fontId="0" fillId="0" borderId="10" xfId="71" applyNumberFormat="1" applyFont="1" applyBorder="1">
      <alignment vertical="center"/>
    </xf>
    <xf numFmtId="176" fontId="0" fillId="25" borderId="17" xfId="0" applyNumberFormat="1" applyFill="1" applyBorder="1">
      <alignment vertical="center"/>
    </xf>
    <xf numFmtId="0" fontId="0" fillId="28" borderId="13" xfId="0" applyFill="1" applyBorder="1" applyAlignment="1">
      <alignment horizontal="center" vertical="center"/>
    </xf>
    <xf numFmtId="0" fontId="0" fillId="28" borderId="12" xfId="0" applyFill="1" applyBorder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0" fillId="32" borderId="10" xfId="0" applyFill="1" applyBorder="1" applyAlignment="1">
      <alignment horizontal="center" vertical="center"/>
    </xf>
    <xf numFmtId="49" fontId="0" fillId="32" borderId="10" xfId="0" applyNumberFormat="1" applyFill="1" applyBorder="1" applyAlignment="1">
      <alignment horizontal="center" vertical="center"/>
    </xf>
    <xf numFmtId="186" fontId="0" fillId="0" borderId="0" xfId="71" applyNumberFormat="1" applyFont="1">
      <alignment vertical="center"/>
    </xf>
    <xf numFmtId="0" fontId="0" fillId="27" borderId="35" xfId="0" applyFill="1" applyBorder="1" applyAlignment="1">
      <alignment horizontal="left" vertical="center"/>
    </xf>
    <xf numFmtId="49" fontId="0" fillId="27" borderId="26" xfId="0" applyNumberFormat="1" applyFill="1" applyBorder="1" applyAlignment="1">
      <alignment horizontal="left" vertical="center"/>
    </xf>
    <xf numFmtId="185" fontId="0" fillId="0" borderId="10" xfId="71" applyNumberFormat="1" applyFont="1" applyBorder="1" applyAlignment="1">
      <alignment horizontal="center" vertical="center"/>
    </xf>
    <xf numFmtId="0" fontId="0" fillId="0" borderId="10" xfId="0" applyFill="1" applyBorder="1" applyAlignment="1">
      <alignment horizontal="left" vertical="center"/>
    </xf>
    <xf numFmtId="49" fontId="7" fillId="0" borderId="0" xfId="62" applyNumberFormat="1" applyFont="1">
      <alignment vertical="center"/>
    </xf>
    <xf numFmtId="49" fontId="9" fillId="33" borderId="0" xfId="62" applyNumberFormat="1" applyFont="1" applyFill="1" applyAlignment="1">
      <alignment horizontal="center" vertical="center"/>
    </xf>
    <xf numFmtId="49" fontId="10" fillId="0" borderId="0" xfId="62" applyNumberFormat="1" applyFont="1">
      <alignment vertical="center"/>
    </xf>
    <xf numFmtId="49" fontId="7" fillId="0" borderId="0" xfId="62" applyNumberFormat="1" applyFont="1" applyAlignment="1">
      <alignment horizontal="center" vertical="center"/>
    </xf>
    <xf numFmtId="49" fontId="11" fillId="33" borderId="0" xfId="62" applyNumberFormat="1" applyFont="1" applyFill="1" applyAlignment="1">
      <alignment horizontal="center" vertical="center"/>
    </xf>
    <xf numFmtId="49" fontId="12" fillId="31" borderId="0" xfId="62" applyNumberFormat="1" applyFont="1" applyFill="1" applyAlignment="1">
      <alignment horizontal="center" vertical="center"/>
    </xf>
    <xf numFmtId="49" fontId="13" fillId="0" borderId="0" xfId="62" applyNumberFormat="1" applyFont="1" applyAlignment="1">
      <alignment horizontal="center" vertical="center"/>
    </xf>
    <xf numFmtId="0" fontId="14" fillId="0" borderId="0" xfId="62" applyFont="1" applyAlignment="1">
      <alignment horizontal="left" vertical="center"/>
    </xf>
    <xf numFmtId="0" fontId="15" fillId="34" borderId="36" xfId="62" applyFont="1" applyFill="1" applyBorder="1">
      <alignment vertical="center"/>
    </xf>
    <xf numFmtId="49" fontId="14" fillId="0" borderId="0" xfId="62" applyNumberFormat="1" applyFont="1" applyAlignment="1">
      <alignment horizontal="left" vertical="center"/>
    </xf>
    <xf numFmtId="49" fontId="16" fillId="34" borderId="36" xfId="62" applyNumberFormat="1" applyFont="1" applyFill="1" applyBorder="1" applyAlignment="1">
      <alignment horizontal="right" vertical="center"/>
    </xf>
    <xf numFmtId="49" fontId="17" fillId="34" borderId="36" xfId="62" applyNumberFormat="1" applyFont="1" applyFill="1" applyBorder="1" applyAlignment="1">
      <alignment horizontal="right" vertical="center"/>
    </xf>
    <xf numFmtId="49" fontId="18" fillId="34" borderId="36" xfId="62" applyNumberFormat="1" applyFont="1" applyFill="1" applyBorder="1" applyAlignment="1">
      <alignment horizontal="right" vertical="center"/>
    </xf>
    <xf numFmtId="49" fontId="19" fillId="34" borderId="36" xfId="62" applyNumberFormat="1" applyFont="1" applyFill="1" applyBorder="1" applyAlignment="1">
      <alignment horizontal="right" vertical="center"/>
    </xf>
    <xf numFmtId="49" fontId="12" fillId="34" borderId="0" xfId="62" applyNumberFormat="1" applyFont="1" applyFill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181" fontId="0" fillId="25" borderId="10" xfId="71" applyNumberFormat="1" applyFont="1" applyFill="1" applyBorder="1">
      <alignment vertical="center"/>
    </xf>
    <xf numFmtId="3" fontId="0" fillId="25" borderId="10" xfId="0" applyNumberFormat="1" applyFill="1" applyBorder="1">
      <alignment vertical="center"/>
    </xf>
    <xf numFmtId="180" fontId="0" fillId="27" borderId="10" xfId="0" applyNumberFormat="1" applyFill="1" applyBorder="1" applyAlignment="1">
      <alignment horizontal="center" vertical="center"/>
    </xf>
    <xf numFmtId="180" fontId="0" fillId="27" borderId="13" xfId="0" applyNumberFormat="1" applyFill="1" applyBorder="1" applyAlignment="1">
      <alignment horizontal="center" vertical="center"/>
    </xf>
    <xf numFmtId="49" fontId="0" fillId="0" borderId="10" xfId="0" applyNumberFormat="1" applyBorder="1" applyAlignment="1">
      <alignment horizontal="right" vertical="center"/>
    </xf>
    <xf numFmtId="0" fontId="0" fillId="0" borderId="10" xfId="0" applyNumberFormat="1" applyBorder="1" applyAlignment="1">
      <alignment horizontal="right" vertical="center"/>
    </xf>
    <xf numFmtId="0" fontId="0" fillId="0" borderId="0" xfId="0">
      <alignment vertical="center"/>
    </xf>
    <xf numFmtId="179" fontId="0" fillId="0" borderId="18" xfId="0" applyNumberFormat="1" applyBorder="1">
      <alignment vertical="center"/>
    </xf>
    <xf numFmtId="0" fontId="15" fillId="34" borderId="38" xfId="62" applyFont="1" applyFill="1" applyBorder="1">
      <alignment vertical="center"/>
    </xf>
    <xf numFmtId="49" fontId="16" fillId="34" borderId="38" xfId="62" applyNumberFormat="1" applyFont="1" applyFill="1" applyBorder="1" applyAlignment="1">
      <alignment horizontal="right" vertical="center"/>
    </xf>
    <xf numFmtId="49" fontId="17" fillId="34" borderId="38" xfId="62" applyNumberFormat="1" applyFont="1" applyFill="1" applyBorder="1" applyAlignment="1">
      <alignment horizontal="right" vertical="center"/>
    </xf>
    <xf numFmtId="49" fontId="18" fillId="34" borderId="38" xfId="62" applyNumberFormat="1" applyFont="1" applyFill="1" applyBorder="1" applyAlignment="1">
      <alignment horizontal="right" vertical="center"/>
    </xf>
    <xf numFmtId="49" fontId="19" fillId="34" borderId="38" xfId="62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20" fillId="0" borderId="10" xfId="60" applyNumberFormat="1" applyFont="1" applyBorder="1">
      <alignment vertical="center"/>
    </xf>
    <xf numFmtId="0" fontId="3" fillId="0" borderId="10" xfId="0" applyFont="1" applyBorder="1">
      <alignment vertical="center"/>
    </xf>
    <xf numFmtId="0" fontId="3" fillId="0" borderId="10" xfId="60" applyNumberFormat="1" applyFont="1" applyBorder="1">
      <alignment vertical="center"/>
    </xf>
    <xf numFmtId="49" fontId="3" fillId="0" borderId="10" xfId="51" applyNumberFormat="1" applyFont="1" applyBorder="1">
      <alignment vertical="center"/>
    </xf>
    <xf numFmtId="0" fontId="3" fillId="0" borderId="10" xfId="51" applyNumberFormat="1" applyFont="1" applyBorder="1">
      <alignment vertical="center"/>
    </xf>
    <xf numFmtId="0" fontId="7" fillId="0" borderId="10" xfId="60" applyFont="1" applyBorder="1">
      <alignment vertical="center"/>
    </xf>
    <xf numFmtId="4" fontId="3" fillId="0" borderId="10" xfId="60" applyNumberFormat="1" applyFont="1" applyBorder="1">
      <alignment vertical="center"/>
    </xf>
    <xf numFmtId="3" fontId="3" fillId="0" borderId="10" xfId="60" applyNumberFormat="1" applyFont="1" applyBorder="1">
      <alignment vertical="center"/>
    </xf>
    <xf numFmtId="49" fontId="3" fillId="24" borderId="10" xfId="60" applyNumberFormat="1" applyFont="1" applyFill="1" applyBorder="1">
      <alignment vertical="center"/>
    </xf>
    <xf numFmtId="0" fontId="3" fillId="24" borderId="10" xfId="60" applyNumberFormat="1" applyFont="1" applyFill="1" applyBorder="1">
      <alignment vertical="center"/>
    </xf>
    <xf numFmtId="49" fontId="3" fillId="0" borderId="10" xfId="60" applyNumberFormat="1" applyFont="1" applyBorder="1">
      <alignment vertical="center"/>
    </xf>
    <xf numFmtId="0" fontId="7" fillId="24" borderId="10" xfId="60" applyFont="1" applyFill="1" applyBorder="1" applyAlignment="1">
      <alignment vertical="center" wrapText="1"/>
    </xf>
    <xf numFmtId="0" fontId="3" fillId="0" borderId="11" xfId="60" applyNumberFormat="1" applyFont="1" applyBorder="1">
      <alignment vertical="center"/>
    </xf>
    <xf numFmtId="0" fontId="3" fillId="0" borderId="13" xfId="60" applyNumberFormat="1" applyFont="1" applyFill="1" applyBorder="1">
      <alignment vertical="center"/>
    </xf>
    <xf numFmtId="3" fontId="3" fillId="0" borderId="13" xfId="60" applyNumberFormat="1" applyFont="1" applyFill="1" applyBorder="1">
      <alignment vertical="center"/>
    </xf>
    <xf numFmtId="4" fontId="3" fillId="0" borderId="39" xfId="60" applyNumberFormat="1" applyFont="1" applyBorder="1">
      <alignment vertical="center"/>
    </xf>
    <xf numFmtId="0" fontId="3" fillId="0" borderId="39" xfId="60" applyNumberFormat="1" applyFont="1" applyBorder="1">
      <alignment vertical="center"/>
    </xf>
    <xf numFmtId="0" fontId="3" fillId="0" borderId="19" xfId="60" applyNumberFormat="1" applyFont="1" applyBorder="1">
      <alignment vertical="center"/>
    </xf>
    <xf numFmtId="4" fontId="3" fillId="27" borderId="14" xfId="60" applyNumberFormat="1" applyFont="1" applyFill="1" applyBorder="1">
      <alignment vertical="center"/>
    </xf>
    <xf numFmtId="0" fontId="3" fillId="27" borderId="16" xfId="60" applyNumberFormat="1" applyFont="1" applyFill="1" applyBorder="1">
      <alignment vertical="center"/>
    </xf>
    <xf numFmtId="4" fontId="3" fillId="27" borderId="24" xfId="60" applyNumberFormat="1" applyFont="1" applyFill="1" applyBorder="1">
      <alignment vertical="center"/>
    </xf>
    <xf numFmtId="3" fontId="3" fillId="27" borderId="25" xfId="60" applyNumberFormat="1" applyFont="1" applyFill="1" applyBorder="1">
      <alignment vertical="center"/>
    </xf>
    <xf numFmtId="0" fontId="3" fillId="27" borderId="24" xfId="60" applyNumberFormat="1" applyFont="1" applyFill="1" applyBorder="1">
      <alignment vertical="center"/>
    </xf>
    <xf numFmtId="0" fontId="3" fillId="27" borderId="25" xfId="60" applyNumberFormat="1" applyFont="1" applyFill="1" applyBorder="1">
      <alignment vertical="center"/>
    </xf>
    <xf numFmtId="0" fontId="3" fillId="27" borderId="26" xfId="60" applyNumberFormat="1" applyFont="1" applyFill="1" applyBorder="1">
      <alignment vertical="center"/>
    </xf>
    <xf numFmtId="0" fontId="3" fillId="27" borderId="18" xfId="60" applyNumberFormat="1" applyFont="1" applyFill="1" applyBorder="1">
      <alignment vertical="center"/>
    </xf>
    <xf numFmtId="0" fontId="3" fillId="0" borderId="40" xfId="60" applyNumberFormat="1" applyFont="1" applyBorder="1">
      <alignment vertical="center"/>
    </xf>
    <xf numFmtId="0" fontId="3" fillId="0" borderId="39" xfId="51" applyNumberFormat="1" applyFont="1" applyBorder="1">
      <alignment vertical="center"/>
    </xf>
    <xf numFmtId="49" fontId="3" fillId="0" borderId="19" xfId="60" applyNumberFormat="1" applyFont="1" applyBorder="1">
      <alignment vertical="center"/>
    </xf>
    <xf numFmtId="0" fontId="3" fillId="24" borderId="14" xfId="51" applyNumberFormat="1" applyFont="1" applyFill="1" applyBorder="1">
      <alignment vertical="center"/>
    </xf>
    <xf numFmtId="0" fontId="3" fillId="24" borderId="16" xfId="51" applyNumberFormat="1" applyFont="1" applyFill="1" applyBorder="1">
      <alignment vertical="center"/>
    </xf>
    <xf numFmtId="0" fontId="3" fillId="24" borderId="24" xfId="51" applyNumberFormat="1" applyFont="1" applyFill="1" applyBorder="1">
      <alignment vertical="center"/>
    </xf>
    <xf numFmtId="0" fontId="3" fillId="24" borderId="25" xfId="51" applyNumberFormat="1" applyFont="1" applyFill="1" applyBorder="1">
      <alignment vertical="center"/>
    </xf>
    <xf numFmtId="49" fontId="3" fillId="24" borderId="24" xfId="51" applyNumberFormat="1" applyFont="1" applyFill="1" applyBorder="1">
      <alignment vertical="center"/>
    </xf>
    <xf numFmtId="49" fontId="3" fillId="24" borderId="24" xfId="60" applyNumberFormat="1" applyFont="1" applyFill="1" applyBorder="1">
      <alignment vertical="center"/>
    </xf>
    <xf numFmtId="0" fontId="3" fillId="24" borderId="25" xfId="60" applyNumberFormat="1" applyFont="1" applyFill="1" applyBorder="1">
      <alignment vertical="center"/>
    </xf>
    <xf numFmtId="49" fontId="3" fillId="24" borderId="26" xfId="60" applyNumberFormat="1" applyFont="1" applyFill="1" applyBorder="1">
      <alignment vertical="center"/>
    </xf>
    <xf numFmtId="0" fontId="3" fillId="24" borderId="18" xfId="60" applyNumberFormat="1" applyFont="1" applyFill="1" applyBorder="1">
      <alignment vertical="center"/>
    </xf>
    <xf numFmtId="0" fontId="3" fillId="0" borderId="13" xfId="60" applyNumberFormat="1" applyFont="1" applyBorder="1">
      <alignment vertical="center"/>
    </xf>
    <xf numFmtId="0" fontId="3" fillId="27" borderId="41" xfId="60" applyNumberFormat="1" applyFont="1" applyFill="1" applyBorder="1">
      <alignment vertical="center"/>
    </xf>
    <xf numFmtId="0" fontId="3" fillId="27" borderId="42" xfId="60" applyNumberFormat="1" applyFont="1" applyFill="1" applyBorder="1">
      <alignment vertical="center"/>
    </xf>
    <xf numFmtId="0" fontId="3" fillId="27" borderId="14" xfId="60" applyNumberFormat="1" applyFont="1" applyFill="1" applyBorder="1">
      <alignment vertical="center"/>
    </xf>
    <xf numFmtId="0" fontId="3" fillId="0" borderId="11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9" xfId="0" applyFont="1" applyBorder="1">
      <alignment vertical="center"/>
    </xf>
    <xf numFmtId="0" fontId="3" fillId="27" borderId="24" xfId="0" applyFont="1" applyFill="1" applyBorder="1">
      <alignment vertical="center"/>
    </xf>
    <xf numFmtId="0" fontId="3" fillId="27" borderId="25" xfId="0" applyFont="1" applyFill="1" applyBorder="1">
      <alignment vertical="center"/>
    </xf>
    <xf numFmtId="0" fontId="3" fillId="27" borderId="26" xfId="0" applyFont="1" applyFill="1" applyBorder="1">
      <alignment vertical="center"/>
    </xf>
    <xf numFmtId="0" fontId="3" fillId="27" borderId="18" xfId="0" applyFont="1" applyFill="1" applyBorder="1">
      <alignment vertical="center"/>
    </xf>
    <xf numFmtId="0" fontId="3" fillId="24" borderId="10" xfId="0" applyFont="1" applyFill="1" applyBorder="1">
      <alignment vertical="center"/>
    </xf>
    <xf numFmtId="0" fontId="3" fillId="0" borderId="12" xfId="60" applyNumberFormat="1" applyFont="1" applyBorder="1">
      <alignment vertical="center"/>
    </xf>
    <xf numFmtId="0" fontId="3" fillId="0" borderId="39" xfId="0" applyFont="1" applyBorder="1">
      <alignment vertical="center"/>
    </xf>
    <xf numFmtId="0" fontId="3" fillId="27" borderId="41" xfId="0" applyFont="1" applyFill="1" applyBorder="1">
      <alignment vertical="center"/>
    </xf>
    <xf numFmtId="0" fontId="3" fillId="27" borderId="42" xfId="0" applyFont="1" applyFill="1" applyBorder="1">
      <alignment vertical="center"/>
    </xf>
    <xf numFmtId="0" fontId="0" fillId="0" borderId="10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4" borderId="43" xfId="0" applyFill="1" applyBorder="1">
      <alignment vertical="center"/>
    </xf>
    <xf numFmtId="0" fontId="0" fillId="24" borderId="44" xfId="0" applyFill="1" applyBorder="1">
      <alignment vertical="center"/>
    </xf>
    <xf numFmtId="0" fontId="0" fillId="24" borderId="45" xfId="0" applyFill="1" applyBorder="1">
      <alignment vertical="center"/>
    </xf>
    <xf numFmtId="0" fontId="0" fillId="24" borderId="46" xfId="0" applyFill="1" applyBorder="1">
      <alignment vertical="center"/>
    </xf>
    <xf numFmtId="49" fontId="0" fillId="27" borderId="11" xfId="0" applyNumberFormat="1" applyFill="1" applyBorder="1" applyAlignment="1">
      <alignment horizontal="left" vertical="center"/>
    </xf>
    <xf numFmtId="0" fontId="0" fillId="0" borderId="13" xfId="0" applyBorder="1" applyAlignment="1">
      <alignment horizontal="right" vertical="center"/>
    </xf>
    <xf numFmtId="179" fontId="0" fillId="25" borderId="39" xfId="0" applyNumberFormat="1" applyFill="1" applyBorder="1" applyAlignment="1">
      <alignment horizontal="right" vertical="center"/>
    </xf>
    <xf numFmtId="179" fontId="0" fillId="25" borderId="19" xfId="0" applyNumberFormat="1" applyFill="1" applyBorder="1" applyAlignment="1">
      <alignment horizontal="right" vertical="center"/>
    </xf>
    <xf numFmtId="179" fontId="0" fillId="25" borderId="12" xfId="0" applyNumberFormat="1" applyFill="1" applyBorder="1" applyAlignment="1">
      <alignment horizontal="right" vertical="center"/>
    </xf>
    <xf numFmtId="179" fontId="0" fillId="35" borderId="14" xfId="0" applyNumberFormat="1" applyFill="1" applyBorder="1" applyAlignment="1">
      <alignment horizontal="right" vertical="center"/>
    </xf>
    <xf numFmtId="179" fontId="0" fillId="35" borderId="15" xfId="0" applyNumberFormat="1" applyFill="1" applyBorder="1" applyAlignment="1">
      <alignment horizontal="right" vertical="center"/>
    </xf>
    <xf numFmtId="179" fontId="0" fillId="35" borderId="16" xfId="0" applyNumberFormat="1" applyFill="1" applyBorder="1" applyAlignment="1">
      <alignment horizontal="right" vertical="center"/>
    </xf>
    <xf numFmtId="179" fontId="0" fillId="35" borderId="24" xfId="0" applyNumberFormat="1" applyFill="1" applyBorder="1" applyAlignment="1">
      <alignment horizontal="right" vertical="center"/>
    </xf>
    <xf numFmtId="179" fontId="0" fillId="35" borderId="10" xfId="0" applyNumberFormat="1" applyFill="1" applyBorder="1" applyAlignment="1">
      <alignment horizontal="right" vertical="center"/>
    </xf>
    <xf numFmtId="179" fontId="0" fillId="35" borderId="25" xfId="0" applyNumberFormat="1" applyFill="1" applyBorder="1" applyAlignment="1">
      <alignment horizontal="right" vertical="center"/>
    </xf>
    <xf numFmtId="179" fontId="0" fillId="35" borderId="26" xfId="0" applyNumberFormat="1" applyFill="1" applyBorder="1" applyAlignment="1">
      <alignment horizontal="right" vertical="center"/>
    </xf>
    <xf numFmtId="179" fontId="0" fillId="35" borderId="17" xfId="0" applyNumberFormat="1" applyFill="1" applyBorder="1" applyAlignment="1">
      <alignment horizontal="right" vertical="center"/>
    </xf>
    <xf numFmtId="179" fontId="0" fillId="35" borderId="18" xfId="0" applyNumberFormat="1" applyFill="1" applyBorder="1" applyAlignment="1">
      <alignment horizontal="right" vertical="center"/>
    </xf>
    <xf numFmtId="179" fontId="0" fillId="35" borderId="41" xfId="0" applyNumberFormat="1" applyFill="1" applyBorder="1" applyAlignment="1">
      <alignment horizontal="right" vertical="center"/>
    </xf>
    <xf numFmtId="179" fontId="0" fillId="35" borderId="47" xfId="0" applyNumberFormat="1" applyFill="1" applyBorder="1" applyAlignment="1">
      <alignment horizontal="right" vertical="center"/>
    </xf>
    <xf numFmtId="179" fontId="0" fillId="35" borderId="42" xfId="0" applyNumberFormat="1" applyFill="1" applyBorder="1" applyAlignment="1">
      <alignment horizontal="right" vertical="center"/>
    </xf>
    <xf numFmtId="181" fontId="0" fillId="0" borderId="11" xfId="71" applyNumberFormat="1" applyFont="1" applyBorder="1" applyAlignment="1">
      <alignment horizontal="center" vertical="center"/>
    </xf>
    <xf numFmtId="0" fontId="0" fillId="28" borderId="15" xfId="0" applyFill="1" applyBorder="1" applyAlignment="1">
      <alignment horizontal="center" vertical="center"/>
    </xf>
    <xf numFmtId="0" fontId="0" fillId="28" borderId="48" xfId="0" applyFill="1" applyBorder="1" applyAlignment="1">
      <alignment horizontal="center" vertical="center"/>
    </xf>
    <xf numFmtId="180" fontId="0" fillId="0" borderId="25" xfId="0" applyNumberFormat="1" applyBorder="1" applyAlignment="1">
      <alignment horizontal="right" vertical="center"/>
    </xf>
    <xf numFmtId="180" fontId="0" fillId="0" borderId="17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0" fontId="3" fillId="0" borderId="0" xfId="0" applyFont="1" applyBorder="1">
      <alignment vertical="center"/>
    </xf>
    <xf numFmtId="0" fontId="0" fillId="0" borderId="0" xfId="0">
      <alignment vertical="center"/>
    </xf>
    <xf numFmtId="49" fontId="21" fillId="0" borderId="10" xfId="0" applyNumberFormat="1" applyFont="1" applyBorder="1" applyAlignment="1">
      <alignment horizontal="center" vertical="center"/>
    </xf>
    <xf numFmtId="185" fontId="0" fillId="0" borderId="10" xfId="71" applyNumberFormat="1" applyFont="1" applyBorder="1" applyAlignment="1">
      <alignment horizontal="right" vertical="center"/>
    </xf>
    <xf numFmtId="10" fontId="0" fillId="0" borderId="10" xfId="69" applyNumberFormat="1" applyFont="1" applyFill="1" applyBorder="1">
      <alignment vertical="center"/>
    </xf>
    <xf numFmtId="10" fontId="0" fillId="0" borderId="10" xfId="69" applyNumberFormat="1" applyFont="1" applyBorder="1">
      <alignment vertical="center"/>
    </xf>
    <xf numFmtId="181" fontId="0" fillId="0" borderId="10" xfId="71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9" xfId="0" applyBorder="1">
      <alignment vertical="center"/>
    </xf>
    <xf numFmtId="181" fontId="0" fillId="0" borderId="19" xfId="71" applyNumberFormat="1" applyFont="1" applyBorder="1">
      <alignment vertical="center"/>
    </xf>
    <xf numFmtId="181" fontId="0" fillId="0" borderId="15" xfId="71" applyNumberFormat="1" applyFont="1" applyBorder="1" applyAlignment="1">
      <alignment horizontal="center" vertical="center"/>
    </xf>
    <xf numFmtId="0" fontId="10" fillId="24" borderId="10" xfId="0" applyFont="1" applyFill="1" applyBorder="1" applyAlignment="1">
      <alignment horizontal="center" vertical="center" shrinkToFit="1"/>
    </xf>
    <xf numFmtId="0" fontId="10" fillId="0" borderId="10" xfId="0" applyFont="1" applyBorder="1" applyAlignment="1">
      <alignment vertical="center" wrapText="1" shrinkToFit="1"/>
    </xf>
    <xf numFmtId="0" fontId="0" fillId="0" borderId="0" xfId="0">
      <alignment vertical="center"/>
    </xf>
    <xf numFmtId="0" fontId="0" fillId="0" borderId="15" xfId="0" applyBorder="1" applyAlignment="1">
      <alignment horizontal="center" vertical="center"/>
    </xf>
    <xf numFmtId="187" fontId="0" fillId="0" borderId="15" xfId="0" applyNumberFormat="1" applyBorder="1" applyAlignment="1">
      <alignment horizontal="center" vertical="center"/>
    </xf>
    <xf numFmtId="49" fontId="0" fillId="27" borderId="20" xfId="0" applyNumberFormat="1" applyFill="1" applyBorder="1" applyAlignment="1">
      <alignment horizontal="center" vertical="center"/>
    </xf>
    <xf numFmtId="179" fontId="0" fillId="0" borderId="19" xfId="0" applyNumberFormat="1" applyBorder="1" applyAlignment="1">
      <alignment horizontal="center" vertical="center"/>
    </xf>
    <xf numFmtId="181" fontId="0" fillId="0" borderId="19" xfId="71" applyNumberFormat="1" applyFont="1" applyBorder="1" applyAlignment="1">
      <alignment horizontal="center" vertical="center"/>
    </xf>
    <xf numFmtId="187" fontId="0" fillId="0" borderId="17" xfId="0" applyNumberFormat="1" applyBorder="1" applyAlignment="1">
      <alignment horizontal="center" vertical="center"/>
    </xf>
    <xf numFmtId="0" fontId="0" fillId="24" borderId="41" xfId="0" applyFill="1" applyBorder="1" applyAlignment="1">
      <alignment horizontal="center" vertical="center"/>
    </xf>
    <xf numFmtId="0" fontId="0" fillId="24" borderId="47" xfId="0" applyFill="1" applyBorder="1" applyAlignment="1">
      <alignment horizontal="center" vertical="center"/>
    </xf>
    <xf numFmtId="0" fontId="0" fillId="24" borderId="42" xfId="0" applyFill="1" applyBorder="1" applyAlignment="1">
      <alignment horizontal="center" vertical="center"/>
    </xf>
    <xf numFmtId="0" fontId="0" fillId="24" borderId="29" xfId="0" applyFont="1" applyFill="1" applyBorder="1" applyAlignment="1">
      <alignment horizontal="center" vertical="center"/>
    </xf>
    <xf numFmtId="179" fontId="0" fillId="30" borderId="11" xfId="0" applyNumberFormat="1" applyFill="1" applyBorder="1" applyAlignment="1">
      <alignment horizontal="center" vertical="center"/>
    </xf>
    <xf numFmtId="0" fontId="0" fillId="24" borderId="11" xfId="0" applyFont="1" applyFill="1" applyBorder="1" applyAlignment="1">
      <alignment horizontal="center" vertical="center"/>
    </xf>
    <xf numFmtId="179" fontId="0" fillId="30" borderId="30" xfId="0" applyNumberFormat="1" applyFill="1" applyBorder="1" applyAlignment="1">
      <alignment horizontal="center" vertical="center"/>
    </xf>
    <xf numFmtId="181" fontId="0" fillId="0" borderId="24" xfId="71" applyNumberFormat="1" applyFont="1" applyBorder="1" applyAlignment="1">
      <alignment horizontal="center" vertical="center"/>
    </xf>
    <xf numFmtId="0" fontId="0" fillId="24" borderId="24" xfId="0" applyFill="1" applyBorder="1" applyAlignment="1">
      <alignment horizontal="center" vertical="center"/>
    </xf>
    <xf numFmtId="0" fontId="0" fillId="24" borderId="25" xfId="0" applyFill="1" applyBorder="1" applyAlignment="1">
      <alignment horizontal="center" vertical="center"/>
    </xf>
    <xf numFmtId="181" fontId="0" fillId="0" borderId="26" xfId="71" applyNumberFormat="1" applyFont="1" applyBorder="1" applyAlignment="1">
      <alignment horizontal="center" vertical="center"/>
    </xf>
    <xf numFmtId="185" fontId="0" fillId="0" borderId="0" xfId="71" applyNumberFormat="1" applyFont="1" applyBorder="1">
      <alignment vertical="center"/>
    </xf>
    <xf numFmtId="0" fontId="0" fillId="0" borderId="0" xfId="0">
      <alignment vertical="center"/>
    </xf>
    <xf numFmtId="0" fontId="0" fillId="36" borderId="10" xfId="0" applyFill="1" applyBorder="1">
      <alignment vertical="center"/>
    </xf>
    <xf numFmtId="181" fontId="0" fillId="24" borderId="10" xfId="71" applyNumberFormat="1" applyFont="1" applyFill="1" applyBorder="1" applyAlignment="1">
      <alignment horizontal="center" vertical="center"/>
    </xf>
    <xf numFmtId="10" fontId="0" fillId="24" borderId="10" xfId="69" applyNumberFormat="1" applyFont="1" applyFill="1" applyBorder="1">
      <alignment vertical="center"/>
    </xf>
    <xf numFmtId="0" fontId="0" fillId="0" borderId="10" xfId="0" applyFill="1" applyBorder="1">
      <alignment vertical="center"/>
    </xf>
    <xf numFmtId="0" fontId="0" fillId="0" borderId="10" xfId="0" applyBorder="1" applyAlignment="1">
      <alignment horizontal="left" vertical="center" shrinkToFit="1"/>
    </xf>
    <xf numFmtId="181" fontId="0" fillId="0" borderId="10" xfId="0" applyNumberFormat="1" applyBorder="1">
      <alignment vertical="center"/>
    </xf>
    <xf numFmtId="180" fontId="0" fillId="0" borderId="0" xfId="0" applyNumberFormat="1" applyBorder="1" applyAlignment="1">
      <alignment horizontal="right" vertical="center"/>
    </xf>
    <xf numFmtId="181" fontId="0" fillId="0" borderId="11" xfId="71" applyNumberFormat="1" applyFont="1" applyBorder="1" applyAlignment="1">
      <alignment horizontal="right" vertical="center"/>
    </xf>
    <xf numFmtId="179" fontId="0" fillId="27" borderId="30" xfId="0" applyNumberFormat="1" applyFill="1" applyBorder="1" applyAlignment="1">
      <alignment horizontal="center" vertical="center"/>
    </xf>
    <xf numFmtId="0" fontId="0" fillId="24" borderId="27" xfId="0" applyFont="1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0" fillId="28" borderId="23" xfId="0" applyFill="1" applyBorder="1" applyAlignment="1">
      <alignment horizontal="center" vertical="center"/>
    </xf>
    <xf numFmtId="10" fontId="0" fillId="25" borderId="10" xfId="69" applyNumberFormat="1" applyFont="1" applyFill="1" applyBorder="1">
      <alignment vertical="center"/>
    </xf>
    <xf numFmtId="185" fontId="0" fillId="0" borderId="10" xfId="0" applyNumberFormat="1" applyBorder="1" applyAlignment="1">
      <alignment horizontal="right" vertical="center"/>
    </xf>
    <xf numFmtId="188" fontId="0" fillId="0" borderId="10" xfId="71" applyNumberFormat="1" applyFont="1" applyBorder="1" applyAlignment="1">
      <alignment horizontal="right" vertical="center"/>
    </xf>
    <xf numFmtId="188" fontId="0" fillId="0" borderId="10" xfId="71" applyNumberFormat="1" applyFont="1" applyBorder="1">
      <alignment vertical="center"/>
    </xf>
    <xf numFmtId="188" fontId="0" fillId="0" borderId="10" xfId="71" applyNumberFormat="1" applyFont="1" applyBorder="1" applyAlignment="1">
      <alignment horizontal="center" vertical="center"/>
    </xf>
    <xf numFmtId="188" fontId="0" fillId="24" borderId="10" xfId="71" applyNumberFormat="1" applyFont="1" applyFill="1" applyBorder="1">
      <alignment vertical="center"/>
    </xf>
    <xf numFmtId="176" fontId="0" fillId="0" borderId="10" xfId="0" applyNumberFormat="1" applyBorder="1">
      <alignment vertical="center"/>
    </xf>
    <xf numFmtId="0" fontId="0" fillId="0" borderId="0" xfId="0">
      <alignment vertical="center"/>
    </xf>
    <xf numFmtId="0" fontId="0" fillId="24" borderId="10" xfId="0" applyFill="1" applyBorder="1">
      <alignment vertical="center"/>
    </xf>
    <xf numFmtId="181" fontId="3" fillId="0" borderId="10" xfId="71" applyNumberFormat="1" applyFont="1" applyFill="1" applyBorder="1" applyAlignment="1">
      <alignment horizontal="center" vertical="center"/>
    </xf>
    <xf numFmtId="181" fontId="3" fillId="0" borderId="10" xfId="0" applyNumberFormat="1" applyFont="1" applyBorder="1">
      <alignment vertical="center"/>
    </xf>
    <xf numFmtId="10" fontId="3" fillId="0" borderId="10" xfId="69" applyNumberFormat="1" applyFont="1" applyBorder="1">
      <alignment vertical="center"/>
    </xf>
    <xf numFmtId="0" fontId="0" fillId="24" borderId="10" xfId="69" applyNumberFormat="1" applyFont="1" applyFill="1" applyBorder="1">
      <alignment vertical="center"/>
    </xf>
    <xf numFmtId="0" fontId="0" fillId="0" borderId="0" xfId="0">
      <alignment vertical="center"/>
    </xf>
    <xf numFmtId="188" fontId="0" fillId="24" borderId="10" xfId="69" applyNumberFormat="1" applyFont="1" applyFill="1" applyBorder="1">
      <alignment vertical="center"/>
    </xf>
    <xf numFmtId="189" fontId="0" fillId="0" borderId="10" xfId="71" applyNumberFormat="1" applyFont="1" applyBorder="1" applyAlignment="1">
      <alignment horizontal="right" vertical="center"/>
    </xf>
    <xf numFmtId="0" fontId="0" fillId="0" borderId="10" xfId="0" applyBorder="1" applyAlignment="1">
      <alignment vertical="center" shrinkToFit="1"/>
    </xf>
    <xf numFmtId="0" fontId="0" fillId="0" borderId="0" xfId="0">
      <alignment vertical="center"/>
    </xf>
    <xf numFmtId="179" fontId="0" fillId="25" borderId="10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10" xfId="0" applyBorder="1" applyAlignment="1">
      <alignment horizontal="left" vertical="center"/>
    </xf>
    <xf numFmtId="0" fontId="22" fillId="0" borderId="10" xfId="74" applyBorder="1" applyAlignment="1" applyProtection="1">
      <alignment vertical="center"/>
    </xf>
    <xf numFmtId="49" fontId="0" fillId="0" borderId="10" xfId="60" applyNumberFormat="1" applyFont="1" applyBorder="1">
      <alignment vertical="center"/>
    </xf>
    <xf numFmtId="0" fontId="24" fillId="0" borderId="0" xfId="0" applyNumberFormat="1" applyFont="1" applyAlignment="1"/>
    <xf numFmtId="0" fontId="0" fillId="0" borderId="10" xfId="0" applyFont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2" fillId="0" borderId="0" xfId="74" applyAlignment="1" applyProtection="1">
      <alignment vertical="center"/>
    </xf>
    <xf numFmtId="0" fontId="29" fillId="0" borderId="2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0" xfId="0" applyFont="1" applyFill="1" applyBorder="1" applyAlignment="1">
      <alignment horizontal="center" vertical="center" wrapText="1"/>
    </xf>
    <xf numFmtId="0" fontId="30" fillId="25" borderId="10" xfId="0" applyFont="1" applyFill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10" fontId="31" fillId="0" borderId="25" xfId="0" applyNumberFormat="1" applyFont="1" applyBorder="1" applyAlignment="1">
      <alignment horizontal="center" vertical="center" wrapText="1"/>
    </xf>
    <xf numFmtId="0" fontId="0" fillId="0" borderId="24" xfId="0" quotePrefix="1" applyBorder="1">
      <alignment vertical="center"/>
    </xf>
    <xf numFmtId="0" fontId="28" fillId="0" borderId="10" xfId="0" applyFont="1" applyBorder="1" applyAlignment="1">
      <alignment vertical="center" wrapText="1"/>
    </xf>
    <xf numFmtId="2" fontId="0" fillId="0" borderId="25" xfId="0" applyNumberFormat="1" applyFill="1" applyBorder="1">
      <alignment vertical="center"/>
    </xf>
    <xf numFmtId="0" fontId="0" fillId="25" borderId="24" xfId="0" applyFill="1" applyBorder="1" applyAlignment="1">
      <alignment vertical="center"/>
    </xf>
    <xf numFmtId="10" fontId="0" fillId="25" borderId="10" xfId="69" applyNumberFormat="1" applyFont="1" applyFill="1" applyBorder="1" applyAlignment="1">
      <alignment vertical="center"/>
    </xf>
    <xf numFmtId="10" fontId="0" fillId="25" borderId="10" xfId="0" applyNumberFormat="1" applyFill="1" applyBorder="1" applyAlignment="1">
      <alignment vertical="center"/>
    </xf>
    <xf numFmtId="10" fontId="33" fillId="24" borderId="25" xfId="0" applyNumberFormat="1" applyFont="1" applyFill="1" applyBorder="1">
      <alignment vertical="center"/>
    </xf>
    <xf numFmtId="0" fontId="0" fillId="0" borderId="10" xfId="0" applyBorder="1" applyAlignment="1">
      <alignment vertical="center"/>
    </xf>
    <xf numFmtId="0" fontId="0" fillId="25" borderId="24" xfId="0" applyFill="1" applyBorder="1">
      <alignment vertical="center"/>
    </xf>
    <xf numFmtId="0" fontId="0" fillId="0" borderId="24" xfId="0" applyBorder="1">
      <alignment vertical="center"/>
    </xf>
    <xf numFmtId="0" fontId="0" fillId="0" borderId="24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7" xfId="0" applyFill="1" applyBorder="1">
      <alignment vertical="center"/>
    </xf>
    <xf numFmtId="2" fontId="0" fillId="0" borderId="18" xfId="0" applyNumberFormat="1" applyFill="1" applyBorder="1">
      <alignment vertical="center"/>
    </xf>
    <xf numFmtId="0" fontId="0" fillId="25" borderId="26" xfId="0" applyFill="1" applyBorder="1">
      <alignment vertical="center"/>
    </xf>
    <xf numFmtId="10" fontId="0" fillId="25" borderId="17" xfId="69" applyNumberFormat="1" applyFont="1" applyFill="1" applyBorder="1" applyAlignment="1">
      <alignment vertical="center"/>
    </xf>
    <xf numFmtId="10" fontId="0" fillId="25" borderId="17" xfId="0" applyNumberFormat="1" applyFill="1" applyBorder="1" applyAlignment="1">
      <alignment vertical="center"/>
    </xf>
    <xf numFmtId="10" fontId="33" fillId="24" borderId="18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0" fontId="0" fillId="0" borderId="0" xfId="0" applyNumberFormat="1" applyFill="1" applyBorder="1" applyAlignment="1">
      <alignment vertical="center"/>
    </xf>
    <xf numFmtId="0" fontId="33" fillId="0" borderId="0" xfId="0" applyFont="1" applyFill="1" applyBorder="1">
      <alignment vertical="center"/>
    </xf>
    <xf numFmtId="0" fontId="31" fillId="0" borderId="10" xfId="0" applyFont="1" applyBorder="1" applyAlignment="1">
      <alignment horizontal="center" vertical="center" wrapText="1"/>
    </xf>
    <xf numFmtId="10" fontId="31" fillId="0" borderId="10" xfId="0" applyNumberFormat="1" applyFont="1" applyBorder="1" applyAlignment="1">
      <alignment horizontal="center" vertical="center" wrapText="1"/>
    </xf>
    <xf numFmtId="0" fontId="0" fillId="0" borderId="24" xfId="0" quotePrefix="1" applyFill="1" applyBorder="1">
      <alignment vertical="center"/>
    </xf>
    <xf numFmtId="10" fontId="0" fillId="0" borderId="10" xfId="69" applyNumberFormat="1" applyFont="1" applyFill="1" applyBorder="1" applyAlignment="1">
      <alignment vertical="center"/>
    </xf>
    <xf numFmtId="10" fontId="0" fillId="0" borderId="10" xfId="0" applyNumberFormat="1" applyFill="1" applyBorder="1" applyAlignment="1">
      <alignment vertical="center"/>
    </xf>
    <xf numFmtId="10" fontId="33" fillId="24" borderId="10" xfId="0" applyNumberFormat="1" applyFont="1" applyFill="1" applyBorder="1">
      <alignment vertical="center"/>
    </xf>
    <xf numFmtId="2" fontId="0" fillId="0" borderId="10" xfId="0" applyNumberFormat="1" applyFill="1" applyBorder="1">
      <alignment vertical="center"/>
    </xf>
    <xf numFmtId="0" fontId="0" fillId="0" borderId="17" xfId="0" applyBorder="1" applyAlignment="1">
      <alignment vertical="center"/>
    </xf>
    <xf numFmtId="2" fontId="0" fillId="0" borderId="17" xfId="0" applyNumberFormat="1" applyFill="1" applyBorder="1">
      <alignment vertical="center"/>
    </xf>
    <xf numFmtId="10" fontId="0" fillId="0" borderId="17" xfId="69" applyNumberFormat="1" applyFont="1" applyFill="1" applyBorder="1" applyAlignment="1">
      <alignment vertical="center"/>
    </xf>
    <xf numFmtId="10" fontId="0" fillId="0" borderId="17" xfId="0" applyNumberFormat="1" applyFill="1" applyBorder="1" applyAlignment="1">
      <alignment vertical="center"/>
    </xf>
    <xf numFmtId="10" fontId="33" fillId="24" borderId="17" xfId="0" applyNumberFormat="1" applyFont="1" applyFill="1" applyBorder="1">
      <alignment vertical="center"/>
    </xf>
    <xf numFmtId="0" fontId="0" fillId="0" borderId="10" xfId="0" applyFill="1" applyBorder="1" applyAlignment="1">
      <alignment vertical="center"/>
    </xf>
    <xf numFmtId="0" fontId="0" fillId="0" borderId="49" xfId="0" quotePrefix="1" applyFill="1" applyBorder="1">
      <alignment vertical="center"/>
    </xf>
    <xf numFmtId="0" fontId="0" fillId="0" borderId="17" xfId="0" applyFill="1" applyBorder="1" applyAlignment="1">
      <alignment vertical="center"/>
    </xf>
    <xf numFmtId="0" fontId="0" fillId="24" borderId="25" xfId="0" applyFill="1" applyBorder="1">
      <alignment vertical="center"/>
    </xf>
    <xf numFmtId="49" fontId="0" fillId="0" borderId="24" xfId="0" applyNumberFormat="1" applyBorder="1">
      <alignment vertical="center"/>
    </xf>
    <xf numFmtId="10" fontId="0" fillId="26" borderId="10" xfId="69" applyNumberFormat="1" applyFont="1" applyFill="1" applyBorder="1">
      <alignment vertical="center"/>
    </xf>
    <xf numFmtId="49" fontId="0" fillId="0" borderId="26" xfId="0" applyNumberFormat="1" applyBorder="1">
      <alignment vertical="center"/>
    </xf>
    <xf numFmtId="0" fontId="0" fillId="0" borderId="17" xfId="0" applyBorder="1">
      <alignment vertical="center"/>
    </xf>
    <xf numFmtId="0" fontId="0" fillId="24" borderId="18" xfId="0" applyFill="1" applyBorder="1">
      <alignment vertical="center"/>
    </xf>
    <xf numFmtId="0" fontId="0" fillId="0" borderId="26" xfId="0" applyBorder="1">
      <alignment vertical="center"/>
    </xf>
    <xf numFmtId="10" fontId="0" fillId="0" borderId="17" xfId="69" applyNumberFormat="1" applyFont="1" applyBorder="1">
      <alignment vertical="center"/>
    </xf>
    <xf numFmtId="0" fontId="29" fillId="0" borderId="26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17" xfId="0" applyFont="1" applyFill="1" applyBorder="1" applyAlignment="1">
      <alignment horizontal="center" vertical="center" wrapText="1"/>
    </xf>
    <xf numFmtId="0" fontId="30" fillId="25" borderId="17" xfId="0" applyFont="1" applyFill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10" fontId="31" fillId="0" borderId="18" xfId="0" applyNumberFormat="1" applyFont="1" applyBorder="1" applyAlignment="1">
      <alignment horizontal="center" vertical="center" wrapText="1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24" borderId="29" xfId="0" applyFill="1" applyBorder="1">
      <alignment vertical="center"/>
    </xf>
    <xf numFmtId="10" fontId="0" fillId="0" borderId="15" xfId="69" applyNumberFormat="1" applyFont="1" applyBorder="1">
      <alignment vertical="center"/>
    </xf>
    <xf numFmtId="10" fontId="33" fillId="24" borderId="15" xfId="0" applyNumberFormat="1" applyFont="1" applyFill="1" applyBorder="1">
      <alignment vertical="center"/>
    </xf>
    <xf numFmtId="10" fontId="33" fillId="24" borderId="16" xfId="0" applyNumberFormat="1" applyFont="1" applyFill="1" applyBorder="1">
      <alignment vertical="center"/>
    </xf>
    <xf numFmtId="0" fontId="0" fillId="24" borderId="11" xfId="0" applyFill="1" applyBorder="1">
      <alignment vertical="center"/>
    </xf>
    <xf numFmtId="0" fontId="0" fillId="24" borderId="30" xfId="0" applyFill="1" applyBorder="1">
      <alignment vertical="center"/>
    </xf>
    <xf numFmtId="2" fontId="28" fillId="24" borderId="18" xfId="0" applyNumberFormat="1" applyFont="1" applyFill="1" applyBorder="1" applyAlignment="1">
      <alignment horizontal="center" vertical="center" wrapText="1"/>
    </xf>
    <xf numFmtId="2" fontId="28" fillId="24" borderId="25" xfId="0" applyNumberFormat="1" applyFont="1" applyFill="1" applyBorder="1" applyAlignment="1">
      <alignment horizontal="center" vertical="center" wrapText="1"/>
    </xf>
    <xf numFmtId="181" fontId="0" fillId="0" borderId="0" xfId="71" applyNumberFormat="1" applyFont="1" applyAlignment="1">
      <alignment horizontal="center" vertical="center"/>
    </xf>
    <xf numFmtId="0" fontId="29" fillId="0" borderId="0" xfId="0" applyFont="1" applyFill="1" applyBorder="1" applyAlignment="1">
      <alignment horizontal="center" vertical="center" wrapText="1"/>
    </xf>
    <xf numFmtId="0" fontId="38" fillId="0" borderId="26" xfId="0" applyFont="1" applyFill="1" applyBorder="1" applyAlignment="1">
      <alignment horizontal="center" vertical="center"/>
    </xf>
    <xf numFmtId="0" fontId="38" fillId="0" borderId="18" xfId="0" applyFont="1" applyFill="1" applyBorder="1" applyAlignment="1">
      <alignment horizontal="center" vertical="center"/>
    </xf>
    <xf numFmtId="182" fontId="0" fillId="0" borderId="10" xfId="69" applyNumberFormat="1" applyFont="1" applyFill="1" applyBorder="1" applyAlignment="1">
      <alignment vertical="center"/>
    </xf>
    <xf numFmtId="182" fontId="0" fillId="0" borderId="10" xfId="69" applyNumberFormat="1" applyFont="1" applyFill="1" applyBorder="1" applyAlignment="1">
      <alignment horizontal="right" vertical="center"/>
    </xf>
    <xf numFmtId="0" fontId="38" fillId="0" borderId="14" xfId="0" applyFont="1" applyFill="1" applyBorder="1" applyAlignment="1">
      <alignment horizontal="center" vertical="center"/>
    </xf>
    <xf numFmtId="0" fontId="38" fillId="0" borderId="16" xfId="0" applyFont="1" applyFill="1" applyBorder="1" applyAlignment="1">
      <alignment horizontal="center" vertical="center"/>
    </xf>
    <xf numFmtId="181" fontId="0" fillId="0" borderId="0" xfId="71" applyNumberFormat="1" applyFont="1" applyBorder="1">
      <alignment vertical="center"/>
    </xf>
    <xf numFmtId="182" fontId="0" fillId="0" borderId="10" xfId="0" applyNumberFormat="1" applyBorder="1">
      <alignment vertical="center"/>
    </xf>
    <xf numFmtId="0" fontId="0" fillId="0" borderId="14" xfId="0" applyFill="1" applyBorder="1">
      <alignment vertical="center"/>
    </xf>
    <xf numFmtId="0" fontId="39" fillId="0" borderId="0" xfId="75"/>
    <xf numFmtId="2" fontId="39" fillId="0" borderId="0" xfId="75" applyNumberFormat="1"/>
    <xf numFmtId="49" fontId="39" fillId="0" borderId="0" xfId="75" applyNumberFormat="1"/>
    <xf numFmtId="190" fontId="39" fillId="0" borderId="0" xfId="75" applyNumberFormat="1"/>
    <xf numFmtId="0" fontId="39" fillId="0" borderId="0" xfId="75" applyNumberFormat="1"/>
    <xf numFmtId="0" fontId="39" fillId="26" borderId="0" xfId="75" applyFill="1"/>
    <xf numFmtId="0" fontId="0" fillId="0" borderId="0" xfId="0">
      <alignment vertical="center"/>
    </xf>
    <xf numFmtId="49" fontId="7" fillId="0" borderId="10" xfId="62" applyNumberFormat="1" applyFont="1" applyBorder="1" applyAlignment="1">
      <alignment horizontal="center" vertical="center"/>
    </xf>
    <xf numFmtId="49" fontId="7" fillId="0" borderId="0" xfId="75" applyNumberFormat="1" applyFont="1"/>
    <xf numFmtId="49" fontId="39" fillId="0" borderId="0" xfId="75" applyNumberFormat="1" applyFont="1"/>
    <xf numFmtId="49" fontId="7" fillId="39" borderId="0" xfId="75" applyNumberFormat="1" applyFont="1" applyFill="1"/>
    <xf numFmtId="0" fontId="39" fillId="39" borderId="0" xfId="75" applyFill="1"/>
    <xf numFmtId="191" fontId="39" fillId="0" borderId="0" xfId="75" applyNumberFormat="1"/>
    <xf numFmtId="49" fontId="7" fillId="0" borderId="0" xfId="75" applyNumberFormat="1" applyFont="1" applyFill="1"/>
    <xf numFmtId="0" fontId="39" fillId="0" borderId="0" xfId="75" applyFill="1"/>
    <xf numFmtId="49" fontId="0" fillId="0" borderId="10" xfId="0" applyNumberFormat="1" applyBorder="1" applyAlignment="1">
      <alignment horizontal="left" vertical="center"/>
    </xf>
    <xf numFmtId="2" fontId="0" fillId="0" borderId="10" xfId="0" applyNumberFormat="1" applyBorder="1">
      <alignment vertical="center"/>
    </xf>
    <xf numFmtId="10" fontId="0" fillId="0" borderId="14" xfId="69" applyNumberFormat="1" applyFont="1" applyBorder="1" applyAlignment="1">
      <alignment horizontal="center" vertical="center" wrapText="1"/>
    </xf>
    <xf numFmtId="10" fontId="0" fillId="0" borderId="26" xfId="69" applyNumberFormat="1" applyFont="1" applyBorder="1" applyAlignment="1">
      <alignment horizontal="center" vertical="center" wrapText="1"/>
    </xf>
    <xf numFmtId="10" fontId="0" fillId="0" borderId="50" xfId="69" applyNumberFormat="1" applyFont="1" applyBorder="1" applyAlignment="1">
      <alignment horizontal="center" vertical="center" wrapText="1"/>
    </xf>
    <xf numFmtId="176" fontId="0" fillId="0" borderId="34" xfId="71" applyNumberFormat="1" applyFont="1" applyBorder="1">
      <alignment vertical="center"/>
    </xf>
    <xf numFmtId="182" fontId="0" fillId="0" borderId="19" xfId="69" applyNumberFormat="1" applyFont="1" applyBorder="1" applyAlignment="1">
      <alignment horizontal="center" vertical="center"/>
    </xf>
    <xf numFmtId="2" fontId="0" fillId="0" borderId="19" xfId="0" applyNumberFormat="1" applyBorder="1">
      <alignment vertical="center"/>
    </xf>
    <xf numFmtId="182" fontId="0" fillId="0" borderId="24" xfId="69" applyNumberFormat="1" applyFont="1" applyBorder="1" applyAlignment="1">
      <alignment horizontal="center" vertical="center"/>
    </xf>
    <xf numFmtId="0" fontId="0" fillId="0" borderId="25" xfId="0" applyBorder="1">
      <alignment vertical="center"/>
    </xf>
    <xf numFmtId="182" fontId="0" fillId="0" borderId="26" xfId="69" applyNumberFormat="1" applyFont="1" applyBorder="1" applyAlignment="1">
      <alignment horizontal="center" vertical="center"/>
    </xf>
    <xf numFmtId="2" fontId="0" fillId="0" borderId="17" xfId="0" applyNumberFormat="1" applyBorder="1">
      <alignment vertical="center"/>
    </xf>
    <xf numFmtId="188" fontId="0" fillId="0" borderId="19" xfId="71" applyNumberFormat="1" applyFont="1" applyBorder="1">
      <alignment vertical="center"/>
    </xf>
    <xf numFmtId="188" fontId="0" fillId="0" borderId="17" xfId="71" applyNumberFormat="1" applyFont="1" applyBorder="1">
      <alignment vertical="center"/>
    </xf>
    <xf numFmtId="188" fontId="0" fillId="0" borderId="25" xfId="71" applyNumberFormat="1" applyFont="1" applyBorder="1">
      <alignment vertical="center"/>
    </xf>
    <xf numFmtId="188" fontId="0" fillId="0" borderId="18" xfId="71" applyNumberFormat="1" applyFont="1" applyBorder="1">
      <alignment vertical="center"/>
    </xf>
    <xf numFmtId="188" fontId="0" fillId="0" borderId="27" xfId="71" applyNumberFormat="1" applyFont="1" applyBorder="1">
      <alignment vertical="center"/>
    </xf>
    <xf numFmtId="182" fontId="0" fillId="0" borderId="19" xfId="69" applyNumberFormat="1" applyFont="1" applyBorder="1">
      <alignment vertical="center"/>
    </xf>
    <xf numFmtId="182" fontId="0" fillId="0" borderId="24" xfId="69" applyNumberFormat="1" applyFont="1" applyBorder="1">
      <alignment vertical="center"/>
    </xf>
    <xf numFmtId="182" fontId="0" fillId="0" borderId="26" xfId="69" applyNumberFormat="1" applyFont="1" applyBorder="1">
      <alignment vertical="center"/>
    </xf>
    <xf numFmtId="10" fontId="0" fillId="0" borderId="26" xfId="0" applyNumberForma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181" fontId="0" fillId="0" borderId="17" xfId="71" applyNumberFormat="1" applyFont="1" applyFill="1" applyBorder="1">
      <alignment vertical="center"/>
    </xf>
    <xf numFmtId="181" fontId="0" fillId="0" borderId="18" xfId="71" applyNumberFormat="1" applyFont="1" applyFill="1" applyBorder="1">
      <alignment vertical="center"/>
    </xf>
    <xf numFmtId="0" fontId="10" fillId="24" borderId="13" xfId="0" applyFont="1" applyFill="1" applyBorder="1" applyAlignment="1">
      <alignment horizontal="center" vertical="center" shrinkToFit="1"/>
    </xf>
    <xf numFmtId="0" fontId="0" fillId="0" borderId="10" xfId="0" applyFill="1" applyBorder="1" applyAlignment="1">
      <alignment horizontal="center" vertical="center"/>
    </xf>
    <xf numFmtId="181" fontId="0" fillId="0" borderId="10" xfId="71" applyNumberFormat="1" applyFont="1" applyFill="1" applyBorder="1">
      <alignment vertical="center"/>
    </xf>
    <xf numFmtId="2" fontId="39" fillId="0" borderId="10" xfId="75" applyNumberFormat="1" applyFill="1" applyBorder="1"/>
    <xf numFmtId="0" fontId="4" fillId="24" borderId="15" xfId="0" applyFont="1" applyFill="1" applyBorder="1" applyAlignment="1">
      <alignment horizontal="center" vertical="center"/>
    </xf>
    <xf numFmtId="10" fontId="0" fillId="0" borderId="24" xfId="0" applyNumberFormat="1" applyFill="1" applyBorder="1" applyAlignment="1">
      <alignment horizontal="center" vertical="center"/>
    </xf>
    <xf numFmtId="181" fontId="0" fillId="0" borderId="25" xfId="71" applyNumberFormat="1" applyFont="1" applyFill="1" applyBorder="1">
      <alignment vertical="center"/>
    </xf>
    <xf numFmtId="2" fontId="39" fillId="0" borderId="17" xfId="75" applyNumberFormat="1" applyFill="1" applyBorder="1"/>
    <xf numFmtId="0" fontId="39" fillId="0" borderId="10" xfId="75" applyBorder="1" applyAlignment="1">
      <alignment horizontal="center"/>
    </xf>
    <xf numFmtId="49" fontId="39" fillId="0" borderId="10" xfId="75" applyNumberFormat="1" applyFill="1" applyBorder="1" applyAlignment="1">
      <alignment horizontal="center"/>
    </xf>
    <xf numFmtId="49" fontId="39" fillId="0" borderId="17" xfId="75" applyNumberFormat="1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39" fillId="0" borderId="39" xfId="75" applyBorder="1" applyAlignment="1">
      <alignment horizontal="center"/>
    </xf>
    <xf numFmtId="10" fontId="0" fillId="0" borderId="54" xfId="0" applyNumberFormat="1" applyFill="1" applyBorder="1" applyAlignment="1">
      <alignment horizontal="center" vertical="center"/>
    </xf>
    <xf numFmtId="188" fontId="0" fillId="0" borderId="15" xfId="71" applyNumberFormat="1" applyFont="1" applyBorder="1" applyAlignment="1">
      <alignment horizontal="center" vertical="center"/>
    </xf>
    <xf numFmtId="188" fontId="0" fillId="0" borderId="17" xfId="71" applyNumberFormat="1" applyFont="1" applyBorder="1" applyAlignment="1">
      <alignment horizontal="center" vertical="center"/>
    </xf>
    <xf numFmtId="188" fontId="0" fillId="0" borderId="19" xfId="71" applyNumberFormat="1" applyFont="1" applyBorder="1" applyAlignment="1">
      <alignment horizontal="center" vertical="center"/>
    </xf>
    <xf numFmtId="188" fontId="0" fillId="0" borderId="16" xfId="71" applyNumberFormat="1" applyFont="1" applyBorder="1" applyAlignment="1">
      <alignment horizontal="center" vertical="center"/>
    </xf>
    <xf numFmtId="188" fontId="0" fillId="0" borderId="18" xfId="71" applyNumberFormat="1" applyFont="1" applyBorder="1" applyAlignment="1">
      <alignment horizontal="center" vertical="center"/>
    </xf>
    <xf numFmtId="180" fontId="0" fillId="27" borderId="10" xfId="0" applyNumberFormat="1" applyFill="1" applyBorder="1" applyAlignment="1">
      <alignment horizontal="right" vertical="center"/>
    </xf>
    <xf numFmtId="3" fontId="41" fillId="40" borderId="0" xfId="0" applyNumberFormat="1" applyFont="1" applyFill="1" applyAlignment="1">
      <alignment horizontal="center" vertical="center" wrapText="1"/>
    </xf>
    <xf numFmtId="3" fontId="41" fillId="24" borderId="0" xfId="0" applyNumberFormat="1" applyFont="1" applyFill="1" applyAlignment="1">
      <alignment horizontal="center" vertical="center" wrapText="1"/>
    </xf>
    <xf numFmtId="0" fontId="41" fillId="40" borderId="0" xfId="0" applyFont="1" applyFill="1" applyAlignment="1">
      <alignment horizontal="center" vertical="center" wrapText="1"/>
    </xf>
    <xf numFmtId="0" fontId="41" fillId="24" borderId="0" xfId="0" applyFont="1" applyFill="1" applyAlignment="1">
      <alignment horizontal="center" vertical="center" wrapText="1"/>
    </xf>
    <xf numFmtId="0" fontId="0" fillId="31" borderId="10" xfId="0" applyFill="1" applyBorder="1" applyAlignment="1">
      <alignment horizontal="center" vertical="center"/>
    </xf>
    <xf numFmtId="0" fontId="38" fillId="0" borderId="14" xfId="0" applyFont="1" applyFill="1" applyBorder="1" applyAlignment="1">
      <alignment horizontal="center" vertical="center"/>
    </xf>
    <xf numFmtId="0" fontId="38" fillId="0" borderId="16" xfId="0" applyFont="1" applyFill="1" applyBorder="1" applyAlignment="1">
      <alignment horizontal="center" vertical="center"/>
    </xf>
    <xf numFmtId="0" fontId="27" fillId="37" borderId="52" xfId="0" applyFont="1" applyFill="1" applyBorder="1" applyAlignment="1">
      <alignment horizontal="center" vertical="center"/>
    </xf>
    <xf numFmtId="0" fontId="27" fillId="37" borderId="53" xfId="0" applyFont="1" applyFill="1" applyBorder="1" applyAlignment="1">
      <alignment horizontal="center" vertical="center"/>
    </xf>
    <xf numFmtId="0" fontId="27" fillId="37" borderId="48" xfId="0" applyFont="1" applyFill="1" applyBorder="1" applyAlignment="1">
      <alignment horizontal="center" vertical="center"/>
    </xf>
    <xf numFmtId="0" fontId="28" fillId="0" borderId="52" xfId="0" applyFont="1" applyBorder="1" applyAlignment="1">
      <alignment horizontal="center" vertical="center" wrapText="1"/>
    </xf>
    <xf numFmtId="0" fontId="28" fillId="0" borderId="54" xfId="0" applyFont="1" applyBorder="1" applyAlignment="1">
      <alignment horizontal="center" vertical="center" wrapText="1"/>
    </xf>
    <xf numFmtId="0" fontId="28" fillId="0" borderId="53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2" fontId="28" fillId="25" borderId="48" xfId="0" applyNumberFormat="1" applyFont="1" applyFill="1" applyBorder="1" applyAlignment="1">
      <alignment horizontal="center" vertical="center" wrapText="1"/>
    </xf>
    <xf numFmtId="2" fontId="28" fillId="25" borderId="55" xfId="0" applyNumberFormat="1" applyFont="1" applyFill="1" applyBorder="1" applyAlignment="1">
      <alignment horizontal="center" vertical="center" wrapText="1"/>
    </xf>
    <xf numFmtId="0" fontId="0" fillId="33" borderId="14" xfId="0" applyFill="1" applyBorder="1" applyAlignment="1">
      <alignment horizontal="center" vertical="center" wrapText="1"/>
    </xf>
    <xf numFmtId="0" fontId="0" fillId="33" borderId="15" xfId="0" applyFill="1" applyBorder="1" applyAlignment="1">
      <alignment horizontal="center" vertical="center" wrapText="1"/>
    </xf>
    <xf numFmtId="0" fontId="0" fillId="33" borderId="15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0" fontId="0" fillId="38" borderId="14" xfId="0" applyFill="1" applyBorder="1" applyAlignment="1">
      <alignment horizontal="center" vertical="center" wrapText="1"/>
    </xf>
    <xf numFmtId="0" fontId="0" fillId="38" borderId="15" xfId="0" applyFill="1" applyBorder="1" applyAlignment="1">
      <alignment horizontal="center" vertical="center" wrapText="1"/>
    </xf>
    <xf numFmtId="0" fontId="0" fillId="38" borderId="15" xfId="0" applyFill="1" applyBorder="1" applyAlignment="1">
      <alignment horizontal="center" vertical="center"/>
    </xf>
    <xf numFmtId="0" fontId="0" fillId="38" borderId="16" xfId="0" applyFill="1" applyBorder="1" applyAlignment="1">
      <alignment horizontal="center" vertical="center"/>
    </xf>
    <xf numFmtId="0" fontId="27" fillId="37" borderId="14" xfId="0" applyFont="1" applyFill="1" applyBorder="1" applyAlignment="1">
      <alignment horizontal="center" vertical="center"/>
    </xf>
    <xf numFmtId="0" fontId="27" fillId="37" borderId="15" xfId="0" applyFont="1" applyFill="1" applyBorder="1" applyAlignment="1">
      <alignment horizontal="center" vertical="center"/>
    </xf>
    <xf numFmtId="0" fontId="27" fillId="37" borderId="16" xfId="0" applyFont="1" applyFill="1" applyBorder="1" applyAlignment="1">
      <alignment horizontal="center" vertical="center"/>
    </xf>
    <xf numFmtId="0" fontId="28" fillId="0" borderId="39" xfId="0" applyFont="1" applyBorder="1" applyAlignment="1">
      <alignment horizontal="center" vertical="center" wrapText="1"/>
    </xf>
    <xf numFmtId="2" fontId="28" fillId="25" borderId="39" xfId="0" applyNumberFormat="1" applyFont="1" applyFill="1" applyBorder="1" applyAlignment="1">
      <alignment horizontal="center" vertical="center" wrapText="1"/>
    </xf>
    <xf numFmtId="2" fontId="28" fillId="25" borderId="19" xfId="0" applyNumberFormat="1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/>
    </xf>
    <xf numFmtId="0" fontId="0" fillId="38" borderId="10" xfId="0" applyFill="1" applyBorder="1" applyAlignment="1">
      <alignment horizontal="center" vertical="center" wrapText="1"/>
    </xf>
    <xf numFmtId="0" fontId="0" fillId="38" borderId="1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27" fillId="37" borderId="41" xfId="0" applyFont="1" applyFill="1" applyBorder="1" applyAlignment="1">
      <alignment horizontal="center" vertical="center"/>
    </xf>
    <xf numFmtId="0" fontId="27" fillId="37" borderId="47" xfId="0" applyFont="1" applyFill="1" applyBorder="1" applyAlignment="1">
      <alignment horizontal="center" vertical="center"/>
    </xf>
    <xf numFmtId="0" fontId="27" fillId="37" borderId="42" xfId="0" applyFont="1" applyFill="1" applyBorder="1" applyAlignment="1">
      <alignment horizontal="center" vertical="center"/>
    </xf>
    <xf numFmtId="0" fontId="28" fillId="0" borderId="52" xfId="0" applyFont="1" applyFill="1" applyBorder="1" applyAlignment="1">
      <alignment horizontal="center" vertical="center" wrapText="1"/>
    </xf>
    <xf numFmtId="0" fontId="28" fillId="0" borderId="54" xfId="0" applyFont="1" applyFill="1" applyBorder="1" applyAlignment="1">
      <alignment horizontal="center" vertical="center" wrapText="1"/>
    </xf>
    <xf numFmtId="0" fontId="28" fillId="0" borderId="53" xfId="0" applyFont="1" applyFill="1" applyBorder="1" applyAlignment="1">
      <alignment horizontal="center" vertical="center" wrapText="1"/>
    </xf>
    <xf numFmtId="0" fontId="28" fillId="0" borderId="19" xfId="0" applyFont="1" applyFill="1" applyBorder="1" applyAlignment="1">
      <alignment horizontal="center" vertical="center" wrapText="1"/>
    </xf>
    <xf numFmtId="2" fontId="28" fillId="0" borderId="48" xfId="0" applyNumberFormat="1" applyFont="1" applyFill="1" applyBorder="1" applyAlignment="1">
      <alignment horizontal="center" vertical="center" wrapText="1"/>
    </xf>
    <xf numFmtId="2" fontId="28" fillId="0" borderId="55" xfId="0" applyNumberFormat="1" applyFont="1" applyFill="1" applyBorder="1" applyAlignment="1">
      <alignment horizontal="center" vertical="center" wrapText="1"/>
    </xf>
    <xf numFmtId="0" fontId="0" fillId="26" borderId="14" xfId="0" applyFill="1" applyBorder="1" applyAlignment="1">
      <alignment horizontal="center" vertical="center" wrapText="1"/>
    </xf>
    <xf numFmtId="0" fontId="0" fillId="26" borderId="15" xfId="0" applyFill="1" applyBorder="1" applyAlignment="1">
      <alignment horizontal="center" vertical="center" wrapText="1"/>
    </xf>
    <xf numFmtId="0" fontId="0" fillId="26" borderId="15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27" fillId="37" borderId="39" xfId="0" applyFont="1" applyFill="1" applyBorder="1" applyAlignment="1">
      <alignment horizontal="center" vertical="center"/>
    </xf>
    <xf numFmtId="0" fontId="28" fillId="0" borderId="14" xfId="0" applyFont="1" applyFill="1" applyBorder="1" applyAlignment="1">
      <alignment horizontal="center" vertical="center" wrapText="1"/>
    </xf>
    <xf numFmtId="0" fontId="28" fillId="0" borderId="24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2" fontId="28" fillId="0" borderId="16" xfId="0" applyNumberFormat="1" applyFont="1" applyFill="1" applyBorder="1" applyAlignment="1">
      <alignment horizontal="center" vertical="center" wrapText="1"/>
    </xf>
    <xf numFmtId="2" fontId="28" fillId="0" borderId="25" xfId="0" applyNumberFormat="1" applyFont="1" applyFill="1" applyBorder="1" applyAlignment="1">
      <alignment horizontal="center" vertical="center" wrapText="1"/>
    </xf>
    <xf numFmtId="0" fontId="27" fillId="37" borderId="11" xfId="0" applyFont="1" applyFill="1" applyBorder="1" applyAlignment="1">
      <alignment horizontal="center" vertical="center"/>
    </xf>
    <xf numFmtId="0" fontId="27" fillId="37" borderId="40" xfId="0" applyFont="1" applyFill="1" applyBorder="1" applyAlignment="1">
      <alignment horizontal="center" vertical="center"/>
    </xf>
    <xf numFmtId="0" fontId="27" fillId="37" borderId="56" xfId="0" applyFont="1" applyFill="1" applyBorder="1" applyAlignment="1">
      <alignment horizontal="center" vertical="center"/>
    </xf>
    <xf numFmtId="0" fontId="27" fillId="37" borderId="57" xfId="0" applyFont="1" applyFill="1" applyBorder="1" applyAlignment="1">
      <alignment horizontal="center" vertical="center"/>
    </xf>
    <xf numFmtId="0" fontId="28" fillId="0" borderId="58" xfId="0" applyFont="1" applyFill="1" applyBorder="1" applyAlignment="1">
      <alignment horizontal="center" vertical="center" wrapText="1"/>
    </xf>
    <xf numFmtId="0" fontId="28" fillId="0" borderId="59" xfId="0" applyFont="1" applyFill="1" applyBorder="1" applyAlignment="1">
      <alignment horizontal="center" vertical="center" wrapText="1"/>
    </xf>
    <xf numFmtId="2" fontId="28" fillId="0" borderId="60" xfId="0" applyNumberFormat="1" applyFont="1" applyFill="1" applyBorder="1" applyAlignment="1">
      <alignment horizontal="center" vertical="center" wrapText="1"/>
    </xf>
    <xf numFmtId="0" fontId="27" fillId="37" borderId="13" xfId="0" applyFont="1" applyFill="1" applyBorder="1" applyAlignment="1">
      <alignment horizontal="center" vertical="center"/>
    </xf>
    <xf numFmtId="0" fontId="27" fillId="37" borderId="10" xfId="0" applyFont="1" applyFill="1" applyBorder="1" applyAlignment="1">
      <alignment horizontal="center" vertical="center"/>
    </xf>
    <xf numFmtId="0" fontId="26" fillId="24" borderId="51" xfId="0" applyFon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1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28" borderId="37" xfId="0" applyFill="1" applyBorder="1" applyAlignment="1">
      <alignment horizontal="center" vertical="center"/>
    </xf>
    <xf numFmtId="0" fontId="0" fillId="0" borderId="0" xfId="0">
      <alignment vertical="center"/>
    </xf>
  </cellXfs>
  <cellStyles count="78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te" xfId="37"/>
    <cellStyle name="Output" xfId="38"/>
    <cellStyle name="Title" xfId="39"/>
    <cellStyle name="Total" xfId="40"/>
    <cellStyle name="Warning Text" xfId="41"/>
    <cellStyle name="一般" xfId="0" builtinId="0"/>
    <cellStyle name="一般 10" xfId="42"/>
    <cellStyle name="一般 11" xfId="43"/>
    <cellStyle name="一般 12" xfId="44"/>
    <cellStyle name="一般 13" xfId="45"/>
    <cellStyle name="一般 14" xfId="46"/>
    <cellStyle name="一般 15" xfId="47"/>
    <cellStyle name="一般 16" xfId="48"/>
    <cellStyle name="一般 17" xfId="49"/>
    <cellStyle name="一般 18" xfId="50"/>
    <cellStyle name="一般 19" xfId="51"/>
    <cellStyle name="一般 2" xfId="52"/>
    <cellStyle name="一般 20" xfId="53"/>
    <cellStyle name="一般 21" xfId="54"/>
    <cellStyle name="一般 22" xfId="55"/>
    <cellStyle name="一般 23" xfId="56"/>
    <cellStyle name="一般 24" xfId="57"/>
    <cellStyle name="一般 25" xfId="58"/>
    <cellStyle name="一般 26" xfId="59"/>
    <cellStyle name="一般 27" xfId="60"/>
    <cellStyle name="一般 28" xfId="61"/>
    <cellStyle name="一般 29" xfId="72"/>
    <cellStyle name="一般 3" xfId="62"/>
    <cellStyle name="一般 30" xfId="75"/>
    <cellStyle name="一般 31" xfId="77"/>
    <cellStyle name="一般 4" xfId="63"/>
    <cellStyle name="一般 5" xfId="64"/>
    <cellStyle name="一般 6" xfId="65"/>
    <cellStyle name="一般 7" xfId="66"/>
    <cellStyle name="一般 8" xfId="67"/>
    <cellStyle name="一般 9" xfId="68"/>
    <cellStyle name="千分位" xfId="71" builtinId="3"/>
    <cellStyle name="百分比" xfId="69" builtinId="5"/>
    <cellStyle name="百分比 2" xfId="70"/>
    <cellStyle name="貨幣" xfId="73" builtinId="4"/>
    <cellStyle name="超連結" xfId="74" builtinId="8"/>
    <cellStyle name="超連結 2" xfId="76"/>
  </cellStyles>
  <dxfs count="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kgi.tw.der.pricertdserver.2014.1">
      <tp t="e">
        <v>#N/A</v>
        <stp/>
        <stp>NK225-H18:JPX@Master</stp>
        <tr r="E52" s="121"/>
      </tp>
      <tp t="e">
        <v>#N/A</v>
        <stp/>
        <stp>NK225-Z17:JPX@Master</stp>
        <tr r="E51" s="121"/>
      </tp>
      <tp t="e">
        <v>#N/A</v>
        <stp/>
        <stp>6J-Z17_Time:CME@Master</stp>
        <tr r="H36" s="121"/>
      </tp>
      <tp t="e">
        <v>#N/A</v>
        <stp/>
        <stp>VX-Z17_Time:CFE@Master</stp>
        <tr r="H48" s="121"/>
      </tp>
      <tp t="e">
        <v>#N/A</v>
        <stp/>
        <stp>CN-Z17_Time:SGX@Master</stp>
        <tr r="H12" s="121"/>
      </tp>
      <tp t="e">
        <v>#N/A</v>
        <stp/>
        <stp>NK-Z17_Time:SGX@Master</stp>
        <tr r="H15" s="121"/>
      </tp>
      <tp t="e">
        <v>#N/A</v>
        <stp/>
        <stp>IN-Z17_Time:SGX@Master</stp>
        <tr r="H18" s="121"/>
      </tp>
      <tp t="e">
        <v>#N/A</v>
        <stp/>
        <stp>ES-Z17_Time:CME@Master</stp>
        <tr r="H30" s="121"/>
      </tp>
      <tp t="e">
        <v>#N/A</v>
        <stp/>
        <stp>TW-Z17_Time:SGX@Master</stp>
        <tr r="H9" s="121"/>
      </tp>
      <tp t="e">
        <v>#N/A</v>
        <stp/>
        <stp>NQ-Z17_Time:CME@Master</stp>
        <tr r="H32" s="121"/>
      </tp>
      <tp t="e">
        <v>#N/A</v>
        <stp/>
        <stp>6J-X17_Time:CME@Master</stp>
        <tr r="H35" s="121"/>
      </tp>
      <tp t="e">
        <v>#N/A</v>
        <stp/>
        <stp>VX-X17_Time:CFE@Master</stp>
        <tr r="H47" s="121"/>
      </tp>
      <tp t="e">
        <v>#N/A</v>
        <stp/>
        <stp>CN-X17_Time:SGX@Master</stp>
        <tr r="H11" s="121"/>
      </tp>
      <tp t="e">
        <v>#N/A</v>
        <stp/>
        <stp>NK-X17_Time:SGX@Master</stp>
        <tr r="H14" s="121"/>
      </tp>
      <tp t="e">
        <v>#N/A</v>
        <stp/>
        <stp>IN-X17_Time:SGX@Master</stp>
        <tr r="H17" s="121"/>
      </tp>
      <tp t="e">
        <v>#N/A</v>
        <stp/>
        <stp>TW-X17_Time:SGX@Master</stp>
        <tr r="H8" s="121"/>
      </tp>
      <tp t="e">
        <v>#N/A</v>
        <stp/>
        <stp>NK225-Z17_Reference:JPX@Master</stp>
        <tr r="D51" s="121"/>
      </tp>
      <tp t="e">
        <v>#N/A</v>
        <stp/>
        <stp>NK225-H18_BidPrice1:JPX@Master</stp>
        <tr r="F52" s="121"/>
      </tp>
      <tp t="e">
        <v>#N/A</v>
        <stp/>
        <stp>HHI-X17_Time:HKEX@Master</stp>
        <tr r="H23" s="121"/>
      </tp>
      <tp t="e">
        <v>#N/A</v>
        <stp/>
        <stp>HHI-Z17_Time:HKEX@Master</stp>
        <tr r="H24" s="121"/>
      </tp>
      <tp t="e">
        <v>#N/A</v>
        <stp/>
        <stp>HHI-V17_Time:HKEX@Master</stp>
        <tr r="H22" s="121"/>
      </tp>
      <tp t="e">
        <v>#N/A</v>
        <stp/>
        <stp>NK225-H18_Reference:JPX@Master</stp>
        <tr r="D52" s="121"/>
      </tp>
      <tp t="e">
        <v>#N/A</v>
        <stp/>
        <stp>NK225-Z17_BidPrice1:JPX@Master</stp>
        <tr r="F51" s="121"/>
      </tp>
      <tp t="e">
        <v>#N/A</v>
        <stp/>
        <stp>TOPIX-Z17:JPX@Master</stp>
        <tr r="E49" s="121"/>
      </tp>
      <tp t="e">
        <v>#N/A</v>
        <stp/>
        <stp>DX-Z17_Time:NYBOT@Master</stp>
        <tr r="H37" s="121"/>
      </tp>
      <tp t="e">
        <v>#N/A</v>
        <stp/>
        <stp>DX-H18_Time:NYBOT@Master</stp>
        <tr r="H38" s="121"/>
      </tp>
      <tp t="e">
        <v>#N/A</v>
        <stp/>
        <stp>TOPIX-Z17_Time:JPX@Master</stp>
        <tr r="H49" s="121"/>
      </tp>
      <tp t="e">
        <v>#N/A</v>
        <stp/>
        <stp>6J-V17_Time:CME@Master</stp>
        <tr r="H34" s="121"/>
      </tp>
      <tp t="e">
        <v>#N/A</v>
        <stp/>
        <stp>VX-V17_Time:CFE@Master</stp>
        <tr r="H46" s="121"/>
      </tp>
      <tp t="e">
        <v>#N/A</v>
        <stp/>
        <stp>CN-V17_Time:SGX@Master</stp>
        <tr r="H10" s="121"/>
      </tp>
      <tp t="e">
        <v>#N/A</v>
        <stp/>
        <stp>NK-V17_Time:SGX@Master</stp>
        <tr r="H13" s="121"/>
      </tp>
      <tp t="e">
        <v>#N/A</v>
        <stp/>
        <stp>TSE13_Time:V_INDEX@Master</stp>
        <tr r="H4" s="121"/>
      </tp>
      <tp t="e">
        <v>#N/A</v>
        <stp/>
        <stp>TSE00_Time:V_INDEX@Master</stp>
        <tr r="H2" s="121"/>
      </tp>
      <tp t="e">
        <v>#N/A</v>
        <stp/>
        <stp>TSE33_Time:V_INDEX@Master</stp>
        <tr r="H3" s="121"/>
      </tp>
      <tp t="e">
        <v>#N/A</v>
        <stp/>
        <stp>IN-V17_Time:SGX@Master</stp>
        <tr r="H16" s="121"/>
      </tp>
      <tp t="e">
        <v>#N/A</v>
        <stp/>
        <stp>TSE26_Time:V_INDEX@Master</stp>
        <tr r="H5" s="121"/>
      </tp>
      <tp t="e">
        <v>#N/A</v>
        <stp/>
        <stp>TW-V17_Time:SGX@Master</stp>
        <tr r="H7" s="121"/>
      </tp>
      <tp t="e">
        <v>#N/A</v>
        <stp/>
        <stp>6J-Z17_Reference:CME@Master</stp>
        <tr r="D36" s="121"/>
      </tp>
      <tp t="e">
        <v>#N/A</v>
        <stp/>
        <stp>6J-X17_Reference:CME@Master</stp>
        <tr r="D35" s="121"/>
      </tp>
      <tp t="e">
        <v>#N/A</v>
        <stp/>
        <stp>6J-V17_Reference:CME@Master</stp>
        <tr r="D34" s="121"/>
      </tp>
      <tp t="e">
        <v>#N/A</v>
        <stp/>
        <stp>6J-Z17_BidPrice1:CME@Master</stp>
        <tr r="F36" s="121"/>
      </tp>
      <tp t="e">
        <v>#N/A</v>
        <stp/>
        <stp>6J-X17_BidPrice1:CME@Master</stp>
        <tr r="F35" s="121"/>
      </tp>
      <tp t="e">
        <v>#N/A</v>
        <stp/>
        <stp>6J-V17_BidPrice1:CME@Master</stp>
        <tr r="F34" s="121"/>
      </tp>
      <tp t="e">
        <v>#N/A</v>
        <stp/>
        <stp>CL-Z17_Time:NYMEX@Master</stp>
        <tr r="H40" s="121"/>
      </tp>
      <tp t="e">
        <v>#N/A</v>
        <stp/>
        <stp>CL-X17_Time:NYMEX@Master</stp>
        <tr r="H39" s="121"/>
      </tp>
      <tp t="e">
        <v>#N/A</v>
        <stp/>
        <stp>GC-G18_Time:NYMEX@Master</stp>
        <tr r="H45" s="121"/>
      </tp>
      <tp t="e">
        <v>#N/A</v>
        <stp/>
        <stp>ES-H18_Time:CME@Master</stp>
        <tr r="H31" s="121"/>
      </tp>
      <tp t="e">
        <v>#N/A</v>
        <stp/>
        <stp>NQ-H18_Time:CME@Master</stp>
        <tr r="H33" s="121"/>
      </tp>
      <tp t="e">
        <v>#N/A</v>
        <stp/>
        <stp>6J-X17_AskPrice1:CME@Master</stp>
        <tr r="G35" s="121"/>
      </tp>
      <tp t="e">
        <v>#N/A</v>
        <stp/>
        <stp>6J-Z17_AskPrice1:CME@Master</stp>
        <tr r="G36" s="121"/>
      </tp>
      <tp t="e">
        <v>#N/A</v>
        <stp/>
        <stp>6J-V17_AskPrice1:CME@Master</stp>
        <tr r="G34" s="121"/>
      </tp>
      <tp t="e">
        <v>#N/A</v>
        <stp/>
        <stp>CL-X17:NYMEX@Master</stp>
        <tr r="E39" s="121"/>
      </tp>
      <tp t="e">
        <v>#N/A</v>
        <stp/>
        <stp>CL-Z17:NYMEX@Master</stp>
        <tr r="E40" s="121"/>
      </tp>
      <tp t="e">
        <v>#N/A</v>
        <stp/>
        <stp>CL-F18:NYMEX@Master</stp>
        <tr r="E41" s="121"/>
      </tp>
      <tp t="e">
        <v>#N/A</v>
        <stp/>
        <stp>CL-Z18:NYMEX@Master</stp>
        <tr r="E42" s="121"/>
      </tp>
      <tp t="e">
        <v>#N/A</v>
        <stp/>
        <stp>CL-Z18_Time:NYMEX@Master</stp>
        <tr r="H42" s="121"/>
      </tp>
      <tp t="e">
        <v>#N/A</v>
        <stp/>
        <stp>GC-Z17_Time:NYMEX@Master</stp>
        <tr r="H44" s="121"/>
      </tp>
      <tp t="e">
        <v>#N/A</v>
        <stp/>
        <stp>GC-X17_Time:NYMEX@Master</stp>
        <tr r="H43" s="121"/>
      </tp>
      <tp t="e">
        <v>#N/A</v>
        <stp/>
        <stp>CL-F18_Time:NYMEX@Master</stp>
        <tr r="H41" s="121"/>
      </tp>
      <tp t="e">
        <v>#N/A</v>
        <stp/>
        <stp>DX-H18:NYBOT@Master</stp>
        <tr r="E38" s="121"/>
      </tp>
      <tp t="e">
        <v>#N/A</v>
        <stp/>
        <stp>DX-Z17:NYBOT@Master</stp>
        <tr r="E37" s="121"/>
      </tp>
      <tp t="e">
        <v>#N/A</v>
        <stp/>
        <stp>NK225-Z17_AskPrice1:JPX@Master</stp>
        <tr r="G51" s="121"/>
      </tp>
      <tp t="e">
        <v>#N/A</v>
        <stp/>
        <stp>NK225-H18_AskPrice1:JPX@Master</stp>
        <tr r="G52" s="121"/>
      </tp>
      <tp t="e">
        <v>#N/A</v>
        <stp/>
        <stp>HSI-X17_Time:HKEX@Master</stp>
        <tr r="H20" s="121"/>
      </tp>
      <tp t="e">
        <v>#N/A</v>
        <stp/>
        <stp>HSI-Z17_Time:HKEX@Master</stp>
        <tr r="H21" s="121"/>
      </tp>
      <tp t="e">
        <v>#N/A</v>
        <stp/>
        <stp>HSI-V17_Time:HKEX@Master</stp>
        <tr r="H19" s="121"/>
      </tp>
      <tp t="e">
        <v>#N/A</v>
        <stp/>
        <stp>GC-G18:NYMEX@Master</stp>
        <tr r="E45" s="121"/>
      </tp>
      <tp t="e">
        <v>#N/A</v>
        <stp/>
        <stp>GC-X17:NYMEX@Master</stp>
        <tr r="E43" s="121"/>
      </tp>
      <tp t="e">
        <v>#N/A</v>
        <stp/>
        <stp>GC-Z17:NYMEX@Master</stp>
        <tr r="E44" s="121"/>
      </tp>
      <tp t="e">
        <v>#N/A</v>
        <stp/>
        <stp>YM-Z17:CBOT@Master</stp>
        <tr r="E28" s="121"/>
      </tp>
      <tp t="e">
        <v>#N/A</v>
        <stp/>
        <stp>UB-Z17:CBOT@Master</stp>
        <tr r="E27" s="121"/>
        <tr r="E25" s="121"/>
      </tp>
      <tp t="e">
        <v>#N/A</v>
        <stp/>
        <stp>TOPIXM-H18_AskPrice1:JPX@Master</stp>
        <tr r="G50" s="121"/>
      </tp>
      <tp t="e">
        <v>#N/A</v>
        <stp/>
        <stp>TOPIXM-H18:JPX@Master</stp>
        <tr r="E50" s="121"/>
      </tp>
      <tp t="e">
        <v>#N/A</v>
        <stp/>
        <stp>TOPIXM-H18_BidPrice1:JPX@Master</stp>
        <tr r="F50" s="121"/>
      </tp>
      <tp t="e">
        <v>#N/A</v>
        <stp/>
        <stp>TOPIXM-H18_Reference:JPX@Master</stp>
        <tr r="D50" s="121"/>
      </tp>
      <tp t="e">
        <v>#N/A</v>
        <stp/>
        <stp>YM-H18:CBOT@Master</stp>
        <tr r="E29" s="121"/>
      </tp>
      <tp t="e">
        <v>#N/A</v>
        <stp/>
        <stp>UB-H18:CBOT@Master</stp>
        <tr r="E26" s="121"/>
      </tp>
      <tp t="e">
        <v>#N/A</v>
        <stp/>
        <stp>CL-F18_Reference:NYMEX@Master</stp>
        <tr r="D41" s="121"/>
      </tp>
      <tp t="e">
        <v>#N/A</v>
        <stp/>
        <stp>DX-H18_Reference:NYBOT@Master</stp>
        <tr r="D38" s="121"/>
      </tp>
      <tp t="e">
        <v>#N/A</v>
        <stp/>
        <stp>GC-G18_Reference:NYMEX@Master</stp>
        <tr r="D45" s="121"/>
      </tp>
      <tp t="e">
        <v>#N/A</v>
        <stp/>
        <stp>CL-Z18_Reference:NYMEX@Master</stp>
        <tr r="D42" s="121"/>
      </tp>
      <tp t="e">
        <v>#N/A</v>
        <stp/>
        <stp>CL-Z17_Reference:NYMEX@Master</stp>
        <tr r="D40" s="121"/>
      </tp>
      <tp t="e">
        <v>#N/A</v>
        <stp/>
        <stp>GC-Z17_Reference:NYMEX@Master</stp>
        <tr r="D44" s="121"/>
      </tp>
      <tp t="e">
        <v>#N/A</v>
        <stp/>
        <stp>CL-X17_Reference:NYMEX@Master</stp>
        <tr r="D39" s="121"/>
      </tp>
      <tp t="e">
        <v>#N/A</v>
        <stp/>
        <stp>GC-X17_Reference:NYMEX@Master</stp>
        <tr r="D43" s="121"/>
      </tp>
      <tp t="e">
        <v>#N/A</v>
        <stp/>
        <stp>DX-Z17_Reference:NYBOT@Master</stp>
        <tr r="D37" s="121"/>
      </tp>
      <tp t="e">
        <v>#N/A</v>
        <stp/>
        <stp>MSCITW_AskPrice1:V_INDEX@Master</stp>
        <tr r="G6" s="121"/>
      </tp>
      <tp t="e">
        <v>#N/A</v>
        <stp/>
        <stp>MSCITW_Time:V_INDEX@Master</stp>
        <tr r="H6" s="121"/>
      </tp>
      <tp t="e">
        <v>#N/A</v>
        <stp/>
        <stp>HHI-Z17_Reference:HKEX@Master</stp>
        <tr r="D24" s="121"/>
      </tp>
      <tp t="e">
        <v>#N/A</v>
        <stp/>
        <stp>HSI-Z17_Reference:HKEX@Master</stp>
        <tr r="D21" s="121"/>
      </tp>
      <tp t="e">
        <v>#N/A</v>
        <stp/>
        <stp>HHI-X17_Reference:HKEX@Master</stp>
        <tr r="D23" s="121"/>
      </tp>
      <tp t="e">
        <v>#N/A</v>
        <stp/>
        <stp>HSI-X17_Reference:HKEX@Master</stp>
        <tr r="D20" s="121"/>
      </tp>
      <tp t="e">
        <v>#N/A</v>
        <stp/>
        <stp>HHI-V17_Reference:HKEX@Master</stp>
        <tr r="D22" s="121"/>
      </tp>
      <tp t="e">
        <v>#N/A</v>
        <stp/>
        <stp>HSI-V17_Reference:HKEX@Master</stp>
        <tr r="D19" s="121"/>
      </tp>
      <tp t="e">
        <v>#N/A</v>
        <stp/>
        <stp>HSI-X17_AskPrice1:HKEX@Master</stp>
        <tr r="G20" s="121"/>
      </tp>
      <tp t="e">
        <v>#N/A</v>
        <stp/>
        <stp>HHI-X17_AskPrice1:HKEX@Master</stp>
        <tr r="G23" s="121"/>
      </tp>
      <tp t="e">
        <v>#N/A</v>
        <stp/>
        <stp>HSI-Z17_AskPrice1:HKEX@Master</stp>
        <tr r="G21" s="121"/>
      </tp>
      <tp t="e">
        <v>#N/A</v>
        <stp/>
        <stp>HHI-Z17_AskPrice1:HKEX@Master</stp>
        <tr r="G24" s="121"/>
      </tp>
      <tp t="e">
        <v>#N/A</v>
        <stp/>
        <stp>HSI-V17_AskPrice1:HKEX@Master</stp>
        <tr r="G19" s="121"/>
      </tp>
      <tp t="e">
        <v>#N/A</v>
        <stp/>
        <stp>HHI-V17_AskPrice1:HKEX@Master</stp>
        <tr r="G22" s="121"/>
      </tp>
      <tp t="e">
        <v>#N/A</v>
        <stp/>
        <stp>TOPIXM-H18_Time:JPX@Master</stp>
        <tr r="H50" s="121"/>
      </tp>
      <tp t="e">
        <v>#N/A</v>
        <stp/>
        <stp>HHI-Z17_BidPrice1:HKEX@Master</stp>
        <tr r="F24" s="121"/>
      </tp>
      <tp t="e">
        <v>#N/A</v>
        <stp/>
        <stp>HSI-Z17_BidPrice1:HKEX@Master</stp>
        <tr r="F21" s="121"/>
      </tp>
      <tp t="e">
        <v>#N/A</v>
        <stp/>
        <stp>HHI-X17_BidPrice1:HKEX@Master</stp>
        <tr r="F23" s="121"/>
      </tp>
      <tp t="e">
        <v>#N/A</v>
        <stp/>
        <stp>HSI-X17_BidPrice1:HKEX@Master</stp>
        <tr r="F20" s="121"/>
      </tp>
      <tp t="e">
        <v>#N/A</v>
        <stp/>
        <stp>HHI-V17_BidPrice1:HKEX@Master</stp>
        <tr r="F22" s="121"/>
      </tp>
      <tp t="e">
        <v>#N/A</v>
        <stp/>
        <stp>HSI-V17_BidPrice1:HKEX@Master</stp>
        <tr r="F19" s="121"/>
      </tp>
      <tp t="e">
        <v>#N/A</v>
        <stp/>
        <stp>MSCITW_BidPrice1:V_INDEX@Master</stp>
        <tr r="F6" s="121"/>
      </tp>
      <tp t="e">
        <v>#N/A</v>
        <stp/>
        <stp>MSCITW_Reference:V_INDEX@Master</stp>
        <tr r="D6" s="121"/>
      </tp>
      <tp t="e">
        <v>#N/A</v>
        <stp/>
        <stp>MSCITW:V_INDEX@Master</stp>
        <tr r="E6" s="121"/>
      </tp>
      <tp t="e">
        <v>#N/A</v>
        <stp/>
        <stp>TSE33_AskPrice1:V_INDEX@Master</stp>
        <tr r="G3" s="121"/>
      </tp>
      <tp t="e">
        <v>#N/A</v>
        <stp/>
        <stp>TSE26_AskPrice1:V_INDEX@Master</stp>
        <tr r="G5" s="121"/>
      </tp>
      <tp t="e">
        <v>#N/A</v>
        <stp/>
        <stp>UB-Z17_Reference:CBOT@Master</stp>
        <tr r="D25" s="121"/>
        <tr r="D27" s="121"/>
      </tp>
      <tp t="e">
        <v>#N/A</v>
        <stp/>
        <stp>YM-H18_Reference:CBOT@Master</stp>
        <tr r="D29" s="121"/>
      </tp>
      <tp t="e">
        <v>#N/A</v>
        <stp/>
        <stp>TSE13_AskPrice1:V_INDEX@Master</stp>
        <tr r="G4" s="121"/>
      </tp>
      <tp t="e">
        <v>#N/A</v>
        <stp/>
        <stp>CN-V17_AskPrice1:SGX@Master</stp>
        <tr r="J8" s="29"/>
        <tr r="G10" s="121"/>
      </tp>
      <tp t="e">
        <v>#N/A</v>
        <stp/>
        <stp>CN-X17_AskPrice1:SGX@Master</stp>
        <tr r="J9" s="29"/>
        <tr r="G11" s="121"/>
      </tp>
      <tp t="e">
        <v>#N/A</v>
        <stp/>
        <stp>CN-Z17_AskPrice1:SGX@Master</stp>
        <tr r="G12" s="121"/>
      </tp>
      <tp t="e">
        <v>#N/A</v>
        <stp/>
        <stp>YM-Z17_BidPrice1:CBOT@Master</stp>
        <tr r="F28" s="121"/>
      </tp>
      <tp t="e">
        <v>#N/A</v>
        <stp/>
        <stp>UB-Z17_AskPrice1:CBOT@Master</stp>
        <tr r="G25" s="121"/>
        <tr r="G27" s="121"/>
      </tp>
      <tp t="e">
        <v>#N/A</v>
        <stp/>
        <stp>YM-H18_AskPrice1:CBOT@Master</stp>
        <tr r="G29" s="121"/>
      </tp>
      <tp t="e">
        <v>#N/A</v>
        <stp/>
        <stp>UB-H18_BidPrice1:CBOT@Master</stp>
        <tr r="F26" s="121"/>
      </tp>
      <tp t="e">
        <v>#N/A</v>
        <stp/>
        <stp>TSE00_AskPrice1:V_INDEX@Master</stp>
        <tr r="G2" s="121"/>
      </tp>
      <tp t="e">
        <v>#N/A</v>
        <stp/>
        <stp>ES-H18_AskPrice1:CME@Master</stp>
        <tr r="G31" s="121"/>
      </tp>
      <tp t="e">
        <v>#N/A</v>
        <stp/>
        <stp>ES-Z17_AskPrice1:CME@Master</stp>
        <tr r="G30" s="121"/>
      </tp>
      <tp t="e">
        <v>#N/A</v>
        <stp/>
        <stp>TOPIX-Z17_AskPrice1:JPX@Master</stp>
        <tr r="G49" s="121"/>
      </tp>
      <tp t="e">
        <v>#N/A</v>
        <stp/>
        <stp>HSI-V17:HKEX@Master</stp>
        <tr r="E19" s="121"/>
      </tp>
      <tp t="e">
        <v>#N/A</v>
        <stp/>
        <stp>HHI-V17:HKEX@Master</stp>
        <tr r="E22" s="121"/>
      </tp>
      <tp t="e">
        <v>#N/A</v>
        <stp/>
        <stp>IN-V17_AskPrice1:SGX@Master</stp>
        <tr r="G16" s="121"/>
      </tp>
      <tp t="e">
        <v>#N/A</v>
        <stp/>
        <stp>IN-X17_AskPrice1:SGX@Master</stp>
        <tr r="G17" s="121"/>
      </tp>
      <tp t="e">
        <v>#N/A</v>
        <stp/>
        <stp>IN-Z17_AskPrice1:SGX@Master</stp>
        <tr r="G18" s="121"/>
      </tp>
      <tp t="e">
        <v>#N/A</v>
        <stp/>
        <stp>HSI-X17:HKEX@Master</stp>
        <tr r="E20" s="121"/>
      </tp>
      <tp t="e">
        <v>#N/A</v>
        <stp/>
        <stp>HHI-X17:HKEX@Master</stp>
        <tr r="E23" s="121"/>
      </tp>
      <tp t="e">
        <v>#N/A</v>
        <stp/>
        <stp>HSI-Z17:HKEX@Master</stp>
        <tr r="E21" s="121"/>
      </tp>
      <tp t="e">
        <v>#N/A</v>
        <stp/>
        <stp>HHI-Z17:HKEX@Master</stp>
        <tr r="E24" s="121"/>
      </tp>
      <tp t="e">
        <v>#N/A</v>
        <stp/>
        <stp>YM-Z17_Reference:CBOT@Master</stp>
        <tr r="D28" s="121"/>
      </tp>
      <tp t="e">
        <v>#N/A</v>
        <stp/>
        <stp>UB-H18_Reference:CBOT@Master</stp>
        <tr r="D26" s="121"/>
      </tp>
      <tp t="e">
        <v>#N/A</v>
        <stp/>
        <stp>VX-Z17_Reference:CFE@Master</stp>
        <tr r="D48" s="121"/>
      </tp>
      <tp t="e">
        <v>#N/A</v>
        <stp/>
        <stp>VX-X17_Reference:CFE@Master</stp>
        <tr r="D47" s="121"/>
      </tp>
      <tp t="e">
        <v>#N/A</v>
        <stp/>
        <stp>VX-V17_Reference:CFE@Master</stp>
        <tr r="D46" s="121"/>
      </tp>
      <tp t="e">
        <v>#N/A</v>
        <stp/>
        <stp>VX-Z17_BidPrice1:CFE@Master</stp>
        <tr r="F48" s="121"/>
      </tp>
      <tp t="e">
        <v>#N/A</v>
        <stp/>
        <stp>VX-X17_BidPrice1:CFE@Master</stp>
        <tr r="F47" s="121"/>
      </tp>
      <tp t="e">
        <v>#N/A</v>
        <stp/>
        <stp>VX-V17_BidPrice1:CFE@Master</stp>
        <tr r="F46" s="121"/>
      </tp>
      <tp t="e">
        <v>#N/A</v>
        <stp/>
        <stp>UB-Z17_BidPrice1:CBOT@Master</stp>
        <tr r="F25" s="121"/>
        <tr r="F27" s="121"/>
      </tp>
      <tp t="e">
        <v>#N/A</v>
        <stp/>
        <stp>YM-Z17_AskPrice1:CBOT@Master</stp>
        <tr r="G28" s="121"/>
      </tp>
      <tp t="e">
        <v>#N/A</v>
        <stp/>
        <stp>UB-H18_AskPrice1:CBOT@Master</stp>
        <tr r="G26" s="121"/>
      </tp>
      <tp t="e">
        <v>#N/A</v>
        <stp/>
        <stp>YM-H18_BidPrice1:CBOT@Master</stp>
        <tr r="F29" s="121"/>
      </tp>
      <tp t="e">
        <v>#N/A</v>
        <stp/>
        <stp>NK225-Z17_Time:JPX@Master</stp>
        <tr r="H51" s="121"/>
      </tp>
      <tp t="e">
        <v>#N/A</v>
        <stp/>
        <stp>NQ-H18_AskPrice1:CME@Master</stp>
        <tr r="G33" s="121"/>
      </tp>
      <tp t="e">
        <v>#N/A</v>
        <stp/>
        <stp>NK-V17_AskPrice1:SGX@Master</stp>
        <tr r="G13" s="121"/>
      </tp>
      <tp t="e">
        <v>#N/A</v>
        <stp/>
        <stp>NK-X17_AskPrice1:SGX@Master</stp>
        <tr r="G14" s="121"/>
      </tp>
      <tp t="e">
        <v>#N/A</v>
        <stp/>
        <stp>NK-Z17_AskPrice1:SGX@Master</stp>
        <tr r="G15" s="121"/>
      </tp>
      <tp t="e">
        <v>#N/A</v>
        <stp/>
        <stp>NQ-Z17_AskPrice1:CME@Master</stp>
        <tr r="G32" s="121"/>
      </tp>
      <tp t="e">
        <v>#N/A</v>
        <stp/>
        <stp>TW-V17_BidPrice1:SGX@Master</stp>
        <tr r="F7" s="121"/>
      </tp>
      <tp t="e">
        <v>#N/A</v>
        <stp/>
        <stp>TW-Z17_BidPrice1:SGX@Master</stp>
        <tr r="F9" s="121"/>
      </tp>
      <tp t="e">
        <v>#N/A</v>
        <stp/>
        <stp>TW-X17_BidPrice1:SGX@Master</stp>
        <tr r="F8" s="121"/>
      </tp>
      <tp t="e">
        <v>#N/A</v>
        <stp/>
        <stp>TW-V17_Reference:SGX@Master</stp>
        <tr r="D7" s="121"/>
      </tp>
      <tp t="e">
        <v>#N/A</v>
        <stp/>
        <stp>TW-Z17_Reference:SGX@Master</stp>
        <tr r="D9" s="121"/>
      </tp>
      <tp t="e">
        <v>#N/A</v>
        <stp/>
        <stp>TW-X17_Reference:SGX@Master</stp>
        <tr r="D8" s="121"/>
      </tp>
      <tp t="e">
        <v>#N/A</v>
        <stp/>
        <stp>YM-Z17_Time:CBOT@Master</stp>
        <tr r="H28" s="121"/>
      </tp>
      <tp t="e">
        <v>#N/A</v>
        <stp/>
        <stp>YM-H18_Time:CBOT@Master</stp>
        <tr r="H29" s="121"/>
      </tp>
      <tp t="e">
        <v>#N/A</v>
        <stp/>
        <stp>IN-V17_Reference:SGX@Master</stp>
        <tr r="D16" s="121"/>
      </tp>
      <tp t="e">
        <v>#N/A</v>
        <stp/>
        <stp>IN-Z17_Reference:SGX@Master</stp>
        <tr r="D18" s="121"/>
      </tp>
      <tp t="e">
        <v>#N/A</v>
        <stp/>
        <stp>IN-X17_Reference:SGX@Master</stp>
        <tr r="D17" s="121"/>
      </tp>
      <tp t="e">
        <v>#N/A</v>
        <stp/>
        <stp>IN-V17_BidPrice1:SGX@Master</stp>
        <tr r="F16" s="121"/>
      </tp>
      <tp t="e">
        <v>#N/A</v>
        <stp/>
        <stp>IN-Z17_BidPrice1:SGX@Master</stp>
        <tr r="F18" s="121"/>
      </tp>
      <tp t="e">
        <v>#N/A</v>
        <stp/>
        <stp>IN-X17_BidPrice1:SGX@Master</stp>
        <tr r="F17" s="121"/>
      </tp>
      <tp t="e">
        <v>#N/A</v>
        <stp/>
        <stp>NQ-Z17_BidPrice1:CME@Master</stp>
        <tr r="F32" s="121"/>
      </tp>
      <tp t="e">
        <v>#N/A</v>
        <stp/>
        <stp>NQ-H18_Reference:CME@Master</stp>
        <tr r="D33" s="121"/>
      </tp>
      <tp t="e">
        <v>#N/A</v>
        <stp/>
        <stp>NK-V17_Reference:SGX@Master</stp>
        <tr r="D13" s="121"/>
      </tp>
      <tp t="e">
        <v>#N/A</v>
        <stp/>
        <stp>NK-Z17_Reference:SGX@Master</stp>
        <tr r="D15" s="121"/>
      </tp>
      <tp t="e">
        <v>#N/A</v>
        <stp/>
        <stp>NK-X17_Reference:SGX@Master</stp>
        <tr r="D14" s="121"/>
      </tp>
      <tp t="e">
        <v>#N/A</v>
        <stp/>
        <stp>NK-V17_BidPrice1:SGX@Master</stp>
        <tr r="F13" s="121"/>
      </tp>
      <tp t="e">
        <v>#N/A</v>
        <stp/>
        <stp>NK-Z17_BidPrice1:SGX@Master</stp>
        <tr r="F15" s="121"/>
      </tp>
      <tp t="e">
        <v>#N/A</v>
        <stp/>
        <stp>NK-X17_BidPrice1:SGX@Master</stp>
        <tr r="F14" s="121"/>
      </tp>
      <tp t="e">
        <v>#N/A</v>
        <stp/>
        <stp>NQ-H18_BidPrice1:CME@Master</stp>
        <tr r="F33" s="121"/>
      </tp>
      <tp t="e">
        <v>#N/A</v>
        <stp/>
        <stp>NQ-Z17_Reference:CME@Master</stp>
        <tr r="D32" s="121"/>
      </tp>
      <tp t="e">
        <v>#N/A</v>
        <stp/>
        <stp>TW-V17_AskPrice1:SGX@Master</stp>
        <tr r="G7" s="121"/>
      </tp>
      <tp t="e">
        <v>#N/A</v>
        <stp/>
        <stp>TW-X17_AskPrice1:SGX@Master</stp>
        <tr r="G8" s="121"/>
      </tp>
      <tp t="e">
        <v>#N/A</v>
        <stp/>
        <stp>TW-Z17_AskPrice1:SGX@Master</stp>
        <tr r="G9" s="121"/>
      </tp>
      <tp t="e">
        <v>#N/A</v>
        <stp/>
        <stp>CL-F18_BidPrice1:NYMEX@Master</stp>
        <tr r="F41" s="121"/>
      </tp>
      <tp t="e">
        <v>#N/A</v>
        <stp/>
        <stp>DX-H18_BidPrice1:NYBOT@Master</stp>
        <tr r="F38" s="121"/>
      </tp>
      <tp t="e">
        <v>#N/A</v>
        <stp/>
        <stp>GC-G18_BidPrice1:NYMEX@Master</stp>
        <tr r="F45" s="121"/>
      </tp>
      <tp t="e">
        <v>#N/A</v>
        <stp/>
        <stp>GC-G18_AskPrice1:NYMEX@Master</stp>
        <tr r="G45" s="121"/>
      </tp>
      <tp t="e">
        <v>#N/A</v>
        <stp/>
        <stp>DX-H18_AskPrice1:NYBOT@Master</stp>
        <tr r="G38" s="121"/>
      </tp>
      <tp t="e">
        <v>#N/A</v>
        <stp/>
        <stp>CL-F18_AskPrice1:NYMEX@Master</stp>
        <tr r="G41" s="121"/>
      </tp>
      <tp t="e">
        <v>#N/A</v>
        <stp/>
        <stp>CL-Z17_BidPrice1:NYMEX@Master</stp>
        <tr r="F40" s="121"/>
      </tp>
      <tp t="e">
        <v>#N/A</v>
        <stp/>
        <stp>CL-Z18_BidPrice1:NYMEX@Master</stp>
        <tr r="F42" s="121"/>
      </tp>
      <tp t="e">
        <v>#N/A</v>
        <stp/>
        <stp>GC-Z17_BidPrice1:NYMEX@Master</stp>
        <tr r="F44" s="121"/>
      </tp>
      <tp t="e">
        <v>#N/A</v>
        <stp/>
        <stp>CL-X17_AskPrice1:NYMEX@Master</stp>
        <tr r="G39" s="121"/>
      </tp>
      <tp t="e">
        <v>#N/A</v>
        <stp/>
        <stp>GC-X17_AskPrice1:NYMEX@Master</stp>
        <tr r="G43" s="121"/>
      </tp>
      <tp t="e">
        <v>#N/A</v>
        <stp/>
        <stp>CL-X17_BidPrice1:NYMEX@Master</stp>
        <tr r="F39" s="121"/>
      </tp>
      <tp t="e">
        <v>#N/A</v>
        <stp/>
        <stp>GC-X17_BidPrice1:NYMEX@Master</stp>
        <tr r="F43" s="121"/>
      </tp>
      <tp t="e">
        <v>#N/A</v>
        <stp/>
        <stp>CL-Z18_AskPrice1:NYMEX@Master</stp>
        <tr r="G42" s="121"/>
      </tp>
      <tp t="e">
        <v>#N/A</v>
        <stp/>
        <stp>CL-Z17_AskPrice1:NYMEX@Master</stp>
        <tr r="G40" s="121"/>
      </tp>
      <tp t="e">
        <v>#N/A</v>
        <stp/>
        <stp>GC-Z17_AskPrice1:NYMEX@Master</stp>
        <tr r="G44" s="121"/>
      </tp>
      <tp t="e">
        <v>#N/A</v>
        <stp/>
        <stp>DX-Z17_AskPrice1:NYBOT@Master</stp>
        <tr r="G37" s="121"/>
      </tp>
      <tp t="e">
        <v>#N/A</v>
        <stp/>
        <stp>DX-Z17_BidPrice1:NYBOT@Master</stp>
        <tr r="F37" s="121"/>
      </tp>
      <tp t="e">
        <v>#N/A</v>
        <stp/>
        <stp>VX-X17_AskPrice1:CFE@Master</stp>
        <tr r="G47" s="121"/>
      </tp>
      <tp t="e">
        <v>#N/A</v>
        <stp/>
        <stp>VX-Z17_AskPrice1:CFE@Master</stp>
        <tr r="G48" s="121"/>
      </tp>
      <tp t="e">
        <v>#N/A</v>
        <stp/>
        <stp>VX-V17_AskPrice1:CFE@Master</stp>
        <tr r="G46" s="121"/>
      </tp>
      <tp t="e">
        <v>#N/A</v>
        <stp/>
        <stp>TSE13_Reference:V_INDEX@Master</stp>
        <tr r="D4" s="121"/>
      </tp>
      <tp t="e">
        <v>#N/A</v>
        <stp/>
        <stp>TSE13_BidPrice1:V_INDEX@Master</stp>
        <tr r="F4" s="121"/>
      </tp>
      <tp t="e">
        <v>#N/A</v>
        <stp/>
        <stp>CN-V17_Reference:SGX@Master</stp>
        <tr r="E8" s="29"/>
        <tr r="D10" s="121"/>
      </tp>
      <tp t="e">
        <v>#N/A</v>
        <stp/>
        <stp>CN-Z17_Reference:SGX@Master</stp>
        <tr r="D12" s="121"/>
      </tp>
      <tp t="e">
        <v>#N/A</v>
        <stp/>
        <stp>CN-X17_Reference:SGX@Master</stp>
        <tr r="E9" s="29"/>
        <tr r="D11" s="121"/>
      </tp>
      <tp t="e">
        <v>#N/A</v>
        <stp/>
        <stp>CN-V17_BidPrice1:SGX@Master</stp>
        <tr r="I8" s="29"/>
        <tr r="F10" s="121"/>
      </tp>
      <tp t="e">
        <v>#N/A</v>
        <stp/>
        <stp>CN-Z17_BidPrice1:SGX@Master</stp>
        <tr r="F12" s="121"/>
      </tp>
      <tp t="e">
        <v>#N/A</v>
        <stp/>
        <stp>CN-X17_BidPrice1:SGX@Master</stp>
        <tr r="I9" s="29"/>
        <tr r="F11" s="121"/>
      </tp>
      <tp t="e">
        <v>#N/A</v>
        <stp/>
        <stp>TSE00_Reference:V_INDEX@Master</stp>
        <tr r="D2" s="121"/>
      </tp>
      <tp t="e">
        <v>#N/A</v>
        <stp/>
        <stp>TSE00_BidPrice1:V_INDEX@Master</stp>
        <tr r="F2" s="121"/>
      </tp>
      <tp t="e">
        <v>#N/A</v>
        <stp/>
        <stp>TSE33_Reference:V_INDEX@Master</stp>
        <tr r="D3" s="121"/>
      </tp>
      <tp t="e">
        <v>#N/A</v>
        <stp/>
        <stp>TSE33_BidPrice1:V_INDEX@Master</stp>
        <tr r="F3" s="121"/>
      </tp>
      <tp t="e">
        <v>#N/A</v>
        <stp/>
        <stp>TSE26:V_INDEX@Master</stp>
        <tr r="E5" s="121"/>
      </tp>
      <tp t="e">
        <v>#N/A</v>
        <stp/>
        <stp>TSE33:V_INDEX@Master</stp>
        <tr r="E3" s="121"/>
      </tp>
      <tp t="e">
        <v>#N/A</v>
        <stp/>
        <stp>TSE00:V_INDEX@Master</stp>
        <tr r="E2" s="121"/>
      </tp>
      <tp t="e">
        <v>#N/A</v>
        <stp/>
        <stp>TSE13:V_INDEX@Master</stp>
        <tr r="E4" s="121"/>
      </tp>
      <tp t="e">
        <v>#N/A</v>
        <stp/>
        <stp>TSE26_Reference:V_INDEX@Master</stp>
        <tr r="D5" s="121"/>
      </tp>
      <tp t="e">
        <v>#N/A</v>
        <stp/>
        <stp>TSE26_BidPrice1:V_INDEX@Master</stp>
        <tr r="F5" s="121"/>
      </tp>
      <tp t="e">
        <v>#N/A</v>
        <stp/>
        <stp>NK225-H18_Time:JPX@Master</stp>
        <tr r="H52" s="121"/>
      </tp>
      <tp t="e">
        <v>#N/A</v>
        <stp/>
        <stp>UB-H18_Time:CBOT@Master</stp>
        <tr r="H26" s="121"/>
      </tp>
      <tp t="e">
        <v>#N/A</v>
        <stp/>
        <stp>UB-Z17_Time:CBOT@Master</stp>
        <tr r="H27" s="121"/>
        <tr r="H25" s="121"/>
      </tp>
      <tp t="e">
        <v>#N/A</v>
        <stp/>
        <stp>ES-Z17_BidPrice1:CME@Master</stp>
        <tr r="F30" s="121"/>
      </tp>
      <tp t="e">
        <v>#N/A</v>
        <stp/>
        <stp>ES-H18_Reference:CME@Master</stp>
        <tr r="D31" s="121"/>
      </tp>
      <tp t="e">
        <v>#N/A</v>
        <stp/>
        <stp>ES-H18_BidPrice1:CME@Master</stp>
        <tr r="F31" s="121"/>
      </tp>
      <tp t="e">
        <v>#N/A</v>
        <stp/>
        <stp>ES-Z17_Reference:CME@Master</stp>
        <tr r="D30" s="121"/>
      </tp>
      <tp t="e">
        <v>#N/A</v>
        <stp/>
        <stp>CN-X17:SGX@Master</stp>
        <tr r="H9" s="29"/>
        <tr r="E11" s="121"/>
      </tp>
      <tp t="e">
        <v>#N/A</v>
        <stp/>
        <stp>NQ-H18:CME@Master</stp>
        <tr r="E33" s="121"/>
      </tp>
      <tp t="e">
        <v>#N/A</v>
        <stp/>
        <stp>IN-X17:SGX@Master</stp>
        <tr r="E17" s="121"/>
      </tp>
      <tp t="e">
        <v>#N/A</v>
        <stp/>
        <stp>ES-H18:CME@Master</stp>
        <tr r="E31" s="121"/>
      </tp>
      <tp t="e">
        <v>#N/A</v>
        <stp/>
        <stp>NK-X17:SGX@Master</stp>
        <tr r="E14" s="121"/>
      </tp>
      <tp t="e">
        <v>#N/A</v>
        <stp/>
        <stp>TW-X17:SGX@Master</stp>
        <tr r="E8" s="121"/>
      </tp>
      <tp t="e">
        <v>#N/A</v>
        <stp/>
        <stp>CN-Z17:SGX@Master</stp>
        <tr r="E12" s="121"/>
      </tp>
      <tp t="e">
        <v>#N/A</v>
        <stp/>
        <stp>IN-Z17:SGX@Master</stp>
        <tr r="E18" s="121"/>
      </tp>
      <tp t="e">
        <v>#N/A</v>
        <stp/>
        <stp>NK-Z17:SGX@Master</stp>
        <tr r="E15" s="121"/>
      </tp>
      <tp t="e">
        <v>#N/A</v>
        <stp/>
        <stp>TW-Z17:SGX@Master</stp>
        <tr r="E9" s="121"/>
      </tp>
      <tp t="e">
        <v>#N/A</v>
        <stp/>
        <stp>CN-V17:SGX@Master</stp>
        <tr r="H8" s="29"/>
        <tr r="E10" s="121"/>
      </tp>
      <tp t="e">
        <v>#N/A</v>
        <stp/>
        <stp>IN-V17:SGX@Master</stp>
        <tr r="E16" s="121"/>
      </tp>
      <tp t="e">
        <v>#N/A</v>
        <stp/>
        <stp>NK-V17:SGX@Master</stp>
        <tr r="E13" s="121"/>
      </tp>
      <tp t="e">
        <v>#N/A</v>
        <stp/>
        <stp>TW-V17:SGX@Master</stp>
        <tr r="E7" s="121"/>
      </tp>
      <tp t="e">
        <v>#N/A</v>
        <stp/>
        <stp>VX-X17:CFE@Master</stp>
        <tr r="E47" s="121"/>
      </tp>
      <tp t="e">
        <v>#N/A</v>
        <stp/>
        <stp>6J-X17:CME@Master</stp>
        <tr r="E35" s="121"/>
      </tp>
      <tp t="e">
        <v>#N/A</v>
        <stp/>
        <stp>NQ-Z17:CME@Master</stp>
        <tr r="E32" s="121"/>
      </tp>
      <tp t="e">
        <v>#N/A</v>
        <stp/>
        <stp>ES-Z17:CME@Master</stp>
        <tr r="E30" s="121"/>
      </tp>
      <tp t="e">
        <v>#N/A</v>
        <stp/>
        <stp>VX-Z17:CFE@Master</stp>
        <tr r="E48" s="121"/>
      </tp>
      <tp t="e">
        <v>#N/A</v>
        <stp/>
        <stp>6J-Z17:CME@Master</stp>
        <tr r="E36" s="121"/>
      </tp>
      <tp t="e">
        <v>#N/A</v>
        <stp/>
        <stp>VX-V17:CFE@Master</stp>
        <tr r="E46" s="121"/>
      </tp>
      <tp t="e">
        <v>#N/A</v>
        <stp/>
        <stp>6J-V17:CME@Master</stp>
        <tr r="E34" s="121"/>
      </tp>
      <tp t="e">
        <v>#N/A</v>
        <stp/>
        <stp>TOPIX-Z17_Reference:JPX@Master</stp>
        <tr r="D49" s="121"/>
      </tp>
      <tp t="e">
        <v>#N/A</v>
        <stp/>
        <stp>TOPIX-Z17_BidPrice1:JPX@Master</stp>
        <tr r="F49" s="12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每天漲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1%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跌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1%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交錯</a:t>
            </a:r>
          </a:p>
        </c:rich>
      </c:tx>
      <c:layout>
        <c:manualLayout>
          <c:xMode val="edge"/>
          <c:yMode val="edge"/>
          <c:x val="0.38503649635037113"/>
          <c:y val="3.96476640419947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66423357664538"/>
          <c:y val="0.27312775330396488"/>
          <c:w val="0.86678832116788362"/>
          <c:h val="0.52422907488986781"/>
        </c:manualLayout>
      </c:layout>
      <c:lineChart>
        <c:grouping val="standard"/>
        <c:varyColors val="0"/>
        <c:ser>
          <c:idx val="0"/>
          <c:order val="0"/>
          <c:tx>
            <c:strRef>
              <c:f>情境分析2!$J$3</c:f>
              <c:strCache>
                <c:ptCount val="1"/>
                <c:pt idx="0">
                  <c:v>累計報酬率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情境分析2!$J$5:$J$15</c:f>
              <c:numCache>
                <c:formatCode>General</c:formatCode>
                <c:ptCount val="11"/>
                <c:pt idx="0">
                  <c:v>0</c:v>
                </c:pt>
                <c:pt idx="1">
                  <c:v>-1.9999999999997797E-4</c:v>
                </c:pt>
                <c:pt idx="2">
                  <c:v>-2.0200000000003548E-4</c:v>
                </c:pt>
                <c:pt idx="3">
                  <c:v>-3.9993999999998753E-4</c:v>
                </c:pt>
                <c:pt idx="4">
                  <c:v>-4.0393900000001981E-4</c:v>
                </c:pt>
                <c:pt idx="5">
                  <c:v>-5.9982002199998607E-4</c:v>
                </c:pt>
                <c:pt idx="6">
                  <c:v>-6.0581702242001878E-4</c:v>
                </c:pt>
                <c:pt idx="7">
                  <c:v>-7.9964008799149333E-4</c:v>
                </c:pt>
                <c:pt idx="8">
                  <c:v>-8.0763408967132744E-4</c:v>
                </c:pt>
                <c:pt idx="9">
                  <c:v>-9.9940021995692518E-4</c:v>
                </c:pt>
                <c:pt idx="10">
                  <c:v>-1.009390224156137E-3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875-40AC-A69A-23356A612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744576"/>
        <c:axId val="202654464"/>
      </c:lineChart>
      <c:catAx>
        <c:axId val="2287445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202654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2654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228744576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每天漲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1%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跌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1%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交錯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(</a:t>
            </a:r>
            <a:r>
              <a: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避險</a:t>
            </a: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)</a:t>
            </a:r>
          </a:p>
        </c:rich>
      </c:tx>
      <c:layout>
        <c:manualLayout>
          <c:xMode val="edge"/>
          <c:yMode val="edge"/>
          <c:x val="0.39043880471116432"/>
          <c:y val="5.30972182694030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321493092075846E-2"/>
          <c:y val="0.27876166422165438"/>
          <c:w val="0.89508748221629397"/>
          <c:h val="0.51770023355452155"/>
        </c:manualLayout>
      </c:layout>
      <c:lineChart>
        <c:grouping val="standard"/>
        <c:varyColors val="0"/>
        <c:ser>
          <c:idx val="0"/>
          <c:order val="0"/>
          <c:tx>
            <c:strRef>
              <c:f>情境分析2!$U$3</c:f>
              <c:strCache>
                <c:ptCount val="1"/>
                <c:pt idx="0">
                  <c:v>累計報酬率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情境分析2!$U$5:$U$15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838-4E5A-BA4B-4FEB8882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82752"/>
        <c:axId val="202684672"/>
      </c:lineChart>
      <c:catAx>
        <c:axId val="2026827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20268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2684672"/>
        <c:scaling>
          <c:orientation val="minMax"/>
          <c:min val="-1.000000000000004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20268275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977" r="0.75000000000000977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123825</xdr:rowOff>
        </xdr:from>
        <xdr:to>
          <xdr:col>14</xdr:col>
          <xdr:colOff>28575</xdr:colOff>
          <xdr:row>2</xdr:row>
          <xdr:rowOff>171450</xdr:rowOff>
        </xdr:to>
        <xdr:sp macro="" textlink="">
          <xdr:nvSpPr>
            <xdr:cNvPr id="34671616" name="CommandButton1" hidden="1">
              <a:extLst>
                <a:ext uri="{63B3BB69-23CF-44E3-9099-C40C66FF867C}">
                  <a14:compatExt spid="_x0000_s34671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0</xdr:row>
          <xdr:rowOff>200025</xdr:rowOff>
        </xdr:from>
        <xdr:to>
          <xdr:col>1</xdr:col>
          <xdr:colOff>561975</xdr:colOff>
          <xdr:row>2</xdr:row>
          <xdr:rowOff>66675</xdr:rowOff>
        </xdr:to>
        <xdr:sp macro="" textlink="">
          <xdr:nvSpPr>
            <xdr:cNvPr id="34678785" name="CommandButton1" hidden="1">
              <a:extLst>
                <a:ext uri="{63B3BB69-23CF-44E3-9099-C40C66FF867C}">
                  <a14:compatExt spid="_x0000_s3467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66675</xdr:rowOff>
        </xdr:from>
        <xdr:to>
          <xdr:col>2</xdr:col>
          <xdr:colOff>1247775</xdr:colOff>
          <xdr:row>2</xdr:row>
          <xdr:rowOff>19050</xdr:rowOff>
        </xdr:to>
        <xdr:sp macro="" textlink="">
          <xdr:nvSpPr>
            <xdr:cNvPr id="34678786" name="CommandButton2" hidden="1">
              <a:extLst>
                <a:ext uri="{63B3BB69-23CF-44E3-9099-C40C66FF867C}">
                  <a14:compatExt spid="_x0000_s3467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28</xdr:row>
          <xdr:rowOff>19050</xdr:rowOff>
        </xdr:from>
        <xdr:to>
          <xdr:col>14</xdr:col>
          <xdr:colOff>352425</xdr:colOff>
          <xdr:row>29</xdr:row>
          <xdr:rowOff>171450</xdr:rowOff>
        </xdr:to>
        <xdr:sp macro="" textlink="">
          <xdr:nvSpPr>
            <xdr:cNvPr id="74755" name="CommandButton1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22</xdr:row>
          <xdr:rowOff>104775</xdr:rowOff>
        </xdr:from>
        <xdr:to>
          <xdr:col>4</xdr:col>
          <xdr:colOff>790575</xdr:colOff>
          <xdr:row>23</xdr:row>
          <xdr:rowOff>133350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4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6</xdr:row>
          <xdr:rowOff>0</xdr:rowOff>
        </xdr:from>
        <xdr:to>
          <xdr:col>14</xdr:col>
          <xdr:colOff>304800</xdr:colOff>
          <xdr:row>8</xdr:row>
          <xdr:rowOff>19050</xdr:rowOff>
        </xdr:to>
        <xdr:sp macro="" textlink="">
          <xdr:nvSpPr>
            <xdr:cNvPr id="34668545" name="CommandButton1" hidden="1">
              <a:extLst>
                <a:ext uri="{63B3BB69-23CF-44E3-9099-C40C66FF867C}">
                  <a14:compatExt spid="_x0000_s3466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7</xdr:row>
          <xdr:rowOff>9525</xdr:rowOff>
        </xdr:from>
        <xdr:to>
          <xdr:col>14</xdr:col>
          <xdr:colOff>123825</xdr:colOff>
          <xdr:row>8</xdr:row>
          <xdr:rowOff>104775</xdr:rowOff>
        </xdr:to>
        <xdr:sp macro="" textlink="">
          <xdr:nvSpPr>
            <xdr:cNvPr id="34674689" name="CommandButton1" hidden="1">
              <a:extLst>
                <a:ext uri="{63B3BB69-23CF-44E3-9099-C40C66FF867C}">
                  <a14:compatExt spid="_x0000_s3467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9</xdr:row>
          <xdr:rowOff>171450</xdr:rowOff>
        </xdr:from>
        <xdr:to>
          <xdr:col>14</xdr:col>
          <xdr:colOff>0</xdr:colOff>
          <xdr:row>11</xdr:row>
          <xdr:rowOff>133350</xdr:rowOff>
        </xdr:to>
        <xdr:sp macro="" textlink="">
          <xdr:nvSpPr>
            <xdr:cNvPr id="102426" name="CommandButton1" hidden="1">
              <a:extLst>
                <a:ext uri="{63B3BB69-23CF-44E3-9099-C40C66FF867C}">
                  <a14:compatExt spid="_x0000_s102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26</xdr:row>
          <xdr:rowOff>209550</xdr:rowOff>
        </xdr:from>
        <xdr:to>
          <xdr:col>14</xdr:col>
          <xdr:colOff>523875</xdr:colOff>
          <xdr:row>29</xdr:row>
          <xdr:rowOff>9525</xdr:rowOff>
        </xdr:to>
        <xdr:sp macro="" textlink="">
          <xdr:nvSpPr>
            <xdr:cNvPr id="34643969" name="CommandButton1" hidden="1">
              <a:extLst>
                <a:ext uri="{63B3BB69-23CF-44E3-9099-C40C66FF867C}">
                  <a14:compatExt spid="_x0000_s34643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22</xdr:row>
          <xdr:rowOff>190500</xdr:rowOff>
        </xdr:from>
        <xdr:to>
          <xdr:col>14</xdr:col>
          <xdr:colOff>666750</xdr:colOff>
          <xdr:row>25</xdr:row>
          <xdr:rowOff>161925</xdr:rowOff>
        </xdr:to>
        <xdr:sp macro="" textlink="">
          <xdr:nvSpPr>
            <xdr:cNvPr id="34688001" name="CommandButton1" hidden="1">
              <a:extLst>
                <a:ext uri="{63B3BB69-23CF-44E3-9099-C40C66FF867C}">
                  <a14:compatExt spid="_x0000_s34688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123825</xdr:rowOff>
    </xdr:from>
    <xdr:to>
      <xdr:col>9</xdr:col>
      <xdr:colOff>257175</xdr:colOff>
      <xdr:row>26</xdr:row>
      <xdr:rowOff>200025</xdr:rowOff>
    </xdr:to>
    <xdr:graphicFrame macro="">
      <xdr:nvGraphicFramePr>
        <xdr:cNvPr id="34574492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66675</xdr:colOff>
      <xdr:row>15</xdr:row>
      <xdr:rowOff>142875</xdr:rowOff>
    </xdr:from>
    <xdr:to>
      <xdr:col>20</xdr:col>
      <xdr:colOff>542925</xdr:colOff>
      <xdr:row>27</xdr:row>
      <xdr:rowOff>0</xdr:rowOff>
    </xdr:to>
    <xdr:graphicFrame macro="">
      <xdr:nvGraphicFramePr>
        <xdr:cNvPr id="34574493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" ddeTopic="Quote">
    <ddeItems>
      <ddeItem name="0050.TW-BestAsk1" advise="1"/>
      <ddeItem name="0050.TW-BestBid1" advise="1"/>
      <ddeItem name="0050.TW-Price" advise="1"/>
      <ddeItem name="0051.TW-BestAsk1" advise="1"/>
      <ddeItem name="0051.TW-BestBid1" advise="1"/>
      <ddeItem name="0051.TW-Price" advise="1"/>
      <ddeItem name="0053.TW-BestAsk1" advise="1"/>
      <ddeItem name="0053.TW-BestBid1" advise="1"/>
      <ddeItem name="0053.TW-Price" advise="1"/>
      <ddeItem name="0054.TW-BestAsk1" advise="1"/>
      <ddeItem name="0054.TW-BestBid1" advise="1"/>
      <ddeItem name="0054.TW-Price" advise="1"/>
      <ddeItem name="0055.TW-BestAsk1" advise="1"/>
      <ddeItem name="0055.TW-BestBid1" advise="1"/>
      <ddeItem name="0055.TW-Price" advise="1"/>
      <ddeItem name="0056.TW-BestAsk1" advise="1"/>
      <ddeItem name="0056.TW-BestBid1" advise="1"/>
      <ddeItem name="0056.TW-Price" advise="1"/>
      <ddeItem name="0061.TW-BestAsk1" advise="1"/>
      <ddeItem name="0061.TW-BestBid1" advise="1"/>
      <ddeItem name="0061.TW-PreClose" advise="1"/>
      <ddeItem name="0061.TW-Price" advise="1"/>
      <ddeItem name="006201.TW-BestAsk1" advise="1"/>
      <ddeItem name="006201.TW-BestBid1" advise="1"/>
      <ddeItem name="006201.TW-Price" advise="1"/>
      <ddeItem name="006203.TW-BestAsk1" advise="1"/>
      <ddeItem name="006203.TW-BestBid1" advise="1"/>
      <ddeItem name="006203.TW-Price" advise="1"/>
      <ddeItem name="006206.TW-BestAsk1" advise="1"/>
      <ddeItem name="006206.TW-BestBid1" advise="1"/>
      <ddeItem name="006206.TW-Price" advise="1"/>
      <ddeItem name="00631L.TW-BestAsk1" advise="1"/>
      <ddeItem name="00631L.TW-BestBid1" advise="1"/>
      <ddeItem name="00631L.TW-Price" advise="1"/>
      <ddeItem name="00632R.TW-BestAsk1" advise="1"/>
      <ddeItem name="00632R.TW-BestBid1" advise="1"/>
      <ddeItem name="00632R.TW-Price" advise="1"/>
      <ddeItem name="00635U.TW-BestAsk1" advise="1"/>
      <ddeItem name="00635U.TW-BestBid1" advise="1"/>
      <ddeItem name="00635U.TW-Price" advise="1"/>
      <ddeItem name="00637L.TW-BestAsk1" advise="1"/>
      <ddeItem name="00637L.TW-BestBid1" advise="1"/>
      <ddeItem name="00637L.TW-Price" advise="1"/>
      <ddeItem name="00638R.TW-BestAsk1" advise="1"/>
      <ddeItem name="00638R.TW-BestBid1" advise="1"/>
      <ddeItem name="00638R.TW-Price" advise="1"/>
      <ddeItem name="00642U.TW-BestAsk1" advise="1"/>
      <ddeItem name="00642U.TW-BestBid1" advise="1"/>
      <ddeItem name="00642U.TW-Price" advise="1"/>
      <ddeItem name="00646.TW-BestAsk1" advise="1"/>
      <ddeItem name="00646.TW-BestBid1" advise="1"/>
      <ddeItem name="00646.TW-Price" advise="1"/>
      <ddeItem name="00647L.TW-BestAsk1" advise="1"/>
      <ddeItem name="00647L.TW-BestBid1" advise="1"/>
      <ddeItem name="00647L.TW-Price" advise="1"/>
      <ddeItem name="00648R.TW-BestAsk1" advise="1"/>
      <ddeItem name="00648R.TW-BestBid1" advise="1"/>
      <ddeItem name="00648R.TW-Price" advise="1"/>
      <ddeItem name="00660.TW-BestAsk1" advise="1"/>
      <ddeItem name="00660.TW-BestBid1" advise="1"/>
      <ddeItem name="00660.TW-Price" advise="1"/>
      <ddeItem name="00661.TW-BestAsk1" advise="1"/>
      <ddeItem name="00661.TW-BestBid1" advise="1"/>
      <ddeItem name="00661.TW-Price" advise="1"/>
      <ddeItem name="00667.TW-BestAsk1" advise="1"/>
      <ddeItem name="00667.TW-BestBid1" advise="1"/>
      <ddeItem name="00667.TW-Price" advise="1"/>
      <ddeItem name="00672L.Tw-bestask1" advise="1"/>
      <ddeItem name="00672L.Tw-bestbid1" advise="1"/>
      <ddeItem name="00672L.Tw-price" advise="1"/>
      <ddeItem name="00673R.TW-BestAsk1" advise="1"/>
      <ddeItem name="00673R.TW-BestBid1" advise="1"/>
      <ddeItem name="00673R.TW-Price" advise="1"/>
      <ddeItem name="00674R.TW-BestAsk1" advise="1"/>
      <ddeItem name="00674R.TW-BestBid1" advise="1"/>
      <ddeItem name="00674R.TW-Price" advise="1"/>
      <ddeItem name="00679B.TW-BestAsk1" advise="1"/>
      <ddeItem name="00679B.TW-BestBid1" advise="1"/>
      <ddeItem name="00679B.TW-Price" advise="1"/>
      <ddeItem name="00680L.TW-BestAsk1" advise="1"/>
      <ddeItem name="00680L.TW-BestBid1" advise="1"/>
      <ddeItem name="00680L.TW-Price" advise="1"/>
      <ddeItem name="00681R.TW-BestAsk1" advise="1"/>
      <ddeItem name="00681R.TW-BestBid1" advise="1"/>
      <ddeItem name="00681R.TW-Price" advise="1"/>
      <ddeItem name="00682U.TW-BestAsk1" advise="1"/>
      <ddeItem name="00682U.TW-BestBid1" advise="1"/>
      <ddeItem name="00682U.TW-Price" advise="1"/>
      <ddeItem name="00683L.TW-BestAsk1" advise="1"/>
      <ddeItem name="00683L.TW-BestBid1" advise="1"/>
      <ddeItem name="00683L.TW-Price" advise="1"/>
      <ddeItem name="00684R.TW-BestAsk1" advise="1"/>
      <ddeItem name="00684R.TW-BestBid1" advise="1"/>
      <ddeItem name="00684R.TW-Price" advise="1"/>
      <ddeItem name="00697B.TW-BestAsk1" advise="1"/>
      <ddeItem name="00697B.TW-BestBid1" advise="1"/>
      <ddeItem name="00697B.TW-Price" advise="1"/>
      <ddeItem name="00698L.TW-BestAsk1" advise="1"/>
      <ddeItem name="00698L.TW-BestBid1" advise="1"/>
      <ddeItem name="00698L.TW-Price" advise="1"/>
      <ddeItem name="00699R.TW-BestAsk1" advise="1"/>
      <ddeItem name="00699R.TW-BestBid1" advise="1"/>
      <ddeItem name="00699R.TW-Price" advise="1"/>
      <ddeItem name="00706L.TW-BestAsk1" advise="1"/>
      <ddeItem name="00706L.TW-BestBid1" advise="1"/>
      <ddeItem name="00706L.TW-Price" advise="1"/>
      <ddeItem name="00707R.TW-BestAsk1" advise="1"/>
      <ddeItem name="00707R.TW-BestBid1" advise="1"/>
      <ddeItem name="00707R.TW-Price" advise="1"/>
      <ddeItem name="00708L.TW-BestAsk1" advise="1"/>
      <ddeItem name="00708L.TW-BestBid1" advise="1"/>
      <ddeItem name="00708L.TW-Price" advise="1"/>
      <ddeItem name="1101.Tw-bestask1" advise="1"/>
      <ddeItem name="1101.Tw-bestbid1" advise="1"/>
      <ddeItem name="1101.TW-PreClose" advise="1"/>
      <ddeItem name="1101.Tw-Price" advise="1"/>
      <ddeItem name="1102.Tw-bestask1" advise="1"/>
      <ddeItem name="1102.Tw-bestbid1" advise="1"/>
      <ddeItem name="1102.TW-PreClose" advise="1"/>
      <ddeItem name="1102.Tw-Price" advise="1"/>
      <ddeItem name="1216.Tw-bestask1" advise="1"/>
      <ddeItem name="1216.Tw-bestbid1" advise="1"/>
      <ddeItem name="1216.TW-PreClose" advise="1"/>
      <ddeItem name="1216.Tw-Price" advise="1"/>
      <ddeItem name="1301.Tw-bestask1" advise="1"/>
      <ddeItem name="1301.Tw-bestbid1" advise="1"/>
      <ddeItem name="1301.TW-PreClose" advise="1"/>
      <ddeItem name="1301.Tw-Price" advise="1"/>
      <ddeItem name="1303.Tw-bestask1" advise="1"/>
      <ddeItem name="1303.Tw-bestbid1" advise="1"/>
      <ddeItem name="1303.TW-PreClose" advise="1"/>
      <ddeItem name="1303.Tw-Price" advise="1"/>
      <ddeItem name="1326.Tw-bestask1" advise="1"/>
      <ddeItem name="1326.Tw-bestbid1" advise="1"/>
      <ddeItem name="1326.TW-PreClose" advise="1"/>
      <ddeItem name="1326.Tw-Price" advise="1"/>
      <ddeItem name="1402.Tw-bestask1" advise="1"/>
      <ddeItem name="1402.Tw-bestbid1" advise="1"/>
      <ddeItem name="1402.TW-PreClose" advise="1"/>
      <ddeItem name="1402.Tw-Price" advise="1"/>
      <ddeItem name="1477.TW-BestAsk1" advise="1"/>
      <ddeItem name="1477.TW-BestBid1" advise="1"/>
      <ddeItem name="1477.TW-PreClose" advise="1"/>
      <ddeItem name="1477.TW-Price" advise="1"/>
      <ddeItem name="1909.TW-BestAsk1">
        <values>
          <value>
            <val>14.65</val>
          </value>
        </values>
      </ddeItem>
      <ddeItem name="1909.TW-BestBid1">
        <values>
          <value>
            <val>14.6</val>
          </value>
        </values>
      </ddeItem>
      <ddeItem name="1909.TW-PreClose">
        <values>
          <value>
            <val>14.9</val>
          </value>
        </values>
      </ddeItem>
      <ddeItem name="1909.TW-Price">
        <values>
          <value>
            <val>14.6</val>
          </value>
        </values>
      </ddeItem>
      <ddeItem name="2002.Tw-bestask1" advise="1"/>
      <ddeItem name="2002.Tw-bestbid1" advise="1"/>
      <ddeItem name="2002.TW-PreClose" advise="1"/>
      <ddeItem name="2002.Tw-Price" advise="1"/>
      <ddeItem name="2105.Tw-bestask1" advise="1"/>
      <ddeItem name="2105.Tw-bestbid1" advise="1"/>
      <ddeItem name="2105.TW-PreClose" advise="1"/>
      <ddeItem name="2105.Tw-Price" advise="1"/>
      <ddeItem name="2207.TW-BestAsk1" advise="1"/>
      <ddeItem name="2207.TW-BestBid1" advise="1"/>
      <ddeItem name="2207.TW-PreClose" advise="1"/>
      <ddeItem name="2207.TW-Price" advise="1"/>
      <ddeItem name="2301.Tw-bestask1" advise="1"/>
      <ddeItem name="2301.Tw-bestbid1" advise="1"/>
      <ddeItem name="2301.TW-PreClose" advise="1"/>
      <ddeItem name="2301.Tw-Price" advise="1"/>
      <ddeItem name="2303.Tw-bestask1" advise="1"/>
      <ddeItem name="2303.Tw-bestbid1" advise="1"/>
      <ddeItem name="2303.TW-PreClose" advise="1"/>
      <ddeItem name="2303.Tw-Price" advise="1"/>
      <ddeItem name="2308.Tw-bestask1" advise="1"/>
      <ddeItem name="2308.Tw-bestbid1" advise="1"/>
      <ddeItem name="2308.TW-PreClose" advise="1"/>
      <ddeItem name="2308.Tw-Price" advise="1"/>
      <ddeItem name="2317.Tw-bestask1" advise="1"/>
      <ddeItem name="2317.Tw-bestbid1" advise="1"/>
      <ddeItem name="2317.TW-PreClose" advise="1"/>
      <ddeItem name="2317.Tw-Price" advise="1"/>
      <ddeItem name="2324.TW-BestAsk1" advise="1"/>
      <ddeItem name="2324.TW-BestBid1" advise="1"/>
      <ddeItem name="2324.TW-PreClose" advise="1"/>
      <ddeItem name="2324.TW-Price" advise="1"/>
      <ddeItem name="2325.TW-BestAsk1" advise="1"/>
      <ddeItem name="2325.TW-BestBid1" advise="1"/>
      <ddeItem name="2325.TW-PreClose" advise="1"/>
      <ddeItem name="2325.TW-Price" advise="1"/>
      <ddeItem name="2327.TW-BestAsk1" advise="1"/>
      <ddeItem name="2327.TW-BestBid1" advise="1"/>
      <ddeItem name="2327.TW-PreClose" advise="1"/>
      <ddeItem name="2327.TW-Price" advise="1"/>
      <ddeItem name="2330.Tw-bestask1" advise="1"/>
      <ddeItem name="2330.Tw-bestbid1" advise="1"/>
      <ddeItem name="2330.TW-PreClose" advise="1"/>
      <ddeItem name="2330.Tw-Price" advise="1"/>
      <ddeItem name="2345.TW-BestAsk1" advise="1"/>
      <ddeItem name="2345.TW-BestBid1" advise="1"/>
      <ddeItem name="2345.TW-PreClose" advise="1"/>
      <ddeItem name="2345.TW-Price" advise="1"/>
      <ddeItem name="2347.TW-BestAsk1" advise="1"/>
      <ddeItem name="2347.TW-BestBid1" advise="1"/>
      <ddeItem name="2347.TW-PreClose" advise="1"/>
      <ddeItem name="2347.TW-Price" advise="1"/>
      <ddeItem name="2354.Tw-bestask1" advise="1"/>
      <ddeItem name="2354.Tw-bestbid1" advise="1"/>
      <ddeItem name="2354.TW-PreClose" advise="1"/>
      <ddeItem name="2354.Tw-Price" advise="1"/>
      <ddeItem name="2356.TW-BestAsk1" advise="1"/>
      <ddeItem name="2356.TW-BestBid1" advise="1"/>
      <ddeItem name="2356.TW-PreClose" advise="1"/>
      <ddeItem name="2356.TW-Price" advise="1"/>
      <ddeItem name="2357.Tw-bestask1" advise="1"/>
      <ddeItem name="2357.Tw-bestbid1" advise="1"/>
      <ddeItem name="2357.TW-PreClose" advise="1"/>
      <ddeItem name="2357.Tw-Price" advise="1"/>
      <ddeItem name="2376.TW-BestAsk1" advise="1"/>
      <ddeItem name="2376.TW-BestBid1" advise="1"/>
      <ddeItem name="2376.TW-PreClose" advise="1"/>
      <ddeItem name="2376.TW-Price" advise="1"/>
      <ddeItem name="2377.TW-BestAsk1" advise="1"/>
      <ddeItem name="2377.TW-BestBid1" advise="1"/>
      <ddeItem name="2377.TW-PreClose" advise="1"/>
      <ddeItem name="2377.TW-Price" advise="1"/>
      <ddeItem name="2382.Tw-bestask1" advise="1"/>
      <ddeItem name="2382.Tw-bestbid1" advise="1"/>
      <ddeItem name="2382.TW-PreClose" advise="1"/>
      <ddeItem name="2382.Tw-Price" advise="1"/>
      <ddeItem name="2385.TW-BestAsk1" advise="1"/>
      <ddeItem name="2385.TW-BestBid1" advise="1"/>
      <ddeItem name="2385.TW-PreClose" advise="1"/>
      <ddeItem name="2385.TW-Price" advise="1"/>
      <ddeItem name="2395.Tw-bestask1" advise="1"/>
      <ddeItem name="2395.Tw-bestbid1" advise="1"/>
      <ddeItem name="2395.TW-PreClose" advise="1"/>
      <ddeItem name="2395.Tw-Price" advise="1"/>
      <ddeItem name="2408.Tw-bestask1" advise="1"/>
      <ddeItem name="2408.Tw-bestbid1" advise="1"/>
      <ddeItem name="2408.TW-PreClose" advise="1"/>
      <ddeItem name="2408.Tw-Price" advise="1"/>
      <ddeItem name="2409.Tw-bestask1" advise="1"/>
      <ddeItem name="2409.Tw-bestbid1" advise="1"/>
      <ddeItem name="2409.TW-PreClose" advise="1"/>
      <ddeItem name="2409.Tw-Price" advise="1"/>
      <ddeItem name="2412.Tw-bestask1" advise="1"/>
      <ddeItem name="2412.Tw-bestbid1" advise="1"/>
      <ddeItem name="2412.TW-PreClose" advise="1"/>
      <ddeItem name="2412.Tw-Price" advise="1"/>
      <ddeItem name="2449.TW-BestAsk1" advise="1"/>
      <ddeItem name="2449.TW-BestBid1" advise="1"/>
      <ddeItem name="2449.TW-PreClose" advise="1"/>
      <ddeItem name="2449.TW-Price" advise="1"/>
      <ddeItem name="2451.TW-BestAsk1" advise="1"/>
      <ddeItem name="2451.TW-BestBid1" advise="1"/>
      <ddeItem name="2451.TW-PreClose" advise="1"/>
      <ddeItem name="2451.TW-Price" advise="1"/>
      <ddeItem name="2454.Tw-bestask1" advise="1"/>
      <ddeItem name="2454.Tw-bestbid1" advise="1"/>
      <ddeItem name="2454.TW-PreClose" advise="1"/>
      <ddeItem name="2454.Tw-Price" advise="1"/>
      <ddeItem name="2474.Tw-bestask1" advise="1"/>
      <ddeItem name="2474.Tw-bestbid1" advise="1"/>
      <ddeItem name="2474.TW-PreClose" advise="1"/>
      <ddeItem name="2474.Tw-Price" advise="1"/>
      <ddeItem name="2542.TW-BestAsk1">
        <values>
          <value>
            <val>49.4</val>
          </value>
        </values>
      </ddeItem>
      <ddeItem name="2542.TW-BestBid1">
        <values>
          <value>
            <val>49.35</val>
          </value>
        </values>
      </ddeItem>
      <ddeItem name="2542.TW-PreClose">
        <values>
          <value>
            <val>49.65</val>
          </value>
        </values>
      </ddeItem>
      <ddeItem name="2542.TW-Price">
        <values>
          <value>
            <val>49.4</val>
          </value>
        </values>
      </ddeItem>
      <ddeItem name="2633.Tw-bestask1" advise="1"/>
      <ddeItem name="2633.Tw-bestbid1" advise="1"/>
      <ddeItem name="2633.TW-PreClose" advise="1"/>
      <ddeItem name="2633.Tw-Price" advise="1"/>
      <ddeItem name="2801.Tw-bestask1" advise="1"/>
      <ddeItem name="2801.Tw-bestbid1" advise="1"/>
      <ddeItem name="2801.TW-PreClose" advise="1"/>
      <ddeItem name="2801.Tw-Price" advise="1"/>
      <ddeItem name="2823.Tw-bestask1" advise="1"/>
      <ddeItem name="2823.Tw-bestbid1" advise="1"/>
      <ddeItem name="2823.TW-PreClose" advise="1"/>
      <ddeItem name="2823.Tw-Price" advise="1"/>
      <ddeItem name="2827.HK-BestAsk1" advise="1"/>
      <ddeItem name="2827.HK-BestBid1" advise="1"/>
      <ddeItem name="2827.HK-PreClose" advise="1"/>
      <ddeItem name="2827.HK-Price" advise="1"/>
      <ddeItem name="2834.TW-BestAsk1" advise="1"/>
      <ddeItem name="2834.TW-BestBid1" advise="1"/>
      <ddeItem name="2834.TW-PreClose" advise="1"/>
      <ddeItem name="2834.TW-Price" advise="1"/>
      <ddeItem name="2880.Tw-bestask1" advise="1"/>
      <ddeItem name="2880.Tw-bestbid1" advise="1"/>
      <ddeItem name="2880.TW-PreClose" advise="1"/>
      <ddeItem name="2880.Tw-Price" advise="1"/>
      <ddeItem name="2881.Tw-bestask1" advise="1"/>
      <ddeItem name="2881.Tw-bestbid1" advise="1"/>
      <ddeItem name="2881.TW-PreClose" advise="1"/>
      <ddeItem name="2881.Tw-Price" advise="1"/>
      <ddeItem name="2882.Tw-bestask1" advise="1"/>
      <ddeItem name="2882.Tw-bestbid1" advise="1"/>
      <ddeItem name="2882.TW-PreClose" advise="1"/>
      <ddeItem name="2882.Tw-Price" advise="1"/>
      <ddeItem name="2883.Tw-bestask1" advise="1"/>
      <ddeItem name="2883.Tw-bestbid1" advise="1"/>
      <ddeItem name="2883.TW-PreClose" advise="1"/>
      <ddeItem name="2883.Tw-Price" advise="1"/>
      <ddeItem name="2884.Tw-bestask1" advise="1"/>
      <ddeItem name="2884.Tw-bestbid1" advise="1"/>
      <ddeItem name="2884.TW-PreClose" advise="1"/>
      <ddeItem name="2884.Tw-Price" advise="1"/>
      <ddeItem name="2885.Tw-bestask1" advise="1"/>
      <ddeItem name="2885.Tw-bestbid1" advise="1"/>
      <ddeItem name="2885.TW-PreClose" advise="1"/>
      <ddeItem name="2885.Tw-Price" advise="1"/>
      <ddeItem name="2886.Tw-bestask1" advise="1"/>
      <ddeItem name="2886.Tw-bestbid1" advise="1"/>
      <ddeItem name="2886.TW-PreClose" advise="1"/>
      <ddeItem name="2886.Tw-Price" advise="1"/>
      <ddeItem name="2887.Tw-bestask1" advise="1"/>
      <ddeItem name="2887.Tw-bestbid1" advise="1"/>
      <ddeItem name="2887.TW-PreClose" advise="1"/>
      <ddeItem name="2887.Tw-Price" advise="1"/>
      <ddeItem name="2888.TW-BestAsk1" advise="1"/>
      <ddeItem name="2888.TW-BestBid1" advise="1"/>
      <ddeItem name="2888.TW-PreClose" advise="1"/>
      <ddeItem name="2888.TW-Price" advise="1"/>
      <ddeItem name="2890.Tw-bestask1" advise="1"/>
      <ddeItem name="2890.Tw-bestbid1" advise="1"/>
      <ddeItem name="2890.TW-PreClose" advise="1"/>
      <ddeItem name="2890.Tw-Price" advise="1"/>
      <ddeItem name="2891.Tw-bestask1" advise="1"/>
      <ddeItem name="2891.Tw-bestbid1" advise="1"/>
      <ddeItem name="2891.TW-PreClose" advise="1"/>
      <ddeItem name="2891.Tw-Price" advise="1"/>
      <ddeItem name="2892.Tw-bestask1" advise="1"/>
      <ddeItem name="2892.Tw-bestbid1" advise="1"/>
      <ddeItem name="2892.TW-PreClose" advise="1"/>
      <ddeItem name="2892.Tw-Price" advise="1"/>
      <ddeItem name="2912.Tw-bestask1" advise="1"/>
      <ddeItem name="2912.Tw-bestbid1" advise="1"/>
      <ddeItem name="2912.TW-PreClose" advise="1"/>
      <ddeItem name="2912.Tw-Price" advise="1"/>
      <ddeItem name="3008.Tw-bestask1" advise="1"/>
      <ddeItem name="3008.Tw-bestbid1" advise="1"/>
      <ddeItem name="3008.TW-PreClose" advise="1"/>
      <ddeItem name="3008.Tw-Price" advise="1"/>
      <ddeItem name="3034.TW-BestAsk1" advise="1"/>
      <ddeItem name="3034.TW-BestBid1" advise="1"/>
      <ddeItem name="3034.TW-PreClose" advise="1"/>
      <ddeItem name="3034.TW-Price" advise="1"/>
      <ddeItem name="3045.Tw-bestask1" advise="1"/>
      <ddeItem name="3045.Tw-bestbid1" advise="1"/>
      <ddeItem name="3045.TW-PreClose" advise="1"/>
      <ddeItem name="3045.Tw-Price" advise="1"/>
      <ddeItem name="3231.TW-BestAsk1" advise="1"/>
      <ddeItem name="3231.TW-BestBid1" advise="1"/>
      <ddeItem name="3231.TW-PreClose" advise="1"/>
      <ddeItem name="3231.TW-Price" advise="1"/>
      <ddeItem name="3481.Tw-bestask1" advise="1"/>
      <ddeItem name="3481.Tw-bestbid1" advise="1"/>
      <ddeItem name="3481.TW-PreClose" advise="1"/>
      <ddeItem name="3481.Tw-Price" advise="1"/>
      <ddeItem name="3702.TW-BestAsk1" advise="1"/>
      <ddeItem name="3702.TW-BestBid1" advise="1"/>
      <ddeItem name="3702.TW-PreClose" advise="1"/>
      <ddeItem name="3702.TW-Price" advise="1"/>
      <ddeItem name="3711.TW-BestAsk1" advise="1"/>
      <ddeItem name="3711.TW-BestBid1" advise="1"/>
      <ddeItem name="3711.TW-PreClose" advise="1"/>
      <ddeItem name="3711.TW-Price" advise="1"/>
      <ddeItem name="4904.Tw-bestask1" advise="1"/>
      <ddeItem name="4904.Tw-bestbid1" advise="1"/>
      <ddeItem name="4904.TW-PreClose" advise="1"/>
      <ddeItem name="4904.Tw-Price" advise="1"/>
      <ddeItem name="4938.Tw-bestask1" advise="1"/>
      <ddeItem name="4938.Tw-bestbid1" advise="1"/>
      <ddeItem name="4938.TW-PreClose" advise="1"/>
      <ddeItem name="4938.Tw-Price" advise="1"/>
      <ddeItem name="5264.TW-BestAsk1" advise="1"/>
      <ddeItem name="5264.TW-BestBid1" advise="1"/>
      <ddeItem name="5264.TW-PreClose" advise="1"/>
      <ddeItem name="5264.TW-Price" advise="1"/>
      <ddeItem name="5871.Tw-bestask1" advise="1"/>
      <ddeItem name="5871.Tw-bestbid1" advise="1"/>
      <ddeItem name="5871.TW-PreClose" advise="1"/>
      <ddeItem name="5871.Tw-Price" advise="1"/>
      <ddeItem name="5876.TW-BestAsk1" advise="1"/>
      <ddeItem name="5876.TW-BestBid1" advise="1"/>
      <ddeItem name="5876.TW-PreClose" advise="1"/>
      <ddeItem name="5876.TW-Price" advise="1"/>
      <ddeItem name="5880.Tw-bestask1" advise="1"/>
      <ddeItem name="5880.Tw-bestbid1" advise="1"/>
      <ddeItem name="5880.TW-PreClose" advise="1"/>
      <ddeItem name="5880.Tw-Price" advise="1"/>
      <ddeItem name="600000.SH-BestAsk1" advise="1"/>
      <ddeItem name="600000.SH-BestBid1" advise="1"/>
      <ddeItem name="600000.SH-PreClose" advise="1"/>
      <ddeItem name="600000.SH-Price" advise="1"/>
      <ddeItem name="600016.SH-BestAsk1" advise="1"/>
      <ddeItem name="600016.SH-BestBid1" advise="1"/>
      <ddeItem name="600016.SH-PreClose" advise="1"/>
      <ddeItem name="600016.SH-Price" advise="1"/>
      <ddeItem name="600019.SH-PreClose" advise="1"/>
      <ddeItem name="600028.SH-BestAsk1" advise="1"/>
      <ddeItem name="600028.SH-BestBid1" advise="1"/>
      <ddeItem name="600028.SH-PreClose" advise="1"/>
      <ddeItem name="600028.SH-Price" advise="1"/>
      <ddeItem name="600029.SH-BestAsk1" advise="1"/>
      <ddeItem name="600029.SH-BestBid1" advise="1"/>
      <ddeItem name="600029.SH-PreClose" advise="1"/>
      <ddeItem name="600029.SH-Price" advise="1"/>
      <ddeItem name="600030.SH-BestAsk1" advise="1"/>
      <ddeItem name="600030.SH-BestBid1" advise="1"/>
      <ddeItem name="600030.SH-PreClose" advise="1"/>
      <ddeItem name="600030.SH-Price" advise="1"/>
      <ddeItem name="600036.SH-BestAsk1" advise="1"/>
      <ddeItem name="600036.SH-BestBid1" advise="1"/>
      <ddeItem name="600036.SH-PreClose" advise="1"/>
      <ddeItem name="600036.SH-Price" advise="1"/>
      <ddeItem name="600048.SH-BestAsk1" advise="1"/>
      <ddeItem name="600048.SH-BestBid1" advise="1"/>
      <ddeItem name="600048.SH-PreClose" advise="1"/>
      <ddeItem name="600048.SH-Price" advise="1"/>
      <ddeItem name="600050.SH-BestAsk1" advise="1"/>
      <ddeItem name="600050.SH-BestBid1" advise="1"/>
      <ddeItem name="600050.SH-PreClose" advise="1"/>
      <ddeItem name="600050.SH-Price" advise="1"/>
      <ddeItem name="600100.SH-BestAsk1" advise="1"/>
      <ddeItem name="600100.SH-BestBid1" advise="1"/>
      <ddeItem name="600100.SH-Price" advise="1"/>
      <ddeItem name="600104.SH-BestAsk1" advise="1"/>
      <ddeItem name="600104.SH-BestBid1" advise="1"/>
      <ddeItem name="600104.SH-PreClose" advise="1"/>
      <ddeItem name="600104.SH-Price" advise="1"/>
      <ddeItem name="600111.SH-BestAsk1" advise="1"/>
      <ddeItem name="600111.SH-BestBid1" advise="1"/>
      <ddeItem name="600111.SH-PreClose" advise="1"/>
      <ddeItem name="600111.SH-Price" advise="1"/>
      <ddeItem name="600340.SH-BestAsk1" advise="1"/>
      <ddeItem name="600340.SH-BestBid1" advise="1"/>
      <ddeItem name="600340.SH-PreClose" advise="1"/>
      <ddeItem name="600340.SH-Price" advise="1"/>
      <ddeItem name="600485.SH-BestAsk1" advise="1"/>
      <ddeItem name="600485.SH-BestBid1" advise="1"/>
      <ddeItem name="600485.SH-PreClose" advise="1"/>
      <ddeItem name="600485.SH-Price" advise="1"/>
      <ddeItem name="600518.SH-BestAsk1" advise="1"/>
      <ddeItem name="600518.SH-BestBid1" advise="1"/>
      <ddeItem name="600518.SH-PreClose" advise="1"/>
      <ddeItem name="600518.SH-Price" advise="1"/>
      <ddeItem name="600519.SH-BestAsk1" advise="1"/>
      <ddeItem name="600519.SH-BestBid1" advise="1"/>
      <ddeItem name="600519.SH-PreClose" advise="1"/>
      <ddeItem name="600519.SH-Price" advise="1"/>
      <ddeItem name="600547.SH-BestAsk1" advise="1"/>
      <ddeItem name="600547.SH-BestBid1" advise="1"/>
      <ddeItem name="600547.SH-PreClose" advise="1"/>
      <ddeItem name="600547.SH-Price" advise="1"/>
      <ddeItem name="600606.SH-BestAsk1" advise="1"/>
      <ddeItem name="600606.SH-BestBid1" advise="1"/>
      <ddeItem name="600606.SH-PreClose" advise="1"/>
      <ddeItem name="600606.SH-Price" advise="1"/>
      <ddeItem name="600837.SH-BestAsk1" advise="1"/>
      <ddeItem name="600837.SH-BestBid1" advise="1"/>
      <ddeItem name="600837.SH-PreClose" advise="1"/>
      <ddeItem name="600837.SH-Price" advise="1"/>
      <ddeItem name="600887.SH-BestAsk1" advise="1"/>
      <ddeItem name="600887.SH-BestBid1" advise="1"/>
      <ddeItem name="600887.SH-PreClose" advise="1"/>
      <ddeItem name="600887.SH-Price" advise="1"/>
      <ddeItem name="600919.SH-BestAsk1" advise="1"/>
      <ddeItem name="600919.SH-BestBid1" advise="1"/>
      <ddeItem name="600919.SH-PreClose" advise="1"/>
      <ddeItem name="600919.SH-Price" advise="1"/>
      <ddeItem name="600958.SH-BestAsk1" advise="1"/>
      <ddeItem name="600958.SH-BestBid1" advise="1"/>
      <ddeItem name="600958.SH-PreClose" advise="1"/>
      <ddeItem name="600958.SH-Price" advise="1"/>
      <ddeItem name="600999.SH-BestAsk1" advise="1"/>
      <ddeItem name="600999.SH-BestBid1" advise="1"/>
      <ddeItem name="600999.SH-PreClose" advise="1"/>
      <ddeItem name="600999.SH-Price" advise="1"/>
      <ddeItem name="601006.SH-BestAsk1" advise="1"/>
      <ddeItem name="601006.SH-BestBid1" advise="1"/>
      <ddeItem name="601006.SH-PreClose" advise="1"/>
      <ddeItem name="601006.SH-Price" advise="1"/>
      <ddeItem name="601088.SH-BestAsk1" advise="1"/>
      <ddeItem name="601088.SH-BestBid1" advise="1"/>
      <ddeItem name="601088.SH-PreClose" advise="1"/>
      <ddeItem name="601088.SH-Price" advise="1"/>
      <ddeItem name="601166.SH-BestAsk1" advise="1"/>
      <ddeItem name="601166.SH-BestBid1" advise="1"/>
      <ddeItem name="601166.SH-PreClose" advise="1"/>
      <ddeItem name="601166.SH-Price" advise="1"/>
      <ddeItem name="601169.SH-BestAsk1" advise="1"/>
      <ddeItem name="601169.SH-BestBid1" advise="1"/>
      <ddeItem name="601169.SH-PreClose" advise="1"/>
      <ddeItem name="601169.SH-Price" advise="1"/>
      <ddeItem name="601186.SH-BestAsk1" advise="1"/>
      <ddeItem name="601186.SH-BestBid1" advise="1"/>
      <ddeItem name="601186.SH-PreClose" advise="1"/>
      <ddeItem name="601186.SH-Price" advise="1"/>
      <ddeItem name="601198.SH-BestAsk1" advise="1"/>
      <ddeItem name="601198.SH-BestBid1" advise="1"/>
      <ddeItem name="601198.SH-Price" advise="1"/>
      <ddeItem name="601211.SH-BestAsk1" advise="1"/>
      <ddeItem name="601211.SH-BestBid1" advise="1"/>
      <ddeItem name="601211.SH-PreClose" advise="1"/>
      <ddeItem name="601211.SH-Price" advise="1"/>
      <ddeItem name="601229.SH-BestAsk1" advise="1"/>
      <ddeItem name="601229.SH-BestBid1" advise="1"/>
      <ddeItem name="601229.SH-PreClose" advise="1"/>
      <ddeItem name="601229.SH-Price" advise="1"/>
      <ddeItem name="601288.SH-BestAsk1" advise="1"/>
      <ddeItem name="601288.SH-BestBid1" advise="1"/>
      <ddeItem name="601288.SH-PreClose" advise="1"/>
      <ddeItem name="601288.SH-Price" advise="1"/>
      <ddeItem name="601318.SH-BestAsk1" advise="1"/>
      <ddeItem name="601318.SH-BestBid1" advise="1"/>
      <ddeItem name="601318.SH-PreClose" advise="1"/>
      <ddeItem name="601318.SH-Price" advise="1"/>
      <ddeItem name="601328.SH-BestAsk1" advise="1"/>
      <ddeItem name="601328.SH-BestBid1" advise="1"/>
      <ddeItem name="601328.SH-PreClose" advise="1"/>
      <ddeItem name="601328.SH-Price" advise="1"/>
      <ddeItem name="601336.SH-BestAsk1" advise="1"/>
      <ddeItem name="601336.SH-BestBid1" advise="1"/>
      <ddeItem name="601336.SH-PreClose" advise="1"/>
      <ddeItem name="601336.SH-Price" advise="1"/>
      <ddeItem name="601390.SH-BestAsk1" advise="1"/>
      <ddeItem name="601390.SH-BestBid1" advise="1"/>
      <ddeItem name="601390.SH-PreClose" advise="1"/>
      <ddeItem name="601390.SH-Price" advise="1"/>
      <ddeItem name="601398.SH-BestAsk1" advise="1"/>
      <ddeItem name="601398.SH-BestBid1" advise="1"/>
      <ddeItem name="601398.SH-PreClose" advise="1"/>
      <ddeItem name="601398.SH-Price" advise="1"/>
      <ddeItem name="601601.SH-BestAsk1" advise="1"/>
      <ddeItem name="601601.SH-BestBid1" advise="1"/>
      <ddeItem name="601601.SH-PreClose" advise="1"/>
      <ddeItem name="601601.SH-Price" advise="1"/>
      <ddeItem name="601628.SH-BestAsk1" advise="1"/>
      <ddeItem name="601628.SH-BestBid1" advise="1"/>
      <ddeItem name="601628.SH-PreClose" advise="1"/>
      <ddeItem name="601628.SH-Price" advise="1"/>
      <ddeItem name="601668.SH-BestAsk1" advise="1"/>
      <ddeItem name="601668.SH-BestBid1" advise="1"/>
      <ddeItem name="601668.SH-PreClose" advise="1"/>
      <ddeItem name="601668.SH-Price" advise="1"/>
      <ddeItem name="601669.SH-PreClose" advise="1"/>
      <ddeItem name="601688.SH-BestAsk1" advise="1"/>
      <ddeItem name="601688.SH-BestBid1" advise="1"/>
      <ddeItem name="601688.SH-PreClose" advise="1"/>
      <ddeItem name="601688.SH-Price" advise="1"/>
      <ddeItem name="601766.SH-BestAsk1" advise="1"/>
      <ddeItem name="601766.SH-BestBid1" advise="1"/>
      <ddeItem name="601766.SH-PreClose" advise="1"/>
      <ddeItem name="601766.SH-Price" advise="1"/>
      <ddeItem name="601788.SH-BestAsk1" advise="1"/>
      <ddeItem name="601788.SH-BestBid1" advise="1"/>
      <ddeItem name="601788.SH-Price" advise="1"/>
      <ddeItem name="601800.SH-BestAsk1" advise="1"/>
      <ddeItem name="601800.SH-BestBid1" advise="1"/>
      <ddeItem name="601800.SH-PreClose" advise="1"/>
      <ddeItem name="601800.SH-Price" advise="1"/>
      <ddeItem name="601818.SH-BestAsk1" advise="1"/>
      <ddeItem name="601818.SH-BestBid1" advise="1"/>
      <ddeItem name="601818.SH-PreClose" advise="1"/>
      <ddeItem name="601818.SH-Price" advise="1"/>
      <ddeItem name="601857.SH-BestAsk1" advise="1"/>
      <ddeItem name="601857.SH-BestBid1" advise="1"/>
      <ddeItem name="601857.SH-PreClose" advise="1"/>
      <ddeItem name="601857.SH-Price" advise="1"/>
      <ddeItem name="601878.SH-PreClose" advise="1"/>
      <ddeItem name="601881.SH-BestAsk1" advise="1"/>
      <ddeItem name="601881.SH-BestBid1" advise="1"/>
      <ddeItem name="601881.SH-PreClose" advise="1"/>
      <ddeItem name="601881.SH-Price" advise="1"/>
      <ddeItem name="601901.SH-BestAsk1" advise="1"/>
      <ddeItem name="601901.SH-BestBid1" advise="1"/>
      <ddeItem name="601901.SH-Price" advise="1"/>
      <ddeItem name="601985.SH-BestAsk1" advise="1"/>
      <ddeItem name="601985.SH-BestBid1" advise="1"/>
      <ddeItem name="601985.SH-PreClose" advise="1"/>
      <ddeItem name="601985.SH-Price" advise="1"/>
      <ddeItem name="601988.SH-BestAsk1" advise="1"/>
      <ddeItem name="601988.SH-BestBid1" advise="1"/>
      <ddeItem name="601988.SH-PreClose" advise="1"/>
      <ddeItem name="601988.SH-Price" advise="1"/>
      <ddeItem name="601989.SH-BestAsk1" advise="1"/>
      <ddeItem name="601989.SH-BestBid1" advise="1"/>
      <ddeItem name="601989.SH-PreClose" advise="1"/>
      <ddeItem name="601989.SH-Price" advise="1"/>
      <ddeItem name="603993.SH-PreClose" advise="1"/>
      <ddeItem name="6176.TW-BestAsk1" advise="1"/>
      <ddeItem name="6176.TW-BestBid1" advise="1"/>
      <ddeItem name="6176.TW-PreClose" advise="1"/>
      <ddeItem name="6176.TW-Price" advise="1"/>
      <ddeItem name="6239.TW-BestAsk1" advise="1"/>
      <ddeItem name="6239.TW-BestBid1" advise="1"/>
      <ddeItem name="6239.TW-PreClose" advise="1"/>
      <ddeItem name="6239.TW-Price" advise="1"/>
      <ddeItem name="6505.Tw-bestask1" advise="1"/>
      <ddeItem name="6505.Tw-bestbid1" advise="1"/>
      <ddeItem name="6505.TW-PreClose" advise="1"/>
      <ddeItem name="6505.Tw-Price" advise="1"/>
      <ddeItem name="8150.TW-BestAsk1" advise="1"/>
      <ddeItem name="8150.TW-BestBid1" advise="1"/>
      <ddeItem name="8150.TW-PreClose" advise="1"/>
      <ddeItem name="8150.TW-Price" advise="1"/>
      <ddeItem name="9904.Tw-bestask1" advise="1"/>
      <ddeItem name="9904.Tw-bestbid1" advise="1"/>
      <ddeItem name="9904.TW-PreClose" advise="1"/>
      <ddeItem name="9904.Tw-Price" advise="1"/>
      <ddeItem name="9910.TW-BestAsk1" advise="1"/>
      <ddeItem name="9910.TW-BestBid1" advise="1"/>
      <ddeItem name="9910.TW-PreClose" advise="1"/>
      <ddeItem name="9910.TW-Price" advise="1"/>
      <ddeItem name="9933.TW-BestAsk1" advise="1"/>
      <ddeItem name="9933.TW-BestBid1" advise="1"/>
      <ddeItem name="9933.TW-PreClose" advise="1"/>
      <ddeItem name="9933.TW-Price" advise="1"/>
      <ddeItem name="A.US-BestAsk1" advise="1"/>
      <ddeItem name="A.US-BestBid1" advise="1"/>
      <ddeItem name="A.US-PreClose" advise="1"/>
      <ddeItem name="A.US-Price" advise="1"/>
      <ddeItem name="AAL.US-BestAsk1" advise="1"/>
      <ddeItem name="AAL.US-BestBid1" advise="1"/>
      <ddeItem name="AAL.US-PreClose" advise="1"/>
      <ddeItem name="AAL.US-Price" advise="1"/>
      <ddeItem name="AAP.US-BestAsk1" advise="1"/>
      <ddeItem name="AAP.US-BestBid1" advise="1"/>
      <ddeItem name="AAP.US-PreClose" advise="1"/>
      <ddeItem name="AAP.US-Price" advise="1"/>
      <ddeItem name="AAPL.US-BestAsk1" advise="1"/>
      <ddeItem name="AAPL.US-BestBid1" advise="1"/>
      <ddeItem name="AAPL.US-PreClose" advise="1"/>
      <ddeItem name="AAPL.US-Price" advise="1"/>
      <ddeItem name="ABBV.US-BestAsk1">
        <values>
          <value t="str">
            <val>N/A</val>
          </value>
        </values>
      </ddeItem>
      <ddeItem name="ABBV.US-BestBid1">
        <values>
          <value t="str">
            <val>N/A</val>
          </value>
        </values>
      </ddeItem>
      <ddeItem name="ABBV.US-PreClose">
        <values>
          <value t="str">
            <val>N/A</val>
          </value>
        </values>
      </ddeItem>
      <ddeItem name="ABBV.US-Price">
        <values>
          <value t="str">
            <val>N/A</val>
          </value>
        </values>
      </ddeItem>
      <ddeItem name="ABC.US-BestAsk1" advise="1"/>
      <ddeItem name="ABC.US-BestBid1" advise="1"/>
      <ddeItem name="ABC.US-PreClose" advise="1"/>
      <ddeItem name="ABC.US-Price" advise="1"/>
      <ddeItem name="ABT.US-BestAsk1" advise="1"/>
      <ddeItem name="ABT.US-BestBid1" advise="1"/>
      <ddeItem name="ABT.US-PreClose" advise="1"/>
      <ddeItem name="ABT.US-Price" advise="1"/>
      <ddeItem name="ACN.US-BestAsk1" advise="1"/>
      <ddeItem name="ACN.US-BestBid1" advise="1"/>
      <ddeItem name="ACN.US-PreClose" advise="1"/>
      <ddeItem name="ACN.US-Price" advise="1"/>
      <ddeItem name="ADBE.US-BestAsk1" advise="1"/>
      <ddeItem name="ADBE.US-BestBid1" advise="1"/>
      <ddeItem name="ADBE.US-PreClose" advise="1"/>
      <ddeItem name="ADBE.US-Price" advise="1"/>
      <ddeItem name="ADI.US-BestAsk1" advise="1"/>
      <ddeItem name="ADI.US-BestBid1" advise="1"/>
      <ddeItem name="ADI.US-PreClose" advise="1"/>
      <ddeItem name="ADI.US-Price" advise="1"/>
      <ddeItem name="ADM.US-BestAsk1">
        <values>
          <value t="str">
            <val>N/A</val>
          </value>
        </values>
      </ddeItem>
      <ddeItem name="ADM.US-BestBid1">
        <values>
          <value t="str">
            <val>N/A</val>
          </value>
        </values>
      </ddeItem>
      <ddeItem name="ADM.US-PreClose">
        <values>
          <value t="str">
            <val>N/A</val>
          </value>
        </values>
      </ddeItem>
      <ddeItem name="ADM.US-Price">
        <values>
          <value t="str">
            <val>N/A</val>
          </value>
        </values>
      </ddeItem>
      <ddeItem name="ADP.US-BestAsk1" advise="1"/>
      <ddeItem name="ADP.US-BestBid1" advise="1"/>
      <ddeItem name="ADP.US-PreClose" advise="1"/>
      <ddeItem name="ADP.US-Price" advise="1"/>
      <ddeItem name="ADS.US-BestAsk1" advise="1"/>
      <ddeItem name="ADS.US-BestBid1" advise="1"/>
      <ddeItem name="ADS.US-PreClose" advise="1"/>
      <ddeItem name="ADS.US-Price" advise="1"/>
      <ddeItem name="ADSK.US-BestAsk1" advise="1"/>
      <ddeItem name="ADSK.US-BestBid1" advise="1"/>
      <ddeItem name="ADSK.US-PreClose" advise="1"/>
      <ddeItem name="ADSK.US-Price" advise="1"/>
      <ddeItem name="AEE.US-BestAsk1" advise="1"/>
      <ddeItem name="AEE.US-BestBid1" advise="1"/>
      <ddeItem name="AEE.US-PreClose" advise="1"/>
      <ddeItem name="AEE.US-Price" advise="1"/>
      <ddeItem name="AEP.US-BestAsk1" advise="1"/>
      <ddeItem name="AEP.US-BestBid1" advise="1"/>
      <ddeItem name="AEP.US-PreClose" advise="1"/>
      <ddeItem name="AEP.US-Price" advise="1"/>
      <ddeItem name="AES.US-BestAsk1" advise="1"/>
      <ddeItem name="AES.US-BestBid1" advise="1"/>
      <ddeItem name="AES.US-PreClose" advise="1"/>
      <ddeItem name="AES.US-Price" advise="1"/>
      <ddeItem name="AET.US-BestAsk1" advise="1"/>
      <ddeItem name="AET.US-BestBid1" advise="1"/>
      <ddeItem name="AET.US-PreClose" advise="1"/>
      <ddeItem name="AET.US-Price" advise="1"/>
      <ddeItem name="AFL.US-BestAsk1" advise="1"/>
      <ddeItem name="AFL.US-BestBid1" advise="1"/>
      <ddeItem name="AFL.US-PreClose" advise="1"/>
      <ddeItem name="AFL.US-Price" advise="1"/>
      <ddeItem name="AGN.US-BestAsk1" advise="1"/>
      <ddeItem name="AGN.US-BestBid1" advise="1"/>
      <ddeItem name="AGN.US-PreClose" advise="1"/>
      <ddeItem name="AGN.US-Price" advise="1"/>
      <ddeItem name="AIG.US-BestAsk1" advise="1"/>
      <ddeItem name="AIG.US-BestBid1" advise="1"/>
      <ddeItem name="AIG.US-PreClose" advise="1"/>
      <ddeItem name="AIG.US-Price" advise="1"/>
      <ddeItem name="AIV.US-BestAsk1" advise="1"/>
      <ddeItem name="AIV.US-BestBid1" advise="1"/>
      <ddeItem name="AIV.US-PreClose" advise="1"/>
      <ddeItem name="AIV.US-Price" advise="1"/>
      <ddeItem name="AIZ.US-BestAsk1" advise="1"/>
      <ddeItem name="AIZ.US-BestBid1" advise="1"/>
      <ddeItem name="AIZ.US-PreClose" advise="1"/>
      <ddeItem name="AIZ.US-Price" advise="1"/>
      <ddeItem name="AJG.US-BestAsk1" advise="1"/>
      <ddeItem name="AJG.US-BestBid1" advise="1"/>
      <ddeItem name="AJG.US-PreClose" advise="1"/>
      <ddeItem name="AJG.US-Price" advise="1"/>
      <ddeItem name="AKAM.US-BestAsk1" advise="1"/>
      <ddeItem name="AKAM.US-BestBid1" advise="1"/>
      <ddeItem name="AKAM.US-PreClose" advise="1"/>
      <ddeItem name="AKAM.US-Price" advise="1"/>
      <ddeItem name="ALB.US-BestAsk1" advise="1"/>
      <ddeItem name="ALB.US-BestBid1" advise="1"/>
      <ddeItem name="ALB.US-PreClose" advise="1"/>
      <ddeItem name="ALB.US-Price" advise="1"/>
      <ddeItem name="ALGN.US-BestAsk1" advise="1"/>
      <ddeItem name="ALGN.US-BestBid1" advise="1"/>
      <ddeItem name="ALGN.US-PreClose" advise="1"/>
      <ddeItem name="ALGN.US-Price" advise="1"/>
      <ddeItem name="ALK.US-BestAsk1" advise="1"/>
      <ddeItem name="ALK.US-BestBid1" advise="1"/>
      <ddeItem name="ALK.US-PreClose" advise="1"/>
      <ddeItem name="ALK.US-Price" advise="1"/>
      <ddeItem name="ALL.US-BestAsk1" advise="1"/>
      <ddeItem name="ALL.US-BestBid1" advise="1"/>
      <ddeItem name="ALL.US-PreClose" advise="1"/>
      <ddeItem name="ALL.US-Price" advise="1"/>
      <ddeItem name="ALLE.US-BestAsk1" advise="1"/>
      <ddeItem name="ALLE.US-BestBid1" advise="1"/>
      <ddeItem name="ALLE.US-PreClose" advise="1"/>
      <ddeItem name="ALLE.US-Price" advise="1"/>
      <ddeItem name="ALXN.US-BestAsk1" advise="1"/>
      <ddeItem name="ALXN.US-BestBid1" advise="1"/>
      <ddeItem name="ALXN.US-PreClose" advise="1"/>
      <ddeItem name="ALXN.US-Price" advise="1"/>
      <ddeItem name="AMAT.US-BestAsk1" advise="1"/>
      <ddeItem name="AMAT.US-BestBid1" advise="1"/>
      <ddeItem name="AMAT.US-PreClose" advise="1"/>
      <ddeItem name="AMAT.US-Price" advise="1"/>
      <ddeItem name="AMD.US-BestAsk1" advise="1"/>
      <ddeItem name="AMD.US-BestBid1" advise="1"/>
      <ddeItem name="AMD.US-PreClose" advise="1"/>
      <ddeItem name="AMD.US-Price" advise="1"/>
      <ddeItem name="AME.US-BestAsk1" advise="1"/>
      <ddeItem name="AME.US-BestBid1" advise="1"/>
      <ddeItem name="AME.US-PreClose" advise="1"/>
      <ddeItem name="AME.US-Price" advise="1"/>
      <ddeItem name="AMG.US-BestAsk1" advise="1"/>
      <ddeItem name="AMG.US-BestBid1" advise="1"/>
      <ddeItem name="AMG.US-PreClose" advise="1"/>
      <ddeItem name="AMG.US-Price" advise="1"/>
      <ddeItem name="AMGN.US-BestAsk1" advise="1"/>
      <ddeItem name="AMGN.US-BestBid1" advise="1"/>
      <ddeItem name="AMGN.US-PreClose" advise="1"/>
      <ddeItem name="AMGN.US-Price" advise="1"/>
      <ddeItem name="AMP.US-BestAsk1" advise="1"/>
      <ddeItem name="AMP.US-BestBid1" advise="1"/>
      <ddeItem name="AMP.US-PreClose" advise="1"/>
      <ddeItem name="AMP.US-Price" advise="1"/>
      <ddeItem name="AMT.US-BestAsk1" advise="1"/>
      <ddeItem name="AMT.US-BestBid1" advise="1"/>
      <ddeItem name="AMT.US-PreClose" advise="1"/>
      <ddeItem name="AMT.US-Price" advise="1"/>
      <ddeItem name="AMZN.US-BestAsk1" advise="1"/>
      <ddeItem name="AMZN.US-BestBid1" advise="1"/>
      <ddeItem name="AMZN.US-PreClose" advise="1"/>
      <ddeItem name="AMZN.US-Price" advise="1"/>
      <ddeItem name="ANDV.US-BestAsk1" advise="1"/>
      <ddeItem name="ANDV.US-BestBid1" advise="1"/>
      <ddeItem name="ANDV.US-PreClose" advise="1"/>
      <ddeItem name="ANDV.US-Price" advise="1"/>
      <ddeItem name="ANSS.US-BestAsk1" advise="1"/>
      <ddeItem name="ANSS.US-BestBid1" advise="1"/>
      <ddeItem name="ANSS.US-PreClose" advise="1"/>
      <ddeItem name="ANSS.US-Price" advise="1"/>
      <ddeItem name="ANTM.US-BestAsk1" advise="1"/>
      <ddeItem name="ANTM.US-BestBid1" advise="1"/>
      <ddeItem name="ANTM.US-PreClose" advise="1"/>
      <ddeItem name="ANTM.US-Price" advise="1"/>
      <ddeItem name="AON.US-BestAsk1" advise="1"/>
      <ddeItem name="AON.US-BestBid1" advise="1"/>
      <ddeItem name="AON.US-PreClose" advise="1"/>
      <ddeItem name="AON.US-Price" advise="1"/>
      <ddeItem name="AOS.US-BestAsk1" advise="1"/>
      <ddeItem name="AOS.US-BestBid1" advise="1"/>
      <ddeItem name="AOS.US-PreClose" advise="1"/>
      <ddeItem name="AOS.US-Price" advise="1"/>
      <ddeItem name="APA.US-BestAsk1" advise="1"/>
      <ddeItem name="APA.US-BestBid1" advise="1"/>
      <ddeItem name="APA.US-PreClose" advise="1"/>
      <ddeItem name="APA.US-Price" advise="1"/>
      <ddeItem name="APC.US-BestAsk1" advise="1"/>
      <ddeItem name="APC.US-BestBid1" advise="1"/>
      <ddeItem name="APC.US-PreClose" advise="1"/>
      <ddeItem name="APC.US-Price" advise="1"/>
      <ddeItem name="APD.US-BestAsk1" advise="1"/>
      <ddeItem name="APD.US-BestBid1" advise="1"/>
      <ddeItem name="APD.US-PreClose" advise="1"/>
      <ddeItem name="APD.US-Price" advise="1"/>
      <ddeItem name="APH.US-BestAsk1" advise="1"/>
      <ddeItem name="APH.US-BestBid1" advise="1"/>
      <ddeItem name="APH.US-PreClose" advise="1"/>
      <ddeItem name="APH.US-Price" advise="1"/>
      <ddeItem name="ARE.US-BestAsk1" advise="1"/>
      <ddeItem name="ARE.US-BestBid1" advise="1"/>
      <ddeItem name="ARE.US-PreClose" advise="1"/>
      <ddeItem name="ARE.US-Price" advise="1"/>
      <ddeItem name="ARNC.US-BestAsk1" advise="1"/>
      <ddeItem name="ARNC.US-BestBid1" advise="1"/>
      <ddeItem name="ARNC.US-PreClose" advise="1"/>
      <ddeItem name="ARNC.US-Price" advise="1"/>
      <ddeItem name="ATVI.US-BestAsk1" advise="1"/>
      <ddeItem name="ATVI.US-BestBid1" advise="1"/>
      <ddeItem name="ATVI.US-PreClose" advise="1"/>
      <ddeItem name="ATVI.US-Price" advise="1"/>
      <ddeItem name="AUD.FX-Ask" advise="1"/>
      <ddeItem name="AUD.FX-AvgPrice" advise="1"/>
      <ddeItem name="AUD.FX-BestAskSize" advise="1"/>
      <ddeItem name="AUD.FX-BestBidSize" advise="1"/>
      <ddeItem name="AUD.FX-Bid" advise="1"/>
      <ddeItem name="AUD.FX-Capital" advise="1"/>
      <ddeItem name="AUD.FX-InOutRatio" advise="1"/>
      <ddeItem name="AUD.FX-MarketValue" advise="1"/>
      <ddeItem name="AUD.FX-Name" advise="1"/>
      <ddeItem name="AUD.FX-PreClose" advise="1"/>
      <ddeItem name="AUD.FX-Price" advise="1"/>
      <ddeItem name="AUD.FX-PriceChange" advise="1"/>
      <ddeItem name="AUD.FX-PriceChangeRatio" advise="1"/>
      <ddeItem name="AUD.FX-Profit" advise="1"/>
      <ddeItem name="AUD.FX-TotalVolume" advise="1"/>
      <ddeItem name="AUD.FX-Volume" advise="1"/>
      <ddeItem name="AUDTW.FX-Ask" advise="1"/>
      <ddeItem name="AUDTW.FX-AvgPrice" advise="1"/>
      <ddeItem name="AUDTW.FX-BestAskSize" advise="1"/>
      <ddeItem name="AUDTW.FX-BestBidSize" advise="1"/>
      <ddeItem name="AUDTW.FX-Bid" advise="1"/>
      <ddeItem name="AUDTW.FX-Capital" advise="1"/>
      <ddeItem name="AUDTW.FX-InOutRatio" advise="1"/>
      <ddeItem name="AUDTW.FX-MarketValue" advise="1"/>
      <ddeItem name="AUDTW.FX-Name" advise="1"/>
      <ddeItem name="AUDTW.FX-PreClose" advise="1"/>
      <ddeItem name="AUDTW.FX-Price" advise="1"/>
      <ddeItem name="AUDTW.FX-PriceChange" advise="1"/>
      <ddeItem name="AUDTW.FX-PriceChangeRatio" advise="1"/>
      <ddeItem name="AUDTW.FX-Profit" advise="1"/>
      <ddeItem name="AUDTW.FX-TotalVolume" advise="1"/>
      <ddeItem name="AUDTW.FX-Volume" advise="1"/>
      <ddeItem name="AVB.US-BestAsk1" advise="1"/>
      <ddeItem name="AVB.US-BestBid1" advise="1"/>
      <ddeItem name="AVB.US-PreClose" advise="1"/>
      <ddeItem name="AVB.US-Price" advise="1"/>
      <ddeItem name="AVGO.US-BestAsk1" advise="1"/>
      <ddeItem name="AVGO.US-BestBid1" advise="1"/>
      <ddeItem name="AVGO.US-PreClose" advise="1"/>
      <ddeItem name="AVGO.US-Price" advise="1"/>
      <ddeItem name="AVY.US-BestAsk1" advise="1"/>
      <ddeItem name="AVY.US-BestBid1" advise="1"/>
      <ddeItem name="AVY.US-PreClose" advise="1"/>
      <ddeItem name="AVY.US-Price" advise="1"/>
      <ddeItem name="AWK.US-BestAsk1" advise="1"/>
      <ddeItem name="AWK.US-BestBid1" advise="1"/>
      <ddeItem name="AWK.US-PreClose" advise="1"/>
      <ddeItem name="AWK.US-Price" advise="1"/>
      <ddeItem name="AXP.US-BestAsk1">
        <values>
          <value t="str">
            <val>N/A</val>
          </value>
        </values>
      </ddeItem>
      <ddeItem name="AXP.US-BestBid1">
        <values>
          <value t="str">
            <val>N/A</val>
          </value>
        </values>
      </ddeItem>
      <ddeItem name="AXP.US-PreClose">
        <values>
          <value t="str">
            <val>N/A</val>
          </value>
        </values>
      </ddeItem>
      <ddeItem name="AXP.US-Price">
        <values>
          <value t="str">
            <val>N/A</val>
          </value>
        </values>
      </ddeItem>
      <ddeItem name="AYI.US-BestAsk1" advise="1"/>
      <ddeItem name="AYI.US-BestBid1" advise="1"/>
      <ddeItem name="AYI.US-PreClose" advise="1"/>
      <ddeItem name="AYI.US-Price" advise="1"/>
      <ddeItem name="AZO.US-BestAsk1" advise="1"/>
      <ddeItem name="AZO.US-BestBid1" advise="1"/>
      <ddeItem name="AZO.US-PreClose" advise="1"/>
      <ddeItem name="AZO.US-Price" advise="1"/>
      <ddeItem name="BA.US-BestAsk1">
        <values>
          <value t="str">
            <val>N/A</val>
          </value>
        </values>
      </ddeItem>
      <ddeItem name="BA.US-BestBid1">
        <values>
          <value t="str">
            <val>N/A</val>
          </value>
        </values>
      </ddeItem>
      <ddeItem name="BA.US-PreClose">
        <values>
          <value t="str">
            <val>N/A</val>
          </value>
        </values>
      </ddeItem>
      <ddeItem name="BA.US-Price">
        <values>
          <value t="str">
            <val>N/A</val>
          </value>
        </values>
      </ddeItem>
      <ddeItem name="BAC.US-BestAsk1" advise="1"/>
      <ddeItem name="BAC.US-BestBid1" advise="1"/>
      <ddeItem name="BAC.US-PreClose" advise="1"/>
      <ddeItem name="BAC.US-Price" advise="1"/>
      <ddeItem name="BAX.US-BestAsk1" advise="1"/>
      <ddeItem name="BAX.US-BestBid1" advise="1"/>
      <ddeItem name="BAX.US-PreClose" advise="1"/>
      <ddeItem name="BAX.US-Price" advise="1"/>
      <ddeItem name="BBT.US-BestAsk1" advise="1"/>
      <ddeItem name="BBT.US-BestBid1" advise="1"/>
      <ddeItem name="BBT.US-PreClose" advise="1"/>
      <ddeItem name="BBT.US-Price" advise="1"/>
      <ddeItem name="BBY.US-BestAsk1" advise="1"/>
      <ddeItem name="BBY.US-BestBid1" advise="1"/>
      <ddeItem name="BBY.US-PreClose" advise="1"/>
      <ddeItem name="BBY.US-Price" advise="1"/>
      <ddeItem name="BCR.US-BestAsk1" advise="1"/>
      <ddeItem name="BCR.US-BestBid1" advise="1"/>
      <ddeItem name="BCR.US-PreClose" advise="1"/>
      <ddeItem name="BCR.US-Price" advise="1"/>
      <ddeItem name="BDX.US-BestAsk1" advise="1"/>
      <ddeItem name="BDX.US-BestBid1" advise="1"/>
      <ddeItem name="BDX.US-PreClose" advise="1"/>
      <ddeItem name="BDX.US-Price" advise="1"/>
      <ddeItem name="BEN.US-BestAsk1" advise="1"/>
      <ddeItem name="BEN.US-BestBid1" advise="1"/>
      <ddeItem name="BEN.US-PreClose" advise="1"/>
      <ddeItem name="BEN.US-Price" advise="1"/>
      <ddeItem name="BF.B.US-BestAsk1" advise="1"/>
      <ddeItem name="BF.B.US-BestBid1" advise="1"/>
      <ddeItem name="BF.B.US-PreClose" advise="1"/>
      <ddeItem name="BF.B.US-Price" advise="1"/>
      <ddeItem name="BHF.US-BestAsk1" advise="1"/>
      <ddeItem name="BHF.US-BestBid1" advise="1"/>
      <ddeItem name="BHF.US-PreClose" advise="1"/>
      <ddeItem name="BHF.US-Price" advise="1"/>
      <ddeItem name="BHGE.US-BestAsk1" advise="1"/>
      <ddeItem name="BHGE.US-BestBid1" advise="1"/>
      <ddeItem name="BHGE.US-PreClose" advise="1"/>
      <ddeItem name="BHGE.US-Price" advise="1"/>
      <ddeItem name="BIIB.US-BestAsk1" advise="1"/>
      <ddeItem name="BIIB.US-BestBid1" advise="1"/>
      <ddeItem name="BIIB.US-PreClose" advise="1"/>
      <ddeItem name="BIIB.US-Price" advise="1"/>
      <ddeItem name="BK.US-BestAsk1" advise="1"/>
      <ddeItem name="BK.US-BestBid1" advise="1"/>
      <ddeItem name="BK.US-PreClose" advise="1"/>
      <ddeItem name="BK.US-Price" advise="1"/>
      <ddeItem name="BLK.US-BestAsk1" advise="1"/>
      <ddeItem name="BLK.US-BestBid1" advise="1"/>
      <ddeItem name="BLK.US-PreClose" advise="1"/>
      <ddeItem name="BLK.US-Price" advise="1"/>
      <ddeItem name="BLL.US-BestAsk1" advise="1"/>
      <ddeItem name="BLL.US-BestBid1" advise="1"/>
      <ddeItem name="BLL.US-PreClose" advise="1"/>
      <ddeItem name="BLL.US-Price" advise="1"/>
      <ddeItem name="BMY.US-BestAsk1" advise="1"/>
      <ddeItem name="BMY.US-BestBid1" advise="1"/>
      <ddeItem name="BMY.US-PreClose" advise="1"/>
      <ddeItem name="BMY.US-Price" advise="1"/>
      <ddeItem name="BRK.B.US-BestAsk1" advise="1"/>
      <ddeItem name="BRK.B.US-BestBid1" advise="1"/>
      <ddeItem name="BRK.B.US-PreClose" advise="1"/>
      <ddeItem name="BRK.B.US-Price" advise="1"/>
      <ddeItem name="BSX.US-BestAsk1" advise="1"/>
      <ddeItem name="BSX.US-BestBid1" advise="1"/>
      <ddeItem name="BSX.US-PreClose" advise="1"/>
      <ddeItem name="BSX.US-Price" advise="1"/>
      <ddeItem name="BWA.US-BestAsk1" advise="1"/>
      <ddeItem name="BWA.US-BestBid1" advise="1"/>
      <ddeItem name="BWA.US-PreClose" advise="1"/>
      <ddeItem name="BWA.US-Price" advise="1"/>
      <ddeItem name="BXP.US-BestAsk1" advise="1"/>
      <ddeItem name="BXP.US-BestBid1" advise="1"/>
      <ddeItem name="BXP.US-PreClose" advise="1"/>
      <ddeItem name="BXP.US-Price" advise="1"/>
      <ddeItem name="C.US-BestAsk1" advise="1"/>
      <ddeItem name="C.US-BestBid1" advise="1"/>
      <ddeItem name="C.US-PreClose" advise="1"/>
      <ddeItem name="C.US-Price" advise="1"/>
      <ddeItem name="CA.US-BestAsk1" advise="1"/>
      <ddeItem name="CA.US-BestBid1" advise="1"/>
      <ddeItem name="CA.US-PreClose" advise="1"/>
      <ddeItem name="CA.US-Price" advise="1"/>
      <ddeItem name="CAD.FX-Ask" advise="1"/>
      <ddeItem name="CAD.FX-AvgPrice" advise="1"/>
      <ddeItem name="CAD.FX-BestAskSize" advise="1"/>
      <ddeItem name="CAD.FX-BestBidSize" advise="1"/>
      <ddeItem name="CAD.FX-Bid" advise="1"/>
      <ddeItem name="CAD.FX-Capital" advise="1"/>
      <ddeItem name="CAD.FX-InOutRatio" advise="1"/>
      <ddeItem name="CAD.FX-MarketValue" advise="1"/>
      <ddeItem name="CAD.FX-Name" advise="1"/>
      <ddeItem name="CAD.FX-PreClose" advise="1"/>
      <ddeItem name="CAD.FX-Price" advise="1"/>
      <ddeItem name="CAD.FX-PriceChange" advise="1"/>
      <ddeItem name="CAD.FX-PriceChangeRatio" advise="1"/>
      <ddeItem name="CAD.FX-Profit" advise="1"/>
      <ddeItem name="CAD.FX-TotalVolume" advise="1"/>
      <ddeItem name="CAD.FX-Volume" advise="1"/>
      <ddeItem name="CADTW.FX-Ask" advise="1"/>
      <ddeItem name="CADTW.FX-AvgPrice" advise="1"/>
      <ddeItem name="CADTW.FX-BestAskSize" advise="1"/>
      <ddeItem name="CADTW.FX-BestBidSize" advise="1"/>
      <ddeItem name="CADTW.FX-Bid" advise="1"/>
      <ddeItem name="CADTW.FX-Capital" advise="1"/>
      <ddeItem name="CADTW.FX-InOutRatio" advise="1"/>
      <ddeItem name="CADTW.FX-MarketValue" advise="1"/>
      <ddeItem name="CADTW.FX-Name" advise="1"/>
      <ddeItem name="CADTW.FX-PreClose" advise="1"/>
      <ddeItem name="CADTW.FX-Price" advise="1"/>
      <ddeItem name="CADTW.FX-PriceChange" advise="1"/>
      <ddeItem name="CADTW.FX-PriceChangeRatio" advise="1"/>
      <ddeItem name="CADTW.FX-Profit" advise="1"/>
      <ddeItem name="CADTW.FX-TotalVolume" advise="1"/>
      <ddeItem name="CADTW.FX-Volume" advise="1"/>
      <ddeItem name="CAG.US-BestAsk1" advise="1"/>
      <ddeItem name="CAG.US-BestBid1" advise="1"/>
      <ddeItem name="CAG.US-PreClose" advise="1"/>
      <ddeItem name="CAG.US-Price" advise="1"/>
      <ddeItem name="CAH.US-BestAsk1" advise="1"/>
      <ddeItem name="CAH.US-BestBid1" advise="1"/>
      <ddeItem name="CAH.US-PreClose" advise="1"/>
      <ddeItem name="CAH.US-Price" advise="1"/>
      <ddeItem name="CAT.US-BestAsk1">
        <values>
          <value t="str">
            <val>N/A</val>
          </value>
        </values>
      </ddeItem>
      <ddeItem name="CAT.US-BestBid1">
        <values>
          <value t="str">
            <val>N/A</val>
          </value>
        </values>
      </ddeItem>
      <ddeItem name="CAT.US-PreClose">
        <values>
          <value t="str">
            <val>N/A</val>
          </value>
        </values>
      </ddeItem>
      <ddeItem name="CAT.US-Price">
        <values>
          <value t="str">
            <val>N/A</val>
          </value>
        </values>
      </ddeItem>
      <ddeItem name="CB.US-BestAsk1" advise="1"/>
      <ddeItem name="CB.US-BestBid1" advise="1"/>
      <ddeItem name="CB.US-PreClose" advise="1"/>
      <ddeItem name="CB.US-Price" advise="1"/>
      <ddeItem name="CBG.US-BestAsk1" advise="1"/>
      <ddeItem name="CBG.US-BestBid1" advise="1"/>
      <ddeItem name="CBG.US-PreClose" advise="1"/>
      <ddeItem name="CBG.US-Price" advise="1"/>
      <ddeItem name="CBOE.US-BestAsk1" advise="1"/>
      <ddeItem name="CBOE.US-BestBid1" advise="1"/>
      <ddeItem name="CBOE.US-PreClose" advise="1"/>
      <ddeItem name="CBOE.US-Price" advise="1"/>
      <ddeItem name="CBS.US-BestAsk1" advise="1"/>
      <ddeItem name="CBS.US-BestBid1" advise="1"/>
      <ddeItem name="CBS.US-PreClose" advise="1"/>
      <ddeItem name="CBS.US-Price" advise="1"/>
      <ddeItem name="CCI.US-BestAsk1" advise="1"/>
      <ddeItem name="CCI.US-BestBid1" advise="1"/>
      <ddeItem name="CCI.US-PreClose" advise="1"/>
      <ddeItem name="CCI.US-Price" advise="1"/>
      <ddeItem name="CCL.US-BestAsk1" advise="1"/>
      <ddeItem name="CCL.US-BestBid1" advise="1"/>
      <ddeItem name="CCL.US-PreClose" advise="1"/>
      <ddeItem name="CCL.US-Price" advise="1"/>
      <ddeItem name="CDNS.US-BestAsk1" advise="1"/>
      <ddeItem name="CDNS.US-BestBid1" advise="1"/>
      <ddeItem name="CDNS.US-PreClose" advise="1"/>
      <ddeItem name="CDNS.US-Price" advise="1"/>
      <ddeItem name="CELG.US-BestAsk1" advise="1"/>
      <ddeItem name="CELG.US-BestBid1" advise="1"/>
      <ddeItem name="CELG.US-PreClose" advise="1"/>
      <ddeItem name="CELG.US-Price" advise="1"/>
      <ddeItem name="CERN.US-BestAsk1" advise="1"/>
      <ddeItem name="CERN.US-BestBid1" advise="1"/>
      <ddeItem name="CERN.US-PreClose" advise="1"/>
      <ddeItem name="CERN.US-Price" advise="1"/>
      <ddeItem name="CF.US-BestAsk1" advise="1"/>
      <ddeItem name="CF.US-BestBid1" advise="1"/>
      <ddeItem name="CF.US-PreClose" advise="1"/>
      <ddeItem name="CF.US-Price" advise="1"/>
      <ddeItem name="CFG.US-BestAsk1" advise="1"/>
      <ddeItem name="CFG.US-BestBid1" advise="1"/>
      <ddeItem name="CFG.US-PreClose" advise="1"/>
      <ddeItem name="CFG.US-Price" advise="1"/>
      <ddeItem name="CHD.US-BestAsk1" advise="1"/>
      <ddeItem name="CHD.US-BestBid1" advise="1"/>
      <ddeItem name="CHD.US-PreClose" advise="1"/>
      <ddeItem name="CHD.US-Price" advise="1"/>
      <ddeItem name="CHF.FX-Ask" advise="1"/>
      <ddeItem name="CHF.FX-AvgPrice" advise="1"/>
      <ddeItem name="CHF.FX-BestAskSize" advise="1"/>
      <ddeItem name="CHF.FX-BestBidSize" advise="1"/>
      <ddeItem name="CHF.FX-Bid" advise="1"/>
      <ddeItem name="CHF.FX-Capital" advise="1"/>
      <ddeItem name="CHF.FX-InOutRatio" advise="1"/>
      <ddeItem name="CHF.FX-MarketValue" advise="1"/>
      <ddeItem name="CHF.FX-Name" advise="1"/>
      <ddeItem name="CHF.FX-PreClose" advise="1"/>
      <ddeItem name="CHF.FX-Price" advise="1"/>
      <ddeItem name="CHF.FX-PriceChange" advise="1"/>
      <ddeItem name="CHF.FX-PriceChangeRatio" advise="1"/>
      <ddeItem name="CHF.FX-Profit" advise="1"/>
      <ddeItem name="CHF.FX-TotalVolume" advise="1"/>
      <ddeItem name="CHF.FX-Volume" advise="1"/>
      <ddeItem name="CHFTW.FX-Ask" advise="1"/>
      <ddeItem name="CHFTW.FX-AvgPrice" advise="1"/>
      <ddeItem name="CHFTW.FX-BestAskSize" advise="1"/>
      <ddeItem name="CHFTW.FX-BestBidSize" advise="1"/>
      <ddeItem name="CHFTW.FX-Bid" advise="1"/>
      <ddeItem name="CHFTW.FX-Capital" advise="1"/>
      <ddeItem name="CHFTW.FX-InOutRatio" advise="1"/>
      <ddeItem name="CHFTW.FX-MarketValue" advise="1"/>
      <ddeItem name="CHFTW.FX-Name" advise="1"/>
      <ddeItem name="CHFTW.FX-PreClose" advise="1"/>
      <ddeItem name="CHFTW.FX-Price" advise="1"/>
      <ddeItem name="CHFTW.FX-PriceChange" advise="1"/>
      <ddeItem name="CHFTW.FX-PriceChangeRatio" advise="1"/>
      <ddeItem name="CHFTW.FX-Profit" advise="1"/>
      <ddeItem name="CHFTW.FX-TotalVolume" advise="1"/>
      <ddeItem name="CHFTW.FX-Volume" advise="1"/>
      <ddeItem name="CHK.US-BestAsk1" advise="1"/>
      <ddeItem name="CHK.US-BestBid1" advise="1"/>
      <ddeItem name="CHK.US-PreClose" advise="1"/>
      <ddeItem name="CHK.US-Price" advise="1"/>
      <ddeItem name="CHRW.US-BestAsk1" advise="1"/>
      <ddeItem name="CHRW.US-BestBid1" advise="1"/>
      <ddeItem name="CHRW.US-PreClose" advise="1"/>
      <ddeItem name="CHRW.US-Price" advise="1"/>
      <ddeItem name="CHTR.US-BestAsk1" advise="1"/>
      <ddeItem name="CHTR.US-BestBid1" advise="1"/>
      <ddeItem name="CHTR.US-PreClose" advise="1"/>
      <ddeItem name="CHTR.US-Price" advise="1"/>
      <ddeItem name="CI.US-BestAsk1" advise="1"/>
      <ddeItem name="CI.US-BestBid1" advise="1"/>
      <ddeItem name="CI.US-PreClose" advise="1"/>
      <ddeItem name="CI.US-Price" advise="1"/>
      <ddeItem name="CINF.US-BestAsk1" advise="1"/>
      <ddeItem name="CINF.US-BestBid1" advise="1"/>
      <ddeItem name="CINF.US-PreClose" advise="1"/>
      <ddeItem name="CINF.US-Price" advise="1"/>
      <ddeItem name="CL.US-BestAsk1" advise="1"/>
      <ddeItem name="CL.US-BestBid1" advise="1"/>
      <ddeItem name="CL.US-PreClose" advise="1"/>
      <ddeItem name="CL.US-Price" advise="1"/>
      <ddeItem name="CLX.US-BestAsk1" advise="1"/>
      <ddeItem name="CLX.US-BestBid1" advise="1"/>
      <ddeItem name="CLX.US-PreClose" advise="1"/>
      <ddeItem name="CLX.US-Price" advise="1"/>
      <ddeItem name="CMA.US-BestAsk1" advise="1"/>
      <ddeItem name="CMA.US-BestBid1" advise="1"/>
      <ddeItem name="CMA.US-PreClose" advise="1"/>
      <ddeItem name="CMA.US-Price" advise="1"/>
      <ddeItem name="CMCSA.US-BestAsk1" advise="1"/>
      <ddeItem name="CMCSA.US-BestBid1" advise="1"/>
      <ddeItem name="CMCSA.US-PreClose" advise="1"/>
      <ddeItem name="CMCSA.US-Price" advise="1"/>
      <ddeItem name="CME.US-BestAsk1">
        <values>
          <value t="str">
            <val>N/A</val>
          </value>
        </values>
      </ddeItem>
      <ddeItem name="CME.US-BestBid1">
        <values>
          <value t="str">
            <val>N/A</val>
          </value>
        </values>
      </ddeItem>
      <ddeItem name="CME.US-PreClose">
        <values>
          <value t="str">
            <val>N/A</val>
          </value>
        </values>
      </ddeItem>
      <ddeItem name="CME.US-Price">
        <values>
          <value t="str">
            <val>N/A</val>
          </value>
        </values>
      </ddeItem>
      <ddeItem name="CMG.US-BestAsk1" advise="1"/>
      <ddeItem name="CMG.US-BestBid1" advise="1"/>
      <ddeItem name="CMG.US-PreClose" advise="1"/>
      <ddeItem name="CMG.US-Price" advise="1"/>
      <ddeItem name="CMI.US-BestAsk1" advise="1"/>
      <ddeItem name="CMI.US-BestBid1" advise="1"/>
      <ddeItem name="CMI.US-PreClose" advise="1"/>
      <ddeItem name="CMI.US-Price" advise="1"/>
      <ddeItem name="CMS.US-BestAsk1" advise="1"/>
      <ddeItem name="CMS.US-BestBid1" advise="1"/>
      <ddeItem name="CMS.US-PreClose" advise="1"/>
      <ddeItem name="CMS.US-Price" advise="1"/>
      <ddeItem name="CN*1.SG-BestAsk1">
        <values>
          <value>
            <val>13517.5</val>
          </value>
        </values>
      </ddeItem>
      <ddeItem name="CN*1.SG-BestBid1">
        <values>
          <value>
            <val>13515</val>
          </value>
        </values>
      </ddeItem>
      <ddeItem name="CN*1.SG-PreClose">
        <values>
          <value>
            <val>13742.5</val>
          </value>
        </values>
      </ddeItem>
      <ddeItem name="CN*1.SG-Price">
        <values>
          <value>
            <val>13517.5</val>
          </value>
        </values>
      </ddeItem>
      <ddeItem name="CN*2.SG-BestAsk1">
        <values>
          <value>
            <val>13505</val>
          </value>
        </values>
      </ddeItem>
      <ddeItem name="CN*2.SG-BestBid1">
        <values>
          <value>
            <val>13500</val>
          </value>
        </values>
      </ddeItem>
      <ddeItem name="CN*2.SG-PreClose">
        <values>
          <value>
            <val>13732.5</val>
          </value>
        </values>
      </ddeItem>
      <ddeItem name="CN*2.SG-Price">
        <values>
          <value>
            <val>13502.5</val>
          </value>
        </values>
      </ddeItem>
      <ddeItem name="CNC.US-BestAsk1" advise="1"/>
      <ddeItem name="CNC.US-BestBid1" advise="1"/>
      <ddeItem name="CNC.US-PreClose" advise="1"/>
      <ddeItem name="CNC.US-Price" advise="1"/>
      <ddeItem name="CNH.FX-Ask" advise="1"/>
      <ddeItem name="CNH.FX-AvgPrice" advise="1"/>
      <ddeItem name="CNH.FX-BestAskSize" advise="1"/>
      <ddeItem name="CNH.FX-BestBidSize" advise="1"/>
      <ddeItem name="CNH.FX-Bid" advise="1"/>
      <ddeItem name="CNH.FX-Capital" advise="1"/>
      <ddeItem name="CNH.FX-InOutRatio" advise="1"/>
      <ddeItem name="CNH.FX-MarketValue" advise="1"/>
      <ddeItem name="CNH.FX-Name" advise="1"/>
      <ddeItem name="CNH.FX-PreClose" advise="1"/>
      <ddeItem name="CNH.FX-Price">
        <values>
          <value t="str">
            <val>N/A</val>
          </value>
        </values>
      </ddeItem>
      <ddeItem name="CNH.FX-PriceChange" advise="1"/>
      <ddeItem name="CNH.FX-PriceChangeRatio" advise="1"/>
      <ddeItem name="CNH.FX-Profit" advise="1"/>
      <ddeItem name="CNH.FX-TotalVolume" advise="1"/>
      <ddeItem name="CNH.FX-Volume" advise="1"/>
      <ddeItem name="CNP.US-BestAsk1">
        <values>
          <value t="str">
            <val>N/A</val>
          </value>
        </values>
      </ddeItem>
      <ddeItem name="CNP.US-BestBid1">
        <values>
          <value t="str">
            <val>N/A</val>
          </value>
        </values>
      </ddeItem>
      <ddeItem name="CNP.US-PreClose">
        <values>
          <value t="str">
            <val>N/A</val>
          </value>
        </values>
      </ddeItem>
      <ddeItem name="CNP.US-Price">
        <values>
          <value t="str">
            <val>N/A</val>
          </value>
        </values>
      </ddeItem>
      <ddeItem name="CNY.FX-Ask" advise="1"/>
      <ddeItem name="CNY.FX-AvgPrice" advise="1"/>
      <ddeItem name="CNY.FX-BestAskSize" advise="1"/>
      <ddeItem name="CNY.FX-BestBidSize" advise="1"/>
      <ddeItem name="CNY.FX-Bid" advise="1"/>
      <ddeItem name="CNY.FX-Capital" advise="1"/>
      <ddeItem name="CNY.FX-InOutRatio" advise="1"/>
      <ddeItem name="CNY.FX-MarketValue" advise="1"/>
      <ddeItem name="CNY.FX-Name" advise="1"/>
      <ddeItem name="CNY.FX-PreClose" advise="1"/>
      <ddeItem name="CNY.FX-Price" advise="1"/>
      <ddeItem name="CNY.FX-PriceChange" advise="1"/>
      <ddeItem name="CNY.FX-PriceChangeRatio" advise="1"/>
      <ddeItem name="CNY.FX-Profit" advise="1"/>
      <ddeItem name="CNY.FX-TotalVolume" advise="1"/>
      <ddeItem name="CNY.FX-Volume" advise="1"/>
      <ddeItem name="CNYTW.FX-Ask" advise="1"/>
      <ddeItem name="CNYTW.FX-AvgPrice" advise="1"/>
      <ddeItem name="CNYTW.FX-BestAskSize" advise="1"/>
      <ddeItem name="CNYTW.FX-BestBidSize" advise="1"/>
      <ddeItem name="CNYTW.FX-Bid" advise="1"/>
      <ddeItem name="CNYTW.FX-Capital" advise="1"/>
      <ddeItem name="CNYTW.FX-InOutRatio" advise="1"/>
      <ddeItem name="CNYTW.FX-MarketValue" advise="1"/>
      <ddeItem name="CNYTW.FX-Name" advise="1"/>
      <ddeItem name="CNYTW.FX-Preclose" advise="1"/>
      <ddeItem name="CNYTW.FX-Price" advise="1"/>
      <ddeItem name="CNYTW.FX-PriceChange" advise="1"/>
      <ddeItem name="CNYTW.FX-PriceChangeRatio" advise="1"/>
      <ddeItem name="CNYTW.FX-Profit" advise="1"/>
      <ddeItem name="CNYTW.FX-TotalVolume" advise="1"/>
      <ddeItem name="CNYTW.FX-Volume" advise="1"/>
      <ddeItem name="COF.US-BestAsk1" advise="1"/>
      <ddeItem name="COF.US-BestBid1" advise="1"/>
      <ddeItem name="COF.US-PreClose" advise="1"/>
      <ddeItem name="COF.US-Price" advise="1"/>
      <ddeItem name="COG.US-BestAsk1" advise="1"/>
      <ddeItem name="COG.US-BestBid1" advise="1"/>
      <ddeItem name="COG.US-PreClose" advise="1"/>
      <ddeItem name="COG.US-Price" advise="1"/>
      <ddeItem name="COH.US-BestAsk1" advise="1"/>
      <ddeItem name="COH.US-BestBid1" advise="1"/>
      <ddeItem name="COH.US-PreClose" advise="1"/>
      <ddeItem name="COH.US-Price" advise="1"/>
      <ddeItem name="COL.US-BestAsk1" advise="1"/>
      <ddeItem name="COL.US-BestBid1" advise="1"/>
      <ddeItem name="COL.US-PreClose" advise="1"/>
      <ddeItem name="COL.US-Price" advise="1"/>
      <ddeItem name="COO.US-BestAsk1" advise="1"/>
      <ddeItem name="COO.US-BestBid1" advise="1"/>
      <ddeItem name="COO.US-PreClose" advise="1"/>
      <ddeItem name="COO.US-Price" advise="1"/>
      <ddeItem name="COP.US-BestAsk1" advise="1"/>
      <ddeItem name="COP.US-BestBid1" advise="1"/>
      <ddeItem name="COP.US-PreClose" advise="1"/>
      <ddeItem name="COP.US-Price" advise="1"/>
      <ddeItem name="COST.US-BestAsk1" advise="1"/>
      <ddeItem name="COST.US-BestBid1" advise="1"/>
      <ddeItem name="COST.US-PreClose" advise="1"/>
      <ddeItem name="COST.US-Price" advise="1"/>
      <ddeItem name="COTY.US-BestAsk1" advise="1"/>
      <ddeItem name="COTY.US-BestBid1" advise="1"/>
      <ddeItem name="COTY.US-PreClose" advise="1"/>
      <ddeItem name="COTY.US-Price" advise="1"/>
      <ddeItem name="CPB.US-BestAsk1" advise="1"/>
      <ddeItem name="CPB.US-BestBid1" advise="1"/>
      <ddeItem name="CPB.US-PreClose" advise="1"/>
      <ddeItem name="CPB.US-Price" advise="1"/>
      <ddeItem name="CRM.US-BestAsk1" advise="1"/>
      <ddeItem name="CRM.US-BestBid1" advise="1"/>
      <ddeItem name="CRM.US-PreClose" advise="1"/>
      <ddeItem name="CRM.US-Price" advise="1"/>
      <ddeItem name="CSCO.US-BestAsk1" advise="1"/>
      <ddeItem name="CSCO.US-BestBid1" advise="1"/>
      <ddeItem name="CSCO.US-PreClose" advise="1"/>
      <ddeItem name="CSCO.US-Price" advise="1"/>
      <ddeItem name="CSRA.US-BestAsk1" advise="1"/>
      <ddeItem name="CSRA.US-BestBid1" advise="1"/>
      <ddeItem name="CSRA.US-PreClose" advise="1"/>
      <ddeItem name="CSRA.US-Price" advise="1"/>
      <ddeItem name="CSX.US-BestAsk1" advise="1"/>
      <ddeItem name="CSX.US-BestBid1" advise="1"/>
      <ddeItem name="CSX.US-PreClose" advise="1"/>
      <ddeItem name="CSX.US-Price" advise="1"/>
      <ddeItem name="CTAS.US-BestAsk1" advise="1"/>
      <ddeItem name="CTAS.US-BestBid1" advise="1"/>
      <ddeItem name="CTAS.US-PreClose" advise="1"/>
      <ddeItem name="CTAS.US-Price" advise="1"/>
      <ddeItem name="CTL.US-BestAsk1" advise="1"/>
      <ddeItem name="CTL.US-BestBid1" advise="1"/>
      <ddeItem name="CTL.US-PreClose" advise="1"/>
      <ddeItem name="CTL.US-Price" advise="1"/>
      <ddeItem name="CTSH.US-BestAsk1" advise="1"/>
      <ddeItem name="CTSH.US-BestBid1" advise="1"/>
      <ddeItem name="CTSH.US-PreClose" advise="1"/>
      <ddeItem name="CTSH.US-Price" advise="1"/>
      <ddeItem name="CTXS.US-BestAsk1" advise="1"/>
      <ddeItem name="CTXS.US-BestBid1" advise="1"/>
      <ddeItem name="CTXS.US-PreClose" advise="1"/>
      <ddeItem name="CTXS.US-Price" advise="1"/>
      <ddeItem name="CVS.US-BestAsk1" advise="1"/>
      <ddeItem name="CVS.US-BestBid1" advise="1"/>
      <ddeItem name="CVS.US-PreClose" advise="1"/>
      <ddeItem name="CVS.US-Price" advise="1"/>
      <ddeItem name="CVX.US-BestAsk1">
        <values>
          <value t="str">
            <val>N/A</val>
          </value>
        </values>
      </ddeItem>
      <ddeItem name="CVX.US-BestBid1">
        <values>
          <value t="str">
            <val>N/A</val>
          </value>
        </values>
      </ddeItem>
      <ddeItem name="CVX.US-PreClose">
        <values>
          <value t="str">
            <val>N/A</val>
          </value>
        </values>
      </ddeItem>
      <ddeItem name="CVX.US-Price">
        <values>
          <value t="str">
            <val>N/A</val>
          </value>
        </values>
      </ddeItem>
      <ddeItem name="CXO.US-BestAsk1" advise="1"/>
      <ddeItem name="CXO.US-BestBid1" advise="1"/>
      <ddeItem name="CXO.US-PreClose" advise="1"/>
      <ddeItem name="CXO.US-Price" advise="1"/>
      <ddeItem name="D.US-BestAsk1">
        <values>
          <value t="str">
            <val>N/A</val>
          </value>
        </values>
      </ddeItem>
      <ddeItem name="D.US-BestBid1">
        <values>
          <value t="str">
            <val>N/A</val>
          </value>
        </values>
      </ddeItem>
      <ddeItem name="D.US-PreClose">
        <values>
          <value t="str">
            <val>N/A</val>
          </value>
        </values>
      </ddeItem>
      <ddeItem name="D.US-Price">
        <values>
          <value t="str">
            <val>N/A</val>
          </value>
        </values>
      </ddeItem>
      <ddeItem name="DAL.US-BestAsk1" advise="1"/>
      <ddeItem name="DAL.US-BestBid1" advise="1"/>
      <ddeItem name="DAL.US-PreClose" advise="1"/>
      <ddeItem name="DAL.US-Price" advise="1"/>
      <ddeItem name="DE.US-BestAsk1" advise="1"/>
      <ddeItem name="DE.US-BestBid1" advise="1"/>
      <ddeItem name="DE.US-PreClose" advise="1"/>
      <ddeItem name="DE.US-Price" advise="1"/>
      <ddeItem name="DFS.US-BestAsk1" advise="1"/>
      <ddeItem name="DFS.US-BestBid1" advise="1"/>
      <ddeItem name="DFS.US-PreClose" advise="1"/>
      <ddeItem name="DFS.US-Price" advise="1"/>
      <ddeItem name="DG.US-BestAsk1" advise="1"/>
      <ddeItem name="DG.US-BestBid1" advise="1"/>
      <ddeItem name="DG.US-PreClose" advise="1"/>
      <ddeItem name="DG.US-Price" advise="1"/>
      <ddeItem name="DGX.US-BestAsk1" advise="1"/>
      <ddeItem name="DGX.US-BestBid1" advise="1"/>
      <ddeItem name="DGX.US-PreClose" advise="1"/>
      <ddeItem name="DGX.US-Price" advise="1"/>
      <ddeItem name="DHI.US-BestAsk1" advise="1"/>
      <ddeItem name="DHI.US-BestBid1" advise="1"/>
      <ddeItem name="DHI.US-PreClose" advise="1"/>
      <ddeItem name="DHI.US-Price" advise="1"/>
      <ddeItem name="DHR.US-BestAsk1" advise="1"/>
      <ddeItem name="DHR.US-BestBid1" advise="1"/>
      <ddeItem name="DHR.US-PreClose" advise="1"/>
      <ddeItem name="DHR.US-Price" advise="1"/>
      <ddeItem name="DIS.US-BestAsk1">
        <values>
          <value t="str">
            <val>N/A</val>
          </value>
        </values>
      </ddeItem>
      <ddeItem name="DIS.US-BestBid1">
        <values>
          <value t="str">
            <val>N/A</val>
          </value>
        </values>
      </ddeItem>
      <ddeItem name="DIS.US-PreClose">
        <values>
          <value t="str">
            <val>N/A</val>
          </value>
        </values>
      </ddeItem>
      <ddeItem name="DIS.US-Price">
        <values>
          <value t="str">
            <val>N/A</val>
          </value>
        </values>
      </ddeItem>
      <ddeItem name="DISCA.US-BestAsk1" advise="1"/>
      <ddeItem name="DISCA.US-BestBid1" advise="1"/>
      <ddeItem name="DISCA.US-PreClose" advise="1"/>
      <ddeItem name="DISCA.US-Price" advise="1"/>
      <ddeItem name="DISCK.US-BestAsk1" advise="1"/>
      <ddeItem name="DISCK.US-BestBid1" advise="1"/>
      <ddeItem name="DISCK.US-PreClose" advise="1"/>
      <ddeItem name="DISCK.US-Price" advise="1"/>
      <ddeItem name="DISH.US-BestAsk1" advise="1"/>
      <ddeItem name="DISH.US-BestBid1" advise="1"/>
      <ddeItem name="DISH.US-PreClose" advise="1"/>
      <ddeItem name="DISH.US-Price" advise="1"/>
      <ddeItem name="DLPH.US-BestAsk1" advise="1"/>
      <ddeItem name="DLPH.US-BestBid1" advise="1"/>
      <ddeItem name="DLPH.US-PreClose" advise="1"/>
      <ddeItem name="DLPH.US-Price" advise="1"/>
      <ddeItem name="DLR.US-BestAsk1" advise="1"/>
      <ddeItem name="DLR.US-BestBid1" advise="1"/>
      <ddeItem name="DLR.US-PreClose" advise="1"/>
      <ddeItem name="DLR.US-Price" advise="1"/>
      <ddeItem name="DLTR.US-BestAsk1" advise="1"/>
      <ddeItem name="DLTR.US-BestBid1" advise="1"/>
      <ddeItem name="DLTR.US-PreClose" advise="1"/>
      <ddeItem name="DLTR.US-Price" advise="1"/>
      <ddeItem name="DOV.US-BestAsk1" advise="1"/>
      <ddeItem name="DOV.US-BestBid1" advise="1"/>
      <ddeItem name="DOV.US-PreClose" advise="1"/>
      <ddeItem name="DOV.US-Price" advise="1"/>
      <ddeItem name="DPS.US-BestAsk1" advise="1"/>
      <ddeItem name="DPS.US-BestBid1" advise="1"/>
      <ddeItem name="DPS.US-PreClose" advise="1"/>
      <ddeItem name="DPS.US-Price" advise="1"/>
      <ddeItem name="DRE.US-BestAsk1" advise="1"/>
      <ddeItem name="DRE.US-BestBid1" advise="1"/>
      <ddeItem name="DRE.US-PreClose" advise="1"/>
      <ddeItem name="DRE.US-Price" advise="1"/>
      <ddeItem name="DRI.US-BestAsk1" advise="1"/>
      <ddeItem name="DRI.US-BestBid1" advise="1"/>
      <ddeItem name="DRI.US-PreClose" advise="1"/>
      <ddeItem name="DRI.US-Price" advise="1"/>
      <ddeItem name="DTE.US-BestAsk1" advise="1"/>
      <ddeItem name="DTE.US-BestBid1" advise="1"/>
      <ddeItem name="DTE.US-PreClose" advise="1"/>
      <ddeItem name="DTE.US-Price" advise="1"/>
      <ddeItem name="DUK.US-BestAsk1">
        <values>
          <value t="str">
            <val>N/A</val>
          </value>
        </values>
      </ddeItem>
      <ddeItem name="DUK.US-BestBid1">
        <values>
          <value t="str">
            <val>N/A</val>
          </value>
        </values>
      </ddeItem>
      <ddeItem name="DUK.US-PreClose">
        <values>
          <value t="str">
            <val>N/A</val>
          </value>
        </values>
      </ddeItem>
      <ddeItem name="DUK.US-Price">
        <values>
          <value t="str">
            <val>N/A</val>
          </value>
        </values>
      </ddeItem>
      <ddeItem name="DVA.US-BestAsk1" advise="1"/>
      <ddeItem name="DVA.US-BestBid1" advise="1"/>
      <ddeItem name="DVA.US-PreClose" advise="1"/>
      <ddeItem name="DVA.US-Price" advise="1"/>
      <ddeItem name="DVN.US-BestAsk1" advise="1"/>
      <ddeItem name="DVN.US-BestBid1" advise="1"/>
      <ddeItem name="DVN.US-PreClose" advise="1"/>
      <ddeItem name="DVN.US-Price" advise="1"/>
      <ddeItem name="DWDP.US-BestAsk1">
        <values>
          <value t="str">
            <val>--</val>
          </value>
        </values>
      </ddeItem>
      <ddeItem name="DWDP.US-BestBid1">
        <values>
          <value t="str">
            <val>--</val>
          </value>
        </values>
      </ddeItem>
      <ddeItem name="DWDP.US-PreClose">
        <values>
          <value t="str">
            <val>--</val>
          </value>
        </values>
      </ddeItem>
      <ddeItem name="DWDP.US-Price">
        <values>
          <value t="str">
            <val>--</val>
          </value>
        </values>
      </ddeItem>
      <ddeItem name="DXC.US-BestAsk1" advise="1"/>
      <ddeItem name="DXC.US-BestBid1" advise="1"/>
      <ddeItem name="DXC.US-PreClose" advise="1"/>
      <ddeItem name="DXC.US-Price" advise="1"/>
      <ddeItem name="EA.US-BestAsk1" advise="1"/>
      <ddeItem name="EA.US-BestBid1" advise="1"/>
      <ddeItem name="EA.US-PreClose" advise="1"/>
      <ddeItem name="EA.US-Price" advise="1"/>
      <ddeItem name="EBAY.US-BestAsk1" advise="1"/>
      <ddeItem name="EBAY.US-BestBid1" advise="1"/>
      <ddeItem name="EBAY.US-PreClose" advise="1"/>
      <ddeItem name="EBAY.US-Price" advise="1"/>
      <ddeItem name="ECL.US-BestAsk1" advise="1"/>
      <ddeItem name="ECL.US-BestBid1" advise="1"/>
      <ddeItem name="ECL.US-PreClose" advise="1"/>
      <ddeItem name="ECL.US-Price" advise="1"/>
      <ddeItem name="ED.US-BestAsk1" advise="1"/>
      <ddeItem name="ED.US-BestBid1" advise="1"/>
      <ddeItem name="ED.US-PreClose" advise="1"/>
      <ddeItem name="ED.US-Price" advise="1"/>
      <ddeItem name="EFX.US-BestAsk1" advise="1"/>
      <ddeItem name="EFX.US-BestBid1" advise="1"/>
      <ddeItem name="EFX.US-PreClose" advise="1"/>
      <ddeItem name="EFX.US-Price" advise="1"/>
      <ddeItem name="EIX.US-BestAsk1" advise="1"/>
      <ddeItem name="EIX.US-BestBid1" advise="1"/>
      <ddeItem name="EIX.US-PreClose" advise="1"/>
      <ddeItem name="EIX.US-Price" advise="1"/>
      <ddeItem name="EL.US-BestAsk1" advise="1"/>
      <ddeItem name="EL.US-BestBid1" advise="1"/>
      <ddeItem name="EL.US-PreClose" advise="1"/>
      <ddeItem name="EL.US-Price" advise="1"/>
      <ddeItem name="EMN.US-BestAsk1" advise="1"/>
      <ddeItem name="EMN.US-BestBid1" advise="1"/>
      <ddeItem name="EMN.US-PreClose" advise="1"/>
      <ddeItem name="EMN.US-Price" advise="1"/>
      <ddeItem name="EMR.US-BestAsk1">
        <values>
          <value t="str">
            <val>N/A</val>
          </value>
        </values>
      </ddeItem>
      <ddeItem name="EMR.US-BestBid1">
        <values>
          <value t="str">
            <val>N/A</val>
          </value>
        </values>
      </ddeItem>
      <ddeItem name="EMR.US-PreClose">
        <values>
          <value t="str">
            <val>N/A</val>
          </value>
        </values>
      </ddeItem>
      <ddeItem name="EMR.US-Price">
        <values>
          <value t="str">
            <val>N/A</val>
          </value>
        </values>
      </ddeItem>
      <ddeItem name="EOG.US-BestAsk1" advise="1"/>
      <ddeItem name="EOG.US-BestBid1" advise="1"/>
      <ddeItem name="EOG.US-PreClose" advise="1"/>
      <ddeItem name="EOG.US-Price" advise="1"/>
      <ddeItem name="EQIX.US-BestAsk1" advise="1"/>
      <ddeItem name="EQIX.US-BestBid1" advise="1"/>
      <ddeItem name="EQIX.US-PreClose" advise="1"/>
      <ddeItem name="EQIX.US-Price" advise="1"/>
      <ddeItem name="EQR.US-BestAsk1" advise="1"/>
      <ddeItem name="EQR.US-BestBid1" advise="1"/>
      <ddeItem name="EQR.US-PreClose" advise="1"/>
      <ddeItem name="EQR.US-Price" advise="1"/>
      <ddeItem name="EQT.US-BestAsk1" advise="1"/>
      <ddeItem name="EQT.US-BestBid1" advise="1"/>
      <ddeItem name="EQT.US-PreClose" advise="1"/>
      <ddeItem name="EQT.US-Price" advise="1"/>
      <ddeItem name="ES.US-BestAsk1" advise="1"/>
      <ddeItem name="ES.US-BestBid1" advise="1"/>
      <ddeItem name="ES.US-PreClose" advise="1"/>
      <ddeItem name="ES.US-Price" advise="1"/>
      <ddeItem name="ESRX.US-BestAsk1" advise="1"/>
      <ddeItem name="ESRX.US-BestBid1" advise="1"/>
      <ddeItem name="ESRX.US-PreClose" advise="1"/>
      <ddeItem name="ESRX.US-Price" advise="1"/>
      <ddeItem name="ESS.US-BestAsk1" advise="1"/>
      <ddeItem name="ESS.US-BestBid1" advise="1"/>
      <ddeItem name="ESS.US-PreClose" advise="1"/>
      <ddeItem name="ESS.US-Price" advise="1"/>
      <ddeItem name="ETFC.US-BestAsk1" advise="1"/>
      <ddeItem name="ETFC.US-BestBid1" advise="1"/>
      <ddeItem name="ETFC.US-PreClose" advise="1"/>
      <ddeItem name="ETFC.US-Price" advise="1"/>
      <ddeItem name="ETN.US-BestAsk1">
        <values>
          <value t="str">
            <val>N/A</val>
          </value>
        </values>
      </ddeItem>
      <ddeItem name="ETN.US-BestBid1">
        <values>
          <value t="str">
            <val>N/A</val>
          </value>
        </values>
      </ddeItem>
      <ddeItem name="ETN.US-PreClose">
        <values>
          <value t="str">
            <val>N/A</val>
          </value>
        </values>
      </ddeItem>
      <ddeItem name="ETN.US-Price">
        <values>
          <value t="str">
            <val>N/A</val>
          </value>
        </values>
      </ddeItem>
      <ddeItem name="ETR.US-BestAsk1">
        <values>
          <value t="str">
            <val>N/A</val>
          </value>
        </values>
      </ddeItem>
      <ddeItem name="ETR.US-BestBid1">
        <values>
          <value t="str">
            <val>N/A</val>
          </value>
        </values>
      </ddeItem>
      <ddeItem name="ETR.US-PreClose">
        <values>
          <value t="str">
            <val>N/A</val>
          </value>
        </values>
      </ddeItem>
      <ddeItem name="ETR.US-Price">
        <values>
          <value t="str">
            <val>N/A</val>
          </value>
        </values>
      </ddeItem>
      <ddeItem name="EUR.FX-Ask" advise="1"/>
      <ddeItem name="EUR.FX-AvgPrice" advise="1"/>
      <ddeItem name="EUR.FX-BestAskSize" advise="1"/>
      <ddeItem name="EUR.FX-BestBidSize" advise="1"/>
      <ddeItem name="EUR.FX-Bid" advise="1"/>
      <ddeItem name="EUR.FX-Capital" advise="1"/>
      <ddeItem name="EUR.FX-InOutRatio" advise="1"/>
      <ddeItem name="EUR.FX-MarketValue" advise="1"/>
      <ddeItem name="EUR.FX-Name" advise="1"/>
      <ddeItem name="EUR.FX-PreClose" advise="1"/>
      <ddeItem name="EUR.FX-Price" advise="1"/>
      <ddeItem name="EUR.FX-PriceChange" advise="1"/>
      <ddeItem name="EUR.FX-PriceChangeRatio" advise="1"/>
      <ddeItem name="EUR.FX-Profit" advise="1"/>
      <ddeItem name="EUR.FX-TotalVolume" advise="1"/>
      <ddeItem name="EUR.FX-Volume" advise="1"/>
      <ddeItem name="EURTW.FX-Ask" advise="1"/>
      <ddeItem name="EURTW.FX-AvgPrice" advise="1"/>
      <ddeItem name="EURTW.FX-BestAskSize" advise="1"/>
      <ddeItem name="EURTW.FX-BestBidSize" advise="1"/>
      <ddeItem name="EURTW.FX-Bid" advise="1"/>
      <ddeItem name="EURTW.FX-Capital" advise="1"/>
      <ddeItem name="EURTW.FX-InOutRatio" advise="1"/>
      <ddeItem name="EURTW.FX-MarketValue" advise="1"/>
      <ddeItem name="EURTW.FX-Name" advise="1"/>
      <ddeItem name="EURTW.FX-PreClose" advise="1"/>
      <ddeItem name="EURTW.FX-Price" advise="1"/>
      <ddeItem name="EURTW.FX-PriceChange" advise="1"/>
      <ddeItem name="EURTW.FX-PriceChangeRatio" advise="1"/>
      <ddeItem name="EURTW.FX-Profit" advise="1"/>
      <ddeItem name="EURTW.FX-TotalVolume" advise="1"/>
      <ddeItem name="EURTW.FX-Volume" advise="1"/>
      <ddeItem name="EVHC.US-BestAsk1" advise="1"/>
      <ddeItem name="EVHC.US-BestBid1" advise="1"/>
      <ddeItem name="EVHC.US-PreClose" advise="1"/>
      <ddeItem name="EVHC.US-Price" advise="1"/>
      <ddeItem name="EW.US-BestAsk1" advise="1"/>
      <ddeItem name="EW.US-BestBid1" advise="1"/>
      <ddeItem name="EW.US-PreClose" advise="1"/>
      <ddeItem name="EW.US-Price" advise="1"/>
      <ddeItem name="EXC.US-BestAsk1">
        <values>
          <value t="str">
            <val>N/A</val>
          </value>
        </values>
      </ddeItem>
      <ddeItem name="EXC.US-BestBid1">
        <values>
          <value t="str">
            <val>N/A</val>
          </value>
        </values>
      </ddeItem>
      <ddeItem name="EXC.US-PreClose">
        <values>
          <value t="str">
            <val>N/A</val>
          </value>
        </values>
      </ddeItem>
      <ddeItem name="EXC.US-Price">
        <values>
          <value t="str">
            <val>N/A</val>
          </value>
        </values>
      </ddeItem>
      <ddeItem name="EXPD.US-BestAsk1" advise="1"/>
      <ddeItem name="EXPD.US-BestBid1" advise="1"/>
      <ddeItem name="EXPD.US-PreClose" advise="1"/>
      <ddeItem name="EXPD.US-Price" advise="1"/>
      <ddeItem name="EXPE.US-BestAsk1" advise="1"/>
      <ddeItem name="EXPE.US-BestBid1" advise="1"/>
      <ddeItem name="EXPE.US-PreClose" advise="1"/>
      <ddeItem name="EXPE.US-Price" advise="1"/>
      <ddeItem name="EXR.US-BestAsk1">
        <values>
          <value t="str">
            <val>N/A</val>
          </value>
        </values>
      </ddeItem>
      <ddeItem name="EXR.US-BestBid1">
        <values>
          <value t="str">
            <val>N/A</val>
          </value>
        </values>
      </ddeItem>
      <ddeItem name="EXR.US-PreClose">
        <values>
          <value t="str">
            <val>N/A</val>
          </value>
        </values>
      </ddeItem>
      <ddeItem name="EXR.US-Price">
        <values>
          <value t="str">
            <val>N/A</val>
          </value>
        </values>
      </ddeItem>
      <ddeItem name="F.US-BestAsk1">
        <values>
          <value t="str">
            <val>N/A</val>
          </value>
        </values>
      </ddeItem>
      <ddeItem name="F.US-BestBid1">
        <values>
          <value t="str">
            <val>N/A</val>
          </value>
        </values>
      </ddeItem>
      <ddeItem name="F.US-PreClose">
        <values>
          <value t="str">
            <val>N/A</val>
          </value>
        </values>
      </ddeItem>
      <ddeItem name="F.US-Price">
        <values>
          <value t="str">
            <val>N/A</val>
          </value>
        </values>
      </ddeItem>
      <ddeItem name="FAST.US-BestAsk1" advise="1"/>
      <ddeItem name="FAST.US-BestBid1" advise="1"/>
      <ddeItem name="FAST.US-PreClose" advise="1"/>
      <ddeItem name="FAST.US-Price" advise="1"/>
      <ddeItem name="FB.US-BestAsk1" advise="1"/>
      <ddeItem name="FB.US-BestBid1" advise="1"/>
      <ddeItem name="FB.US-PreClose" advise="1"/>
      <ddeItem name="FB.US-Price" advise="1"/>
      <ddeItem name="FBHS.US-BestAsk1" advise="1"/>
      <ddeItem name="FBHS.US-BestBid1" advise="1"/>
      <ddeItem name="FBHS.US-PreClose" advise="1"/>
      <ddeItem name="FBHS.US-Price" advise="1"/>
      <ddeItem name="FCX.US-BestAsk1" advise="1"/>
      <ddeItem name="FCX.US-BestBid1" advise="1"/>
      <ddeItem name="FCX.US-PreClose" advise="1"/>
      <ddeItem name="FCX.US-Price" advise="1"/>
      <ddeItem name="FDX.US-BestAsk1" advise="1"/>
      <ddeItem name="FDX.US-BestBid1" advise="1"/>
      <ddeItem name="FDX.US-PreClose" advise="1"/>
      <ddeItem name="FDX.US-Price" advise="1"/>
      <ddeItem name="FE.US-BestAsk1">
        <values>
          <value t="str">
            <val>N/A</val>
          </value>
        </values>
      </ddeItem>
      <ddeItem name="FE.US-BestBid1">
        <values>
          <value t="str">
            <val>N/A</val>
          </value>
        </values>
      </ddeItem>
      <ddeItem name="FE.US-PreClose">
        <values>
          <value t="str">
            <val>N/A</val>
          </value>
        </values>
      </ddeItem>
      <ddeItem name="FE.US-Price">
        <values>
          <value t="str">
            <val>N/A</val>
          </value>
        </values>
      </ddeItem>
      <ddeItem name="FFIV.US-BestAsk1" advise="1"/>
      <ddeItem name="FFIV.US-BestBid1" advise="1"/>
      <ddeItem name="FFIV.US-PreClose" advise="1"/>
      <ddeItem name="FFIV.US-Price" advise="1"/>
      <ddeItem name="FIGD*1.TF-Amplitude" advise="1"/>
      <ddeItem name="FIGD*1.TF-Ask" advise="1"/>
      <ddeItem name="FIGD*1.TF-Bid" advise="1"/>
      <ddeItem name="FIGD*1.TF-High" advise="1"/>
      <ddeItem name="FIGD*1.TF-ID" advise="1"/>
      <ddeItem name="FIGD*1.TF-Low" advise="1"/>
      <ddeItem name="FIGD*1.TF-Name" advise="1"/>
      <ddeItem name="FIGD*1.TF-Open" advise="1"/>
      <ddeItem name="FIGD*1.TF-PreClose" advise="1"/>
      <ddeItem name="FIGD*1.TF-PreTotalVolume" advise="1"/>
      <ddeItem name="FIGD*1.TF-Price" advise="1"/>
      <ddeItem name="FIGD*1.TF-PriceChange" advise="1"/>
      <ddeItem name="FIGD*1.TF-PriceChangeRatio" advise="1"/>
      <ddeItem name="FIGD*1.TF-TotalVolume" advise="1"/>
      <ddeItem name="FIGD*1.TF-Volume" advise="1"/>
      <ddeItem name="FIGD*2.TF-Amplitude" advise="1"/>
      <ddeItem name="FIGD*2.TF-Ask" advise="1"/>
      <ddeItem name="FIGD*2.TF-Bid" advise="1"/>
      <ddeItem name="FIGD*2.TF-High" advise="1"/>
      <ddeItem name="FIGD*2.TF-ID" advise="1"/>
      <ddeItem name="FIGD*2.TF-Low" advise="1"/>
      <ddeItem name="FIGD*2.TF-Name" advise="1"/>
      <ddeItem name="FIGD*2.TF-Open" advise="1"/>
      <ddeItem name="FIGD*2.TF-PreClose" advise="1"/>
      <ddeItem name="FIGD*2.TF-PreTotalVolume" advise="1"/>
      <ddeItem name="FIGD*2.TF-Price" advise="1"/>
      <ddeItem name="FIGD*2.TF-PriceChange" advise="1"/>
      <ddeItem name="FIGD*2.TF-PriceChangeRatio" advise="1"/>
      <ddeItem name="FIGD*2.TF-TotalVolume" advise="1"/>
      <ddeItem name="FIGD*2.TF-Volume" advise="1"/>
      <ddeItem name="FIGT*1.TF-Amplitude" advise="1"/>
      <ddeItem name="FIGT*1.TF-Ask" advise="1"/>
      <ddeItem name="FIGT*1.TF-Bid" advise="1"/>
      <ddeItem name="FIGT*1.TF-High" advise="1"/>
      <ddeItem name="FIGT*1.TF-ID" advise="1"/>
      <ddeItem name="FIGT*1.TF-Low" advise="1"/>
      <ddeItem name="FIGT*1.TF-Name" advise="1"/>
      <ddeItem name="FIGT*1.TF-Open" advise="1"/>
      <ddeItem name="FIGT*1.TF-PreClose" advise="1"/>
      <ddeItem name="FIGT*1.TF-PreTotalVolume" advise="1"/>
      <ddeItem name="FIGT*1.TF-Price" advise="1"/>
      <ddeItem name="FIGT*1.TF-PriceChange" advise="1"/>
      <ddeItem name="FIGT*1.TF-PriceChangeRatio" advise="1"/>
      <ddeItem name="FIGT*1.TF-TotalVolume" advise="1"/>
      <ddeItem name="FIGT*1.TF-Volume" advise="1"/>
      <ddeItem name="FIGT*2.TF-Amplitude" advise="1"/>
      <ddeItem name="FIGT*2.TF-Ask" advise="1"/>
      <ddeItem name="FIGT*2.TF-Bid" advise="1"/>
      <ddeItem name="FIGT*2.TF-High" advise="1"/>
      <ddeItem name="FIGT*2.TF-ID" advise="1"/>
      <ddeItem name="FIGT*2.TF-Low" advise="1"/>
      <ddeItem name="FIGT*2.TF-Name" advise="1"/>
      <ddeItem name="FIGT*2.TF-Open" advise="1"/>
      <ddeItem name="FIGT*2.TF-PreClose" advise="1"/>
      <ddeItem name="FIGT*2.TF-PreTotalVolume" advise="1"/>
      <ddeItem name="FIGT*2.TF-Price" advise="1"/>
      <ddeItem name="FIGT*2.TF-PriceChange" advise="1"/>
      <ddeItem name="FIGT*2.TF-PriceChangeRatio" advise="1"/>
      <ddeItem name="FIGT*2.TF-TotalVolume" advise="1"/>
      <ddeItem name="FIGT*2.TF-Volume" advise="1"/>
      <ddeItem name="FIGT00.TF-Amplitude" advise="1"/>
      <ddeItem name="FIGT00.TF-Ask" advise="1"/>
      <ddeItem name="FIGT00.TF-Bid" advise="1"/>
      <ddeItem name="FIGT00.TF-High" advise="1"/>
      <ddeItem name="FIGT00.TF-ID" advise="1"/>
      <ddeItem name="FIGT00.TF-Low" advise="1"/>
      <ddeItem name="FIGT00.TF-Name" advise="1"/>
      <ddeItem name="FIGT00.TF-Open" advise="1"/>
      <ddeItem name="FIGT00.TF-PreClose" advise="1"/>
      <ddeItem name="FIGT00.TF-PreTotalVolume" advise="1"/>
      <ddeItem name="FIGT00.TF-Price" advise="1"/>
      <ddeItem name="FIGT00.TF-PriceChange" advise="1"/>
      <ddeItem name="FIGT00.TF-PriceChangeRatio" advise="1"/>
      <ddeItem name="FIGT00.TF-TotalVolume" advise="1"/>
      <ddeItem name="FIGT00.TF-Volume" advise="1"/>
      <ddeItem name="FII5*1.TF-Amplitude" advise="1"/>
      <ddeItem name="FII5*1.TF-Ask" advise="1"/>
      <ddeItem name="FII5*1.TF-Bid" advise="1"/>
      <ddeItem name="FII5*1.TF-High" advise="1"/>
      <ddeItem name="FII5*1.TF-ID" advise="1"/>
      <ddeItem name="FII5*1.TF-Low" advise="1"/>
      <ddeItem name="FII5*1.TF-Name" advise="1"/>
      <ddeItem name="FII5*1.TF-Open" advise="1"/>
      <ddeItem name="FII5*1.TF-PreClose" advise="1"/>
      <ddeItem name="FII5*1.TF-PreTotalVolume" advise="1"/>
      <ddeItem name="FII5*1.TF-Price" advise="1"/>
      <ddeItem name="FII5*1.TF-PriceChange" advise="1"/>
      <ddeItem name="FII5*1.TF-PriceChangeRatio" advise="1"/>
      <ddeItem name="FII5*1.TF-TotalVolume" advise="1"/>
      <ddeItem name="FII5*1.TF-Volume" advise="1"/>
      <ddeItem name="FII5*2.TF-Amplitude" advise="1"/>
      <ddeItem name="FII5*2.TF-Ask" advise="1"/>
      <ddeItem name="FII5*2.TF-Bid" advise="1"/>
      <ddeItem name="FII5*2.TF-High" advise="1"/>
      <ddeItem name="FII5*2.TF-ID" advise="1"/>
      <ddeItem name="FII5*2.TF-Low" advise="1"/>
      <ddeItem name="FII5*2.TF-Name" advise="1"/>
      <ddeItem name="FII5*2.TF-Open" advise="1"/>
      <ddeItem name="FII5*2.TF-PreClose" advise="1"/>
      <ddeItem name="FII5*2.TF-PreTotalVolume" advise="1"/>
      <ddeItem name="FII5*2.TF-Price" advise="1"/>
      <ddeItem name="FII5*2.TF-PriceChange" advise="1"/>
      <ddeItem name="FII5*2.TF-PriceChangeRatio" advise="1"/>
      <ddeItem name="FII5*2.TF-TotalVolume" advise="1"/>
      <ddeItem name="FII5*2.TF-Volume" advise="1"/>
      <ddeItem name="FIMTX*1.TF-Amplitude" advise="1"/>
      <ddeItem name="FIMTX*1.TF-Ask" advise="1"/>
      <ddeItem name="FIMTX*1.TF-Bid" advise="1"/>
      <ddeItem name="FIMTX*1.TF-High" advise="1"/>
      <ddeItem name="FIMTX*1.TF-ID" advise="1"/>
      <ddeItem name="FIMTX*1.TF-Low" advise="1"/>
      <ddeItem name="FIMTX*1.TF-Name" advise="1"/>
      <ddeItem name="FIMTX*1.TF-Open" advise="1"/>
      <ddeItem name="FIMTX*1.TF-PreClose" advise="1"/>
      <ddeItem name="FIMTX*1.TF-PreTotalVolume" advise="1"/>
      <ddeItem name="FIMTX*1.TF-Price" advise="1"/>
      <ddeItem name="FIMTX*1.TF-PriceChange" advise="1"/>
      <ddeItem name="FIMTX*1.TF-PriceChangeRatio" advise="1"/>
      <ddeItem name="FIMTX*1.TF-TotalVolume" advise="1"/>
      <ddeItem name="FIMTX*1.TF-Volume" advise="1"/>
      <ddeItem name="FIMTX*2.TF-Amplitude" advise="1"/>
      <ddeItem name="FIMTX*2.TF-Ask" advise="1"/>
      <ddeItem name="FIMTX*2.TF-Bid" advise="1"/>
      <ddeItem name="FIMTX*2.TF-High" advise="1"/>
      <ddeItem name="FIMTX*2.TF-ID" advise="1"/>
      <ddeItem name="FIMTX*2.TF-Low" advise="1"/>
      <ddeItem name="FIMTX*2.TF-Name" advise="1"/>
      <ddeItem name="FIMTX*2.TF-Open" advise="1"/>
      <ddeItem name="FIMTX*2.TF-PreClose" advise="1"/>
      <ddeItem name="FIMTX*2.TF-PreTotalVolume" advise="1"/>
      <ddeItem name="FIMTX*2.TF-Price" advise="1"/>
      <ddeItem name="FIMTX*2.TF-PriceChange" advise="1"/>
      <ddeItem name="FIMTX*2.TF-PriceChangeRatio" advise="1"/>
      <ddeItem name="FIMTX*2.TF-TotalVolume" advise="1"/>
      <ddeItem name="FIMTX*2.TF-Volume" advise="1"/>
      <ddeItem name="FIMTX00.TF-Amplitude" advise="1"/>
      <ddeItem name="FIMTX00.TF-Ask" advise="1"/>
      <ddeItem name="FIMTX00.TF-Bid" advise="1"/>
      <ddeItem name="FIMTX00.TF-High" advise="1"/>
      <ddeItem name="FIMTX00.TF-ID" advise="1"/>
      <ddeItem name="FIMTX00.TF-Low" advise="1"/>
      <ddeItem name="FIMTX00.TF-Name" advise="1"/>
      <ddeItem name="FIMTX00.TF-Open" advise="1"/>
      <ddeItem name="FIMTX00.TF-PreClose" advise="1"/>
      <ddeItem name="FIMTX00.TF-PreTotalVolume" advise="1"/>
      <ddeItem name="FIMTX00.TF-Price" advise="1"/>
      <ddeItem name="FIMTX00.TF-PriceChange" advise="1"/>
      <ddeItem name="FIMTX00.TF-PriceChangeRatio" advise="1"/>
      <ddeItem name="FIMTX00.TF-TotalVolume" advise="1"/>
      <ddeItem name="FIMTX00.TF-Volume" advise="1"/>
      <ddeItem name="FIMTXN*1.TF-Amplitude" advise="1"/>
      <ddeItem name="FIMTXN*1.TF-Ask" advise="1"/>
      <ddeItem name="FIMTXN*1.TF-Bid" advise="1"/>
      <ddeItem name="FIMTXN*1.TF-High" advise="1"/>
      <ddeItem name="FIMTXN*1.TF-ID" advise="1"/>
      <ddeItem name="FIMTXN*1.TF-Low" advise="1"/>
      <ddeItem name="FIMTXN*1.TF-Name" advise="1"/>
      <ddeItem name="FIMTXN*1.TF-Open" advise="1"/>
      <ddeItem name="FIMTXN*1.TF-PreClose" advise="1"/>
      <ddeItem name="FIMTXN*1.TF-PreTotalVolume" advise="1"/>
      <ddeItem name="FIMTXN*1.TF-Price" advise="1"/>
      <ddeItem name="FIMTXN*1.TF-PriceChange" advise="1"/>
      <ddeItem name="FIMTXN*1.TF-PriceChangeRatio" advise="1"/>
      <ddeItem name="FIMTXN*1.TF-TotalVolume" advise="1"/>
      <ddeItem name="FIMTXN*1.TF-Volume" advise="1"/>
      <ddeItem name="FIMTXN*2.TF-Amplitude" advise="1"/>
      <ddeItem name="FIMTXN*2.TF-Ask" advise="1"/>
      <ddeItem name="FIMTXN*2.TF-Bid" advise="1"/>
      <ddeItem name="FIMTXN*2.TF-High" advise="1"/>
      <ddeItem name="FIMTXN*2.TF-ID" advise="1"/>
      <ddeItem name="FIMTXN*2.TF-Low" advise="1"/>
      <ddeItem name="FIMTXN*2.TF-Name" advise="1"/>
      <ddeItem name="FIMTXN*2.TF-Open" advise="1"/>
      <ddeItem name="FIMTXN*2.TF-PreClose" advise="1"/>
      <ddeItem name="FIMTXN*2.TF-PreTotalVolume" advise="1"/>
      <ddeItem name="FIMTXN*2.TF-Price" advise="1"/>
      <ddeItem name="FIMTXN*2.TF-PriceChange" advise="1"/>
      <ddeItem name="FIMTXN*2.TF-PriceChangeRatio" advise="1"/>
      <ddeItem name="FIMTXN*2.TF-TotalVolume" advise="1"/>
      <ddeItem name="FIMTXN*2.TF-Volume" advise="1"/>
      <ddeItem name="FINYF*1.TF-Amplitude" advise="1"/>
      <ddeItem name="FINYF*1.TF-Ask" advise="1"/>
      <ddeItem name="FINYF*1.TF-BestAsk1" advise="1"/>
      <ddeItem name="FINYF*1.TF-BestBid1" advise="1"/>
      <ddeItem name="FINYF*1.TF-Bid" advise="1"/>
      <ddeItem name="FINYF*1.TF-High" advise="1"/>
      <ddeItem name="FINYF*1.TF-ID" advise="1"/>
      <ddeItem name="FINYF*1.TF-Low" advise="1"/>
      <ddeItem name="FINYF*1.TF-Name" advise="1"/>
      <ddeItem name="FINYF*1.TF-Open" advise="1"/>
      <ddeItem name="FINYF*1.TF-PreClose" advise="1"/>
      <ddeItem name="FINYF*1.TF-PreTotalVolume" advise="1"/>
      <ddeItem name="FINYF*1.TF-Price" advise="1"/>
      <ddeItem name="FINYF*1.TF-PriceChange" advise="1"/>
      <ddeItem name="FINYF*1.TF-PriceChangeRatio" advise="1"/>
      <ddeItem name="FINYF*1.TF-TotalVolume" advise="1"/>
      <ddeItem name="FINYF*1.TF-Volume" advise="1"/>
      <ddeItem name="FINYF*2.TF-Amplitude" advise="1"/>
      <ddeItem name="FINYF*2.TF-Ask" advise="1"/>
      <ddeItem name="FINYF*2.TF-BestAsk1" advise="1"/>
      <ddeItem name="FINYF*2.TF-BestBid1" advise="1"/>
      <ddeItem name="FINYF*2.TF-Bid" advise="1"/>
      <ddeItem name="FINYF*2.TF-High" advise="1"/>
      <ddeItem name="FINYF*2.TF-ID" advise="1"/>
      <ddeItem name="FINYF*2.TF-Low" advise="1"/>
      <ddeItem name="FINYF*2.TF-Name" advise="1"/>
      <ddeItem name="FINYF*2.TF-Open" advise="1"/>
      <ddeItem name="FINYF*2.TF-PreClose" advise="1"/>
      <ddeItem name="FINYF*2.TF-PreTotalVolume" advise="1"/>
      <ddeItem name="FINYF*2.TF-Price" advise="1"/>
      <ddeItem name="FINYF*2.TF-PriceChange" advise="1"/>
      <ddeItem name="FINYF*2.TF-PriceChangeRatio" advise="1"/>
      <ddeItem name="FINYF*2.TF-TotalVolume" advise="1"/>
      <ddeItem name="FINYF*2.TF-Volume" advise="1"/>
      <ddeItem name="FINYF00.TF-Amplitude" advise="1"/>
      <ddeItem name="FINYF00.TF-Ask" advise="1"/>
      <ddeItem name="FINYF00.TF-Bid" advise="1"/>
      <ddeItem name="FINYF00.TF-High" advise="1"/>
      <ddeItem name="FINYF00.TF-ID" advise="1"/>
      <ddeItem name="FINYF00.TF-Low" advise="1"/>
      <ddeItem name="FINYF00.TF-Name" advise="1"/>
      <ddeItem name="FINYF00.TF-Open" advise="1"/>
      <ddeItem name="FINYF00.TF-PreClose" advise="1"/>
      <ddeItem name="FINYF00.TF-PreTotalVolume" advise="1"/>
      <ddeItem name="FINYF00.TF-Price" advise="1"/>
      <ddeItem name="FINYF00.TF-PriceChange" advise="1"/>
      <ddeItem name="FINYF00.TF-PriceChangeRatio" advise="1"/>
      <ddeItem name="FINYF00.TF-TotalVolume" advise="1"/>
      <ddeItem name="FINYF00.TF-Volume" advise="1"/>
      <ddeItem name="FINZF*1.TF-Amplitude" advise="1"/>
      <ddeItem name="FINZF*1.TF-Ask" advise="1"/>
      <ddeItem name="FINZF*1.TF-BestAsk1" advise="1"/>
      <ddeItem name="FINZF*1.TF-BestBid1" advise="1"/>
      <ddeItem name="FINZF*1.TF-Bid" advise="1"/>
      <ddeItem name="FINZF*1.TF-High" advise="1"/>
      <ddeItem name="FINZF*1.TF-ID" advise="1"/>
      <ddeItem name="FINZF*1.TF-Low" advise="1"/>
      <ddeItem name="FINZF*1.TF-Name" advise="1"/>
      <ddeItem name="FINZF*1.TF-Open" advise="1"/>
      <ddeItem name="FINZF*1.TF-PreClose" advise="1"/>
      <ddeItem name="FINZF*1.TF-PreTotalVolume" advise="1"/>
      <ddeItem name="FINZF*1.TF-Price" advise="1"/>
      <ddeItem name="FINZF*1.TF-PriceChange" advise="1"/>
      <ddeItem name="FINZF*1.TF-PriceChangeRatio" advise="1"/>
      <ddeItem name="FINZF*1.TF-TotalVolume" advise="1"/>
      <ddeItem name="FINZF*1.TF-Volume" advise="1"/>
      <ddeItem name="FINZF*2.TF-Amplitude" advise="1"/>
      <ddeItem name="FINZF*2.TF-Ask" advise="1"/>
      <ddeItem name="FINZF*2.TF-BestAsk1" advise="1"/>
      <ddeItem name="FINZF*2.TF-BestBid1" advise="1"/>
      <ddeItem name="FINZF*2.TF-Bid" advise="1"/>
      <ddeItem name="FINZF*2.TF-High" advise="1"/>
      <ddeItem name="FINZF*2.TF-ID" advise="1"/>
      <ddeItem name="FINZF*2.TF-Low" advise="1"/>
      <ddeItem name="FINZF*2.TF-Name" advise="1"/>
      <ddeItem name="FINZF*2.TF-Open" advise="1"/>
      <ddeItem name="FINZF*2.TF-PreClose" advise="1"/>
      <ddeItem name="FINZF*2.TF-PreTotalVolume" advise="1"/>
      <ddeItem name="FINZF*2.TF-Price" advise="1"/>
      <ddeItem name="FINZF*2.TF-PriceChange" advise="1"/>
      <ddeItem name="FINZF*2.TF-PriceChangeRatio" advise="1"/>
      <ddeItem name="FINZF*2.TF-TotalVolume" advise="1"/>
      <ddeItem name="FINZF*2.TF-Volume" advise="1"/>
      <ddeItem name="FINZF00.TF-Amplitude" advise="1"/>
      <ddeItem name="FINZF00.TF-Ask" advise="1"/>
      <ddeItem name="FINZF00.TF-Bid" advise="1"/>
      <ddeItem name="FINZF00.TF-High" advise="1"/>
      <ddeItem name="FINZF00.TF-ID" advise="1"/>
      <ddeItem name="FINZF00.TF-Low" advise="1"/>
      <ddeItem name="FINZF00.TF-Name" advise="1"/>
      <ddeItem name="FINZF00.TF-Open" advise="1"/>
      <ddeItem name="FINZF00.TF-PreClose" advise="1"/>
      <ddeItem name="FINZF00.TF-PreTotalVolume" advise="1"/>
      <ddeItem name="FINZF00.TF-Price" advise="1"/>
      <ddeItem name="FINZF00.TF-PriceChange" advise="1"/>
      <ddeItem name="FINZF00.TF-PriceChangeRatio" advise="1"/>
      <ddeItem name="FINZF00.TF-TotalVolume" advise="1"/>
      <ddeItem name="FINZF00.TF-Volume" advise="1"/>
      <ddeItem name="FIOAF*1.TF-Amplitude" advise="1"/>
      <ddeItem name="FIOAF*1.TF-Ask" advise="1"/>
      <ddeItem name="FIOAF*1.TF-Bid" advise="1"/>
      <ddeItem name="FIOAF*1.TF-High" advise="1"/>
      <ddeItem name="FIOAF*1.TF-ID" advise="1"/>
      <ddeItem name="FIOAF*1.TF-Low" advise="1"/>
      <ddeItem name="FIOAF*1.TF-Name" advise="1"/>
      <ddeItem name="FIOAF*1.TF-Open" advise="1"/>
      <ddeItem name="FIOAF*1.TF-PreClose" advise="1"/>
      <ddeItem name="FIOAF*1.TF-PreTotalVolume" advise="1"/>
      <ddeItem name="FIOAF*1.TF-Price" advise="1"/>
      <ddeItem name="FIOAF*1.TF-PriceChange" advise="1"/>
      <ddeItem name="FIOAF*1.TF-PriceChangeRatio" advise="1"/>
      <ddeItem name="FIOAF*1.TF-TotalVolume" advise="1"/>
      <ddeItem name="FIOAF*1.TF-Volume" advise="1"/>
      <ddeItem name="FIOAF*2.TF-Amplitude" advise="1"/>
      <ddeItem name="FIOAF*2.TF-Ask" advise="1"/>
      <ddeItem name="FIOAF*2.TF-Bid" advise="1"/>
      <ddeItem name="FIOAF*2.TF-High" advise="1"/>
      <ddeItem name="FIOAF*2.TF-ID" advise="1"/>
      <ddeItem name="FIOAF*2.TF-Low" advise="1"/>
      <ddeItem name="FIOAF*2.TF-Name" advise="1"/>
      <ddeItem name="FIOAF*2.TF-Open" advise="1"/>
      <ddeItem name="FIOAF*2.TF-PreClose" advise="1"/>
      <ddeItem name="FIOAF*2.TF-PreTotalVolume" advise="1"/>
      <ddeItem name="FIOAF*2.TF-Price" advise="1"/>
      <ddeItem name="FIOAF*2.TF-PriceChange" advise="1"/>
      <ddeItem name="FIOAF*2.TF-PriceChangeRatio" advise="1"/>
      <ddeItem name="FIOAF*2.TF-TotalVolume" advise="1"/>
      <ddeItem name="FIOAF*2.TF-Volume" advise="1"/>
      <ddeItem name="FIOAF00.TF-Amplitude" advise="1"/>
      <ddeItem name="FIOAF00.TF-Ask" advise="1"/>
      <ddeItem name="FIOAF00.TF-Bid" advise="1"/>
      <ddeItem name="FIOAF00.TF-High" advise="1"/>
      <ddeItem name="FIOAF00.TF-ID" advise="1"/>
      <ddeItem name="FIOAF00.TF-Low" advise="1"/>
      <ddeItem name="FIOAF00.TF-Name" advise="1"/>
      <ddeItem name="FIOAF00.TF-Open" advise="1"/>
      <ddeItem name="FIOAF00.TF-PreClose" advise="1"/>
      <ddeItem name="FIOAF00.TF-PreTotalVolume" advise="1"/>
      <ddeItem name="FIOAF00.TF-Price" advise="1"/>
      <ddeItem name="FIOAF00.TF-PriceChange" advise="1"/>
      <ddeItem name="FIOAF00.TF-PriceChangeRatio" advise="1"/>
      <ddeItem name="FIOAF00.TF-TotalVolume" advise="1"/>
      <ddeItem name="FIOAF00.TF-Volume" advise="1"/>
      <ddeItem name="FIOBF*1.TF-Amplitude" advise="1"/>
      <ddeItem name="FIOBF*1.TF-Ask" advise="1"/>
      <ddeItem name="FIOBF*1.TF-Bid" advise="1"/>
      <ddeItem name="FIOBF*1.TF-High" advise="1"/>
      <ddeItem name="FIOBF*1.TF-ID" advise="1"/>
      <ddeItem name="FIOBF*1.TF-Low" advise="1"/>
      <ddeItem name="FIOBF*1.TF-Name" advise="1"/>
      <ddeItem name="FIOBF*1.TF-Open" advise="1"/>
      <ddeItem name="FIOBF*1.TF-PreClose" advise="1"/>
      <ddeItem name="FIOBF*1.TF-PreTotalVolume" advise="1"/>
      <ddeItem name="FIOBF*1.TF-Price" advise="1"/>
      <ddeItem name="FIOBF*1.TF-PriceChange" advise="1"/>
      <ddeItem name="FIOBF*1.TF-PriceChangeRatio" advise="1"/>
      <ddeItem name="FIOBF*1.TF-TotalVolume" advise="1"/>
      <ddeItem name="FIOBF*1.TF-Volume" advise="1"/>
      <ddeItem name="FIOBF*2.TF-Amplitude" advise="1"/>
      <ddeItem name="FIOBF*2.TF-Ask" advise="1"/>
      <ddeItem name="FIOBF*2.TF-Bid" advise="1"/>
      <ddeItem name="FIOBF*2.TF-High" advise="1"/>
      <ddeItem name="FIOBF*2.TF-ID" advise="1"/>
      <ddeItem name="FIOBF*2.TF-Low" advise="1"/>
      <ddeItem name="FIOBF*2.TF-Name" advise="1"/>
      <ddeItem name="FIOBF*2.TF-Open" advise="1"/>
      <ddeItem name="FIOBF*2.TF-PreClose" advise="1"/>
      <ddeItem name="FIOBF*2.TF-PreTotalVolume" advise="1"/>
      <ddeItem name="FIOBF*2.TF-Price" advise="1"/>
      <ddeItem name="FIOBF*2.TF-PriceChange" advise="1"/>
      <ddeItem name="FIOBF*2.TF-PriceChangeRatio" advise="1"/>
      <ddeItem name="FIOBF*2.TF-TotalVolume" advise="1"/>
      <ddeItem name="FIOBF*2.TF-Volume" advise="1"/>
      <ddeItem name="FIOBF00.TF-Amplitude" advise="1"/>
      <ddeItem name="FIOBF00.TF-Ask" advise="1"/>
      <ddeItem name="FIOBF00.TF-Bid" advise="1"/>
      <ddeItem name="FIOBF00.TF-High" advise="1"/>
      <ddeItem name="FIOBF00.TF-ID" advise="1"/>
      <ddeItem name="FIOBF00.TF-Low" advise="1"/>
      <ddeItem name="FIOBF00.TF-Name" advise="1"/>
      <ddeItem name="FIOBF00.TF-Open" advise="1"/>
      <ddeItem name="FIOBF00.TF-PreClose" advise="1"/>
      <ddeItem name="FIOBF00.TF-PreTotalVolume" advise="1"/>
      <ddeItem name="FIOBF00.TF-Price" advise="1"/>
      <ddeItem name="FIOBF00.TF-PriceChange" advise="1"/>
      <ddeItem name="FIOBF00.TF-PriceChangeRatio" advise="1"/>
      <ddeItem name="FIOBF00.TF-TotalVolume" advise="1"/>
      <ddeItem name="FIOBF00.TF-Volume" advise="1"/>
      <ddeItem name="FIOCF*1.TF-Amplitude" advise="1"/>
      <ddeItem name="FIOCF*1.TF-Ask" advise="1"/>
      <ddeItem name="FIOCF*1.TF-Bid" advise="1"/>
      <ddeItem name="FIOCF*1.TF-High" advise="1"/>
      <ddeItem name="FIOCF*1.TF-ID" advise="1"/>
      <ddeItem name="FIOCF*1.TF-Low" advise="1"/>
      <ddeItem name="FIOCF*1.TF-Name" advise="1"/>
      <ddeItem name="FIOCF*1.TF-Open" advise="1"/>
      <ddeItem name="FIOCF*1.TF-PreClose" advise="1"/>
      <ddeItem name="FIOCF*1.TF-PreTotalVolume" advise="1"/>
      <ddeItem name="FIOCF*1.TF-Price" advise="1"/>
      <ddeItem name="FIOCF*1.TF-PriceChange" advise="1"/>
      <ddeItem name="FIOCF*1.TF-PriceChangeRatio" advise="1"/>
      <ddeItem name="FIOCF*1.TF-TotalVolume" advise="1"/>
      <ddeItem name="FIOCF*1.TF-Volume" advise="1"/>
      <ddeItem name="FIOCF*2.TF-Amplitude" advise="1"/>
      <ddeItem name="FIOCF*2.TF-Ask" advise="1"/>
      <ddeItem name="FIOCF*2.TF-Bid" advise="1"/>
      <ddeItem name="FIOCF*2.TF-High" advise="1"/>
      <ddeItem name="FIOCF*2.TF-ID" advise="1"/>
      <ddeItem name="FIOCF*2.TF-Low" advise="1"/>
      <ddeItem name="FIOCF*2.TF-Name" advise="1"/>
      <ddeItem name="FIOCF*2.TF-Open" advise="1"/>
      <ddeItem name="FIOCF*2.TF-PreClose" advise="1"/>
      <ddeItem name="FIOCF*2.TF-PreTotalVolume" advise="1"/>
      <ddeItem name="FIOCF*2.TF-Price" advise="1"/>
      <ddeItem name="FIOCF*2.TF-PriceChange" advise="1"/>
      <ddeItem name="FIOCF*2.TF-PriceChangeRatio" advise="1"/>
      <ddeItem name="FIOCF*2.TF-TotalVolume" advise="1"/>
      <ddeItem name="FIOCF*2.TF-Volume" advise="1"/>
      <ddeItem name="FIOCF00.TF-Amplitude" advise="1"/>
      <ddeItem name="FIOCF00.TF-Ask" advise="1"/>
      <ddeItem name="FIOCF00.TF-Bid" advise="1"/>
      <ddeItem name="FIOCF00.TF-High" advise="1"/>
      <ddeItem name="FIOCF00.TF-ID" advise="1"/>
      <ddeItem name="FIOCF00.TF-Low" advise="1"/>
      <ddeItem name="FIOCF00.TF-Name" advise="1"/>
      <ddeItem name="FIOCF00.TF-Open" advise="1"/>
      <ddeItem name="FIOCF00.TF-PreClose" advise="1"/>
      <ddeItem name="FIOCF00.TF-PreTotalVolume" advise="1"/>
      <ddeItem name="FIOCF00.TF-Price" advise="1"/>
      <ddeItem name="FIOCF00.TF-PriceChange" advise="1"/>
      <ddeItem name="FIOCF00.TF-PriceChangeRatio" advise="1"/>
      <ddeItem name="FIOCF00.TF-TotalVolume" advise="1"/>
      <ddeItem name="FIOCF00.TF-Volume" advise="1"/>
      <ddeItem name="FIOJF*1.TF-Amplitude" advise="1"/>
      <ddeItem name="FIOJF*1.TF-Ask" advise="1"/>
      <ddeItem name="FIOJF*1.TF-Bid" advise="1"/>
      <ddeItem name="FIOJF*1.TF-High" advise="1"/>
      <ddeItem name="FIOJF*1.TF-ID" advise="1"/>
      <ddeItem name="FIOJF*1.TF-Low" advise="1"/>
      <ddeItem name="FIOJF*1.TF-Name" advise="1"/>
      <ddeItem name="FIOJF*1.TF-Open" advise="1"/>
      <ddeItem name="FIOJF*1.TF-PreClose" advise="1"/>
      <ddeItem name="FIOJF*1.TF-PreTotalVolume" advise="1"/>
      <ddeItem name="FIOJF*1.TF-Price" advise="1"/>
      <ddeItem name="FIOJF*1.TF-PriceChange" advise="1"/>
      <ddeItem name="FIOJF*1.TF-PriceChangeRatio" advise="1"/>
      <ddeItem name="FIOJF*1.TF-TotalVolume" advise="1"/>
      <ddeItem name="FIOJF*1.TF-Volume" advise="1"/>
      <ddeItem name="FIOJF*2.TF-Amplitude" advise="1"/>
      <ddeItem name="FIOJF*2.TF-Ask" advise="1"/>
      <ddeItem name="FIOJF*2.TF-Bid" advise="1"/>
      <ddeItem name="FIOJF*2.TF-High" advise="1"/>
      <ddeItem name="FIOJF*2.TF-ID" advise="1"/>
      <ddeItem name="FIOJF*2.TF-Low" advise="1"/>
      <ddeItem name="FIOJF*2.TF-Name" advise="1"/>
      <ddeItem name="FIOJF*2.TF-Open" advise="1"/>
      <ddeItem name="FIOJF*2.TF-PreClose" advise="1"/>
      <ddeItem name="FIOJF*2.TF-PreTotalVolume" advise="1"/>
      <ddeItem name="FIOJF*2.TF-Price" advise="1"/>
      <ddeItem name="FIOJF*2.TF-PriceChange" advise="1"/>
      <ddeItem name="FIOJF*2.TF-PriceChangeRatio" advise="1"/>
      <ddeItem name="FIOJF*2.TF-TotalVolume" advise="1"/>
      <ddeItem name="FIOJF*2.TF-Volume" advise="1"/>
      <ddeItem name="FIOJF00.TF-Amplitude" advise="1"/>
      <ddeItem name="FIOJF00.TF-Ask" advise="1"/>
      <ddeItem name="FIOJF00.TF-Bid" advise="1"/>
      <ddeItem name="FIOJF00.TF-High" advise="1"/>
      <ddeItem name="FIOJF00.TF-ID" advise="1"/>
      <ddeItem name="FIOJF00.TF-Low" advise="1"/>
      <ddeItem name="FIOJF00.TF-Name" advise="1"/>
      <ddeItem name="FIOJF00.TF-Open" advise="1"/>
      <ddeItem name="FIOJF00.TF-PreClose" advise="1"/>
      <ddeItem name="FIOJF00.TF-PreTotalVolume" advise="1"/>
      <ddeItem name="FIOJF00.TF-Price" advise="1"/>
      <ddeItem name="FIOJF00.TF-PriceChange" advise="1"/>
      <ddeItem name="FIOJF00.TF-PriceChangeRatio" advise="1"/>
      <ddeItem name="FIOJF00.TF-TotalVolume" advise="1"/>
      <ddeItem name="FIOJF00.TF-Volume" advise="1"/>
      <ddeItem name="FIOKF*1.TF-Amplitude" advise="1"/>
      <ddeItem name="FIOKF*1.TF-Ask" advise="1"/>
      <ddeItem name="FIOKF*1.TF-Bid" advise="1"/>
      <ddeItem name="FIOKF*1.TF-High" advise="1"/>
      <ddeItem name="FIOKF*1.TF-ID" advise="1"/>
      <ddeItem name="FIOKF*1.TF-Low" advise="1"/>
      <ddeItem name="FIOKF*1.TF-Name" advise="1"/>
      <ddeItem name="FIOKF*1.TF-Open" advise="1"/>
      <ddeItem name="FIOKF*1.TF-PreClose" advise="1"/>
      <ddeItem name="FIOKF*1.TF-PreTotalVolume" advise="1"/>
      <ddeItem name="FIOKF*1.TF-Price" advise="1"/>
      <ddeItem name="FIOKF*1.TF-PriceChange" advise="1"/>
      <ddeItem name="FIOKF*1.TF-PriceChangeRatio" advise="1"/>
      <ddeItem name="FIOKF*1.TF-TotalVolume" advise="1"/>
      <ddeItem name="FIOKF*1.TF-Volume" advise="1"/>
      <ddeItem name="FIOKF*2.TF-Amplitude" advise="1"/>
      <ddeItem name="FIOKF*2.TF-Ask" advise="1"/>
      <ddeItem name="FIOKF*2.TF-Bid" advise="1"/>
      <ddeItem name="FIOKF*2.TF-High" advise="1"/>
      <ddeItem name="FIOKF*2.TF-ID" advise="1"/>
      <ddeItem name="FIOKF*2.TF-Low" advise="1"/>
      <ddeItem name="FIOKF*2.TF-Name" advise="1"/>
      <ddeItem name="FIOKF*2.TF-Open" advise="1"/>
      <ddeItem name="FIOKF*2.TF-PreClose" advise="1"/>
      <ddeItem name="FIOKF*2.TF-PreTotalVolume" advise="1"/>
      <ddeItem name="FIOKF*2.TF-Price" advise="1"/>
      <ddeItem name="FIOKF*2.TF-PriceChange" advise="1"/>
      <ddeItem name="FIOKF*2.TF-PriceChangeRatio" advise="1"/>
      <ddeItem name="FIOKF*2.TF-TotalVolume" advise="1"/>
      <ddeItem name="FIOKF*2.TF-Volume" advise="1"/>
      <ddeItem name="FIOKF00.TF-Amplitude" advise="1"/>
      <ddeItem name="FIOKF00.TF-Ask" advise="1"/>
      <ddeItem name="FIOKF00.TF-Bid" advise="1"/>
      <ddeItem name="FIOKF00.TF-High" advise="1"/>
      <ddeItem name="FIOKF00.TF-ID" advise="1"/>
      <ddeItem name="FIOKF00.TF-Low" advise="1"/>
      <ddeItem name="FIOKF00.TF-Name" advise="1"/>
      <ddeItem name="FIOKF00.TF-Open" advise="1"/>
      <ddeItem name="FIOKF00.TF-PreClose" advise="1"/>
      <ddeItem name="FIOKF00.TF-PreTotalVolume" advise="1"/>
      <ddeItem name="FIOKF00.TF-Price" advise="1"/>
      <ddeItem name="FIOKF00.TF-PriceChange" advise="1"/>
      <ddeItem name="FIOKF00.TF-PriceChangeRatio" advise="1"/>
      <ddeItem name="FIOKF00.TF-TotalVolume" advise="1"/>
      <ddeItem name="FIOKF00.TF-Volume" advise="1"/>
      <ddeItem name="FIOOF*1.TF-Amplitude" advise="1"/>
      <ddeItem name="FIOOF*1.TF-Ask" advise="1"/>
      <ddeItem name="FIOOF*1.TF-Bid" advise="1"/>
      <ddeItem name="FIOOF*1.TF-High" advise="1"/>
      <ddeItem name="FIOOF*1.TF-ID" advise="1"/>
      <ddeItem name="FIOOF*1.TF-Low" advise="1"/>
      <ddeItem name="FIOOF*1.TF-Name" advise="1"/>
      <ddeItem name="FIOOF*1.TF-Open" advise="1"/>
      <ddeItem name="FIOOF*1.TF-PreClose" advise="1"/>
      <ddeItem name="FIOOF*1.TF-PreTotalVolume" advise="1"/>
      <ddeItem name="FIOOF*1.TF-Price" advise="1"/>
      <ddeItem name="FIOOF*1.TF-PriceChange" advise="1"/>
      <ddeItem name="FIOOF*1.TF-PriceChangeRatio" advise="1"/>
      <ddeItem name="FIOOF*1.TF-TotalVolume" advise="1"/>
      <ddeItem name="FIOOF*1.TF-Volume" advise="1"/>
      <ddeItem name="FIOOF*2.TF-Amplitude" advise="1"/>
      <ddeItem name="FIOOF*2.TF-Ask" advise="1"/>
      <ddeItem name="FIOOF*2.TF-Bid" advise="1"/>
      <ddeItem name="FIOOF*2.TF-High" advise="1"/>
      <ddeItem name="FIOOF*2.TF-ID" advise="1"/>
      <ddeItem name="FIOOF*2.TF-Low" advise="1"/>
      <ddeItem name="FIOOF*2.TF-Name" advise="1"/>
      <ddeItem name="FIOOF*2.TF-Open" advise="1"/>
      <ddeItem name="FIOOF*2.TF-PreClose" advise="1"/>
      <ddeItem name="FIOOF*2.TF-PreTotalVolume" advise="1"/>
      <ddeItem name="FIOOF*2.TF-Price" advise="1"/>
      <ddeItem name="FIOOF*2.TF-PriceChange" advise="1"/>
      <ddeItem name="FIOOF*2.TF-PriceChangeRatio" advise="1"/>
      <ddeItem name="FIOOF*2.TF-TotalVolume" advise="1"/>
      <ddeItem name="FIOOF*2.TF-Volume" advise="1"/>
      <ddeItem name="FIOOF00.TF-Amplitude" advise="1"/>
      <ddeItem name="FIOOF00.TF-Ask" advise="1"/>
      <ddeItem name="FIOOF00.TF-Bid" advise="1"/>
      <ddeItem name="FIOOF00.TF-High" advise="1"/>
      <ddeItem name="FIOOF00.TF-ID" advise="1"/>
      <ddeItem name="FIOOF00.TF-Low" advise="1"/>
      <ddeItem name="FIOOF00.TF-Name" advise="1"/>
      <ddeItem name="FIOOF00.TF-Open" advise="1"/>
      <ddeItem name="FIOOF00.TF-PreClose" advise="1"/>
      <ddeItem name="FIOOF00.TF-PreTotalVolume" advise="1"/>
      <ddeItem name="FIOOF00.TF-Price" advise="1"/>
      <ddeItem name="FIOOF00.TF-PriceChange" advise="1"/>
      <ddeItem name="FIOOF00.TF-PriceChangeRatio" advise="1"/>
      <ddeItem name="FIOOF00.TF-TotalVolume" advise="1"/>
      <ddeItem name="FIOOF00.TF-Volume" advise="1"/>
      <ddeItem name="FIS.US-BestAsk1" advise="1"/>
      <ddeItem name="FIS.US-BestBid1" advise="1"/>
      <ddeItem name="FIS.US-PreClose" advise="1"/>
      <ddeItem name="FIS.US-Price" advise="1"/>
      <ddeItem name="FISP*1.TF-Amplitude" advise="1"/>
      <ddeItem name="FISP*1.TF-Ask" advise="1"/>
      <ddeItem name="FISP*1.TF-Bid" advise="1"/>
      <ddeItem name="FISP*1.TF-High" advise="1"/>
      <ddeItem name="FISP*1.TF-ID" advise="1"/>
      <ddeItem name="FISP*1.TF-Low" advise="1"/>
      <ddeItem name="FISP*1.TF-Name" advise="1"/>
      <ddeItem name="FISP*1.TF-Open" advise="1"/>
      <ddeItem name="FISP*1.TF-PreClose" advise="1"/>
      <ddeItem name="FISP*1.TF-PreTotalVolume" advise="1"/>
      <ddeItem name="FISP*1.TF-Price" advise="1"/>
      <ddeItem name="FISP*1.TF-PriceChange" advise="1"/>
      <ddeItem name="FISP*1.TF-PriceChangeRatio" advise="1"/>
      <ddeItem name="FISP*1.TF-TotalVolume" advise="1"/>
      <ddeItem name="FISP*1.TF-Volume" advise="1"/>
      <ddeItem name="FISP*2.TF-Amplitude" advise="1"/>
      <ddeItem name="FISP*2.TF-Ask" advise="1"/>
      <ddeItem name="FISP*2.TF-Bid" advise="1"/>
      <ddeItem name="FISP*2.TF-High" advise="1"/>
      <ddeItem name="FISP*2.TF-ID" advise="1"/>
      <ddeItem name="FISP*2.TF-Low" advise="1"/>
      <ddeItem name="FISP*2.TF-Name" advise="1"/>
      <ddeItem name="FISP*2.TF-Open" advise="1"/>
      <ddeItem name="FISP*2.TF-PreClose" advise="1"/>
      <ddeItem name="FISP*2.TF-PreTotalVolume" advise="1"/>
      <ddeItem name="FISP*2.TF-Price" advise="1"/>
      <ddeItem name="FISP*2.TF-PriceChange" advise="1"/>
      <ddeItem name="FISP*2.TF-PriceChangeRatio" advise="1"/>
      <ddeItem name="FISP*2.TF-TotalVolume" advise="1"/>
      <ddeItem name="FISP*2.TF-Volume" advise="1"/>
      <ddeItem name="FISV.US-BestAsk1" advise="1"/>
      <ddeItem name="FISV.US-BestBid1" advise="1"/>
      <ddeItem name="FISV.US-PreClose" advise="1"/>
      <ddeItem name="FISV.US-Price" advise="1"/>
      <ddeItem name="FITB.US-BestAsk1" advise="1"/>
      <ddeItem name="FITB.US-BestBid1" advise="1"/>
      <ddeItem name="FITB.US-PreClose" advise="1"/>
      <ddeItem name="FITB.US-Price" advise="1"/>
      <ddeItem name="FITE*1.TF-Amplitude" advise="1"/>
      <ddeItem name="FITE*1.TF-Ask" advise="1"/>
      <ddeItem name="FITE*1.TF-Bid" advise="1"/>
      <ddeItem name="FITE*1.TF-High" advise="1"/>
      <ddeItem name="FITE*1.TF-ID" advise="1"/>
      <ddeItem name="FITE*1.TF-Low" advise="1"/>
      <ddeItem name="FITE*1.TF-Name" advise="1"/>
      <ddeItem name="FITE*1.TF-Open" advise="1"/>
      <ddeItem name="FITE*1.TF-PreClose" advise="1"/>
      <ddeItem name="FITE*1.TF-PreTotalVolume" advise="1"/>
      <ddeItem name="FITE*1.TF-Price" advise="1"/>
      <ddeItem name="FITE*1.TF-PriceChange" advise="1"/>
      <ddeItem name="FITE*1.TF-PriceChangeRatio" advise="1"/>
      <ddeItem name="FITE*1.TF-TotalVolume" advise="1"/>
      <ddeItem name="FITE*1.TF-Volume" advise="1"/>
      <ddeItem name="FITE*2.TF-Amplitude" advise="1"/>
      <ddeItem name="FITE*2.TF-Ask" advise="1"/>
      <ddeItem name="FITE*2.TF-Bid" advise="1"/>
      <ddeItem name="FITE*2.TF-High" advise="1"/>
      <ddeItem name="FITE*2.TF-ID" advise="1"/>
      <ddeItem name="FITE*2.TF-Low" advise="1"/>
      <ddeItem name="FITE*2.TF-Name" advise="1"/>
      <ddeItem name="FITE*2.TF-Open" advise="1"/>
      <ddeItem name="FITE*2.TF-PreClose" advise="1"/>
      <ddeItem name="FITE*2.TF-PreTotalVolume" advise="1"/>
      <ddeItem name="FITE*2.TF-Price" advise="1"/>
      <ddeItem name="FITE*2.TF-PriceChange" advise="1"/>
      <ddeItem name="FITE*2.TF-PriceChangeRatio" advise="1"/>
      <ddeItem name="FITE*2.TF-TotalVolume" advise="1"/>
      <ddeItem name="FITE*2.TF-Volume" advise="1"/>
      <ddeItem name="FITE00.TF-Amplitude" advise="1"/>
      <ddeItem name="FITE00.TF-Ask" advise="1"/>
      <ddeItem name="FITE00.TF-Bid" advise="1"/>
      <ddeItem name="FITE00.TF-High" advise="1"/>
      <ddeItem name="FITE00.TF-ID" advise="1"/>
      <ddeItem name="FITE00.TF-Low" advise="1"/>
      <ddeItem name="FITE00.TF-Name" advise="1"/>
      <ddeItem name="FITE00.TF-Open" advise="1"/>
      <ddeItem name="FITE00.TF-PreClose" advise="1"/>
      <ddeItem name="FITE00.TF-PreTotalVolume" advise="1"/>
      <ddeItem name="FITE00.TF-Price" advise="1"/>
      <ddeItem name="FITE00.TF-PriceChange" advise="1"/>
      <ddeItem name="FITE00.TF-PriceChangeRatio" advise="1"/>
      <ddeItem name="FITE00.TF-TotalVolume" advise="1"/>
      <ddeItem name="FITE00.TF-Volume" advise="1"/>
      <ddeItem name="FITF*1.TF-Amplitude" advise="1"/>
      <ddeItem name="FITF*1.TF-Ask" advise="1"/>
      <ddeItem name="FITF*1.TF-BestAsk1" advise="1"/>
      <ddeItem name="FITF*1.TF-BestBid1" advise="1"/>
      <ddeItem name="FITF*1.TF-Bid" advise="1"/>
      <ddeItem name="FITF*1.TF-High" advise="1"/>
      <ddeItem name="FITF*1.TF-ID" advise="1"/>
      <ddeItem name="FITF*1.TF-Low" advise="1"/>
      <ddeItem name="FITF*1.TF-Name" advise="1"/>
      <ddeItem name="FITF*1.TF-Open" advise="1"/>
      <ddeItem name="FITF*1.TF-PreClose" advise="1"/>
      <ddeItem name="FITF*1.TF-PreTotalVolume" advise="1"/>
      <ddeItem name="FITF*1.TF-Price" advise="1"/>
      <ddeItem name="FITF*1.TF-PriceChange" advise="1"/>
      <ddeItem name="FITF*1.TF-PriceChangeRatio" advise="1"/>
      <ddeItem name="FITF*1.TF-TotalVolume" advise="1"/>
      <ddeItem name="FITF*1.TF-Volume" advise="1"/>
      <ddeItem name="FITF*2.TF-Amplitude" advise="1"/>
      <ddeItem name="FITF*2.TF-Ask" advise="1"/>
      <ddeItem name="FITF*2.TF-BestAsk1" advise="1"/>
      <ddeItem name="FITF*2.TF-BestBid1" advise="1"/>
      <ddeItem name="FITF*2.TF-Bid" advise="1"/>
      <ddeItem name="FITF*2.TF-High" advise="1"/>
      <ddeItem name="FITF*2.TF-ID" advise="1"/>
      <ddeItem name="FITF*2.TF-Low" advise="1"/>
      <ddeItem name="FITF*2.TF-Name" advise="1"/>
      <ddeItem name="FITF*2.TF-Open" advise="1"/>
      <ddeItem name="FITF*2.TF-PreClose" advise="1"/>
      <ddeItem name="FITF*2.TF-PreTotalVolume" advise="1"/>
      <ddeItem name="FITF*2.TF-Price" advise="1"/>
      <ddeItem name="FITF*2.TF-PriceChange" advise="1"/>
      <ddeItem name="FITF*2.TF-PriceChangeRatio" advise="1"/>
      <ddeItem name="FITF*2.TF-TotalVolume" advise="1"/>
      <ddeItem name="FITF*2.TF-Volume" advise="1"/>
      <ddeItem name="FITF00.TF-Amplitude" advise="1"/>
      <ddeItem name="FITF00.TF-Ask" advise="1"/>
      <ddeItem name="FITF00.TF-Bid" advise="1"/>
      <ddeItem name="FITF00.TF-High" advise="1"/>
      <ddeItem name="FITF00.TF-ID" advise="1"/>
      <ddeItem name="FITF00.TF-Low" advise="1"/>
      <ddeItem name="FITF00.TF-Name" advise="1"/>
      <ddeItem name="FITF00.TF-Open" advise="1"/>
      <ddeItem name="FITF00.TF-PreClose" advise="1"/>
      <ddeItem name="FITF00.TF-PreTotalVolume" advise="1"/>
      <ddeItem name="FITF00.TF-Price" advise="1"/>
      <ddeItem name="FITF00.TF-PriceChange" advise="1"/>
      <ddeItem name="FITF00.TF-PriceChangeRatio" advise="1"/>
      <ddeItem name="FITF00.TF-TotalVolume" advise="1"/>
      <ddeItem name="FITF00.TF-Volume" advise="1"/>
      <ddeItem name="FITG*1.TF-Amplitude" advise="1"/>
      <ddeItem name="FITG*1.TF-Ask" advise="1"/>
      <ddeItem name="FITG*1.TF-Bid" advise="1"/>
      <ddeItem name="FITG*1.TF-High" advise="1"/>
      <ddeItem name="FITG*1.TF-ID" advise="1"/>
      <ddeItem name="FITG*1.TF-Low" advise="1"/>
      <ddeItem name="FITG*1.TF-Name" advise="1"/>
      <ddeItem name="FITG*1.TF-Open" advise="1"/>
      <ddeItem name="FITG*1.TF-PreClose" advise="1"/>
      <ddeItem name="FITG*1.TF-PreTotalVolume" advise="1"/>
      <ddeItem name="FITG*1.TF-Price" advise="1"/>
      <ddeItem name="FITG*1.TF-PriceChange" advise="1"/>
      <ddeItem name="FITG*1.TF-PriceChangeRatio" advise="1"/>
      <ddeItem name="FITG*1.TF-TotalVolume" advise="1"/>
      <ddeItem name="FITG*1.TF-Volume" advise="1"/>
      <ddeItem name="FITG*2.TF-Amplitude" advise="1"/>
      <ddeItem name="FITG*2.TF-Ask" advise="1"/>
      <ddeItem name="FITG*2.TF-Bid" advise="1"/>
      <ddeItem name="FITG*2.TF-High" advise="1"/>
      <ddeItem name="FITG*2.TF-ID" advise="1"/>
      <ddeItem name="FITG*2.TF-Low" advise="1"/>
      <ddeItem name="FITG*2.TF-Name" advise="1"/>
      <ddeItem name="FITG*2.TF-Open" advise="1"/>
      <ddeItem name="FITG*2.TF-PreClose" advise="1"/>
      <ddeItem name="FITG*2.TF-PreTotalVolume" advise="1"/>
      <ddeItem name="FITG*2.TF-Price" advise="1"/>
      <ddeItem name="FITG*2.TF-PriceChange" advise="1"/>
      <ddeItem name="FITG*2.TF-PriceChangeRatio" advise="1"/>
      <ddeItem name="FITG*2.TF-TotalVolume" advise="1"/>
      <ddeItem name="FITG*2.TF-Volume" advise="1"/>
      <ddeItem name="FITJ*1.TF-Amplitude" advise="1"/>
      <ddeItem name="FITJ*1.TF-Ask" advise="1"/>
      <ddeItem name="FITJ*1.TF-Bid" advise="1"/>
      <ddeItem name="FITJ*1.TF-High" advise="1"/>
      <ddeItem name="FITJ*1.TF-ID" advise="1"/>
      <ddeItem name="FITJ*1.TF-Low" advise="1"/>
      <ddeItem name="FITJ*1.TF-Name" advise="1"/>
      <ddeItem name="FITJ*1.TF-Open" advise="1"/>
      <ddeItem name="FITJ*1.TF-PreClose" advise="1"/>
      <ddeItem name="FITJ*1.TF-PreTotalVolume" advise="1"/>
      <ddeItem name="FITJ*1.TF-Price" advise="1"/>
      <ddeItem name="FITJ*1.TF-PriceChange" advise="1"/>
      <ddeItem name="FITJ*1.TF-PriceChangeRatio" advise="1"/>
      <ddeItem name="FITJ*1.TF-TotalVolume" advise="1"/>
      <ddeItem name="FITJ*1.TF-Volume" advise="1"/>
      <ddeItem name="FITJ*2.TF-Amplitude" advise="1"/>
      <ddeItem name="FITJ*2.TF-Ask" advise="1"/>
      <ddeItem name="FITJ*2.TF-Bid" advise="1"/>
      <ddeItem name="FITJ*2.TF-High" advise="1"/>
      <ddeItem name="FITJ*2.TF-ID" advise="1"/>
      <ddeItem name="FITJ*2.TF-Low" advise="1"/>
      <ddeItem name="FITJ*2.TF-Name" advise="1"/>
      <ddeItem name="FITJ*2.TF-Open" advise="1"/>
      <ddeItem name="FITJ*2.TF-PreClose" advise="1"/>
      <ddeItem name="FITJ*2.TF-PreTotalVolume" advise="1"/>
      <ddeItem name="FITJ*2.TF-Price" advise="1"/>
      <ddeItem name="FITJ*2.TF-PriceChange" advise="1"/>
      <ddeItem name="FITJ*2.TF-PriceChangeRatio" advise="1"/>
      <ddeItem name="FITJ*2.TF-TotalVolume" advise="1"/>
      <ddeItem name="FITJ*2.TF-Volume" advise="1"/>
      <ddeItem name="FITJ00.TF-Amplitude" advise="1"/>
      <ddeItem name="FITJ00.TF-Ask" advise="1"/>
      <ddeItem name="FITJ00.TF-Bid" advise="1"/>
      <ddeItem name="FITJ00.TF-High" advise="1"/>
      <ddeItem name="FITJ00.TF-ID" advise="1"/>
      <ddeItem name="FITJ00.TF-Low" advise="1"/>
      <ddeItem name="FITJ00.TF-Name" advise="1"/>
      <ddeItem name="FITJ00.TF-Open" advise="1"/>
      <ddeItem name="FITJ00.TF-PreClose" advise="1"/>
      <ddeItem name="FITJ00.TF-PreTotalVolume" advise="1"/>
      <ddeItem name="FITJ00.TF-Price" advise="1"/>
      <ddeItem name="FITJ00.TF-PriceChange" advise="1"/>
      <ddeItem name="FITJ00.TF-PriceChangeRatio" advise="1"/>
      <ddeItem name="FITJ00.TF-TotalVolume" advise="1"/>
      <ddeItem name="FITJ00.TF-Volume" advise="1"/>
      <ddeItem name="FITV*1.TF-Amplitude" advise="1"/>
      <ddeItem name="FITV*1.TF-Ask" advise="1"/>
      <ddeItem name="FITV*1.TF-Bid" advise="1"/>
      <ddeItem name="FITV*1.TF-High" advise="1"/>
      <ddeItem name="FITV*1.TF-ID" advise="1"/>
      <ddeItem name="FITV*1.TF-Low" advise="1"/>
      <ddeItem name="FITV*1.TF-Name" advise="1"/>
      <ddeItem name="FITV*1.TF-Open" advise="1"/>
      <ddeItem name="FITV*1.TF-PreClose" advise="1"/>
      <ddeItem name="FITV*1.TF-PreTotalVolume" advise="1"/>
      <ddeItem name="FITV*1.TF-Price" advise="1"/>
      <ddeItem name="FITV*1.TF-PriceChange" advise="1"/>
      <ddeItem name="FITV*1.TF-PriceChangeRatio" advise="1"/>
      <ddeItem name="FITV*1.TF-TotalVolume" advise="1"/>
      <ddeItem name="FITV*1.TF-Volume" advise="1"/>
      <ddeItem name="FITV*2.TF-Amplitude" advise="1"/>
      <ddeItem name="FITV*2.TF-Ask" advise="1"/>
      <ddeItem name="FITV*2.TF-Bid" advise="1"/>
      <ddeItem name="FITV*2.TF-High" advise="1"/>
      <ddeItem name="FITV*2.TF-ID" advise="1"/>
      <ddeItem name="FITV*2.TF-Low" advise="1"/>
      <ddeItem name="FITV*2.TF-Name" advise="1"/>
      <ddeItem name="FITV*2.TF-Open" advise="1"/>
      <ddeItem name="FITV*2.TF-PreClose" advise="1"/>
      <ddeItem name="FITV*2.TF-PreTotalVolume" advise="1"/>
      <ddeItem name="FITV*2.TF-Price" advise="1"/>
      <ddeItem name="FITV*2.TF-PriceChange" advise="1"/>
      <ddeItem name="FITV*2.TF-PriceChangeRatio" advise="1"/>
      <ddeItem name="FITV*2.TF-TotalVolume" advise="1"/>
      <ddeItem name="FITV*2.TF-Volume" advise="1"/>
      <ddeItem name="FITV00.TF-Amplitude" advise="1"/>
      <ddeItem name="FITV00.TF-Ask" advise="1"/>
      <ddeItem name="FITV00.TF-Bid" advise="1"/>
      <ddeItem name="FITV00.TF-High" advise="1"/>
      <ddeItem name="FITV00.TF-ID" advise="1"/>
      <ddeItem name="FITV00.TF-Low" advise="1"/>
      <ddeItem name="FITV00.TF-Name" advise="1"/>
      <ddeItem name="FITV00.TF-Open" advise="1"/>
      <ddeItem name="FITV00.TF-PreClose" advise="1"/>
      <ddeItem name="FITV00.TF-PreTotalVolume" advise="1"/>
      <ddeItem name="FITV00.TF-Price" advise="1"/>
      <ddeItem name="FITV00.TF-PriceChange" advise="1"/>
      <ddeItem name="FITV00.TF-PriceChangeRatio" advise="1"/>
      <ddeItem name="FITV00.TF-TotalVolume" advise="1"/>
      <ddeItem name="FITV00.TF-Volume" advise="1"/>
      <ddeItem name="FITX*1.TF-Amplitude" advise="1"/>
      <ddeItem name="FITX*1.TF-Ask" advise="1"/>
      <ddeItem name="FITX*1.TF-BestAsk1" advise="1"/>
      <ddeItem name="FITX*1.TF-BestBid1" advise="1"/>
      <ddeItem name="FITX*1.TF-Bid" advise="1"/>
      <ddeItem name="FITX*1.TF-High" advise="1"/>
      <ddeItem name="FITX*1.TF-ID" advise="1"/>
      <ddeItem name="FITX*1.TF-Low" advise="1"/>
      <ddeItem name="FITX*1.TF-Name" advise="1"/>
      <ddeItem name="FITX*1.TF-Open" advise="1"/>
      <ddeItem name="FITX*1.TF-PreClose" advise="1"/>
      <ddeItem name="FITX*1.TF-PreTotalVolume" advise="1"/>
      <ddeItem name="FITX*1.TF-Price" advise="1"/>
      <ddeItem name="FITX*1.TF-PriceChange" advise="1"/>
      <ddeItem name="FITX*1.TF-PriceChangeRatio" advise="1"/>
      <ddeItem name="FITX*1.TF-TotalVolume" advise="1"/>
      <ddeItem name="FITX*1.TF-Volume" advise="1"/>
      <ddeItem name="FITX*2.TF-Amplitude" advise="1"/>
      <ddeItem name="FITX*2.TF-Ask" advise="1"/>
      <ddeItem name="FITX*2.TF-BestAsk1" advise="1"/>
      <ddeItem name="FITX*2.TF-BestBid1" advise="1"/>
      <ddeItem name="FITX*2.TF-Bid" advise="1"/>
      <ddeItem name="FITX*2.TF-High" advise="1"/>
      <ddeItem name="FITX*2.TF-ID" advise="1"/>
      <ddeItem name="FITX*2.TF-Low" advise="1"/>
      <ddeItem name="FITX*2.TF-Name" advise="1"/>
      <ddeItem name="FITX*2.TF-Open" advise="1"/>
      <ddeItem name="FITX*2.TF-PreClose" advise="1"/>
      <ddeItem name="FITX*2.TF-PreTotalVolume" advise="1"/>
      <ddeItem name="FITX*2.TF-Price" advise="1"/>
      <ddeItem name="FITX*2.TF-PriceChange" advise="1"/>
      <ddeItem name="FITX*2.TF-PriceChangeRatio" advise="1"/>
      <ddeItem name="FITX*2.TF-TotalVolume" advise="1"/>
      <ddeItem name="FITX*2.TF-Volume" advise="1"/>
      <ddeItem name="FITX00.TF-Amplitude" advise="1"/>
      <ddeItem name="FITX00.TF-Ask" advise="1"/>
      <ddeItem name="FITX00.TF-Bid" advise="1"/>
      <ddeItem name="FITX00.TF-High" advise="1"/>
      <ddeItem name="FITX00.TF-ID" advise="1"/>
      <ddeItem name="FITX00.TF-Low" advise="1"/>
      <ddeItem name="FITX00.TF-Name" advise="1"/>
      <ddeItem name="FITX00.TF-Open" advise="1"/>
      <ddeItem name="FITX00.TF-PreClose" advise="1"/>
      <ddeItem name="FITX00.TF-PreTotalVolume" advise="1"/>
      <ddeItem name="FITX00.TF-Price" advise="1"/>
      <ddeItem name="FITX00.TF-PriceChange" advise="1"/>
      <ddeItem name="FITX00.TF-PriceChangeRatio" advise="1"/>
      <ddeItem name="FITX00.TF-TotalVolume" advise="1"/>
      <ddeItem name="FITX00.TF-Volume" advise="1"/>
      <ddeItem name="FITXN*1.TF-Amplitude" advise="1"/>
      <ddeItem name="FITXN*1.TF-Ask" advise="1"/>
      <ddeItem name="FITXN*1.TF-Bid" advise="1"/>
      <ddeItem name="FITXN*1.TF-High" advise="1"/>
      <ddeItem name="FITXN*1.TF-ID" advise="1"/>
      <ddeItem name="FITXN*1.TF-Low" advise="1"/>
      <ddeItem name="FITXN*1.TF-Name" advise="1"/>
      <ddeItem name="FITXN*1.TF-Open" advise="1"/>
      <ddeItem name="FITXN*1.TF-PreClose" advise="1"/>
      <ddeItem name="FITXN*1.TF-PreTotalVolume" advise="1"/>
      <ddeItem name="FITXN*1.TF-Price" advise="1"/>
      <ddeItem name="FITXN*1.TF-PriceChange" advise="1"/>
      <ddeItem name="FITXN*1.TF-PriceChangeRatio" advise="1"/>
      <ddeItem name="FITXN*1.TF-TotalVolume" advise="1"/>
      <ddeItem name="FITXN*1.TF-Volume" advise="1"/>
      <ddeItem name="FITXN*2.TF-Amplitude" advise="1"/>
      <ddeItem name="FITXN*2.TF-Ask" advise="1"/>
      <ddeItem name="FITXN*2.TF-Bid" advise="1"/>
      <ddeItem name="FITXN*2.TF-High" advise="1"/>
      <ddeItem name="FITXN*2.TF-ID" advise="1"/>
      <ddeItem name="FITXN*2.TF-Low" advise="1"/>
      <ddeItem name="FITXN*2.TF-Name" advise="1"/>
      <ddeItem name="FITXN*2.TF-Open" advise="1"/>
      <ddeItem name="FITXN*2.TF-PreClose" advise="1"/>
      <ddeItem name="FITXN*2.TF-PreTotalVolume" advise="1"/>
      <ddeItem name="FITXN*2.TF-Price" advise="1"/>
      <ddeItem name="FITXN*2.TF-PriceChange" advise="1"/>
      <ddeItem name="FITXN*2.TF-PriceChangeRatio" advise="1"/>
      <ddeItem name="FITXN*2.TF-TotalVolume" advise="1"/>
      <ddeItem name="FITXN*2.TF-Volume" advise="1"/>
      <ddeItem name="FIUD*1.TF-Amplitude" advise="1"/>
      <ddeItem name="FIUD*1.TF-Ask" advise="1"/>
      <ddeItem name="FIUD*1.TF-Bid" advise="1"/>
      <ddeItem name="FIUD*1.TF-High" advise="1"/>
      <ddeItem name="FIUD*1.TF-ID" advise="1"/>
      <ddeItem name="FIUD*1.TF-Low" advise="1"/>
      <ddeItem name="FIUD*1.TF-Name" advise="1"/>
      <ddeItem name="FIUD*1.TF-Open" advise="1"/>
      <ddeItem name="FIUD*1.TF-PreClose" advise="1"/>
      <ddeItem name="FIUD*1.TF-PreTotalVolume" advise="1"/>
      <ddeItem name="FIUD*1.TF-Price" advise="1"/>
      <ddeItem name="FIUD*1.TF-PriceChange" advise="1"/>
      <ddeItem name="FIUD*1.TF-PriceChangeRatio" advise="1"/>
      <ddeItem name="FIUD*1.TF-TotalVolume" advise="1"/>
      <ddeItem name="FIUD*1.TF-Volume" advise="1"/>
      <ddeItem name="FIUD*2.TF-Amplitude" advise="1"/>
      <ddeItem name="FIUD*2.TF-Ask" advise="1"/>
      <ddeItem name="FIUD*2.TF-Bid" advise="1"/>
      <ddeItem name="FIUD*2.TF-High" advise="1"/>
      <ddeItem name="FIUD*2.TF-ID" advise="1"/>
      <ddeItem name="FIUD*2.TF-Low" advise="1"/>
      <ddeItem name="FIUD*2.TF-Name" advise="1"/>
      <ddeItem name="FIUD*2.TF-Open" advise="1"/>
      <ddeItem name="FIUD*2.TF-PreClose" advise="1"/>
      <ddeItem name="FIUD*2.TF-PreTotalVolume" advise="1"/>
      <ddeItem name="FIUD*2.TF-Price" advise="1"/>
      <ddeItem name="FIUD*2.TF-PriceChange" advise="1"/>
      <ddeItem name="FIUD*2.TF-PriceChangeRatio" advise="1"/>
      <ddeItem name="FIUD*2.TF-TotalVolume" advise="1"/>
      <ddeItem name="FIUD*2.TF-Volume" advise="1"/>
      <ddeItem name="FIXI*1.TF-Amplitude" advise="1"/>
      <ddeItem name="FIXI*1.TF-Ask" advise="1"/>
      <ddeItem name="FIXI*1.TF-Bid" advise="1"/>
      <ddeItem name="FIXI*1.TF-High" advise="1"/>
      <ddeItem name="FIXI*1.TF-ID" advise="1"/>
      <ddeItem name="FIXI*1.TF-Low" advise="1"/>
      <ddeItem name="FIXI*1.TF-Name" advise="1"/>
      <ddeItem name="FIXI*1.TF-Open" advise="1"/>
      <ddeItem name="FIXI*1.TF-PreClose" advise="1"/>
      <ddeItem name="FIXI*1.TF-PreTotalVolume" advise="1"/>
      <ddeItem name="FIXI*1.TF-Price" advise="1"/>
      <ddeItem name="FIXI*1.TF-PriceChange" advise="1"/>
      <ddeItem name="FIXI*1.TF-PriceChangeRatio" advise="1"/>
      <ddeItem name="FIXI*1.TF-TotalVolume" advise="1"/>
      <ddeItem name="FIXI*1.TF-Volume" advise="1"/>
      <ddeItem name="FIXI*2.TF-Amplitude" advise="1"/>
      <ddeItem name="FIXI*2.TF-Ask" advise="1"/>
      <ddeItem name="FIXI*2.TF-Bid" advise="1"/>
      <ddeItem name="FIXI*2.TF-High" advise="1"/>
      <ddeItem name="FIXI*2.TF-ID" advise="1"/>
      <ddeItem name="FIXI*2.TF-Low" advise="1"/>
      <ddeItem name="FIXI*2.TF-Name" advise="1"/>
      <ddeItem name="FIXI*2.TF-Open" advise="1"/>
      <ddeItem name="FIXI*2.TF-PreClose" advise="1"/>
      <ddeItem name="FIXI*2.TF-PreTotalVolume" advise="1"/>
      <ddeItem name="FIXI*2.TF-Price" advise="1"/>
      <ddeItem name="FIXI*2.TF-PriceChange" advise="1"/>
      <ddeItem name="FIXI*2.TF-PriceChangeRatio" advise="1"/>
      <ddeItem name="FIXI*2.TF-TotalVolume" advise="1"/>
      <ddeItem name="FIXI*2.TF-Volume" advise="1"/>
      <ddeItem name="FIXI00.TF-Amplitude" advise="1"/>
      <ddeItem name="FIXI00.TF-Ask" advise="1"/>
      <ddeItem name="FIXI00.TF-Bid" advise="1"/>
      <ddeItem name="FIXI00.TF-High" advise="1"/>
      <ddeItem name="FIXI00.TF-ID" advise="1"/>
      <ddeItem name="FIXI00.TF-Low" advise="1"/>
      <ddeItem name="FIXI00.TF-Name" advise="1"/>
      <ddeItem name="FIXI00.TF-Open" advise="1"/>
      <ddeItem name="FIXI00.TF-PreClose" advise="1"/>
      <ddeItem name="FIXI00.TF-PreTotalVolume" advise="1"/>
      <ddeItem name="FIXI00.TF-Price" advise="1"/>
      <ddeItem name="FIXI00.TF-PriceChange" advise="1"/>
      <ddeItem name="FIXI00.TF-PriceChangeRatio" advise="1"/>
      <ddeItem name="FIXI00.TF-TotalVolume" advise="1"/>
      <ddeItem name="FIXI00.TF-Volume" advise="1"/>
      <ddeItem name="FL.US-BestAsk1" advise="1"/>
      <ddeItem name="FL.US-BestBid1" advise="1"/>
      <ddeItem name="FL.US-PreClose" advise="1"/>
      <ddeItem name="FL.US-Price" advise="1"/>
      <ddeItem name="FLIR.US-BestAsk1" advise="1"/>
      <ddeItem name="FLIR.US-BestBid1" advise="1"/>
      <ddeItem name="FLIR.US-PreClose" advise="1"/>
      <ddeItem name="FLIR.US-Price" advise="1"/>
      <ddeItem name="FLR.US-BestAsk1" advise="1"/>
      <ddeItem name="FLR.US-BestBid1" advise="1"/>
      <ddeItem name="FLR.US-PreClose" advise="1"/>
      <ddeItem name="FLR.US-Price" advise="1"/>
      <ddeItem name="FLS.US-BestAsk1" advise="1"/>
      <ddeItem name="FLS.US-BestBid1" advise="1"/>
      <ddeItem name="FLS.US-PreClose" advise="1"/>
      <ddeItem name="FLS.US-Price" advise="1"/>
      <ddeItem name="FMC.US-BestAsk1" advise="1"/>
      <ddeItem name="FMC.US-BestBid1" advise="1"/>
      <ddeItem name="FMC.US-PreClose" advise="1"/>
      <ddeItem name="FMC.US-Price" advise="1"/>
      <ddeItem name="FOX.US-BestAsk1" advise="1"/>
      <ddeItem name="FOX.US-BestBid1" advise="1"/>
      <ddeItem name="FOX.US-PreClose" advise="1"/>
      <ddeItem name="FOX.US-Price" advise="1"/>
      <ddeItem name="FOXA.US-BestAsk1" advise="1"/>
      <ddeItem name="FOXA.US-BestBid1" advise="1"/>
      <ddeItem name="FOXA.US-PreClose" advise="1"/>
      <ddeItem name="FOXA.US-Price" advise="1"/>
      <ddeItem name="FRT.US-BestAsk1" advise="1"/>
      <ddeItem name="FRT.US-BestBid1" advise="1"/>
      <ddeItem name="FRT.US-PreClose" advise="1"/>
      <ddeItem name="FRT.US-Price" advise="1"/>
      <ddeItem name="FTI.US-BestAsk1" advise="1"/>
      <ddeItem name="FTI.US-BestBid1" advise="1"/>
      <ddeItem name="FTI.US-PreClose" advise="1"/>
      <ddeItem name="FTI.US-Price" advise="1"/>
      <ddeItem name="FTV.US-BestAsk1" advise="1"/>
      <ddeItem name="FTV.US-BestBid1" advise="1"/>
      <ddeItem name="FTV.US-PreClose" advise="1"/>
      <ddeItem name="FTV.US-Price" advise="1"/>
      <ddeItem name="GBP.FX-Ask" advise="1"/>
      <ddeItem name="GBP.FX-AvgPrice" advise="1"/>
      <ddeItem name="GBP.FX-BestAskSize" advise="1"/>
      <ddeItem name="GBP.FX-BestBidSize" advise="1"/>
      <ddeItem name="GBP.FX-Bid" advise="1"/>
      <ddeItem name="GBP.FX-Capital" advise="1"/>
      <ddeItem name="GBP.FX-InOutRatio" advise="1"/>
      <ddeItem name="GBP.FX-MarketValue" advise="1"/>
      <ddeItem name="GBP.FX-Name" advise="1"/>
      <ddeItem name="GBP.FX-PreClose" advise="1"/>
      <ddeItem name="GBP.FX-Price" advise="1"/>
      <ddeItem name="GBP.FX-PriceChange" advise="1"/>
      <ddeItem name="GBP.FX-PriceChangeRatio" advise="1"/>
      <ddeItem name="GBP.FX-Profit" advise="1"/>
      <ddeItem name="GBP.FX-TotalVolume" advise="1"/>
      <ddeItem name="GBP.FX-Volume" advise="1"/>
      <ddeItem name="GBPTW.FX-Ask" advise="1"/>
      <ddeItem name="GBPTW.FX-AvgPrice" advise="1"/>
      <ddeItem name="GBPTW.FX-BestAskSize" advise="1"/>
      <ddeItem name="GBPTW.FX-BestBidSize" advise="1"/>
      <ddeItem name="GBPTW.FX-Bid" advise="1"/>
      <ddeItem name="GBPTW.FX-Capital" advise="1"/>
      <ddeItem name="GBPTW.FX-InOutRatio" advise="1"/>
      <ddeItem name="GBPTW.FX-MarketValue" advise="1"/>
      <ddeItem name="GBPTW.FX-Name" advise="1"/>
      <ddeItem name="GBPTW.FX-PreClose" advise="1"/>
      <ddeItem name="GBPTW.FX-Price" advise="1"/>
      <ddeItem name="GBPTW.FX-PriceChange" advise="1"/>
      <ddeItem name="GBPTW.FX-PriceChangeRatio" advise="1"/>
      <ddeItem name="GBPTW.FX-Profit" advise="1"/>
      <ddeItem name="GBPTW.FX-TotalVolume" advise="1"/>
      <ddeItem name="GBPTW.FX-Volume" advise="1"/>
      <ddeItem name="GD.US-BestAsk1" advise="1"/>
      <ddeItem name="GD.US-BestBid1" advise="1"/>
      <ddeItem name="GD.US-PreClose" advise="1"/>
      <ddeItem name="GD.US-Price" advise="1"/>
      <ddeItem name="GE.US-BestAsk1">
        <values>
          <value t="str">
            <val>N/A</val>
          </value>
        </values>
      </ddeItem>
      <ddeItem name="GE.US-BestBid1">
        <values>
          <value t="str">
            <val>N/A</val>
          </value>
        </values>
      </ddeItem>
      <ddeItem name="GE.US-PreClose">
        <values>
          <value t="str">
            <val>N/A</val>
          </value>
        </values>
      </ddeItem>
      <ddeItem name="GE.US-Price">
        <values>
          <value t="str">
            <val>N/A</val>
          </value>
        </values>
      </ddeItem>
      <ddeItem name="GGP.US-BestAsk1" advise="1"/>
      <ddeItem name="GGP.US-BestBid1" advise="1"/>
      <ddeItem name="GGP.US-PreClose" advise="1"/>
      <ddeItem name="GGP.US-Price" advise="1"/>
      <ddeItem name="GILD.US-BestAsk1" advise="1"/>
      <ddeItem name="GILD.US-BestBid1" advise="1"/>
      <ddeItem name="GILD.US-PreClose" advise="1"/>
      <ddeItem name="GILD.US-Price" advise="1"/>
      <ddeItem name="GIS.US-BestAsk1">
        <values>
          <value t="str">
            <val>N/A</val>
          </value>
        </values>
      </ddeItem>
      <ddeItem name="GIS.US-BestBid1">
        <values>
          <value t="str">
            <val>N/A</val>
          </value>
        </values>
      </ddeItem>
      <ddeItem name="GIS.US-PreClose">
        <values>
          <value t="str">
            <val>N/A</val>
          </value>
        </values>
      </ddeItem>
      <ddeItem name="GIS.US-Price">
        <values>
          <value t="str">
            <val>N/A</val>
          </value>
        </values>
      </ddeItem>
      <ddeItem name="GLW.US-BestAsk1" advise="1"/>
      <ddeItem name="GLW.US-BestBid1" advise="1"/>
      <ddeItem name="GLW.US-PreClose" advise="1"/>
      <ddeItem name="GLW.US-Price" advise="1"/>
      <ddeItem name="GM.US-BestAsk1" advise="1"/>
      <ddeItem name="GM.US-BestBid1" advise="1"/>
      <ddeItem name="GM.US-PreClose" advise="1"/>
      <ddeItem name="GM.US-Price" advise="1"/>
      <ddeItem name="GOOG.US-BestAsk1" advise="1"/>
      <ddeItem name="GOOG.US-BestBid1" advise="1"/>
      <ddeItem name="GOOG.US-PreClose" advise="1"/>
      <ddeItem name="GOOG.US-Price" advise="1"/>
      <ddeItem name="GOOGL.US-BestAsk1" advise="1"/>
      <ddeItem name="GOOGL.US-BestBid1" advise="1"/>
      <ddeItem name="GOOGL.US-PreClose" advise="1"/>
      <ddeItem name="GOOGL.US-Price" advise="1"/>
      <ddeItem name="GPC.US-BestAsk1" advise="1"/>
      <ddeItem name="GPC.US-BestBid1" advise="1"/>
      <ddeItem name="GPC.US-PreClose" advise="1"/>
      <ddeItem name="GPC.US-Price" advise="1"/>
      <ddeItem name="GPN.US-BestAsk1" advise="1"/>
      <ddeItem name="GPN.US-BestBid1" advise="1"/>
      <ddeItem name="GPN.US-PreClose" advise="1"/>
      <ddeItem name="GPN.US-Price" advise="1"/>
      <ddeItem name="GPS.US-BestAsk1" advise="1"/>
      <ddeItem name="GPS.US-BestBid1" advise="1"/>
      <ddeItem name="GPS.US-PreClose" advise="1"/>
      <ddeItem name="GPS.US-Price" advise="1"/>
      <ddeItem name="GRMN.US-BestAsk1" advise="1"/>
      <ddeItem name="GRMN.US-BestBid1" advise="1"/>
      <ddeItem name="GRMN.US-PreClose" advise="1"/>
      <ddeItem name="GRMN.US-Price" advise="1"/>
      <ddeItem name="GS.US-BestAsk1">
        <values>
          <value t="str">
            <val>N/A</val>
          </value>
        </values>
      </ddeItem>
      <ddeItem name="GS.US-BestBid1">
        <values>
          <value t="str">
            <val>N/A</val>
          </value>
        </values>
      </ddeItem>
      <ddeItem name="GS.US-PreClose">
        <values>
          <value t="str">
            <val>N/A</val>
          </value>
        </values>
      </ddeItem>
      <ddeItem name="GS.US-Price">
        <values>
          <value t="str">
            <val>N/A</val>
          </value>
        </values>
      </ddeItem>
      <ddeItem name="GT.US-BestAsk1" advise="1"/>
      <ddeItem name="GT.US-BestBid1" advise="1"/>
      <ddeItem name="GT.US-PreClose" advise="1"/>
      <ddeItem name="GT.US-Price" advise="1"/>
      <ddeItem name="GWW.US-BestAsk1" advise="1"/>
      <ddeItem name="GWW.US-BestBid1" advise="1"/>
      <ddeItem name="GWW.US-PreClose" advise="1"/>
      <ddeItem name="GWW.US-Price" advise="1"/>
      <ddeItem name="HAL.US-BestAsk1" advise="1"/>
      <ddeItem name="HAL.US-BestBid1" advise="1"/>
      <ddeItem name="HAL.US-PreClose" advise="1"/>
      <ddeItem name="HAL.US-Price" advise="1"/>
      <ddeItem name="HAS.US-BestAsk1" advise="1"/>
      <ddeItem name="HAS.US-BestBid1" advise="1"/>
      <ddeItem name="HAS.US-PreClose" advise="1"/>
      <ddeItem name="HAS.US-Price" advise="1"/>
      <ddeItem name="HBAN.US-BestAsk1" advise="1"/>
      <ddeItem name="HBAN.US-BestBid1" advise="1"/>
      <ddeItem name="HBAN.US-PreClose" advise="1"/>
      <ddeItem name="HBAN.US-Price" advise="1"/>
      <ddeItem name="HBI.US-BestAsk1" advise="1"/>
      <ddeItem name="HBI.US-BestBid1" advise="1"/>
      <ddeItem name="HBI.US-PreClose" advise="1"/>
      <ddeItem name="HBI.US-Price" advise="1"/>
      <ddeItem name="HCA.US-BestAsk1" advise="1"/>
      <ddeItem name="HCA.US-BestBid1" advise="1"/>
      <ddeItem name="HCA.US-PreClose" advise="1"/>
      <ddeItem name="HCA.US-Price" advise="1"/>
      <ddeItem name="HCN.US-BestAsk1">
        <values>
          <value t="str">
            <val>--</val>
          </value>
        </values>
      </ddeItem>
      <ddeItem name="HCN.US-BestBid1">
        <values>
          <value t="str">
            <val>--</val>
          </value>
        </values>
      </ddeItem>
      <ddeItem name="HCN.US-PreClose">
        <values>
          <value>
            <val>60.17</val>
          </value>
        </values>
      </ddeItem>
      <ddeItem name="HCN.US-Price">
        <values>
          <value>
            <val>59.16</val>
          </value>
        </values>
      </ddeItem>
      <ddeItem name="HCP.US-BestAsk1">
        <values>
          <value t="str">
            <val>N/A</val>
          </value>
        </values>
      </ddeItem>
      <ddeItem name="HCP.US-BestBid1">
        <values>
          <value t="str">
            <val>N/A</val>
          </value>
        </values>
      </ddeItem>
      <ddeItem name="HCP.US-PreClose">
        <values>
          <value t="str">
            <val>N/A</val>
          </value>
        </values>
      </ddeItem>
      <ddeItem name="HCP.US-Price">
        <values>
          <value t="str">
            <val>N/A</val>
          </value>
        </values>
      </ddeItem>
      <ddeItem name="HD.US-BestAsk1">
        <values>
          <value t="str">
            <val>N/A</val>
          </value>
        </values>
      </ddeItem>
      <ddeItem name="HD.US-BestBid1">
        <values>
          <value t="str">
            <val>N/A</val>
          </value>
        </values>
      </ddeItem>
      <ddeItem name="HD.US-PreClose">
        <values>
          <value t="str">
            <val>N/A</val>
          </value>
        </values>
      </ddeItem>
      <ddeItem name="HD.US-Price">
        <values>
          <value t="str">
            <val>N/A</val>
          </value>
        </values>
      </ddeItem>
      <ddeItem name="HES.US-BestAsk1" advise="1"/>
      <ddeItem name="HES.US-BestBid1" advise="1"/>
      <ddeItem name="HES.US-PreClose" advise="1"/>
      <ddeItem name="HES.US-Price" advise="1"/>
      <ddeItem name="HIG.US-BestAsk1" advise="1"/>
      <ddeItem name="HIG.US-BestBid1" advise="1"/>
      <ddeItem name="HIG.US-PreClose" advise="1"/>
      <ddeItem name="HIG.US-Price" advise="1"/>
      <ddeItem name="HKD.FX-Ask" advise="1"/>
      <ddeItem name="HKD.FX-AvgPrice" advise="1"/>
      <ddeItem name="HKD.FX-BestAskSize" advise="1"/>
      <ddeItem name="HKD.FX-BestBidSize" advise="1"/>
      <ddeItem name="HKD.FX-Bid" advise="1"/>
      <ddeItem name="HKD.FX-Capital" advise="1"/>
      <ddeItem name="HKD.FX-InOutRatio" advise="1"/>
      <ddeItem name="HKD.FX-MarketValue" advise="1"/>
      <ddeItem name="HKD.FX-Name" advise="1"/>
      <ddeItem name="HKD.FX-PreClose" advise="1"/>
      <ddeItem name="HKD.FX-Price" advise="1"/>
      <ddeItem name="HKD.FX-PriceChange" advise="1"/>
      <ddeItem name="HKD.FX-PriceChangeRatio" advise="1"/>
      <ddeItem name="HKD.FX-Profit" advise="1"/>
      <ddeItem name="HKD.FX-TotalVolume" advise="1"/>
      <ddeItem name="HKD.FX-Volume" advise="1"/>
      <ddeItem name="HKDTW.FX-Ask" advise="1"/>
      <ddeItem name="HKDTW.FX-AvgPrice" advise="1"/>
      <ddeItem name="HKDTW.FX-BestAskSize" advise="1"/>
      <ddeItem name="HKDTW.FX-BestBidSize" advise="1"/>
      <ddeItem name="HKDTW.FX-Bid" advise="1"/>
      <ddeItem name="HKDTW.FX-Capital" advise="1"/>
      <ddeItem name="HKDTW.FX-InOutRatio" advise="1"/>
      <ddeItem name="HKDTW.FX-MarketValue" advise="1"/>
      <ddeItem name="HKDTW.FX-Name" advise="1"/>
      <ddeItem name="HKDTW.FX-PreClose" advise="1"/>
      <ddeItem name="HKDTW.FX-Price" advise="1"/>
      <ddeItem name="HKDTW.FX-PriceChange" advise="1"/>
      <ddeItem name="HKDTW.FX-PriceChangeRatio" advise="1"/>
      <ddeItem name="HKDTW.FX-Profit" advise="1"/>
      <ddeItem name="HKDTW.FX-TotalVolume" advise="1"/>
      <ddeItem name="HKDTW.FX-Volume" advise="1"/>
      <ddeItem name="HLT.US-BestAsk1" advise="1"/>
      <ddeItem name="HLT.US-BestBid1" advise="1"/>
      <ddeItem name="HLT.US-PreClose" advise="1"/>
      <ddeItem name="HLT.US-Price" advise="1"/>
      <ddeItem name="HOG.US-BestAsk1" advise="1"/>
      <ddeItem name="HOG.US-BestBid1" advise="1"/>
      <ddeItem name="HOG.US-PreClose" advise="1"/>
      <ddeItem name="HOG.US-Price" advise="1"/>
      <ddeItem name="HOLX.US-BestAsk1" advise="1"/>
      <ddeItem name="HOLX.US-BestBid1" advise="1"/>
      <ddeItem name="HOLX.US-PreClose" advise="1"/>
      <ddeItem name="HOLX.US-Price" advise="1"/>
      <ddeItem name="HON.US-BestAsk1" advise="1"/>
      <ddeItem name="HON.US-BestBid1" advise="1"/>
      <ddeItem name="HON.US-PreClose" advise="1"/>
      <ddeItem name="HON.US-Price" advise="1"/>
      <ddeItem name="HP.US-BestAsk1" advise="1"/>
      <ddeItem name="HP.US-BestBid1" advise="1"/>
      <ddeItem name="HP.US-PreClose" advise="1"/>
      <ddeItem name="HP.US-Price" advise="1"/>
      <ddeItem name="HPE.US-BestAsk1" advise="1"/>
      <ddeItem name="HPE.US-BestBid1" advise="1"/>
      <ddeItem name="HPE.US-PreClose" advise="1"/>
      <ddeItem name="HPE.US-Price" advise="1"/>
      <ddeItem name="HPQ.US-BestAsk1">
        <values>
          <value t="str">
            <val>N/A</val>
          </value>
        </values>
      </ddeItem>
      <ddeItem name="HPQ.US-BestBid1">
        <values>
          <value t="str">
            <val>N/A</val>
          </value>
        </values>
      </ddeItem>
      <ddeItem name="HPQ.US-PreClose">
        <values>
          <value t="str">
            <val>N/A</val>
          </value>
        </values>
      </ddeItem>
      <ddeItem name="HPQ.US-Price">
        <values>
          <value t="str">
            <val>N/A</val>
          </value>
        </values>
      </ddeItem>
      <ddeItem name="HRB.US-BestAsk1" advise="1"/>
      <ddeItem name="HRB.US-BestBid1" advise="1"/>
      <ddeItem name="HRB.US-PreClose" advise="1"/>
      <ddeItem name="HRB.US-Price" advise="1"/>
      <ddeItem name="HRL.US-BestAsk1" advise="1"/>
      <ddeItem name="HRL.US-BestBid1" advise="1"/>
      <ddeItem name="HRL.US-PreClose" advise="1"/>
      <ddeItem name="HRL.US-Price" advise="1"/>
      <ddeItem name="HRS.US-BestAsk1" advise="1"/>
      <ddeItem name="HRS.US-BestBid1" advise="1"/>
      <ddeItem name="HRS.US-PreClose" advise="1"/>
      <ddeItem name="HRS.US-Price" advise="1"/>
      <ddeItem name="HSIC.US-BestAsk1" advise="1"/>
      <ddeItem name="HSIC.US-BestBid1" advise="1"/>
      <ddeItem name="HSIC.US-PreClose" advise="1"/>
      <ddeItem name="HSIC.US-Price" advise="1"/>
      <ddeItem name="HST.US-BestAsk1">
        <values>
          <value t="str">
            <val>N/A</val>
          </value>
        </values>
      </ddeItem>
      <ddeItem name="HST.US-BestBid1">
        <values>
          <value t="str">
            <val>N/A</val>
          </value>
        </values>
      </ddeItem>
      <ddeItem name="HST.US-PreClose">
        <values>
          <value t="str">
            <val>N/A</val>
          </value>
        </values>
      </ddeItem>
      <ddeItem name="HST.US-Price">
        <values>
          <value t="str">
            <val>N/A</val>
          </value>
        </values>
      </ddeItem>
      <ddeItem name="HSY.US-BestAsk1" advise="1"/>
      <ddeItem name="HSY.US-BestBid1" advise="1"/>
      <ddeItem name="HSY.US-PreClose" advise="1"/>
      <ddeItem name="HSY.US-Price" advise="1"/>
      <ddeItem name="HUM.US-BestAsk1" advise="1"/>
      <ddeItem name="HUM.US-BestBid1" advise="1"/>
      <ddeItem name="HUM.US-PreClose" advise="1"/>
      <ddeItem name="HUM.US-Price" advise="1"/>
      <ddeItem name="IBM.US-BestAsk1">
        <values>
          <value t="str">
            <val>N/A</val>
          </value>
        </values>
      </ddeItem>
      <ddeItem name="IBM.US-BestBid1">
        <values>
          <value t="str">
            <val>N/A</val>
          </value>
        </values>
      </ddeItem>
      <ddeItem name="IBM.US-PreClose">
        <values>
          <value t="str">
            <val>N/A</val>
          </value>
        </values>
      </ddeItem>
      <ddeItem name="IBM.US-Price">
        <values>
          <value t="str">
            <val>N/A</val>
          </value>
        </values>
      </ddeItem>
      <ddeItem name="ICE.US-BestAsk1" advise="1"/>
      <ddeItem name="ICE.US-BestBid1" advise="1"/>
      <ddeItem name="ICE.US-PreClose" advise="1"/>
      <ddeItem name="ICE.US-Price" advise="1"/>
      <ddeItem name="IDRTW.FX-Ask" advise="1"/>
      <ddeItem name="IDRTW.FX-AvgPrice" advise="1"/>
      <ddeItem name="IDRTW.FX-BestAskSize" advise="1"/>
      <ddeItem name="IDRTW.FX-BestBidSize" advise="1"/>
      <ddeItem name="IDRTW.FX-Bid" advise="1"/>
      <ddeItem name="IDRTW.FX-Capital" advise="1"/>
      <ddeItem name="IDRTW.FX-InOutRatio" advise="1"/>
      <ddeItem name="IDRTW.FX-MarketValue" advise="1"/>
      <ddeItem name="IDRTW.FX-Name" advise="1"/>
      <ddeItem name="IDRTW.FX-PreClose" advise="1"/>
      <ddeItem name="IDRTW.FX-Price" advise="1"/>
      <ddeItem name="IDRTW.FX-PriceChange" advise="1"/>
      <ddeItem name="IDRTW.FX-PriceChangeRatio" advise="1"/>
      <ddeItem name="IDRTW.FX-Profit" advise="1"/>
      <ddeItem name="IDRTW.FX-TotalVolume" advise="1"/>
      <ddeItem name="IDRTW.FX-Volume" advise="1"/>
      <ddeItem name="IDXX.US-BestAsk1" advise="1"/>
      <ddeItem name="IDXX.US-BestBid1" advise="1"/>
      <ddeItem name="IDXX.US-PreClose" advise="1"/>
      <ddeItem name="IDXX.US-Price" advise="1"/>
      <ddeItem name="IFF.US-BestAsk1" advise="1"/>
      <ddeItem name="IFF.US-BestBid1" advise="1"/>
      <ddeItem name="IFF.US-PreClose" advise="1"/>
      <ddeItem name="IFF.US-Price" advise="1"/>
      <ddeItem name="ILMN.US-BestAsk1" advise="1"/>
      <ddeItem name="ILMN.US-BestBid1" advise="1"/>
      <ddeItem name="ILMN.US-PreClose" advise="1"/>
      <ddeItem name="ILMN.US-Price" advise="1"/>
      <ddeItem name="INCY.US-BestAsk1" advise="1"/>
      <ddeItem name="INCY.US-BestBid1" advise="1"/>
      <ddeItem name="INCY.US-PreClose" advise="1"/>
      <ddeItem name="INCY.US-Price" advise="1"/>
      <ddeItem name="INFO.US-BestAsk1" advise="1"/>
      <ddeItem name="INFO.US-BestBid1" advise="1"/>
      <ddeItem name="INFO.US-PreClose" advise="1"/>
      <ddeItem name="INFO.US-Price" advise="1"/>
      <ddeItem name="INR.FX-Ask" advise="1"/>
      <ddeItem name="INR.FX-AvgPrice" advise="1"/>
      <ddeItem name="INR.FX-BestAskSize" advise="1"/>
      <ddeItem name="INR.FX-BestBidSize" advise="1"/>
      <ddeItem name="INR.FX-Bid" advise="1"/>
      <ddeItem name="INR.FX-Capital" advise="1"/>
      <ddeItem name="INR.FX-InOutRatio" advise="1"/>
      <ddeItem name="INR.FX-MarketValue" advise="1"/>
      <ddeItem name="INR.FX-Name" advise="1"/>
      <ddeItem name="INR.FX-PreClose" advise="1"/>
      <ddeItem name="INR.FX-Price" advise="1"/>
      <ddeItem name="INR.FX-PriceChange" advise="1"/>
      <ddeItem name="INR.FX-PriceChangeRatio" advise="1"/>
      <ddeItem name="INR.FX-Profit" advise="1"/>
      <ddeItem name="INR.FX-TotalVolume" advise="1"/>
      <ddeItem name="INR.FX-Volume" advise="1"/>
      <ddeItem name="INRTW.FX-Ask" advise="1"/>
      <ddeItem name="INRTW.FX-AvgPrice" advise="1"/>
      <ddeItem name="INRTW.FX-BestAskSize" advise="1"/>
      <ddeItem name="INRTW.FX-BestBidSize" advise="1"/>
      <ddeItem name="INRTW.FX-Bid" advise="1"/>
      <ddeItem name="INRTW.FX-Capital" advise="1"/>
      <ddeItem name="INRTW.FX-InOutRatio" advise="1"/>
      <ddeItem name="INRTW.FX-MarketValue" advise="1"/>
      <ddeItem name="INRTW.FX-Name" advise="1"/>
      <ddeItem name="INRTW.FX-PreClose" advise="1"/>
      <ddeItem name="INRTW.FX-Price" advise="1"/>
      <ddeItem name="INRTW.FX-PriceChange" advise="1"/>
      <ddeItem name="INRTW.FX-PriceChangeRatio" advise="1"/>
      <ddeItem name="INRTW.FX-Profit" advise="1"/>
      <ddeItem name="INRTW.FX-TotalVolume" advise="1"/>
      <ddeItem name="INRTW.FX-Volume" advise="1"/>
      <ddeItem name="INTC.US-BestAsk1" advise="1"/>
      <ddeItem name="INTC.US-BestBid1" advise="1"/>
      <ddeItem name="INTC.US-PreClose" advise="1"/>
      <ddeItem name="INTC.US-Price" advise="1"/>
      <ddeItem name="INTU.US-BestAsk1" advise="1"/>
      <ddeItem name="INTU.US-BestBid1" advise="1"/>
      <ddeItem name="INTU.US-PreClose" advise="1"/>
      <ddeItem name="INTU.US-Price" advise="1"/>
      <ddeItem name="IP.US-BestAsk1">
        <values>
          <value t="str">
            <val>N/A</val>
          </value>
        </values>
      </ddeItem>
      <ddeItem name="IP.US-BestBid1">
        <values>
          <value t="str">
            <val>N/A</val>
          </value>
        </values>
      </ddeItem>
      <ddeItem name="IP.US-PreClose">
        <values>
          <value t="str">
            <val>N/A</val>
          </value>
        </values>
      </ddeItem>
      <ddeItem name="IP.US-Price">
        <values>
          <value t="str">
            <val>N/A</val>
          </value>
        </values>
      </ddeItem>
      <ddeItem name="IPG.US-BestAsk1" advise="1"/>
      <ddeItem name="IPG.US-BestBid1" advise="1"/>
      <ddeItem name="IPG.US-PreClose" advise="1"/>
      <ddeItem name="IPG.US-Price" advise="1"/>
      <ddeItem name="IR.US-BestAsk1" advise="1"/>
      <ddeItem name="IR.US-BestBid1" advise="1"/>
      <ddeItem name="IR.US-PreClose" advise="1"/>
      <ddeItem name="IR.US-Price" advise="1"/>
      <ddeItem name="IRM.US-BestAsk1">
        <values>
          <value t="str">
            <val>N/A</val>
          </value>
        </values>
      </ddeItem>
      <ddeItem name="IRM.US-BestBid1">
        <values>
          <value t="str">
            <val>N/A</val>
          </value>
        </values>
      </ddeItem>
      <ddeItem name="IRM.US-PreClose">
        <values>
          <value t="str">
            <val>N/A</val>
          </value>
        </values>
      </ddeItem>
      <ddeItem name="IRM.US-Price">
        <values>
          <value t="str">
            <val>N/A</val>
          </value>
        </values>
      </ddeItem>
      <ddeItem name="ISRG.US-BestAsk1" advise="1"/>
      <ddeItem name="ISRG.US-BestBid1" advise="1"/>
      <ddeItem name="ISRG.US-PreClose" advise="1"/>
      <ddeItem name="ISRG.US-Price" advise="1"/>
      <ddeItem name="IT.US-BestAsk1" advise="1"/>
      <ddeItem name="IT.US-BestBid1" advise="1"/>
      <ddeItem name="IT.US-PreClose" advise="1"/>
      <ddeItem name="IT.US-Price" advise="1"/>
      <ddeItem name="ITW.US-BestAsk1" advise="1"/>
      <ddeItem name="ITW.US-BestBid1" advise="1"/>
      <ddeItem name="ITW.US-PreClose" advise="1"/>
      <ddeItem name="ITW.US-Price" advise="1"/>
      <ddeItem name="IVZ.US-BestAsk1">
        <values>
          <value t="str">
            <val>N/A</val>
          </value>
        </values>
      </ddeItem>
      <ddeItem name="IVZ.US-BestBid1">
        <values>
          <value t="str">
            <val>N/A</val>
          </value>
        </values>
      </ddeItem>
      <ddeItem name="IVZ.US-PreClose">
        <values>
          <value t="str">
            <val>N/A</val>
          </value>
        </values>
      </ddeItem>
      <ddeItem name="IVZ.US-Price">
        <values>
          <value t="str">
            <val>N/A</val>
          </value>
        </values>
      </ddeItem>
      <ddeItem name="JBHT.US-BestAsk1" advise="1"/>
      <ddeItem name="JBHT.US-BestBid1" advise="1"/>
      <ddeItem name="JBHT.US-PreClose" advise="1"/>
      <ddeItem name="JBHT.US-Price" advise="1"/>
      <ddeItem name="JCI.US-BestAsk1" advise="1"/>
      <ddeItem name="JCI.US-BestBid1" advise="1"/>
      <ddeItem name="JCI.US-PreClose" advise="1"/>
      <ddeItem name="JCI.US-Price" advise="1"/>
      <ddeItem name="JEC.US-BestAsk1" advise="1"/>
      <ddeItem name="JEC.US-BestBid1" advise="1"/>
      <ddeItem name="JEC.US-PreClose" advise="1"/>
      <ddeItem name="JEC.US-Price" advise="1"/>
      <ddeItem name="JNJ.US-BestAsk1">
        <values>
          <value t="str">
            <val>N/A</val>
          </value>
        </values>
      </ddeItem>
      <ddeItem name="JNJ.US-BestBid1">
        <values>
          <value t="str">
            <val>N/A</val>
          </value>
        </values>
      </ddeItem>
      <ddeItem name="JNJ.US-PreClose">
        <values>
          <value t="str">
            <val>N/A</val>
          </value>
        </values>
      </ddeItem>
      <ddeItem name="JNJ.US-Price">
        <values>
          <value t="str">
            <val>N/A</val>
          </value>
        </values>
      </ddeItem>
      <ddeItem name="JNPR.US-BestAsk1" advise="1"/>
      <ddeItem name="JNPR.US-BestBid1" advise="1"/>
      <ddeItem name="JNPR.US-PreClose" advise="1"/>
      <ddeItem name="JNPR.US-Price" advise="1"/>
      <ddeItem name="JPM.US-BestAsk1">
        <values>
          <value t="str">
            <val>N/A</val>
          </value>
        </values>
      </ddeItem>
      <ddeItem name="JPM.US-BestBid1">
        <values>
          <value t="str">
            <val>N/A</val>
          </value>
        </values>
      </ddeItem>
      <ddeItem name="JPM.US-PreClose">
        <values>
          <value t="str">
            <val>N/A</val>
          </value>
        </values>
      </ddeItem>
      <ddeItem name="JPM.US-Price">
        <values>
          <value t="str">
            <val>N/A</val>
          </value>
        </values>
      </ddeItem>
      <ddeItem name="JPY.FX-Ask" advise="1"/>
      <ddeItem name="JPY.FX-AvgPrice" advise="1"/>
      <ddeItem name="JPY.FX-BestAskSize" advise="1"/>
      <ddeItem name="JPY.FX-BestBidSize" advise="1"/>
      <ddeItem name="JPY.FX-Bid" advise="1"/>
      <ddeItem name="JPY.FX-Capital" advise="1"/>
      <ddeItem name="JPY.FX-InOutRatio" advise="1"/>
      <ddeItem name="JPY.FX-MarketValue" advise="1"/>
      <ddeItem name="JPY.FX-Name" advise="1"/>
      <ddeItem name="JPY.FX-PreClose" advise="1"/>
      <ddeItem name="JPY.FX-Price" advise="1"/>
      <ddeItem name="JPY.FX-PriceChange" advise="1"/>
      <ddeItem name="JPY.FX-PriceChangeRatio" advise="1"/>
      <ddeItem name="JPY.FX-Profit" advise="1"/>
      <ddeItem name="JPY.FX-TotalVolume" advise="1"/>
      <ddeItem name="JPY.FX-Volume" advise="1"/>
      <ddeItem name="JPYTW.FX-Ask" advise="1"/>
      <ddeItem name="JPYTW.FX-AvgPrice" advise="1"/>
      <ddeItem name="JPYTW.FX-BestAskSize" advise="1"/>
      <ddeItem name="JPYTW.FX-BestBidSize" advise="1"/>
      <ddeItem name="JPYTW.FX-Bid" advise="1"/>
      <ddeItem name="JPYTW.FX-Capital" advise="1"/>
      <ddeItem name="JPYTW.FX-InOutRatio" advise="1"/>
      <ddeItem name="JPYTW.FX-MarketValue" advise="1"/>
      <ddeItem name="JPYTW.FX-Name" advise="1"/>
      <ddeItem name="JPYTW.FX-PreClose" advise="1"/>
      <ddeItem name="JPYTW.FX-Price" advise="1"/>
      <ddeItem name="JPYTW.FX-PriceChange" advise="1"/>
      <ddeItem name="JPYTW.FX-PriceChangeRatio" advise="1"/>
      <ddeItem name="JPYTW.FX-Profit" advise="1"/>
      <ddeItem name="JPYTW.FX-TotalVolume" advise="1"/>
      <ddeItem name="JPYTW.FX-Volume" advise="1"/>
      <ddeItem name="JWN.US-BestAsk1" advise="1"/>
      <ddeItem name="JWN.US-BestBid1" advise="1"/>
      <ddeItem name="JWN.US-PreClose" advise="1"/>
      <ddeItem name="JWN.US-Price" advise="1"/>
      <ddeItem name="K.US-BestAsk1">
        <values>
          <value t="str">
            <val>N/A</val>
          </value>
        </values>
      </ddeItem>
      <ddeItem name="K.US-BestBid1">
        <values>
          <value t="str">
            <val>N/A</val>
          </value>
        </values>
      </ddeItem>
      <ddeItem name="K.US-PreClose">
        <values>
          <value t="str">
            <val>N/A</val>
          </value>
        </values>
      </ddeItem>
      <ddeItem name="K.US-Price">
        <values>
          <value t="str">
            <val>N/A</val>
          </value>
        </values>
      </ddeItem>
      <ddeItem name="KEY.US-BestAsk1" advise="1"/>
      <ddeItem name="KEY.US-BestBid1" advise="1"/>
      <ddeItem name="KEY.US-PreClose" advise="1"/>
      <ddeItem name="KEY.US-Price" advise="1"/>
      <ddeItem name="KHC.US-BestAsk1" advise="1"/>
      <ddeItem name="KHC.US-BestBid1" advise="1"/>
      <ddeItem name="KHC.US-PreClose" advise="1"/>
      <ddeItem name="KHC.US-Price" advise="1"/>
      <ddeItem name="KIM.US-BestAsk1">
        <values>
          <value t="str">
            <val>N/A</val>
          </value>
        </values>
      </ddeItem>
      <ddeItem name="KIM.US-BestBid1">
        <values>
          <value t="str">
            <val>N/A</val>
          </value>
        </values>
      </ddeItem>
      <ddeItem name="KIM.US-PreClose">
        <values>
          <value t="str">
            <val>N/A</val>
          </value>
        </values>
      </ddeItem>
      <ddeItem name="KIM.US-Price">
        <values>
          <value t="str">
            <val>N/A</val>
          </value>
        </values>
      </ddeItem>
      <ddeItem name="KLAC.US-BestAsk1" advise="1"/>
      <ddeItem name="KLAC.US-BestBid1" advise="1"/>
      <ddeItem name="KLAC.US-PreClose" advise="1"/>
      <ddeItem name="KLAC.US-Price" advise="1"/>
      <ddeItem name="KMB.US-BestAsk1" advise="1"/>
      <ddeItem name="KMB.US-BestBid1" advise="1"/>
      <ddeItem name="KMB.US-PreClose" advise="1"/>
      <ddeItem name="KMB.US-Price" advise="1"/>
      <ddeItem name="KMI.US-BestAsk1" advise="1"/>
      <ddeItem name="KMI.US-BestBid1" advise="1"/>
      <ddeItem name="KMI.US-PreClose" advise="1"/>
      <ddeItem name="KMI.US-Price" advise="1"/>
      <ddeItem name="KMX.US-BestAsk1" advise="1"/>
      <ddeItem name="KMX.US-BestBid1" advise="1"/>
      <ddeItem name="KMX.US-PreClose" advise="1"/>
      <ddeItem name="KMX.US-Price" advise="1"/>
      <ddeItem name="KO.US-BestAsk1">
        <values>
          <value t="str">
            <val>N/A</val>
          </value>
        </values>
      </ddeItem>
      <ddeItem name="KO.US-BestBid1">
        <values>
          <value t="str">
            <val>N/A</val>
          </value>
        </values>
      </ddeItem>
      <ddeItem name="KO.US-PreClose">
        <values>
          <value t="str">
            <val>N/A</val>
          </value>
        </values>
      </ddeItem>
      <ddeItem name="KO.US-Price">
        <values>
          <value t="str">
            <val>N/A</val>
          </value>
        </values>
      </ddeItem>
      <ddeItem name="KORS.US-BestAsk1" advise="1"/>
      <ddeItem name="KORS.US-BestBid1" advise="1"/>
      <ddeItem name="KORS.US-PreClose" advise="1"/>
      <ddeItem name="KORS.US-Price" advise="1"/>
      <ddeItem name="KR.US-BestAsk1" advise="1"/>
      <ddeItem name="KR.US-BestBid1" advise="1"/>
      <ddeItem name="KR.US-PreClose" advise="1"/>
      <ddeItem name="KR.US-Price" advise="1"/>
      <ddeItem name="KRW.FX-Ask" advise="1"/>
      <ddeItem name="KRW.FX-AvgPrice" advise="1"/>
      <ddeItem name="KRW.FX-BestAskSize" advise="1"/>
      <ddeItem name="KRW.FX-BestBidSize" advise="1"/>
      <ddeItem name="KRW.FX-Bid" advise="1"/>
      <ddeItem name="KRW.FX-Capital" advise="1"/>
      <ddeItem name="KRW.FX-InOutRatio" advise="1"/>
      <ddeItem name="KRW.FX-MarketValue" advise="1"/>
      <ddeItem name="KRW.FX-Name" advise="1"/>
      <ddeItem name="KRW.FX-PreClose" advise="1"/>
      <ddeItem name="KRW.FX-Price" advise="1"/>
      <ddeItem name="KRW.FX-PriceChange" advise="1"/>
      <ddeItem name="KRW.FX-PriceChangeRatio" advise="1"/>
      <ddeItem name="KRW.FX-Profit" advise="1"/>
      <ddeItem name="KRW.FX-TotalVolume" advise="1"/>
      <ddeItem name="KRW.FX-Volume" advise="1"/>
      <ddeItem name="KRWTW.FX-Ask" advise="1"/>
      <ddeItem name="KRWTW.FX-AvgPrice" advise="1"/>
      <ddeItem name="KRWTW.FX-BestAskSize" advise="1"/>
      <ddeItem name="KRWTW.FX-BestBidSize" advise="1"/>
      <ddeItem name="KRWTW.FX-Bid" advise="1"/>
      <ddeItem name="KRWTW.FX-Capital" advise="1"/>
      <ddeItem name="KRWTW.FX-InOutRatio" advise="1"/>
      <ddeItem name="KRWTW.FX-MarketValue" advise="1"/>
      <ddeItem name="KRWTW.FX-Name" advise="1"/>
      <ddeItem name="KRWTW.FX-PreClose" advise="1"/>
      <ddeItem name="KRWTW.FX-Price" advise="1"/>
      <ddeItem name="KRWTW.FX-PriceChange" advise="1"/>
      <ddeItem name="KRWTW.FX-PriceChangeRatio" advise="1"/>
      <ddeItem name="KRWTW.FX-Profit" advise="1"/>
      <ddeItem name="KRWTW.FX-TotalVolume" advise="1"/>
      <ddeItem name="KRWTW.FX-Volume" advise="1"/>
      <ddeItem name="KSS.US-BestAsk1" advise="1"/>
      <ddeItem name="KSS.US-BestBid1" advise="1"/>
      <ddeItem name="KSS.US-PreClose" advise="1"/>
      <ddeItem name="KSS.US-Price" advise="1"/>
      <ddeItem name="KSU.US-BestAsk1" advise="1"/>
      <ddeItem name="KSU.US-BestBid1" advise="1"/>
      <ddeItem name="KSU.US-PreClose" advise="1"/>
      <ddeItem name="KSU.US-Price" advise="1"/>
      <ddeItem name="L.US-BestAsk1" advise="1"/>
      <ddeItem name="L.US-BestBid1" advise="1"/>
      <ddeItem name="L.US-PreClose" advise="1"/>
      <ddeItem name="L.US-Price" advise="1"/>
      <ddeItem name="LB.US-BestAsk1" advise="1"/>
      <ddeItem name="LB.US-BestBid1" advise="1"/>
      <ddeItem name="LB.US-PreClose" advise="1"/>
      <ddeItem name="LB.US-Price" advise="1"/>
      <ddeItem name="LEG.US-BestAsk1" advise="1"/>
      <ddeItem name="LEG.US-BestBid1" advise="1"/>
      <ddeItem name="LEG.US-PreClose" advise="1"/>
      <ddeItem name="LEG.US-Price" advise="1"/>
      <ddeItem name="LEN.US-BestAsk1" advise="1"/>
      <ddeItem name="LEN.US-BestBid1" advise="1"/>
      <ddeItem name="LEN.US-PreClose" advise="1"/>
      <ddeItem name="LEN.US-Price" advise="1"/>
      <ddeItem name="LH.US-BestAsk1" advise="1"/>
      <ddeItem name="LH.US-BestBid1" advise="1"/>
      <ddeItem name="LH.US-PreClose" advise="1"/>
      <ddeItem name="LH.US-Price" advise="1"/>
      <ddeItem name="LKQ.US-BestAsk1" advise="1"/>
      <ddeItem name="LKQ.US-BestBid1" advise="1"/>
      <ddeItem name="LKQ.US-PreClose" advise="1"/>
      <ddeItem name="LKQ.US-Price" advise="1"/>
      <ddeItem name="LLL.US-BestAsk1" advise="1"/>
      <ddeItem name="LLL.US-BestBid1" advise="1"/>
      <ddeItem name="LLL.US-PreClose" advise="1"/>
      <ddeItem name="LLL.US-Price" advise="1"/>
      <ddeItem name="LLY.US-BestAsk1" advise="1"/>
      <ddeItem name="LLY.US-BestBid1" advise="1"/>
      <ddeItem name="LLY.US-PreClose" advise="1"/>
      <ddeItem name="LLY.US-Price" advise="1"/>
      <ddeItem name="LMT.US-BestAsk1" advise="1"/>
      <ddeItem name="LMT.US-BestBid1" advise="1"/>
      <ddeItem name="LMT.US-PreClose" advise="1"/>
      <ddeItem name="LMT.US-Price" advise="1"/>
      <ddeItem name="LNC.US-BestAsk1" advise="1"/>
      <ddeItem name="LNC.US-BestBid1" advise="1"/>
      <ddeItem name="LNC.US-PreClose" advise="1"/>
      <ddeItem name="LNC.US-Price" advise="1"/>
      <ddeItem name="LNT.US-BestAsk1" advise="1"/>
      <ddeItem name="LNT.US-BestBid1" advise="1"/>
      <ddeItem name="LNT.US-PreClose" advise="1"/>
      <ddeItem name="LNT.US-Price" advise="1"/>
      <ddeItem name="LOW.US-BestAsk1" advise="1"/>
      <ddeItem name="LOW.US-BestBid1" advise="1"/>
      <ddeItem name="LOW.US-PreClose" advise="1"/>
      <ddeItem name="LOW.US-Price" advise="1"/>
      <ddeItem name="LRCX.US-BestAsk1" advise="1"/>
      <ddeItem name="LRCX.US-BestBid1" advise="1"/>
      <ddeItem name="LRCX.US-PreClose" advise="1"/>
      <ddeItem name="LRCX.US-Price" advise="1"/>
      <ddeItem name="LUK.US-BestAsk1" advise="1"/>
      <ddeItem name="LUK.US-BestBid1" advise="1"/>
      <ddeItem name="LUK.US-PreClose" advise="1"/>
      <ddeItem name="LUK.US-Price" advise="1"/>
      <ddeItem name="LUV.US-BestAsk1" advise="1"/>
      <ddeItem name="LUV.US-BestBid1" advise="1"/>
      <ddeItem name="LUV.US-PreClose" advise="1"/>
      <ddeItem name="LUV.US-Price" advise="1"/>
      <ddeItem name="LVLT.US-BestAsk1" advise="1"/>
      <ddeItem name="LVLT.US-BestBid1" advise="1"/>
      <ddeItem name="LVLT.US-PreClose" advise="1"/>
      <ddeItem name="LVLT.US-Price" advise="1"/>
      <ddeItem name="LYB.US-BestAsk1" advise="1"/>
      <ddeItem name="LYB.US-BestBid1" advise="1"/>
      <ddeItem name="LYB.US-PreClose" advise="1"/>
      <ddeItem name="LYB.US-Price" advise="1"/>
      <ddeItem name="M.US-BestAsk1" advise="1"/>
      <ddeItem name="M.US-BestBid1" advise="1"/>
      <ddeItem name="M.US-PreClose" advise="1"/>
      <ddeItem name="M.US-Price" advise="1"/>
      <ddeItem name="MA.US-BestAsk1" advise="1"/>
      <ddeItem name="MA.US-BestBid1" advise="1"/>
      <ddeItem name="MA.US-PreClose" advise="1"/>
      <ddeItem name="MA.US-Price" advise="1"/>
      <ddeItem name="MAA.US-BestAsk1" advise="1"/>
      <ddeItem name="MAA.US-BestBid1" advise="1"/>
      <ddeItem name="MAA.US-PreClose" advise="1"/>
      <ddeItem name="MAA.US-Price" advise="1"/>
      <ddeItem name="MAC.US-BestAsk1">
        <values>
          <value t="str">
            <val>N/A</val>
          </value>
        </values>
      </ddeItem>
      <ddeItem name="MAC.US-BestBid1">
        <values>
          <value t="str">
            <val>N/A</val>
          </value>
        </values>
      </ddeItem>
      <ddeItem name="MAC.US-PreClose">
        <values>
          <value t="str">
            <val>N/A</val>
          </value>
        </values>
      </ddeItem>
      <ddeItem name="MAC.US-Price">
        <values>
          <value t="str">
            <val>N/A</val>
          </value>
        </values>
      </ddeItem>
      <ddeItem name="MAR.US-BestAsk1" advise="1"/>
      <ddeItem name="MAR.US-BestBid1" advise="1"/>
      <ddeItem name="MAR.US-PreClose" advise="1"/>
      <ddeItem name="MAR.US-Price" advise="1"/>
      <ddeItem name="MAS.US-BestAsk1" advise="1"/>
      <ddeItem name="MAS.US-BestBid1" advise="1"/>
      <ddeItem name="MAS.US-PreClose" advise="1"/>
      <ddeItem name="MAS.US-Price" advise="1"/>
      <ddeItem name="MAT.US-BestAsk1" advise="1"/>
      <ddeItem name="MAT.US-BestBid1" advise="1"/>
      <ddeItem name="MAT.US-PreClose" advise="1"/>
      <ddeItem name="MAT.US-Price" advise="1"/>
      <ddeItem name="MCD.US-BestAsk1">
        <values>
          <value t="str">
            <val>N/A</val>
          </value>
        </values>
      </ddeItem>
      <ddeItem name="MCD.US-BestBid1">
        <values>
          <value t="str">
            <val>N/A</val>
          </value>
        </values>
      </ddeItem>
      <ddeItem name="MCD.US-PreClose">
        <values>
          <value t="str">
            <val>N/A</val>
          </value>
        </values>
      </ddeItem>
      <ddeItem name="MCD.US-Price">
        <values>
          <value t="str">
            <val>N/A</val>
          </value>
        </values>
      </ddeItem>
      <ddeItem name="MCHP.US-BestAsk1" advise="1"/>
      <ddeItem name="MCHP.US-BestBid1" advise="1"/>
      <ddeItem name="MCHP.US-PreClose" advise="1"/>
      <ddeItem name="MCHP.US-Price" advise="1"/>
      <ddeItem name="MCK.US-BestAsk1" advise="1"/>
      <ddeItem name="MCK.US-BestBid1" advise="1"/>
      <ddeItem name="MCK.US-PreClose" advise="1"/>
      <ddeItem name="MCK.US-Price" advise="1"/>
      <ddeItem name="MCO.US-BestAsk1" advise="1"/>
      <ddeItem name="MCO.US-BestBid1" advise="1"/>
      <ddeItem name="MCO.US-PreClose" advise="1"/>
      <ddeItem name="MCO.US-Price" advise="1"/>
      <ddeItem name="MDLZ.US-BestAsk1" advise="1"/>
      <ddeItem name="MDLZ.US-BestBid1" advise="1"/>
      <ddeItem name="MDLZ.US-PreClose" advise="1"/>
      <ddeItem name="MDLZ.US-Price" advise="1"/>
      <ddeItem name="MDT.US-BestAsk1" advise="1"/>
      <ddeItem name="MDT.US-BestBid1" advise="1"/>
      <ddeItem name="MDT.US-PreClose" advise="1"/>
      <ddeItem name="MDT.US-Price" advise="1"/>
      <ddeItem name="MET.US-BestAsk1" advise="1"/>
      <ddeItem name="MET.US-BestBid1" advise="1"/>
      <ddeItem name="MET.US-PreClose" advise="1"/>
      <ddeItem name="MET.US-Price" advise="1"/>
      <ddeItem name="MGM.US-BestAsk1" advise="1"/>
      <ddeItem name="MGM.US-BestBid1" advise="1"/>
      <ddeItem name="MGM.US-PreClose" advise="1"/>
      <ddeItem name="MGM.US-Price" advise="1"/>
      <ddeItem name="MHK.US-BestAsk1" advise="1"/>
      <ddeItem name="MHK.US-BestBid1" advise="1"/>
      <ddeItem name="MHK.US-PreClose" advise="1"/>
      <ddeItem name="MHK.US-Price" advise="1"/>
      <ddeItem name="MKC.US-BestAsk1" advise="1"/>
      <ddeItem name="MKC.US-BestBid1" advise="1"/>
      <ddeItem name="MKC.US-PreClose" advise="1"/>
      <ddeItem name="MKC.US-Price" advise="1"/>
      <ddeItem name="MLM.US-BestAsk1" advise="1"/>
      <ddeItem name="MLM.US-BestBid1" advise="1"/>
      <ddeItem name="MLM.US-PreClose" advise="1"/>
      <ddeItem name="MLM.US-Price" advise="1"/>
      <ddeItem name="MMC.US-BestAsk1" advise="1"/>
      <ddeItem name="MMC.US-BestBid1" advise="1"/>
      <ddeItem name="MMC.US-PreClose" advise="1"/>
      <ddeItem name="MMC.US-Price" advise="1"/>
      <ddeItem name="MMM.US-BestAsk1">
        <values>
          <value t="str">
            <val>N/A</val>
          </value>
        </values>
      </ddeItem>
      <ddeItem name="MMM.US-BestBid1">
        <values>
          <value t="str">
            <val>N/A</val>
          </value>
        </values>
      </ddeItem>
      <ddeItem name="MMM.US-PreClose">
        <values>
          <value t="str">
            <val>N/A</val>
          </value>
        </values>
      </ddeItem>
      <ddeItem name="MMM.US-Price">
        <values>
          <value t="str">
            <val>N/A</val>
          </value>
        </values>
      </ddeItem>
      <ddeItem name="MNST.US-BestAsk1" advise="1"/>
      <ddeItem name="MNST.US-BestBid1" advise="1"/>
      <ddeItem name="MNST.US-PreClose" advise="1"/>
      <ddeItem name="MNST.US-Price" advise="1"/>
      <ddeItem name="MO.US-BestAsk1">
        <values>
          <value t="str">
            <val>N/A</val>
          </value>
        </values>
      </ddeItem>
      <ddeItem name="MO.US-BestBid1">
        <values>
          <value t="str">
            <val>N/A</val>
          </value>
        </values>
      </ddeItem>
      <ddeItem name="MO.US-PreClose">
        <values>
          <value t="str">
            <val>N/A</val>
          </value>
        </values>
      </ddeItem>
      <ddeItem name="MO.US-Price">
        <values>
          <value t="str">
            <val>N/A</val>
          </value>
        </values>
      </ddeItem>
      <ddeItem name="MON.US-BestAsk1" advise="1"/>
      <ddeItem name="MON.US-BestBid1" advise="1"/>
      <ddeItem name="MON.US-PreClose" advise="1"/>
      <ddeItem name="MON.US-Price" advise="1"/>
      <ddeItem name="MOS.US-BestAsk1" advise="1"/>
      <ddeItem name="MOS.US-BestBid1" advise="1"/>
      <ddeItem name="MOS.US-PreClose" advise="1"/>
      <ddeItem name="MOS.US-Price" advise="1"/>
      <ddeItem name="MPC.US-BestAsk1" advise="1"/>
      <ddeItem name="MPC.US-BestBid1" advise="1"/>
      <ddeItem name="MPC.US-PreClose" advise="1"/>
      <ddeItem name="MPC.US-Price" advise="1"/>
      <ddeItem name="MRK.US-BestAsk1">
        <values>
          <value t="str">
            <val>N/A</val>
          </value>
        </values>
      </ddeItem>
      <ddeItem name="MRK.US-BestBid1">
        <values>
          <value t="str">
            <val>N/A</val>
          </value>
        </values>
      </ddeItem>
      <ddeItem name="MRK.US-PreClose">
        <values>
          <value t="str">
            <val>N/A</val>
          </value>
        </values>
      </ddeItem>
      <ddeItem name="MRK.US-Price">
        <values>
          <value t="str">
            <val>N/A</val>
          </value>
        </values>
      </ddeItem>
      <ddeItem name="MRO.US-BestAsk1" advise="1"/>
      <ddeItem name="MRO.US-BestBid1" advise="1"/>
      <ddeItem name="MRO.US-PreClose" advise="1"/>
      <ddeItem name="MRO.US-Price" advise="1"/>
      <ddeItem name="MS.US-BestAsk1" advise="1"/>
      <ddeItem name="MS.US-BestBid1" advise="1"/>
      <ddeItem name="MS.US-PreClose" advise="1"/>
      <ddeItem name="MS.US-Price" advise="1"/>
      <ddeItem name="MSFT.US-BestAsk1" advise="1"/>
      <ddeItem name="MSFT.US-BestBid1" advise="1"/>
      <ddeItem name="MSFT.US-PreClose" advise="1"/>
      <ddeItem name="MSFT.US-Price" advise="1"/>
      <ddeItem name="MSI.US-BestAsk1" advise="1"/>
      <ddeItem name="MSI.US-BestBid1" advise="1"/>
      <ddeItem name="MSI.US-PreClose" advise="1"/>
      <ddeItem name="MSI.US-Price" advise="1"/>
      <ddeItem name="MTB.US-BestAsk1" advise="1"/>
      <ddeItem name="MTB.US-BestBid1" advise="1"/>
      <ddeItem name="MTB.US-PreClose" advise="1"/>
      <ddeItem name="MTB.US-Price" advise="1"/>
      <ddeItem name="MTD.US-BestAsk1" advise="1"/>
      <ddeItem name="MTD.US-BestBid1" advise="1"/>
      <ddeItem name="MTD.US-PreClose" advise="1"/>
      <ddeItem name="MTD.US-Price" advise="1"/>
      <ddeItem name="MU.US-BestAsk1" advise="1"/>
      <ddeItem name="MU.US-BestBid1" advise="1"/>
      <ddeItem name="MU.US-PreClose" advise="1"/>
      <ddeItem name="MU.US-Price" advise="1"/>
      <ddeItem name="MYL.US-BestAsk1" advise="1"/>
      <ddeItem name="MYL.US-BestBid1" advise="1"/>
      <ddeItem name="MYL.US-PreClose" advise="1"/>
      <ddeItem name="MYL.US-Price" advise="1"/>
      <ddeItem name="MYRTW.FX-Ask" advise="1"/>
      <ddeItem name="MYRTW.FX-AvgPrice" advise="1"/>
      <ddeItem name="MYRTW.FX-BestAskSize" advise="1"/>
      <ddeItem name="MYRTW.FX-BestBidSize" advise="1"/>
      <ddeItem name="MYRTW.FX-Bid" advise="1"/>
      <ddeItem name="MYRTW.FX-Capital" advise="1"/>
      <ddeItem name="MYRTW.FX-InOutRatio" advise="1"/>
      <ddeItem name="MYRTW.FX-MarketValue" advise="1"/>
      <ddeItem name="MYRTW.FX-Name" advise="1"/>
      <ddeItem name="MYRTW.FX-PreClose" advise="1"/>
      <ddeItem name="MYRTW.FX-Price" advise="1"/>
      <ddeItem name="MYRTW.FX-PriceChange" advise="1"/>
      <ddeItem name="MYRTW.FX-PriceChangeRatio" advise="1"/>
      <ddeItem name="MYRTW.FX-Profit" advise="1"/>
      <ddeItem name="MYRTW.FX-TotalVolume" advise="1"/>
      <ddeItem name="MYRTW.FX-Volume" advise="1"/>
      <ddeItem name="NAVI.US-BestAsk1" advise="1"/>
      <ddeItem name="NAVI.US-BestBid1" advise="1"/>
      <ddeItem name="NAVI.US-PreClose" advise="1"/>
      <ddeItem name="NAVI.US-Price" advise="1"/>
      <ddeItem name="NBL.US-BestAsk1" advise="1"/>
      <ddeItem name="NBL.US-BestBid1" advise="1"/>
      <ddeItem name="NBL.US-PreClose" advise="1"/>
      <ddeItem name="NBL.US-Price" advise="1"/>
      <ddeItem name="NDAQ.US-BestAsk1" advise="1"/>
      <ddeItem name="NDAQ.US-BestBid1" advise="1"/>
      <ddeItem name="NDAQ.US-PreClose" advise="1"/>
      <ddeItem name="NDAQ.US-Price" advise="1"/>
      <ddeItem name="NEE.US-BestAsk1" advise="1"/>
      <ddeItem name="NEE.US-BestBid1" advise="1"/>
      <ddeItem name="NEE.US-PreClose" advise="1"/>
      <ddeItem name="NEE.US-Price" advise="1"/>
      <ddeItem name="NEM.US-BestAsk1" advise="1"/>
      <ddeItem name="NEM.US-BestBid1" advise="1"/>
      <ddeItem name="NEM.US-PreClose" advise="1"/>
      <ddeItem name="NEM.US-Price" advise="1"/>
      <ddeItem name="NFLX.US-BestAsk1" advise="1"/>
      <ddeItem name="NFLX.US-BestBid1" advise="1"/>
      <ddeItem name="NFLX.US-PreClose" advise="1"/>
      <ddeItem name="NFLX.US-Price" advise="1"/>
      <ddeItem name="NFX.US-BestAsk1" advise="1"/>
      <ddeItem name="NFX.US-BestBid1" advise="1"/>
      <ddeItem name="NFX.US-PreClose" advise="1"/>
      <ddeItem name="NFX.US-Price" advise="1"/>
      <ddeItem name="NI.US-BestAsk1" advise="1"/>
      <ddeItem name="NI.US-BestBid1" advise="1"/>
      <ddeItem name="NI.US-PreClose" advise="1"/>
      <ddeItem name="NI.US-Price" advise="1"/>
      <ddeItem name="NKE.US-BestAsk1">
        <values>
          <value t="str">
            <val>N/A</val>
          </value>
        </values>
      </ddeItem>
      <ddeItem name="NKE.US-BestBid1">
        <values>
          <value t="str">
            <val>N/A</val>
          </value>
        </values>
      </ddeItem>
      <ddeItem name="NKE.US-PreClose">
        <values>
          <value t="str">
            <val>N/A</val>
          </value>
        </values>
      </ddeItem>
      <ddeItem name="NKE.US-Price">
        <values>
          <value t="str">
            <val>N/A</val>
          </value>
        </values>
      </ddeItem>
      <ddeItem name="NLSN.US-BestAsk1" advise="1"/>
      <ddeItem name="NLSN.US-BestBid1" advise="1"/>
      <ddeItem name="NLSN.US-PreClose" advise="1"/>
      <ddeItem name="NLSN.US-Price" advise="1"/>
      <ddeItem name="NOC.US-BestAsk1" advise="1"/>
      <ddeItem name="NOC.US-BestBid1" advise="1"/>
      <ddeItem name="NOC.US-PreClose" advise="1"/>
      <ddeItem name="NOC.US-Price" advise="1"/>
      <ddeItem name="NOV.US-BestAsk1" advise="1"/>
      <ddeItem name="NOV.US-BestBid1" advise="1"/>
      <ddeItem name="NOV.US-PreClose" advise="1"/>
      <ddeItem name="NOV.US-Price" advise="1"/>
      <ddeItem name="NRG.US-BestAsk1" advise="1"/>
      <ddeItem name="NRG.US-BestBid1" advise="1"/>
      <ddeItem name="NRG.US-PreClose" advise="1"/>
      <ddeItem name="NRG.US-Price" advise="1"/>
      <ddeItem name="NSC.US-BestAsk1" advise="1"/>
      <ddeItem name="NSC.US-BestBid1" advise="1"/>
      <ddeItem name="NSC.US-PreClose" advise="1"/>
      <ddeItem name="NSC.US-Price" advise="1"/>
      <ddeItem name="NTAP.US-BestAsk1" advise="1"/>
      <ddeItem name="NTAP.US-BestBid1" advise="1"/>
      <ddeItem name="NTAP.US-PreClose" advise="1"/>
      <ddeItem name="NTAP.US-Price" advise="1"/>
      <ddeItem name="NTRS.US-BestAsk1" advise="1"/>
      <ddeItem name="NTRS.US-BestBid1" advise="1"/>
      <ddeItem name="NTRS.US-PreClose" advise="1"/>
      <ddeItem name="NTRS.US-Price" advise="1"/>
      <ddeItem name="NUE.US-BestAsk1" advise="1"/>
      <ddeItem name="NUE.US-BestBid1" advise="1"/>
      <ddeItem name="NUE.US-PreClose" advise="1"/>
      <ddeItem name="NUE.US-Price" advise="1"/>
      <ddeItem name="NVDA.US-BestAsk1" advise="1"/>
      <ddeItem name="NVDA.US-BestBid1" advise="1"/>
      <ddeItem name="NVDA.US-PreClose" advise="1"/>
      <ddeItem name="NVDA.US-Price" advise="1"/>
      <ddeItem name="NWL.US-BestAsk1" advise="1"/>
      <ddeItem name="NWL.US-BestBid1" advise="1"/>
      <ddeItem name="NWL.US-PreClose" advise="1"/>
      <ddeItem name="NWL.US-Price" advise="1"/>
      <ddeItem name="NWS.US-BestAsk1" advise="1"/>
      <ddeItem name="NWS.US-BestBid1" advise="1"/>
      <ddeItem name="NWS.US-PreClose" advise="1"/>
      <ddeItem name="NWS.US-Price" advise="1"/>
      <ddeItem name="NWSA.US-BestAsk1" advise="1"/>
      <ddeItem name="NWSA.US-BestBid1" advise="1"/>
      <ddeItem name="NWSA.US-PreClose" advise="1"/>
      <ddeItem name="NWSA.US-Price" advise="1"/>
      <ddeItem name="NZD.FX-Ask" advise="1"/>
      <ddeItem name="NZD.FX-AvgPrice" advise="1"/>
      <ddeItem name="NZD.FX-BestAskSize" advise="1"/>
      <ddeItem name="NZD.FX-BestBidSize" advise="1"/>
      <ddeItem name="NZD.FX-Bid" advise="1"/>
      <ddeItem name="NZD.FX-Capital" advise="1"/>
      <ddeItem name="NZD.FX-InOutRatio" advise="1"/>
      <ddeItem name="NZD.FX-MarketValue" advise="1"/>
      <ddeItem name="NZD.FX-Name" advise="1"/>
      <ddeItem name="NZD.FX-PreClose" advise="1"/>
      <ddeItem name="NZD.FX-Price" advise="1"/>
      <ddeItem name="NZD.FX-PriceChange" advise="1"/>
      <ddeItem name="NZD.FX-PriceChangeRatio" advise="1"/>
      <ddeItem name="NZD.FX-Profit" advise="1"/>
      <ddeItem name="NZD.FX-TotalVolume" advise="1"/>
      <ddeItem name="NZD.FX-Volume" advise="1"/>
      <ddeItem name="NZDTW.FX-Ask" advise="1"/>
      <ddeItem name="NZDTW.FX-AvgPrice" advise="1"/>
      <ddeItem name="NZDTW.FX-BestAskSize" advise="1"/>
      <ddeItem name="NZDTW.FX-BestBidSize" advise="1"/>
      <ddeItem name="NZDTW.FX-Bid" advise="1"/>
      <ddeItem name="NZDTW.FX-Capital" advise="1"/>
      <ddeItem name="NZDTW.FX-InOutRatio" advise="1"/>
      <ddeItem name="NZDTW.FX-MarketValue" advise="1"/>
      <ddeItem name="NZDTW.FX-Name" advise="1"/>
      <ddeItem name="NZDTW.FX-PreClose" advise="1"/>
      <ddeItem name="NZDTW.FX-Price" advise="1"/>
      <ddeItem name="NZDTW.FX-PriceChange" advise="1"/>
      <ddeItem name="NZDTW.FX-PriceChangeRatio" advise="1"/>
      <ddeItem name="NZDTW.FX-Profit" advise="1"/>
      <ddeItem name="NZDTW.FX-TotalVolume" advise="1"/>
      <ddeItem name="NZDTW.FX-Volume" advise="1"/>
      <ddeItem name="O.US-BestAsk1">
        <values>
          <value t="str">
            <val>N/A</val>
          </value>
        </values>
      </ddeItem>
      <ddeItem name="O.US-BestBid1">
        <values>
          <value t="str">
            <val>N/A</val>
          </value>
        </values>
      </ddeItem>
      <ddeItem name="O.US-PreClose">
        <values>
          <value t="str">
            <val>N/A</val>
          </value>
        </values>
      </ddeItem>
      <ddeItem name="O.US-Price">
        <values>
          <value t="str">
            <val>N/A</val>
          </value>
        </values>
      </ddeItem>
      <ddeItem name="OKE.US-BestAsk1" advise="1"/>
      <ddeItem name="OKE.US-BestBid1" advise="1"/>
      <ddeItem name="OKE.US-PreClose" advise="1"/>
      <ddeItem name="OKE.US-Price" advise="1"/>
      <ddeItem name="OMC.US-BestAsk1" advise="1"/>
      <ddeItem name="OMC.US-BestBid1" advise="1"/>
      <ddeItem name="OMC.US-PreClose" advise="1"/>
      <ddeItem name="OMC.US-Price" advise="1"/>
      <ddeItem name="ORCL.US-BestAsk1" advise="1"/>
      <ddeItem name="ORCL.US-BestBid1" advise="1"/>
      <ddeItem name="ORCL.US-PreClose" advise="1"/>
      <ddeItem name="ORCL.US-Price" advise="1"/>
      <ddeItem name="ORLY.US-BestAsk1" advise="1"/>
      <ddeItem name="ORLY.US-BestBid1" advise="1"/>
      <ddeItem name="ORLY.US-PreClose" advise="1"/>
      <ddeItem name="ORLY.US-Price" advise="1"/>
      <ddeItem name="OXY.US-BestAsk1">
        <values>
          <value t="str">
            <val>N/A</val>
          </value>
        </values>
      </ddeItem>
      <ddeItem name="OXY.US-BestBid1">
        <values>
          <value t="str">
            <val>N/A</val>
          </value>
        </values>
      </ddeItem>
      <ddeItem name="OXY.US-PreClose">
        <values>
          <value t="str">
            <val>N/A</val>
          </value>
        </values>
      </ddeItem>
      <ddeItem name="OXY.US-Price">
        <values>
          <value t="str">
            <val>N/A</val>
          </value>
        </values>
      </ddeItem>
      <ddeItem name="PAYX.US-BestAsk1" advise="1"/>
      <ddeItem name="PAYX.US-BestBid1" advise="1"/>
      <ddeItem name="PAYX.US-PreClose" advise="1"/>
      <ddeItem name="PAYX.US-Price" advise="1"/>
      <ddeItem name="PBCT.US-BestAsk1">
        <values>
          <value t="str">
            <val>N/A</val>
          </value>
        </values>
      </ddeItem>
      <ddeItem name="PBCT.US-BestBid1">
        <values>
          <value t="str">
            <val>N/A</val>
          </value>
        </values>
      </ddeItem>
      <ddeItem name="PBCT.US-PreClose">
        <values>
          <value t="str">
            <val>N/A</val>
          </value>
        </values>
      </ddeItem>
      <ddeItem name="PBCT.US-Price">
        <values>
          <value t="str">
            <val>N/A</val>
          </value>
        </values>
      </ddeItem>
      <ddeItem name="PCAR.US-BestAsk1" advise="1"/>
      <ddeItem name="PCAR.US-BestBid1" advise="1"/>
      <ddeItem name="PCAR.US-PreClose" advise="1"/>
      <ddeItem name="PCAR.US-Price" advise="1"/>
      <ddeItem name="PCG.US-BestAsk1" advise="1"/>
      <ddeItem name="PCG.US-BestBid1" advise="1"/>
      <ddeItem name="PCG.US-PreClose" advise="1"/>
      <ddeItem name="PCG.US-Price" advise="1"/>
      <ddeItem name="PCLN.US-BestAsk1" advise="1"/>
      <ddeItem name="PCLN.US-BestBid1" advise="1"/>
      <ddeItem name="PCLN.US-PreClose" advise="1"/>
      <ddeItem name="PCLN.US-Price" advise="1"/>
      <ddeItem name="PDCO.US-BestAsk1" advise="1"/>
      <ddeItem name="PDCO.US-BestBid1" advise="1"/>
      <ddeItem name="PDCO.US-PreClose" advise="1"/>
      <ddeItem name="PDCO.US-Price" advise="1"/>
      <ddeItem name="PEG.US-BestAsk1">
        <values>
          <value t="str">
            <val>N/A</val>
          </value>
        </values>
      </ddeItem>
      <ddeItem name="PEG.US-BestBid1">
        <values>
          <value t="str">
            <val>N/A</val>
          </value>
        </values>
      </ddeItem>
      <ddeItem name="PEG.US-PreClose">
        <values>
          <value t="str">
            <val>N/A</val>
          </value>
        </values>
      </ddeItem>
      <ddeItem name="PEG.US-Price">
        <values>
          <value t="str">
            <val>N/A</val>
          </value>
        </values>
      </ddeItem>
      <ddeItem name="PEP.US-BestAsk1" advise="1"/>
      <ddeItem name="PEP.US-BestBid1" advise="1"/>
      <ddeItem name="PEP.US-PreClose" advise="1"/>
      <ddeItem name="PEP.US-Price" advise="1"/>
      <ddeItem name="PFE.US-BestAsk1">
        <values>
          <value t="str">
            <val>N/A</val>
          </value>
        </values>
      </ddeItem>
      <ddeItem name="PFE.US-BestBid1">
        <values>
          <value t="str">
            <val>N/A</val>
          </value>
        </values>
      </ddeItem>
      <ddeItem name="PFE.US-PreClose">
        <values>
          <value t="str">
            <val>N/A</val>
          </value>
        </values>
      </ddeItem>
      <ddeItem name="PFE.US-Price">
        <values>
          <value t="str">
            <val>N/A</val>
          </value>
        </values>
      </ddeItem>
      <ddeItem name="PFG.US-BestAsk1" advise="1"/>
      <ddeItem name="PFG.US-BestBid1" advise="1"/>
      <ddeItem name="PFG.US-PreClose" advise="1"/>
      <ddeItem name="PFG.US-Price" advise="1"/>
      <ddeItem name="PG.US-BestAsk1">
        <values>
          <value t="str">
            <val>N/A</val>
          </value>
        </values>
      </ddeItem>
      <ddeItem name="PG.US-BestBid1">
        <values>
          <value t="str">
            <val>N/A</val>
          </value>
        </values>
      </ddeItem>
      <ddeItem name="PG.US-PreClose">
        <values>
          <value t="str">
            <val>N/A</val>
          </value>
        </values>
      </ddeItem>
      <ddeItem name="PG.US-Price">
        <values>
          <value t="str">
            <val>N/A</val>
          </value>
        </values>
      </ddeItem>
      <ddeItem name="PGR.US-BestAsk1" advise="1"/>
      <ddeItem name="PGR.US-BestBid1" advise="1"/>
      <ddeItem name="PGR.US-PreClose" advise="1"/>
      <ddeItem name="PGR.US-Price" advise="1"/>
      <ddeItem name="PH.US-BestAsk1" advise="1"/>
      <ddeItem name="PH.US-BestBid1" advise="1"/>
      <ddeItem name="PH.US-PreClose" advise="1"/>
      <ddeItem name="PH.US-Price" advise="1"/>
      <ddeItem name="PHM.US-BestAsk1" advise="1"/>
      <ddeItem name="PHM.US-BestBid1" advise="1"/>
      <ddeItem name="PHM.US-PreClose" advise="1"/>
      <ddeItem name="PHM.US-Price" advise="1"/>
      <ddeItem name="PHPTW.FX-Ask" advise="1"/>
      <ddeItem name="PHPTW.FX-AvgPrice" advise="1"/>
      <ddeItem name="PHPTW.FX-BestAskSize" advise="1"/>
      <ddeItem name="PHPTW.FX-BestBidSize" advise="1"/>
      <ddeItem name="PHPTW.FX-Bid" advise="1"/>
      <ddeItem name="PHPTW.FX-Capital" advise="1"/>
      <ddeItem name="PHPTW.FX-InOutRatio" advise="1"/>
      <ddeItem name="PHPTW.FX-MarketValue" advise="1"/>
      <ddeItem name="PHPTW.FX-Name" advise="1"/>
      <ddeItem name="PHPTW.FX-PreClose" advise="1"/>
      <ddeItem name="PHPTW.FX-Price" advise="1"/>
      <ddeItem name="PHPTW.FX-PriceChange" advise="1"/>
      <ddeItem name="PHPTW.FX-PriceChangeRatio" advise="1"/>
      <ddeItem name="PHPTW.FX-Profit" advise="1"/>
      <ddeItem name="PHPTW.FX-TotalVolume" advise="1"/>
      <ddeItem name="PHPTW.FX-Volume" advise="1"/>
      <ddeItem name="PKG.US-BestAsk1" advise="1"/>
      <ddeItem name="PKG.US-BestBid1" advise="1"/>
      <ddeItem name="PKG.US-PreClose" advise="1"/>
      <ddeItem name="PKG.US-Price" advise="1"/>
      <ddeItem name="PKI.US-BestAsk1" advise="1"/>
      <ddeItem name="PKI.US-BestBid1" advise="1"/>
      <ddeItem name="PKI.US-PreClose" advise="1"/>
      <ddeItem name="PKI.US-Price" advise="1"/>
      <ddeItem name="PLD.US-BestAsk1" advise="1"/>
      <ddeItem name="PLD.US-BestBid1" advise="1"/>
      <ddeItem name="PLD.US-PreClose" advise="1"/>
      <ddeItem name="PLD.US-Price" advise="1"/>
      <ddeItem name="PM.US-BestAsk1">
        <values>
          <value t="str">
            <val>N/A</val>
          </value>
        </values>
      </ddeItem>
      <ddeItem name="PM.US-BestBid1">
        <values>
          <value t="str">
            <val>N/A</val>
          </value>
        </values>
      </ddeItem>
      <ddeItem name="PM.US-PreClose">
        <values>
          <value t="str">
            <val>N/A</val>
          </value>
        </values>
      </ddeItem>
      <ddeItem name="PM.US-Price">
        <values>
          <value t="str">
            <val>N/A</val>
          </value>
        </values>
      </ddeItem>
      <ddeItem name="PNC.US-BestAsk1" advise="1"/>
      <ddeItem name="PNC.US-BestBid1" advise="1"/>
      <ddeItem name="PNC.US-PreClose" advise="1"/>
      <ddeItem name="PNC.US-Price" advise="1"/>
      <ddeItem name="PNR.US-BestAsk1" advise="1"/>
      <ddeItem name="PNR.US-BestBid1" advise="1"/>
      <ddeItem name="PNR.US-PreClose" advise="1"/>
      <ddeItem name="PNR.US-Price" advise="1"/>
      <ddeItem name="PNW.US-BestAsk1" advise="1"/>
      <ddeItem name="PNW.US-BestBid1" advise="1"/>
      <ddeItem name="PNW.US-PreClose" advise="1"/>
      <ddeItem name="PNW.US-Price" advise="1"/>
      <ddeItem name="PPG.US-BestAsk1" advise="1"/>
      <ddeItem name="PPG.US-BestBid1" advise="1"/>
      <ddeItem name="PPG.US-PreClose" advise="1"/>
      <ddeItem name="PPG.US-Price" advise="1"/>
      <ddeItem name="PPL.US-BestAsk1">
        <values>
          <value t="str">
            <val>N/A</val>
          </value>
        </values>
      </ddeItem>
      <ddeItem name="PPL.US-BestBid1">
        <values>
          <value t="str">
            <val>N/A</val>
          </value>
        </values>
      </ddeItem>
      <ddeItem name="PPL.US-PreClose">
        <values>
          <value t="str">
            <val>N/A</val>
          </value>
        </values>
      </ddeItem>
      <ddeItem name="PPL.US-Price">
        <values>
          <value t="str">
            <val>N/A</val>
          </value>
        </values>
      </ddeItem>
      <ddeItem name="PRGO.US-BestAsk1" advise="1"/>
      <ddeItem name="PRGO.US-BestBid1" advise="1"/>
      <ddeItem name="PRGO.US-PreClose" advise="1"/>
      <ddeItem name="PRGO.US-Price" advise="1"/>
      <ddeItem name="PRU.US-BestAsk1" advise="1"/>
      <ddeItem name="PRU.US-BestBid1" advise="1"/>
      <ddeItem name="PRU.US-PreClose" advise="1"/>
      <ddeItem name="PRU.US-Price" advise="1"/>
      <ddeItem name="PSA.US-BestAsk1" advise="1"/>
      <ddeItem name="PSA.US-BestBid1" advise="1"/>
      <ddeItem name="PSA.US-PreClose" advise="1"/>
      <ddeItem name="PSA.US-Price" advise="1"/>
      <ddeItem name="PSX.US-BestAsk1">
        <values>
          <value t="str">
            <val>N/A</val>
          </value>
        </values>
      </ddeItem>
      <ddeItem name="PSX.US-BestBid1">
        <values>
          <value t="str">
            <val>N/A</val>
          </value>
        </values>
      </ddeItem>
      <ddeItem name="PSX.US-PreClose">
        <values>
          <value t="str">
            <val>N/A</val>
          </value>
        </values>
      </ddeItem>
      <ddeItem name="PSX.US-Price">
        <values>
          <value t="str">
            <val>N/A</val>
          </value>
        </values>
      </ddeItem>
      <ddeItem name="PVH.US-BestAsk1" advise="1"/>
      <ddeItem name="PVH.US-BestBid1" advise="1"/>
      <ddeItem name="PVH.US-PreClose" advise="1"/>
      <ddeItem name="PVH.US-Price" advise="1"/>
      <ddeItem name="PWR.US-BestAsk1" advise="1"/>
      <ddeItem name="PWR.US-BestBid1" advise="1"/>
      <ddeItem name="PWR.US-PreClose" advise="1"/>
      <ddeItem name="PWR.US-Price" advise="1"/>
      <ddeItem name="PX.US-BestAsk1" advise="1"/>
      <ddeItem name="PX.US-BestBid1" advise="1"/>
      <ddeItem name="PX.US-PreClose" advise="1"/>
      <ddeItem name="PX.US-Price" advise="1"/>
      <ddeItem name="PXD.US-BestAsk1" advise="1"/>
      <ddeItem name="PXD.US-BestBid1" advise="1"/>
      <ddeItem name="PXD.US-PreClose" advise="1"/>
      <ddeItem name="PXD.US-Price" advise="1"/>
      <ddeItem name="PYPL.US-BestAsk1" advise="1"/>
      <ddeItem name="PYPL.US-BestBid1" advise="1"/>
      <ddeItem name="PYPL.US-PreClose" advise="1"/>
      <ddeItem name="PYPL.US-Price" advise="1"/>
      <ddeItem name="Q.US-BestAsk1" advise="1"/>
      <ddeItem name="Q.US-BestBid1" advise="1"/>
      <ddeItem name="Q.US-PreClose" advise="1"/>
      <ddeItem name="Q.US-Price" advise="1"/>
      <ddeItem name="QCOM.US-BestAsk1" advise="1"/>
      <ddeItem name="QCOM.US-BestBid1" advise="1"/>
      <ddeItem name="QCOM.US-PreClose" advise="1"/>
      <ddeItem name="QCOM.US-Price" advise="1"/>
      <ddeItem name="QRVO.US-BestAsk1" advise="1"/>
      <ddeItem name="QRVO.US-BestBid1" advise="1"/>
      <ddeItem name="QRVO.US-PreClose" advise="1"/>
      <ddeItem name="QRVO.US-Price" advise="1"/>
      <ddeItem name="RCL.US-BestAsk1" advise="1"/>
      <ddeItem name="RCL.US-BestBid1" advise="1"/>
      <ddeItem name="RCL.US-PreClose" advise="1"/>
      <ddeItem name="RCL.US-Price" advise="1"/>
      <ddeItem name="RE.US-BestAsk1" advise="1"/>
      <ddeItem name="RE.US-BestBid1" advise="1"/>
      <ddeItem name="RE.US-PreClose" advise="1"/>
      <ddeItem name="RE.US-Price" advise="1"/>
      <ddeItem name="REG.US-BestAsk1" advise="1"/>
      <ddeItem name="REG.US-BestBid1" advise="1"/>
      <ddeItem name="REG.US-PreClose" advise="1"/>
      <ddeItem name="REG.US-Price" advise="1"/>
      <ddeItem name="REGN.US-BestAsk1" advise="1"/>
      <ddeItem name="REGN.US-BestBid1" advise="1"/>
      <ddeItem name="REGN.US-PreClose" advise="1"/>
      <ddeItem name="REGN.US-Price" advise="1"/>
      <ddeItem name="RF.US-BestAsk1" advise="1"/>
      <ddeItem name="RF.US-BestBid1" advise="1"/>
      <ddeItem name="RF.US-PreClose" advise="1"/>
      <ddeItem name="RF.US-Price" advise="1"/>
      <ddeItem name="RHI.US-BestAsk1" advise="1"/>
      <ddeItem name="RHI.US-BestBid1" advise="1"/>
      <ddeItem name="RHI.US-PreClose" advise="1"/>
      <ddeItem name="RHI.US-Price" advise="1"/>
      <ddeItem name="RHT.US-BestAsk1" advise="1"/>
      <ddeItem name="RHT.US-BestBid1" advise="1"/>
      <ddeItem name="RHT.US-PreClose" advise="1"/>
      <ddeItem name="RHT.US-Price" advise="1"/>
      <ddeItem name="RJF.US-BestAsk1" advise="1"/>
      <ddeItem name="RJF.US-BestBid1" advise="1"/>
      <ddeItem name="RJF.US-PreClose" advise="1"/>
      <ddeItem name="RJF.US-Price" advise="1"/>
      <ddeItem name="RL.US-BestAsk1" advise="1"/>
      <ddeItem name="RL.US-BestBid1" advise="1"/>
      <ddeItem name="RL.US-PreClose" advise="1"/>
      <ddeItem name="RL.US-Price" advise="1"/>
      <ddeItem name="RMD.US-BestAsk1" advise="1"/>
      <ddeItem name="RMD.US-BestBid1" advise="1"/>
      <ddeItem name="RMD.US-PreClose" advise="1"/>
      <ddeItem name="RMD.US-Price" advise="1"/>
      <ddeItem name="ROK.US-BestAsk1" advise="1"/>
      <ddeItem name="ROK.US-BestBid1" advise="1"/>
      <ddeItem name="ROK.US-PreClose" advise="1"/>
      <ddeItem name="ROK.US-Price" advise="1"/>
      <ddeItem name="ROP.US-BestAsk1" advise="1"/>
      <ddeItem name="ROP.US-BestBid1" advise="1"/>
      <ddeItem name="ROP.US-PreClose" advise="1"/>
      <ddeItem name="ROP.US-Price" advise="1"/>
      <ddeItem name="ROST.US-BestAsk1" advise="1"/>
      <ddeItem name="ROST.US-BestBid1" advise="1"/>
      <ddeItem name="ROST.US-PreClose" advise="1"/>
      <ddeItem name="ROST.US-Price" advise="1"/>
      <ddeItem name="RRC.US-BestAsk1" advise="1"/>
      <ddeItem name="RRC.US-BestBid1" advise="1"/>
      <ddeItem name="RRC.US-PreClose" advise="1"/>
      <ddeItem name="RRC.US-Price" advise="1"/>
      <ddeItem name="RSG.US-BestAsk1" advise="1"/>
      <ddeItem name="RSG.US-BestBid1" advise="1"/>
      <ddeItem name="RSG.US-PreClose" advise="1"/>
      <ddeItem name="RSG.US-Price" advise="1"/>
      <ddeItem name="RTN.US-BestAsk1" advise="1"/>
      <ddeItem name="RTN.US-BestBid1" advise="1"/>
      <ddeItem name="RTN.US-PreClose" advise="1"/>
      <ddeItem name="RTN.US-Price" advise="1"/>
      <ddeItem name="RUB.FX-Ask" advise="1"/>
      <ddeItem name="RUB.FX-AvgPrice" advise="1"/>
      <ddeItem name="RUB.FX-BestAskSize" advise="1"/>
      <ddeItem name="RUB.FX-BestBidSize" advise="1"/>
      <ddeItem name="RUB.FX-Bid" advise="1"/>
      <ddeItem name="RUB.FX-Capital" advise="1"/>
      <ddeItem name="RUB.FX-InOutRatio" advise="1"/>
      <ddeItem name="RUB.FX-MarketValue" advise="1"/>
      <ddeItem name="RUB.FX-Name" advise="1"/>
      <ddeItem name="RUB.FX-PreClose" advise="1"/>
      <ddeItem name="RUB.FX-Price" advise="1"/>
      <ddeItem name="RUB.FX-PriceChange" advise="1"/>
      <ddeItem name="RUB.FX-PriceChangeRatio" advise="1"/>
      <ddeItem name="RUB.FX-Profit" advise="1"/>
      <ddeItem name="RUB.FX-TotalVolume" advise="1"/>
      <ddeItem name="RUB.FX-Volume" advise="1"/>
      <ddeItem name="SBAC.US-BestAsk1" advise="1"/>
      <ddeItem name="SBAC.US-BestBid1" advise="1"/>
      <ddeItem name="SBAC.US-PreClose" advise="1"/>
      <ddeItem name="SBAC.US-Price" advise="1"/>
      <ddeItem name="SBUX.US-BestAsk1" advise="1"/>
      <ddeItem name="SBUX.US-BestBid1" advise="1"/>
      <ddeItem name="SBUX.US-PreClose" advise="1"/>
      <ddeItem name="SBUX.US-Price" advise="1"/>
      <ddeItem name="SCG.US-BestAsk1" advise="1"/>
      <ddeItem name="SCG.US-BestBid1" advise="1"/>
      <ddeItem name="SCG.US-PreClose" advise="1"/>
      <ddeItem name="SCG.US-Price" advise="1"/>
      <ddeItem name="SCHW.US-BestAsk1" advise="1"/>
      <ddeItem name="SCHW.US-BestBid1" advise="1"/>
      <ddeItem name="SCHW.US-PreClose" advise="1"/>
      <ddeItem name="SCHW.US-Price" advise="1"/>
      <ddeItem name="SEE.US-BestAsk1" advise="1"/>
      <ddeItem name="SEE.US-BestBid1" advise="1"/>
      <ddeItem name="SEE.US-PreClose" advise="1"/>
      <ddeItem name="SEE.US-Price" advise="1"/>
      <ddeItem name="SGDTW.FX-Ask" advise="1"/>
      <ddeItem name="SGDTW.FX-AvgPrice" advise="1"/>
      <ddeItem name="SGDTW.FX-BestAskSize" advise="1"/>
      <ddeItem name="SGDTW.FX-BestBidSize" advise="1"/>
      <ddeItem name="SGDTW.FX-Bid" advise="1"/>
      <ddeItem name="SGDTW.FX-Capital" advise="1"/>
      <ddeItem name="SGDTW.FX-InOutRatio" advise="1"/>
      <ddeItem name="SGDTW.FX-MarketValue" advise="1"/>
      <ddeItem name="SGDTW.FX-Name" advise="1"/>
      <ddeItem name="SGDTW.FX-PreClose" advise="1"/>
      <ddeItem name="SGDTW.FX-Price" advise="1"/>
      <ddeItem name="SGDTW.FX-PriceChange" advise="1"/>
      <ddeItem name="SGDTW.FX-PriceChangeRatio" advise="1"/>
      <ddeItem name="SGDTW.FX-Profit" advise="1"/>
      <ddeItem name="SGDTW.FX-TotalVolume" advise="1"/>
      <ddeItem name="SGDTW.FX-Volume" advise="1"/>
      <ddeItem name="SHW.US-BestAsk1" advise="1"/>
      <ddeItem name="SHW.US-BestBid1" advise="1"/>
      <ddeItem name="SHW.US-PreClose" advise="1"/>
      <ddeItem name="SHW.US-Price" advise="1"/>
      <ddeItem name="SIG.US-BestAsk1" advise="1"/>
      <ddeItem name="SIG.US-BestBid1" advise="1"/>
      <ddeItem name="SIG.US-PreClose" advise="1"/>
      <ddeItem name="SIG.US-Price" advise="1"/>
      <ddeItem name="SJM.US-BestAsk1" advise="1"/>
      <ddeItem name="SJM.US-BestBid1" advise="1"/>
      <ddeItem name="SJM.US-PreClose" advise="1"/>
      <ddeItem name="SJM.US-Price" advise="1"/>
      <ddeItem name="SLB.US-BestAsk1">
        <values>
          <value t="str">
            <val>N/A</val>
          </value>
        </values>
      </ddeItem>
      <ddeItem name="SLB.US-BestBid1">
        <values>
          <value t="str">
            <val>N/A</val>
          </value>
        </values>
      </ddeItem>
      <ddeItem name="SLB.US-PreClose">
        <values>
          <value t="str">
            <val>N/A</val>
          </value>
        </values>
      </ddeItem>
      <ddeItem name="SLB.US-Price">
        <values>
          <value t="str">
            <val>N/A</val>
          </value>
        </values>
      </ddeItem>
      <ddeItem name="SLG.US-BestAsk1" advise="1"/>
      <ddeItem name="SLG.US-BestBid1" advise="1"/>
      <ddeItem name="SLG.US-PreClose" advise="1"/>
      <ddeItem name="SLG.US-Price" advise="1"/>
      <ddeItem name="SNA.US-BestAsk1" advise="1"/>
      <ddeItem name="SNA.US-BestBid1" advise="1"/>
      <ddeItem name="SNA.US-PreClose" advise="1"/>
      <ddeItem name="SNA.US-Price" advise="1"/>
      <ddeItem name="SNI.US-BestAsk1" advise="1"/>
      <ddeItem name="SNI.US-BestBid1" advise="1"/>
      <ddeItem name="SNI.US-PreClose" advise="1"/>
      <ddeItem name="SNI.US-Price" advise="1"/>
      <ddeItem name="SNPS.US-BestAsk1" advise="1"/>
      <ddeItem name="SNPS.US-BestBid1" advise="1"/>
      <ddeItem name="SNPS.US-PreClose" advise="1"/>
      <ddeItem name="SNPS.US-Price" advise="1"/>
      <ddeItem name="SO.US-BestAsk1">
        <values>
          <value t="str">
            <val>N/A</val>
          </value>
        </values>
      </ddeItem>
      <ddeItem name="SO.US-BestBid1">
        <values>
          <value t="str">
            <val>N/A</val>
          </value>
        </values>
      </ddeItem>
      <ddeItem name="SO.US-PreClose">
        <values>
          <value t="str">
            <val>N/A</val>
          </value>
        </values>
      </ddeItem>
      <ddeItem name="SO.US-Price">
        <values>
          <value t="str">
            <val>N/A</val>
          </value>
        </values>
      </ddeItem>
      <ddeItem name="SPG.US-BestAsk1">
        <values>
          <value t="str">
            <val>N/A</val>
          </value>
        </values>
      </ddeItem>
      <ddeItem name="SPG.US-BestBid1">
        <values>
          <value t="str">
            <val>N/A</val>
          </value>
        </values>
      </ddeItem>
      <ddeItem name="SPG.US-PreClose">
        <values>
          <value t="str">
            <val>N/A</val>
          </value>
        </values>
      </ddeItem>
      <ddeItem name="SPG.US-Price">
        <values>
          <value t="str">
            <val>N/A</val>
          </value>
        </values>
      </ddeItem>
      <ddeItem name="SPGI.US-BestAsk1" advise="1"/>
      <ddeItem name="SPGI.US-BestBid1" advise="1"/>
      <ddeItem name="SPGI.US-PreClose" advise="1"/>
      <ddeItem name="SPGI.US-Price" advise="1"/>
      <ddeItem name="SRCL.US-BestAsk1" advise="1"/>
      <ddeItem name="SRCL.US-BestBid1" advise="1"/>
      <ddeItem name="SRCL.US-PreClose" advise="1"/>
      <ddeItem name="SRCL.US-Price" advise="1"/>
      <ddeItem name="SRE.US-BestAsk1" advise="1"/>
      <ddeItem name="SRE.US-BestBid1" advise="1"/>
      <ddeItem name="SRE.US-PreClose" advise="1"/>
      <ddeItem name="SRE.US-Price" advise="1"/>
      <ddeItem name="StdDocumentName" ole="1" advise="1"/>
      <ddeItem name="STI.US-BestAsk1" advise="1"/>
      <ddeItem name="STI.US-BestBid1" advise="1"/>
      <ddeItem name="STI.US-PreClose" advise="1"/>
      <ddeItem name="STI.US-Price" advise="1"/>
      <ddeItem name="STT.US-BestAsk1" advise="1"/>
      <ddeItem name="STT.US-BestBid1" advise="1"/>
      <ddeItem name="STT.US-PreClose" advise="1"/>
      <ddeItem name="STT.US-Price" advise="1"/>
      <ddeItem name="STX.US-BestAsk1" advise="1"/>
      <ddeItem name="STX.US-BestBid1" advise="1"/>
      <ddeItem name="STX.US-PreClose" advise="1"/>
      <ddeItem name="STX.US-Price" advise="1"/>
      <ddeItem name="STZ.US-BestAsk1" advise="1"/>
      <ddeItem name="STZ.US-BestBid1" advise="1"/>
      <ddeItem name="STZ.US-PreClose" advise="1"/>
      <ddeItem name="STZ.US-Price" advise="1"/>
      <ddeItem name="SWK.US-BestAsk1" advise="1"/>
      <ddeItem name="SWK.US-BestBid1" advise="1"/>
      <ddeItem name="SWK.US-PreClose" advise="1"/>
      <ddeItem name="SWK.US-Price" advise="1"/>
      <ddeItem name="SWKS.US-BestAsk1" advise="1"/>
      <ddeItem name="SWKS.US-BestBid1" advise="1"/>
      <ddeItem name="SWKS.US-PreClose" advise="1"/>
      <ddeItem name="SWKS.US-Price" advise="1"/>
      <ddeItem name="SYF.US-BestAsk1" advise="1"/>
      <ddeItem name="SYF.US-BestBid1" advise="1"/>
      <ddeItem name="SYF.US-PreClose" advise="1"/>
      <ddeItem name="SYF.US-Price" advise="1"/>
      <ddeItem name="SYK.US-BestAsk1" advise="1"/>
      <ddeItem name="SYK.US-BestBid1" advise="1"/>
      <ddeItem name="SYK.US-PreClose" advise="1"/>
      <ddeItem name="SYK.US-Price" advise="1"/>
      <ddeItem name="SYMC.US-BestAsk1" advise="1"/>
      <ddeItem name="SYMC.US-BestBid1" advise="1"/>
      <ddeItem name="SYMC.US-PreClose" advise="1"/>
      <ddeItem name="SYMC.US-Price" advise="1"/>
      <ddeItem name="SYY.US-BestAsk1" advise="1"/>
      <ddeItem name="SYY.US-BestBid1" advise="1"/>
      <ddeItem name="SYY.US-PreClose" advise="1"/>
      <ddeItem name="SYY.US-Price" advise="1"/>
      <ddeItem name="T.US-BestAsk1">
        <values>
          <value t="str">
            <val>N/A</val>
          </value>
        </values>
      </ddeItem>
      <ddeItem name="T.US-BestBid1">
        <values>
          <value t="str">
            <val>N/A</val>
          </value>
        </values>
      </ddeItem>
      <ddeItem name="T.US-PreClose">
        <values>
          <value t="str">
            <val>N/A</val>
          </value>
        </values>
      </ddeItem>
      <ddeItem name="T.US-Price">
        <values>
          <value t="str">
            <val>N/A</val>
          </value>
        </values>
      </ddeItem>
      <ddeItem name="TAP.US-BestAsk1" advise="1"/>
      <ddeItem name="TAP.US-BestBid1" advise="1"/>
      <ddeItem name="TAP.US-PreClose" advise="1"/>
      <ddeItem name="TAP.US-Price" advise="1"/>
      <ddeItem name="TDG.US-BestAsk1" advise="1"/>
      <ddeItem name="TDG.US-BestBid1" advise="1"/>
      <ddeItem name="TDG.US-PreClose" advise="1"/>
      <ddeItem name="TDG.US-Price" advise="1"/>
      <ddeItem name="TEL.US-BestAsk1" advise="1"/>
      <ddeItem name="TEL.US-BestBid1" advise="1"/>
      <ddeItem name="TEL.US-PreClose" advise="1"/>
      <ddeItem name="TEL.US-Price" advise="1"/>
      <ddeItem name="TGT.US-BestAsk1" advise="1"/>
      <ddeItem name="TGT.US-BestBid1" advise="1"/>
      <ddeItem name="TGT.US-PreClose" advise="1"/>
      <ddeItem name="TGT.US-Price" advise="1"/>
      <ddeItem name="THB.FX-Ask" advise="1"/>
      <ddeItem name="THB.FX-AvgPrice" advise="1"/>
      <ddeItem name="THB.FX-BestAskSize" advise="1"/>
      <ddeItem name="THB.FX-BestBidSize" advise="1"/>
      <ddeItem name="THB.FX-Bid" advise="1"/>
      <ddeItem name="THB.FX-Capital" advise="1"/>
      <ddeItem name="THB.FX-InOutRatio" advise="1"/>
      <ddeItem name="THB.FX-MarketValue" advise="1"/>
      <ddeItem name="THB.FX-Name" advise="1"/>
      <ddeItem name="THB.FX-PreClose" advise="1"/>
      <ddeItem name="THB.FX-Price" advise="1"/>
      <ddeItem name="THB.FX-PriceChange" advise="1"/>
      <ddeItem name="THB.FX-PriceChangeRatio" advise="1"/>
      <ddeItem name="THB.FX-Profit" advise="1"/>
      <ddeItem name="THB.FX-TotalVolume" advise="1"/>
      <ddeItem name="THB.FX-Volume" advise="1"/>
      <ddeItem name="TIF.US-BestAsk1" advise="1"/>
      <ddeItem name="TIF.US-BestBid1" advise="1"/>
      <ddeItem name="TIF.US-PreClose" advise="1"/>
      <ddeItem name="TIF.US-Price" advise="1"/>
      <ddeItem name="TJX.US-BestAsk1" advise="1"/>
      <ddeItem name="TJX.US-BestBid1" advise="1"/>
      <ddeItem name="TJX.US-PreClose" advise="1"/>
      <ddeItem name="TJX.US-Price" advise="1"/>
      <ddeItem name="TMK.US-BestAsk1" advise="1"/>
      <ddeItem name="TMK.US-BestBid1" advise="1"/>
      <ddeItem name="TMK.US-PreClose" advise="1"/>
      <ddeItem name="TMK.US-Price" advise="1"/>
      <ddeItem name="TMO.US-BestAsk1" advise="1"/>
      <ddeItem name="TMO.US-BestBid1" advise="1"/>
      <ddeItem name="TMO.US-PreClose" advise="1"/>
      <ddeItem name="TMO.US-Price" advise="1"/>
      <ddeItem name="TRIP.US-BestAsk1" advise="1"/>
      <ddeItem name="TRIP.US-BestBid1" advise="1"/>
      <ddeItem name="TRIP.US-PreClose" advise="1"/>
      <ddeItem name="TRIP.US-Price" advise="1"/>
      <ddeItem name="TROW.US-BestAsk1">
        <values>
          <value t="str">
            <val>N/A</val>
          </value>
        </values>
      </ddeItem>
      <ddeItem name="TROW.US-BestBid1">
        <values>
          <value t="str">
            <val>N/A</val>
          </value>
        </values>
      </ddeItem>
      <ddeItem name="TROW.US-PreClose">
        <values>
          <value t="str">
            <val>N/A</val>
          </value>
        </values>
      </ddeItem>
      <ddeItem name="TROW.US-Price">
        <values>
          <value t="str">
            <val>N/A</val>
          </value>
        </values>
      </ddeItem>
      <ddeItem name="TRV.US-BestAsk1">
        <values>
          <value t="str">
            <val>N/A</val>
          </value>
        </values>
      </ddeItem>
      <ddeItem name="TRV.US-BestBid1">
        <values>
          <value t="str">
            <val>N/A</val>
          </value>
        </values>
      </ddeItem>
      <ddeItem name="TRV.US-PreClose">
        <values>
          <value t="str">
            <val>N/A</val>
          </value>
        </values>
      </ddeItem>
      <ddeItem name="TRV.US-Price">
        <values>
          <value t="str">
            <val>N/A</val>
          </value>
        </values>
      </ddeItem>
      <ddeItem name="TSCO.US-BestAsk1" advise="1"/>
      <ddeItem name="TSCO.US-BestBid1" advise="1"/>
      <ddeItem name="TSCO.US-PreClose" advise="1"/>
      <ddeItem name="TSCO.US-Price" advise="1"/>
      <ddeItem name="TSN.US-BestAsk1" advise="1"/>
      <ddeItem name="TSN.US-BestBid1" advise="1"/>
      <ddeItem name="TSN.US-PreClose" advise="1"/>
      <ddeItem name="TSN.US-Price" advise="1"/>
      <ddeItem name="TSS.US-BestAsk1" advise="1"/>
      <ddeItem name="TSS.US-BestBid1" advise="1"/>
      <ddeItem name="TSS.US-PreClose" advise="1"/>
      <ddeItem name="TSS.US-Price" advise="1"/>
      <ddeItem name="TWD.FX-Ask" advise="1"/>
      <ddeItem name="TWD.FX-AvgPrice" advise="1"/>
      <ddeItem name="TWD.FX-BestAskSize" advise="1"/>
      <ddeItem name="TWD.FX-BestBidSize" advise="1"/>
      <ddeItem name="TWD.FX-Bid" advise="1"/>
      <ddeItem name="TWD.FX-Capital" advise="1"/>
      <ddeItem name="TWD.FX-InOutRatio" advise="1"/>
      <ddeItem name="TWD.FX-MarketValue" advise="1"/>
      <ddeItem name="TWD.FX-Name" advise="1"/>
      <ddeItem name="TWD.FX-Preclose" advise="1"/>
      <ddeItem name="TWD.FX-Price" advise="1"/>
      <ddeItem name="TWD.FX-PriceChange" advise="1"/>
      <ddeItem name="TWD.FX-PriceChangeRatio" advise="1"/>
      <ddeItem name="TWD.FX-Profit" advise="1"/>
      <ddeItem name="TWD.FX-TotalVolume" advise="1"/>
      <ddeItem name="TWD.FX-Volume" advise="1"/>
      <ddeItem name="TWX.US-BestAsk1" advise="1"/>
      <ddeItem name="TWX.US-BestBid1" advise="1"/>
      <ddeItem name="TWX.US-PreClose" advise="1"/>
      <ddeItem name="TWX.US-Price" advise="1"/>
      <ddeItem name="TXN.US-BestAsk1" advise="1"/>
      <ddeItem name="TXN.US-BestBid1" advise="1"/>
      <ddeItem name="TXN.US-PreClose" advise="1"/>
      <ddeItem name="TXN.US-Price" advise="1"/>
      <ddeItem name="TXT.US-BestAsk1" advise="1"/>
      <ddeItem name="TXT.US-BestBid1" advise="1"/>
      <ddeItem name="TXT.US-PreClose" advise="1"/>
      <ddeItem name="TXT.US-Price" advise="1"/>
      <ddeItem name="UA.US-BestAsk1" advise="1"/>
      <ddeItem name="UA.US-BestBid1" advise="1"/>
      <ddeItem name="UA.US-PreClose" advise="1"/>
      <ddeItem name="UA.US-Price" advise="1"/>
      <ddeItem name="UAA.US-BestAsk1" advise="1"/>
      <ddeItem name="UAA.US-BestBid1" advise="1"/>
      <ddeItem name="UAA.US-PreClose" advise="1"/>
      <ddeItem name="UAA.US-Price" advise="1"/>
      <ddeItem name="UAL.US-BestAsk1" advise="1"/>
      <ddeItem name="UAL.US-BestBid1" advise="1"/>
      <ddeItem name="UAL.US-PreClose" advise="1"/>
      <ddeItem name="UAL.US-Price" advise="1"/>
      <ddeItem name="UDR.US-BestAsk1" advise="1"/>
      <ddeItem name="UDR.US-BestBid1" advise="1"/>
      <ddeItem name="UDR.US-PreClose" advise="1"/>
      <ddeItem name="UDR.US-Price" advise="1"/>
      <ddeItem name="UHS.US-BestAsk1" advise="1"/>
      <ddeItem name="UHS.US-BestBid1" advise="1"/>
      <ddeItem name="UHS.US-PreClose" advise="1"/>
      <ddeItem name="UHS.US-Price" advise="1"/>
      <ddeItem name="ULTA.US-BestAsk1" advise="1"/>
      <ddeItem name="ULTA.US-BestBid1" advise="1"/>
      <ddeItem name="ULTA.US-PreClose" advise="1"/>
      <ddeItem name="ULTA.US-Price" advise="1"/>
      <ddeItem name="UNH.US-BestAsk1">
        <values>
          <value t="str">
            <val>N/A</val>
          </value>
        </values>
      </ddeItem>
      <ddeItem name="UNH.US-BestBid1">
        <values>
          <value t="str">
            <val>N/A</val>
          </value>
        </values>
      </ddeItem>
      <ddeItem name="UNH.US-PreClose">
        <values>
          <value t="str">
            <val>N/A</val>
          </value>
        </values>
      </ddeItem>
      <ddeItem name="UNH.US-Price">
        <values>
          <value t="str">
            <val>N/A</val>
          </value>
        </values>
      </ddeItem>
      <ddeItem name="UNM.US-BestAsk1" advise="1"/>
      <ddeItem name="UNM.US-BestBid1" advise="1"/>
      <ddeItem name="UNM.US-PreClose" advise="1"/>
      <ddeItem name="UNM.US-Price" advise="1"/>
      <ddeItem name="UNP.US-BestAsk1" advise="1"/>
      <ddeItem name="UNP.US-BestBid1" advise="1"/>
      <ddeItem name="UNP.US-PreClose" advise="1"/>
      <ddeItem name="UNP.US-Price" advise="1"/>
      <ddeItem name="UPS.US-BestAsk1" advise="1"/>
      <ddeItem name="UPS.US-BestBid1" advise="1"/>
      <ddeItem name="UPS.US-PreClose" advise="1"/>
      <ddeItem name="UPS.US-Price" advise="1"/>
      <ddeItem name="URI.US-BestAsk1" advise="1"/>
      <ddeItem name="URI.US-BestBid1" advise="1"/>
      <ddeItem name="URI.US-PreClose" advise="1"/>
      <ddeItem name="URI.US-Price" advise="1"/>
      <ddeItem name="USB.US-BestAsk1" advise="1"/>
      <ddeItem name="USB.US-BestBid1" advise="1"/>
      <ddeItem name="USB.US-PreClose" advise="1"/>
      <ddeItem name="USB.US-Price" advise="1"/>
      <ddeItem name="UTX.US-BestAsk1">
        <values>
          <value t="str">
            <val>N/A</val>
          </value>
        </values>
      </ddeItem>
      <ddeItem name="UTX.US-BestBid1">
        <values>
          <value t="str">
            <val>N/A</val>
          </value>
        </values>
      </ddeItem>
      <ddeItem name="UTX.US-PreClose">
        <values>
          <value t="str">
            <val>N/A</val>
          </value>
        </values>
      </ddeItem>
      <ddeItem name="UTX.US-Price">
        <values>
          <value t="str">
            <val>N/A</val>
          </value>
        </values>
      </ddeItem>
      <ddeItem name="V.US-BestAsk1">
        <values>
          <value t="str">
            <val>N/A</val>
          </value>
        </values>
      </ddeItem>
      <ddeItem name="V.US-BestBid1">
        <values>
          <value t="str">
            <val>N/A</val>
          </value>
        </values>
      </ddeItem>
      <ddeItem name="V.US-PreClose">
        <values>
          <value t="str">
            <val>N/A</val>
          </value>
        </values>
      </ddeItem>
      <ddeItem name="V.US-Price">
        <values>
          <value t="str">
            <val>N/A</val>
          </value>
        </values>
      </ddeItem>
      <ddeItem name="VAR.US-BestAsk1" advise="1"/>
      <ddeItem name="VAR.US-BestBid1" advise="1"/>
      <ddeItem name="VAR.US-PreClose" advise="1"/>
      <ddeItem name="VAR.US-Price" advise="1"/>
      <ddeItem name="VFC.US-BestAsk1" advise="1"/>
      <ddeItem name="VFC.US-BestBid1" advise="1"/>
      <ddeItem name="VFC.US-PreClose" advise="1"/>
      <ddeItem name="VFC.US-Price" advise="1"/>
      <ddeItem name="VIAB.US-BestAsk1" advise="1"/>
      <ddeItem name="VIAB.US-BestBid1" advise="1"/>
      <ddeItem name="VIAB.US-PreClose" advise="1"/>
      <ddeItem name="VIAB.US-Price" advise="1"/>
      <ddeItem name="VLO.US-BestAsk1" advise="1"/>
      <ddeItem name="VLO.US-BestBid1" advise="1"/>
      <ddeItem name="VLO.US-PreClose" advise="1"/>
      <ddeItem name="VLO.US-Price" advise="1"/>
      <ddeItem name="VMC.US-BestAsk1" advise="1"/>
      <ddeItem name="VMC.US-BestBid1" advise="1"/>
      <ddeItem name="VMC.US-PreClose" advise="1"/>
      <ddeItem name="VMC.US-Price" advise="1"/>
      <ddeItem name="VNO.US-BestAsk1" advise="1"/>
      <ddeItem name="VNO.US-BestBid1" advise="1"/>
      <ddeItem name="VNO.US-PreClose" advise="1"/>
      <ddeItem name="VNO.US-Price" advise="1"/>
      <ddeItem name="VRSK.US-BestAsk1" advise="1"/>
      <ddeItem name="VRSK.US-BestBid1" advise="1"/>
      <ddeItem name="VRSK.US-PreClose" advise="1"/>
      <ddeItem name="VRSK.US-Price" advise="1"/>
      <ddeItem name="VRSN.US-BestAsk1" advise="1"/>
      <ddeItem name="VRSN.US-BestBid1" advise="1"/>
      <ddeItem name="VRSN.US-PreClose" advise="1"/>
      <ddeItem name="VRSN.US-Price" advise="1"/>
      <ddeItem name="VRTX.US-BestAsk1" advise="1"/>
      <ddeItem name="VRTX.US-BestBid1" advise="1"/>
      <ddeItem name="VRTX.US-PreClose" advise="1"/>
      <ddeItem name="VRTX.US-Price" advise="1"/>
      <ddeItem name="VTR.US-BestAsk1">
        <values>
          <value t="str">
            <val>N/A</val>
          </value>
        </values>
      </ddeItem>
      <ddeItem name="VTR.US-BestBid1">
        <values>
          <value t="str">
            <val>N/A</val>
          </value>
        </values>
      </ddeItem>
      <ddeItem name="VTR.US-PreClose">
        <values>
          <value t="str">
            <val>N/A</val>
          </value>
        </values>
      </ddeItem>
      <ddeItem name="VTR.US-Price">
        <values>
          <value t="str">
            <val>N/A</val>
          </value>
        </values>
      </ddeItem>
      <ddeItem name="VZ.US-BestAsk1">
        <values>
          <value t="str">
            <val>N/A</val>
          </value>
        </values>
      </ddeItem>
      <ddeItem name="VZ.US-BestBid1">
        <values>
          <value t="str">
            <val>N/A</val>
          </value>
        </values>
      </ddeItem>
      <ddeItem name="VZ.US-PreClose">
        <values>
          <value t="str">
            <val>N/A</val>
          </value>
        </values>
      </ddeItem>
      <ddeItem name="VZ.US-Price">
        <values>
          <value t="str">
            <val>N/A</val>
          </value>
        </values>
      </ddeItem>
      <ddeItem name="WAT.US-BestAsk1" advise="1"/>
      <ddeItem name="WAT.US-BestBid1" advise="1"/>
      <ddeItem name="WAT.US-PreClose" advise="1"/>
      <ddeItem name="WAT.US-Price" advise="1"/>
      <ddeItem name="WBA.US-BestAsk1" advise="1"/>
      <ddeItem name="WBA.US-BestBid1" advise="1"/>
      <ddeItem name="WBA.US-PreClose" advise="1"/>
      <ddeItem name="WBA.US-Price" advise="1"/>
      <ddeItem name="WDC.US-BestAsk1" advise="1"/>
      <ddeItem name="WDC.US-BestBid1" advise="1"/>
      <ddeItem name="WDC.US-PreClose" advise="1"/>
      <ddeItem name="WDC.US-Price" advise="1"/>
      <ddeItem name="WEC.US-BestAsk1" advise="1"/>
      <ddeItem name="WEC.US-BestBid1" advise="1"/>
      <ddeItem name="WEC.US-PreClose" advise="1"/>
      <ddeItem name="WEC.US-Price" advise="1"/>
      <ddeItem name="WFC.US-BestAsk1" advise="1"/>
      <ddeItem name="WFC.US-BestBid1" advise="1"/>
      <ddeItem name="WFC.US-PreClose" advise="1"/>
      <ddeItem name="WFC.US-Price" advise="1"/>
      <ddeItem name="WHR.US-BestAsk1" advise="1"/>
      <ddeItem name="WHR.US-BestBid1" advise="1"/>
      <ddeItem name="WHR.US-PreClose" advise="1"/>
      <ddeItem name="WHR.US-Price" advise="1"/>
      <ddeItem name="WLTW.US-BestAsk1" advise="1"/>
      <ddeItem name="WLTW.US-BestBid1" advise="1"/>
      <ddeItem name="WLTW.US-PreClose" advise="1"/>
      <ddeItem name="WLTW.US-Price" advise="1"/>
      <ddeItem name="WM.US-BestAsk1" advise="1"/>
      <ddeItem name="WM.US-BestBid1" advise="1"/>
      <ddeItem name="WM.US-PreClose" advise="1"/>
      <ddeItem name="WM.US-Price" advise="1"/>
      <ddeItem name="WMB.US-BestAsk1" advise="1"/>
      <ddeItem name="WMB.US-BestBid1" advise="1"/>
      <ddeItem name="WMB.US-PreClose" advise="1"/>
      <ddeItem name="WMB.US-Price" advise="1"/>
      <ddeItem name="WMT.US-BestAsk1">
        <values>
          <value t="str">
            <val>N/A</val>
          </value>
        </values>
      </ddeItem>
      <ddeItem name="WMT.US-BestBid1">
        <values>
          <value t="str">
            <val>N/A</val>
          </value>
        </values>
      </ddeItem>
      <ddeItem name="WMT.US-PreClose">
        <values>
          <value t="str">
            <val>N/A</val>
          </value>
        </values>
      </ddeItem>
      <ddeItem name="WMT.US-Price">
        <values>
          <value t="str">
            <val>N/A</val>
          </value>
        </values>
      </ddeItem>
      <ddeItem name="WRK.US-BestAsk1" advise="1"/>
      <ddeItem name="WRK.US-BestBid1" advise="1"/>
      <ddeItem name="WRK.US-PreClose" advise="1"/>
      <ddeItem name="WRK.US-Price" advise="1"/>
      <ddeItem name="WU.US-BestAsk1">
        <values>
          <value t="str">
            <val>N/A</val>
          </value>
        </values>
      </ddeItem>
      <ddeItem name="WU.US-BestBid1">
        <values>
          <value t="str">
            <val>N/A</val>
          </value>
        </values>
      </ddeItem>
      <ddeItem name="WU.US-PreClose">
        <values>
          <value t="str">
            <val>N/A</val>
          </value>
        </values>
      </ddeItem>
      <ddeItem name="WU.US-Price">
        <values>
          <value t="str">
            <val>N/A</val>
          </value>
        </values>
      </ddeItem>
      <ddeItem name="WY.US-BestAsk1" advise="1"/>
      <ddeItem name="WY.US-BestBid1" advise="1"/>
      <ddeItem name="WY.US-PreClose" advise="1"/>
      <ddeItem name="WY.US-Price" advise="1"/>
      <ddeItem name="WYN.US-BestAsk1" advise="1"/>
      <ddeItem name="WYN.US-BestBid1" advise="1"/>
      <ddeItem name="WYN.US-PreClose" advise="1"/>
      <ddeItem name="WYN.US-Price" advise="1"/>
      <ddeItem name="WYNN.US-BestAsk1" advise="1"/>
      <ddeItem name="WYNN.US-BestBid1" advise="1"/>
      <ddeItem name="WYNN.US-PreClose" advise="1"/>
      <ddeItem name="WYNN.US-Price" advise="1"/>
      <ddeItem name="XEC.US-BestAsk1" advise="1"/>
      <ddeItem name="XEC.US-BestBid1" advise="1"/>
      <ddeItem name="XEC.US-PreClose" advise="1"/>
      <ddeItem name="XEC.US-Price" advise="1"/>
      <ddeItem name="XEL.US-BestAsk1" advise="1"/>
      <ddeItem name="XEL.US-BestBid1" advise="1"/>
      <ddeItem name="XEL.US-PreClose" advise="1"/>
      <ddeItem name="XEL.US-Price" advise="1"/>
      <ddeItem name="XL.US-BestAsk1" advise="1"/>
      <ddeItem name="XL.US-BestBid1" advise="1"/>
      <ddeItem name="XL.US-PreClose" advise="1"/>
      <ddeItem name="XL.US-Price" advise="1"/>
      <ddeItem name="XLNX.US-BestAsk1" advise="1"/>
      <ddeItem name="XLNX.US-BestBid1" advise="1"/>
      <ddeItem name="XLNX.US-PreClose" advise="1"/>
      <ddeItem name="XLNX.US-Price" advise="1"/>
      <ddeItem name="XOM.US-BestAsk1">
        <values>
          <value t="str">
            <val>N/A</val>
          </value>
        </values>
      </ddeItem>
      <ddeItem name="XOM.US-BestBid1">
        <values>
          <value t="str">
            <val>N/A</val>
          </value>
        </values>
      </ddeItem>
      <ddeItem name="XOM.US-PreClose">
        <values>
          <value t="str">
            <val>N/A</val>
          </value>
        </values>
      </ddeItem>
      <ddeItem name="XOM.US-Price">
        <values>
          <value t="str">
            <val>N/A</val>
          </value>
        </values>
      </ddeItem>
      <ddeItem name="XRAY.US-BestAsk1" advise="1"/>
      <ddeItem name="XRAY.US-BestBid1" advise="1"/>
      <ddeItem name="XRAY.US-PreClose" advise="1"/>
      <ddeItem name="XRAY.US-Price" advise="1"/>
      <ddeItem name="XRX.US-BestAsk1" advise="1"/>
      <ddeItem name="XRX.US-BestBid1" advise="1"/>
      <ddeItem name="XRX.US-PreClose" advise="1"/>
      <ddeItem name="XRX.US-Price" advise="1"/>
      <ddeItem name="XYL.US-BestAsk1" advise="1"/>
      <ddeItem name="XYL.US-BestBid1" advise="1"/>
      <ddeItem name="XYL.US-PreClose" advise="1"/>
      <ddeItem name="XYL.US-Price" advise="1"/>
      <ddeItem name="YUM.US-BestAsk1" advise="1"/>
      <ddeItem name="YUM.US-BestBid1" advise="1"/>
      <ddeItem name="YUM.US-PreClose" advise="1"/>
      <ddeItem name="YUM.US-Price" advise="1"/>
      <ddeItem name="ZARTW.FX-Ask" advise="1"/>
      <ddeItem name="ZARTW.FX-AvgPrice" advise="1"/>
      <ddeItem name="ZARTW.FX-BestAskSize" advise="1"/>
      <ddeItem name="ZARTW.FX-BestBidSize" advise="1"/>
      <ddeItem name="ZARTW.FX-Bid" advise="1"/>
      <ddeItem name="ZARTW.FX-Capital" advise="1"/>
      <ddeItem name="ZARTW.FX-InOutRatio" advise="1"/>
      <ddeItem name="ZARTW.FX-MarketValue" advise="1"/>
      <ddeItem name="ZARTW.FX-Name" advise="1"/>
      <ddeItem name="ZARTW.FX-PreClose" advise="1"/>
      <ddeItem name="ZARTW.FX-Price" advise="1"/>
      <ddeItem name="ZARTW.FX-PriceChange" advise="1"/>
      <ddeItem name="ZARTW.FX-PriceChangeRatio" advise="1"/>
      <ddeItem name="ZARTW.FX-Profit" advise="1"/>
      <ddeItem name="ZARTW.FX-TotalVolume" advise="1"/>
      <ddeItem name="ZARTW.FX-Volume" advise="1"/>
      <ddeItem name="ZBH.US-BestAsk1" advise="1"/>
      <ddeItem name="ZBH.US-BestBid1" advise="1"/>
      <ddeItem name="ZBH.US-PreClose" advise="1"/>
      <ddeItem name="ZBH.US-Price" advise="1"/>
      <ddeItem name="ZION.US-BestAsk1" advise="1"/>
      <ddeItem name="ZION.US-BestBid1" advise="1"/>
      <ddeItem name="ZION.US-PreClose" advise="1"/>
      <ddeItem name="ZION.US-Price" advise="1"/>
      <ddeItem name="ZTS.US-BestAsk1" advise="1"/>
      <ddeItem name="ZTS.US-BestBid1" advise="1"/>
      <ddeItem name="ZTS.US-PreClose" advise="1"/>
      <ddeItem name="ZTS.US-Price" advise="1"/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yuantaetfs.com/api/Orders?" TargetMode="External"/><Relationship Id="rId2" Type="http://schemas.openxmlformats.org/officeDocument/2006/relationships/hyperlink" Target="http://www.yuantaetfs.com/api/TodayPcf?etfid=00642U" TargetMode="External"/><Relationship Id="rId1" Type="http://schemas.openxmlformats.org/officeDocument/2006/relationships/hyperlink" Target="http://www.yuantaetfs.com/api/Orders?fundid=1116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ebsys.fsit.com.tw/FubonETF/Trade/FundInvestJson.aspx?stkId=006205&amp;checkSum=37815" TargetMode="External"/><Relationship Id="rId13" Type="http://schemas.openxmlformats.org/officeDocument/2006/relationships/hyperlink" Target="https://www.capitalfund.com.tw/ETFAPI/pcf?etfcode=00685L&amp;qdate=2017/09/27" TargetMode="External"/><Relationship Id="rId18" Type="http://schemas.openxmlformats.org/officeDocument/2006/relationships/hyperlink" Target="http://websys.fsit.com.tw/FubonETF/Trade/FundInvestJson.aspx?stkId=00692&amp;checkSum=37815" TargetMode="External"/><Relationship Id="rId26" Type="http://schemas.openxmlformats.org/officeDocument/2006/relationships/hyperlink" Target="http://www.fhtrust.com.tw/funds/fund_intro_ETF_pcf.asp?QueryFund=ETF01" TargetMode="External"/><Relationship Id="rId3" Type="http://schemas.openxmlformats.org/officeDocument/2006/relationships/hyperlink" Target="http://websys.fsit.com.tw/FubonETF/Trade/FundInvestJson.aspx?stkId=006208&amp;checkSum=37815" TargetMode="External"/><Relationship Id="rId21" Type="http://schemas.openxmlformats.org/officeDocument/2006/relationships/hyperlink" Target="https://www.cathaysite.com.tw/funds/etf/etf_ws.asmx/GetFundAssetsByStock?_stock_code=00655L" TargetMode="External"/><Relationship Id="rId34" Type="http://schemas.openxmlformats.org/officeDocument/2006/relationships/hyperlink" Target="https://www.cathaysite.com.tw/funds/etf/etf_ws.asmx/GetFundAssetsByStock?_stock_code=00668" TargetMode="External"/><Relationship Id="rId7" Type="http://schemas.openxmlformats.org/officeDocument/2006/relationships/hyperlink" Target="https://www.capitalfund.com.tw/ETFAPI/pcf?etfcode=00643&amp;qdate=2017/09/27" TargetMode="External"/><Relationship Id="rId12" Type="http://schemas.openxmlformats.org/officeDocument/2006/relationships/hyperlink" Target="http://www.tsit.com.tw/api/pcf?etfcode=00703&amp;date=2017/09/27" TargetMode="External"/><Relationship Id="rId17" Type="http://schemas.openxmlformats.org/officeDocument/2006/relationships/hyperlink" Target="https://www.cathaysite.com.tw/funds/etf/etf_ws.asmx/GetFundAssetsByStock?_stock_code=00689R" TargetMode="External"/><Relationship Id="rId25" Type="http://schemas.openxmlformats.org/officeDocument/2006/relationships/hyperlink" Target="http://www.yuantaetfs.com/api/Orders?fundid=1078" TargetMode="External"/><Relationship Id="rId33" Type="http://schemas.openxmlformats.org/officeDocument/2006/relationships/hyperlink" Target="https://www.cathaysite.com.tw/funds/etf/etf_ws.asmx/GetFundAssetsByStock?_stock_code=00669R" TargetMode="External"/><Relationship Id="rId2" Type="http://schemas.openxmlformats.org/officeDocument/2006/relationships/hyperlink" Target="http://www.yuantaetfs.com/api/Orders?fundid=1066" TargetMode="External"/><Relationship Id="rId16" Type="http://schemas.openxmlformats.org/officeDocument/2006/relationships/hyperlink" Target="https://www.cathaysite.com.tw/funds/etf/etf_ws.asmx/GetFundAssetsByStock?_stock_code=00688L" TargetMode="External"/><Relationship Id="rId20" Type="http://schemas.openxmlformats.org/officeDocument/2006/relationships/hyperlink" Target="http://websys.fsit.com.tw/FubonETF/Trade/FundInvestJson.aspx?stkId=00639&amp;checkSum=37815" TargetMode="External"/><Relationship Id="rId29" Type="http://schemas.openxmlformats.org/officeDocument/2006/relationships/hyperlink" Target="http://websys.fsit.com.tw/FubonETF/Trade/FundInvestJson.aspx?stkId=00676R&amp;checkSum=37815" TargetMode="External"/><Relationship Id="rId1" Type="http://schemas.openxmlformats.org/officeDocument/2006/relationships/hyperlink" Target="http://websys.fsit.com.tw/FubonETF/Trade/FundInvestJson.aspx?stkId=00653L&amp;checkSum=37815" TargetMode="External"/><Relationship Id="rId6" Type="http://schemas.openxmlformats.org/officeDocument/2006/relationships/hyperlink" Target="http://www.yuantaetfs.com/api/Orders?fundid=2006" TargetMode="External"/><Relationship Id="rId11" Type="http://schemas.openxmlformats.org/officeDocument/2006/relationships/hyperlink" Target="http://www.tsit.com.tw/api/pcf?etfcode=00705R&amp;date=2017/09/27" TargetMode="External"/><Relationship Id="rId24" Type="http://schemas.openxmlformats.org/officeDocument/2006/relationships/hyperlink" Target="http://websys.fsit.com.tw/FubonETF/Trade/FundInvestJson.aspx?stkId=00645&amp;checkSum=37815" TargetMode="External"/><Relationship Id="rId32" Type="http://schemas.openxmlformats.org/officeDocument/2006/relationships/hyperlink" Target="http://www.megafunds.com.tw/ETF/api/Orders/X001" TargetMode="External"/><Relationship Id="rId5" Type="http://schemas.openxmlformats.org/officeDocument/2006/relationships/hyperlink" Target="https://www.capitalfund.com.tw/ETFAPI/pcf?etfcode=00686R&amp;qdate=2017/09/27" TargetMode="External"/><Relationship Id="rId15" Type="http://schemas.openxmlformats.org/officeDocument/2006/relationships/hyperlink" Target="https://www.cathaysite.com.tw/funds/etf/etf_ws.asmx/GetFundAssetsByStock?_stock_code=00687B" TargetMode="External"/><Relationship Id="rId23" Type="http://schemas.openxmlformats.org/officeDocument/2006/relationships/hyperlink" Target="http://websys.fsit.com.tw/FubonETF/Trade/FundInvestJson.aspx?stkId=00640L&amp;checkSum=37815" TargetMode="External"/><Relationship Id="rId28" Type="http://schemas.openxmlformats.org/officeDocument/2006/relationships/hyperlink" Target="http://websys.fsit.com.tw/FubonETF/Trade/FundInvestJson.aspx?stkId=00675L&amp;checkSum=37815" TargetMode="External"/><Relationship Id="rId36" Type="http://schemas.openxmlformats.org/officeDocument/2006/relationships/hyperlink" Target="http://sitc.sinopac.com/newweb/sitcFundUnitPurchase/getTradeinfo.do?stock_id=37" TargetMode="External"/><Relationship Id="rId10" Type="http://schemas.openxmlformats.org/officeDocument/2006/relationships/hyperlink" Target="http://www.tsit.com.tw/api/pcf?etfcode=00704L&amp;date=2017/09/27" TargetMode="External"/><Relationship Id="rId19" Type="http://schemas.openxmlformats.org/officeDocument/2006/relationships/hyperlink" Target="http://websys.fsit.com.tw/FubonETF/Trade/FundInvestJson.aspx?stkId=00625K&amp;checkSum=37815" TargetMode="External"/><Relationship Id="rId31" Type="http://schemas.openxmlformats.org/officeDocument/2006/relationships/hyperlink" Target="http://www.megafunds.com.tw/ETF/api/Orders/X001" TargetMode="External"/><Relationship Id="rId4" Type="http://schemas.openxmlformats.org/officeDocument/2006/relationships/hyperlink" Target="https://www.cathaysite.com.tw/funds/etf/etf_ws.asmx/GetFundAssetsByStock?_stock_code=00636" TargetMode="External"/><Relationship Id="rId9" Type="http://schemas.openxmlformats.org/officeDocument/2006/relationships/hyperlink" Target="http://www.yuantaetfs.com/api/Orders?fundid=1081" TargetMode="External"/><Relationship Id="rId14" Type="http://schemas.openxmlformats.org/officeDocument/2006/relationships/hyperlink" Target="http://www.megafunds.com.tw/ETF/api/Orders/X002" TargetMode="External"/><Relationship Id="rId22" Type="http://schemas.openxmlformats.org/officeDocument/2006/relationships/hyperlink" Target="https://www.cathaysite.com.tw/funds/etf/etf_ws.asmx/GetFundAssetsByStock?_stock_code=00656R" TargetMode="External"/><Relationship Id="rId27" Type="http://schemas.openxmlformats.org/officeDocument/2006/relationships/hyperlink" Target="http://www.fhtrust.com.tw/funds/fund_intro_ETF_pcf.asp?QueryFund=ETF02" TargetMode="External"/><Relationship Id="rId30" Type="http://schemas.openxmlformats.org/officeDocument/2006/relationships/hyperlink" Target="http://websys.fsit.com.tw/FubonETF/Trade/FundInvestJson.aspx?stkId=00677U&amp;checkSum=37815" TargetMode="External"/><Relationship Id="rId35" Type="http://schemas.openxmlformats.org/officeDocument/2006/relationships/hyperlink" Target="http://www.paradigm-fund.com/ETF/PDLP.ashx?fundID=34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K48"/>
  <sheetViews>
    <sheetView view="pageBreakPreview" zoomScaleSheetLayoutView="100" workbookViewId="0">
      <selection activeCell="A2" sqref="A2"/>
    </sheetView>
  </sheetViews>
  <sheetFormatPr defaultRowHeight="16.5"/>
  <cols>
    <col min="1" max="1" width="18.375" customWidth="1"/>
    <col min="2" max="2" width="9.375" style="7" customWidth="1"/>
    <col min="3" max="3" width="13.625" customWidth="1"/>
    <col min="4" max="4" width="13.25" customWidth="1"/>
    <col min="5" max="5" width="11.875" customWidth="1"/>
    <col min="6" max="6" width="9.5" customWidth="1"/>
    <col min="7" max="7" width="9.875" customWidth="1"/>
    <col min="8" max="8" width="9.125" customWidth="1"/>
    <col min="9" max="9" width="10.875" customWidth="1"/>
    <col min="10" max="10" width="10.125" customWidth="1"/>
    <col min="11" max="11" width="12.25" customWidth="1"/>
    <col min="12" max="13" width="6.75" customWidth="1"/>
    <col min="14" max="14" width="4.25" customWidth="1"/>
  </cols>
  <sheetData>
    <row r="1" spans="1:11" ht="17.25" customHeight="1">
      <c r="A1" s="100"/>
      <c r="B1" s="101"/>
      <c r="C1" s="453" t="s">
        <v>153</v>
      </c>
      <c r="D1" s="453"/>
      <c r="E1" s="453"/>
      <c r="F1" s="453" t="s">
        <v>152</v>
      </c>
      <c r="G1" s="453"/>
      <c r="H1" s="453"/>
      <c r="I1" s="453" t="s">
        <v>26</v>
      </c>
      <c r="J1" s="453"/>
      <c r="K1" s="453"/>
    </row>
    <row r="2" spans="1:11" ht="18" customHeight="1">
      <c r="A2" s="117" t="s">
        <v>54</v>
      </c>
      <c r="B2" s="118" t="s">
        <v>156</v>
      </c>
      <c r="C2" s="117" t="s">
        <v>347</v>
      </c>
      <c r="D2" s="117" t="s">
        <v>52</v>
      </c>
      <c r="E2" s="117" t="s">
        <v>53</v>
      </c>
      <c r="F2" s="117" t="s">
        <v>347</v>
      </c>
      <c r="G2" s="117" t="s">
        <v>52</v>
      </c>
      <c r="H2" s="117" t="s">
        <v>53</v>
      </c>
      <c r="I2" s="117" t="s">
        <v>347</v>
      </c>
      <c r="J2" s="117" t="s">
        <v>52</v>
      </c>
      <c r="K2" s="117" t="s">
        <v>53</v>
      </c>
    </row>
    <row r="3" spans="1:11" ht="18" customHeight="1">
      <c r="A3" s="123" t="s">
        <v>392</v>
      </c>
      <c r="B3" s="22" t="s">
        <v>426</v>
      </c>
      <c r="C3" s="103" t="e">
        <f>'50台灣50系列即時淨值'!G6</f>
        <v>#REF!</v>
      </c>
      <c r="D3" s="103" t="e">
        <f>'50台灣50系列即時淨值'!H6</f>
        <v>#REF!</v>
      </c>
      <c r="E3" s="103" t="e">
        <f>'50台灣50系列即時淨值'!I6</f>
        <v>#REF!</v>
      </c>
      <c r="F3" s="20" t="e">
        <f xml:space="preserve"> [1]!'0050.TW-Price'</f>
        <v>#REF!</v>
      </c>
      <c r="G3" s="20" t="e">
        <f xml:space="preserve"> [1]!'0050.TW-BestBid1'</f>
        <v>#REF!</v>
      </c>
      <c r="H3" s="20" t="e">
        <f xml:space="preserve"> [1]!'0050.TW-BestAsk1'</f>
        <v>#REF!</v>
      </c>
      <c r="I3" s="21" t="e">
        <f t="shared" ref="I3:I39" si="0">F3/C3-1</f>
        <v>#REF!</v>
      </c>
      <c r="J3" s="21" t="e">
        <f t="shared" ref="J3:J39" si="1">G3/D3-1</f>
        <v>#REF!</v>
      </c>
      <c r="K3" s="21" t="e">
        <f t="shared" ref="K3:K39" si="2">H3/E3-1</f>
        <v>#REF!</v>
      </c>
    </row>
    <row r="4" spans="1:11" s="81" customFormat="1" ht="18" customHeight="1">
      <c r="A4" s="123" t="s">
        <v>401</v>
      </c>
      <c r="B4" s="22" t="s">
        <v>427</v>
      </c>
      <c r="C4" s="103" t="e">
        <f>'50台灣50系列即時淨值'!G2</f>
        <v>#REF!</v>
      </c>
      <c r="D4" s="103" t="e">
        <f>'50台灣50系列即時淨值'!H2</f>
        <v>#REF!</v>
      </c>
      <c r="E4" s="103" t="e">
        <f>'50台灣50系列即時淨值'!I2</f>
        <v>#REF!</v>
      </c>
      <c r="F4" s="20" t="e">
        <f xml:space="preserve"> [1]!'00631L.TW-Price'</f>
        <v>#REF!</v>
      </c>
      <c r="G4" s="20" t="e">
        <f xml:space="preserve"> [1]!'00631L.TW-BestBid1'</f>
        <v>#REF!</v>
      </c>
      <c r="H4" s="20" t="e">
        <f xml:space="preserve"> [1]!'00631L.TW-BestAsk1'</f>
        <v>#REF!</v>
      </c>
      <c r="I4" s="21" t="e">
        <f t="shared" si="0"/>
        <v>#REF!</v>
      </c>
      <c r="J4" s="21" t="e">
        <f t="shared" si="1"/>
        <v>#REF!</v>
      </c>
      <c r="K4" s="21" t="e">
        <f t="shared" si="2"/>
        <v>#REF!</v>
      </c>
    </row>
    <row r="5" spans="1:11" s="81" customFormat="1" ht="18" customHeight="1" thickBot="1">
      <c r="A5" s="123" t="s">
        <v>402</v>
      </c>
      <c r="B5" s="22" t="s">
        <v>428</v>
      </c>
      <c r="C5" s="218" t="e">
        <f>'50台灣50系列即時淨值'!G4</f>
        <v>#REF!</v>
      </c>
      <c r="D5" s="218" t="e">
        <f>'50台灣50系列即時淨值'!H4</f>
        <v>#REF!</v>
      </c>
      <c r="E5" s="218" t="e">
        <f>'50台灣50系列即時淨值'!I4</f>
        <v>#REF!</v>
      </c>
      <c r="F5" s="20" t="e">
        <f xml:space="preserve"> [1]!'00632R.TW-Price'</f>
        <v>#REF!</v>
      </c>
      <c r="G5" s="20" t="e">
        <f xml:space="preserve"> [1]!'00632R.TW-BestBid1'</f>
        <v>#REF!</v>
      </c>
      <c r="H5" s="20" t="e">
        <f xml:space="preserve"> [1]!'00632R.TW-BestAsk1'</f>
        <v>#REF!</v>
      </c>
      <c r="I5" s="21" t="e">
        <f t="shared" si="0"/>
        <v>#REF!</v>
      </c>
      <c r="J5" s="21" t="e">
        <f t="shared" si="1"/>
        <v>#REF!</v>
      </c>
      <c r="K5" s="21" t="e">
        <f t="shared" si="2"/>
        <v>#REF!</v>
      </c>
    </row>
    <row r="6" spans="1:11" ht="18" customHeight="1">
      <c r="A6" s="123" t="s">
        <v>393</v>
      </c>
      <c r="B6" s="216" t="s">
        <v>429</v>
      </c>
      <c r="C6" s="221"/>
      <c r="D6" s="222"/>
      <c r="E6" s="223"/>
      <c r="F6" s="217" t="e">
        <f xml:space="preserve"> [1]!'0051.TW-Price'</f>
        <v>#REF!</v>
      </c>
      <c r="G6" s="20" t="e">
        <f xml:space="preserve"> [1]!'0051.TW-BestBid1'</f>
        <v>#REF!</v>
      </c>
      <c r="H6" s="20" t="e">
        <f xml:space="preserve"> [1]!'0051.TW-BestAsk1'</f>
        <v>#REF!</v>
      </c>
      <c r="I6" s="21" t="e">
        <f t="shared" si="0"/>
        <v>#REF!</v>
      </c>
      <c r="J6" s="21" t="e">
        <f t="shared" si="1"/>
        <v>#REF!</v>
      </c>
      <c r="K6" s="21" t="e">
        <f t="shared" si="2"/>
        <v>#REF!</v>
      </c>
    </row>
    <row r="7" spans="1:11" ht="18" customHeight="1">
      <c r="A7" s="123" t="s">
        <v>394</v>
      </c>
      <c r="B7" s="216" t="s">
        <v>430</v>
      </c>
      <c r="C7" s="224"/>
      <c r="D7" s="225"/>
      <c r="E7" s="226"/>
      <c r="F7" s="217" t="e">
        <f xml:space="preserve"> [1]!'0053.TW-Price'</f>
        <v>#REF!</v>
      </c>
      <c r="G7" s="20" t="e">
        <f xml:space="preserve"> [1]!'0053.TW-BestBid1'</f>
        <v>#REF!</v>
      </c>
      <c r="H7" s="20" t="e">
        <f xml:space="preserve"> [1]!'0053.TW-BestAsk1'</f>
        <v>#REF!</v>
      </c>
      <c r="I7" s="21" t="e">
        <f t="shared" si="0"/>
        <v>#REF!</v>
      </c>
      <c r="J7" s="21" t="e">
        <f t="shared" si="1"/>
        <v>#REF!</v>
      </c>
      <c r="K7" s="21" t="e">
        <f t="shared" si="2"/>
        <v>#REF!</v>
      </c>
    </row>
    <row r="8" spans="1:11" ht="18" customHeight="1" thickBot="1">
      <c r="A8" s="123" t="s">
        <v>395</v>
      </c>
      <c r="B8" s="216" t="s">
        <v>431</v>
      </c>
      <c r="C8" s="227"/>
      <c r="D8" s="228"/>
      <c r="E8" s="229"/>
      <c r="F8" s="217" t="e">
        <f xml:space="preserve"> [1]!'0054.TW-Price'</f>
        <v>#REF!</v>
      </c>
      <c r="G8" s="20" t="e">
        <f xml:space="preserve"> [1]!'0054.TW-BestBid1'</f>
        <v>#REF!</v>
      </c>
      <c r="H8" s="20" t="e">
        <f xml:space="preserve"> [1]!'0054.TW-BestAsk1'</f>
        <v>#REF!</v>
      </c>
      <c r="I8" s="21" t="e">
        <f t="shared" si="0"/>
        <v>#REF!</v>
      </c>
      <c r="J8" s="21" t="e">
        <f t="shared" si="1"/>
        <v>#REF!</v>
      </c>
      <c r="K8" s="21" t="e">
        <f t="shared" si="2"/>
        <v>#REF!</v>
      </c>
    </row>
    <row r="9" spans="1:11" ht="18" customHeight="1" thickBot="1">
      <c r="A9" s="123" t="s">
        <v>396</v>
      </c>
      <c r="B9" s="22" t="s">
        <v>432</v>
      </c>
      <c r="C9" s="220" t="e">
        <f>'0055元大金融即時淨值'!G2</f>
        <v>#REF!</v>
      </c>
      <c r="D9" s="220" t="e">
        <f>'0055元大金融即時淨值'!H2</f>
        <v>#REF!</v>
      </c>
      <c r="E9" s="220" t="e">
        <f>'0055元大金融即時淨值'!I2</f>
        <v>#REF!</v>
      </c>
      <c r="F9" s="20" t="e">
        <f xml:space="preserve"> [1]!'0055.TW-Price'</f>
        <v>#REF!</v>
      </c>
      <c r="G9" s="20" t="e">
        <f xml:space="preserve"> [1]!'0055.TW-BestBid1'</f>
        <v>#REF!</v>
      </c>
      <c r="H9" s="20" t="e">
        <f xml:space="preserve"> [1]!'0055.TW-BestAsk1'</f>
        <v>#REF!</v>
      </c>
      <c r="I9" s="21" t="e">
        <f t="shared" si="0"/>
        <v>#REF!</v>
      </c>
      <c r="J9" s="21" t="e">
        <f t="shared" si="1"/>
        <v>#REF!</v>
      </c>
      <c r="K9" s="21" t="e">
        <f t="shared" si="2"/>
        <v>#REF!</v>
      </c>
    </row>
    <row r="10" spans="1:11" ht="18" customHeight="1">
      <c r="A10" s="123" t="s">
        <v>397</v>
      </c>
      <c r="B10" s="216" t="s">
        <v>433</v>
      </c>
      <c r="C10" s="221"/>
      <c r="D10" s="222"/>
      <c r="E10" s="223"/>
      <c r="F10" s="217" t="e">
        <f xml:space="preserve"> [1]!'0056.TW-Price'</f>
        <v>#REF!</v>
      </c>
      <c r="G10" s="20" t="e">
        <f xml:space="preserve"> [1]!'0056.TW-BestBid1'</f>
        <v>#REF!</v>
      </c>
      <c r="H10" s="20" t="e">
        <f xml:space="preserve"> [1]!'0056.TW-BestAsk1'</f>
        <v>#REF!</v>
      </c>
      <c r="I10" s="21" t="e">
        <f t="shared" si="0"/>
        <v>#REF!</v>
      </c>
      <c r="J10" s="21" t="e">
        <f t="shared" si="1"/>
        <v>#REF!</v>
      </c>
      <c r="K10" s="21" t="e">
        <f t="shared" si="2"/>
        <v>#REF!</v>
      </c>
    </row>
    <row r="11" spans="1:11" ht="18" customHeight="1">
      <c r="A11" s="123" t="s">
        <v>399</v>
      </c>
      <c r="B11" s="216" t="s">
        <v>434</v>
      </c>
      <c r="C11" s="224"/>
      <c r="D11" s="225"/>
      <c r="E11" s="226"/>
      <c r="F11" s="217" t="e">
        <f xml:space="preserve"> [1]!'006201.TW-Price'</f>
        <v>#REF!</v>
      </c>
      <c r="G11" s="20" t="e">
        <f xml:space="preserve"> [1]!'006201.TW-BestBid1'</f>
        <v>#REF!</v>
      </c>
      <c r="H11" s="20" t="e">
        <f xml:space="preserve"> [1]!'006201.TW-BestAsk1'</f>
        <v>#REF!</v>
      </c>
      <c r="I11" s="21" t="e">
        <f t="shared" si="0"/>
        <v>#REF!</v>
      </c>
      <c r="J11" s="21" t="e">
        <f t="shared" si="1"/>
        <v>#REF!</v>
      </c>
      <c r="K11" s="21" t="e">
        <f t="shared" si="2"/>
        <v>#REF!</v>
      </c>
    </row>
    <row r="12" spans="1:11" ht="18" customHeight="1" thickBot="1">
      <c r="A12" s="123" t="s">
        <v>400</v>
      </c>
      <c r="B12" s="216" t="s">
        <v>435</v>
      </c>
      <c r="C12" s="227"/>
      <c r="D12" s="228"/>
      <c r="E12" s="229"/>
      <c r="F12" s="217" t="e">
        <f xml:space="preserve"> [1]!'006203.TW-Price'</f>
        <v>#REF!</v>
      </c>
      <c r="G12" s="20" t="e">
        <f xml:space="preserve"> [1]!'006203.TW-BestBid1'</f>
        <v>#REF!</v>
      </c>
      <c r="H12" s="20" t="e">
        <f xml:space="preserve"> [1]!'006203.TW-BestAsk1'</f>
        <v>#REF!</v>
      </c>
      <c r="I12" s="21" t="e">
        <f t="shared" si="0"/>
        <v>#REF!</v>
      </c>
      <c r="J12" s="21" t="e">
        <f t="shared" si="1"/>
        <v>#REF!</v>
      </c>
      <c r="K12" s="21" t="e">
        <f t="shared" si="2"/>
        <v>#REF!</v>
      </c>
    </row>
    <row r="13" spans="1:11" ht="18" customHeight="1">
      <c r="A13" s="123" t="s">
        <v>403</v>
      </c>
      <c r="B13" s="22" t="s">
        <v>436</v>
      </c>
      <c r="C13" s="219" t="e">
        <f>'6206上證50即時淨值'!G2</f>
        <v>#N/A</v>
      </c>
      <c r="D13" s="219" t="e">
        <f>'6206上證50即時淨值'!H2</f>
        <v>#N/A</v>
      </c>
      <c r="E13" s="219" t="e">
        <f>'6206上證50即時淨值'!I2</f>
        <v>#N/A</v>
      </c>
      <c r="F13" s="20" t="e">
        <f xml:space="preserve"> [1]!'006206.TW-Price'</f>
        <v>#REF!</v>
      </c>
      <c r="G13" s="20" t="e">
        <f xml:space="preserve"> [1]!'006206.TW-BestBid1'</f>
        <v>#REF!</v>
      </c>
      <c r="H13" s="20" t="e">
        <f xml:space="preserve"> [1]!'006206.TW-BestAsk1'</f>
        <v>#REF!</v>
      </c>
      <c r="I13" s="21" t="e">
        <f t="shared" si="0"/>
        <v>#REF!</v>
      </c>
      <c r="J13" s="21" t="e">
        <f t="shared" si="1"/>
        <v>#REF!</v>
      </c>
      <c r="K13" s="21" t="e">
        <f t="shared" si="2"/>
        <v>#REF!</v>
      </c>
    </row>
    <row r="14" spans="1:11" s="81" customFormat="1" ht="18" customHeight="1">
      <c r="A14" s="123" t="s">
        <v>398</v>
      </c>
      <c r="B14" s="22" t="s">
        <v>437</v>
      </c>
      <c r="C14" s="103" t="e">
        <f>'61滬深300系列即時淨值'!G6</f>
        <v>#REF!</v>
      </c>
      <c r="D14" s="103" t="e">
        <f>'61滬深300系列即時淨值'!H6</f>
        <v>#REF!</v>
      </c>
      <c r="E14" s="103" t="e">
        <f>'61滬深300系列即時淨值'!I6</f>
        <v>#REF!</v>
      </c>
      <c r="F14" s="20" t="e">
        <f xml:space="preserve"> [1]!'0061.TW-Price'</f>
        <v>#REF!</v>
      </c>
      <c r="G14" s="20" t="e">
        <f xml:space="preserve"> [1]!'0061.TW-BestBid1'</f>
        <v>#REF!</v>
      </c>
      <c r="H14" s="20" t="e">
        <f xml:space="preserve"> [1]!'0061.TW-BestAsk1'</f>
        <v>#REF!</v>
      </c>
      <c r="I14" s="21" t="e">
        <f t="shared" si="0"/>
        <v>#REF!</v>
      </c>
      <c r="J14" s="21" t="e">
        <f t="shared" si="1"/>
        <v>#REF!</v>
      </c>
      <c r="K14" s="21" t="e">
        <f t="shared" si="2"/>
        <v>#REF!</v>
      </c>
    </row>
    <row r="15" spans="1:11" ht="18" customHeight="1">
      <c r="A15" s="123" t="s">
        <v>404</v>
      </c>
      <c r="B15" s="22" t="s">
        <v>438</v>
      </c>
      <c r="C15" s="103" t="e">
        <f>'61滬深300系列即時淨值'!G2</f>
        <v>#REF!</v>
      </c>
      <c r="D15" s="103" t="e">
        <f>'61滬深300系列即時淨值'!H2</f>
        <v>#REF!</v>
      </c>
      <c r="E15" s="103" t="e">
        <f>'61滬深300系列即時淨值'!I2</f>
        <v>#REF!</v>
      </c>
      <c r="F15" s="20" t="e">
        <f xml:space="preserve"> [1]!'00637L.TW-Price'</f>
        <v>#REF!</v>
      </c>
      <c r="G15" s="20" t="e">
        <f xml:space="preserve"> [1]!'00637L.TW-BestBid1'</f>
        <v>#REF!</v>
      </c>
      <c r="H15" s="20" t="e">
        <f xml:space="preserve"> [1]!'00637L.TW-BestAsk1'</f>
        <v>#REF!</v>
      </c>
      <c r="I15" s="21" t="e">
        <f t="shared" si="0"/>
        <v>#REF!</v>
      </c>
      <c r="J15" s="21" t="e">
        <f t="shared" si="1"/>
        <v>#REF!</v>
      </c>
      <c r="K15" s="21" t="e">
        <f t="shared" si="2"/>
        <v>#REF!</v>
      </c>
    </row>
    <row r="16" spans="1:11" ht="18" customHeight="1">
      <c r="A16" s="123" t="s">
        <v>405</v>
      </c>
      <c r="B16" s="22" t="s">
        <v>439</v>
      </c>
      <c r="C16" s="103" t="e">
        <f>'61滬深300系列即時淨值'!G4</f>
        <v>#REF!</v>
      </c>
      <c r="D16" s="103" t="e">
        <f>'61滬深300系列即時淨值'!H4</f>
        <v>#REF!</v>
      </c>
      <c r="E16" s="103" t="e">
        <f>'61滬深300系列即時淨值'!I4</f>
        <v>#REF!</v>
      </c>
      <c r="F16" s="20" t="e">
        <f xml:space="preserve"> [1]!'00638R.TW-Price'</f>
        <v>#REF!</v>
      </c>
      <c r="G16" s="20" t="e">
        <f xml:space="preserve"> [1]!'00638R.TW-BestBid1'</f>
        <v>#REF!</v>
      </c>
      <c r="H16" s="20" t="e">
        <f xml:space="preserve"> [1]!'00638R.TW-BestAsk1'</f>
        <v>#REF!</v>
      </c>
      <c r="I16" s="21" t="e">
        <f t="shared" si="0"/>
        <v>#REF!</v>
      </c>
      <c r="J16" s="21" t="e">
        <f t="shared" si="1"/>
        <v>#REF!</v>
      </c>
      <c r="K16" s="21" t="e">
        <f t="shared" si="2"/>
        <v>#REF!</v>
      </c>
    </row>
    <row r="17" spans="1:11" ht="18" customHeight="1">
      <c r="A17" s="123" t="s">
        <v>407</v>
      </c>
      <c r="B17" s="22" t="s">
        <v>440</v>
      </c>
      <c r="C17" s="103" t="e">
        <f>石油ETF即時淨值!G2</f>
        <v>#REF!</v>
      </c>
      <c r="D17" s="103" t="e">
        <f>石油ETF即時淨值!H2</f>
        <v>#REF!</v>
      </c>
      <c r="E17" s="103" t="e">
        <f>石油ETF即時淨值!I2</f>
        <v>#REF!</v>
      </c>
      <c r="F17" s="20" t="e">
        <f xml:space="preserve"> [1]!'00642U.TW-Price'</f>
        <v>#REF!</v>
      </c>
      <c r="G17" s="20" t="e">
        <f xml:space="preserve"> [1]!'00642U.TW-BestBid1'</f>
        <v>#REF!</v>
      </c>
      <c r="H17" s="20" t="e">
        <f xml:space="preserve"> [1]!'00642U.TW-BestAsk1'</f>
        <v>#REF!</v>
      </c>
      <c r="I17" s="21" t="e">
        <f t="shared" si="0"/>
        <v>#REF!</v>
      </c>
      <c r="J17" s="21" t="e">
        <f t="shared" si="1"/>
        <v>#REF!</v>
      </c>
      <c r="K17" s="21" t="e">
        <f t="shared" si="2"/>
        <v>#REF!</v>
      </c>
    </row>
    <row r="18" spans="1:11" s="81" customFormat="1" ht="18" customHeight="1">
      <c r="A18" s="123" t="s">
        <v>414</v>
      </c>
      <c r="B18" s="22" t="s">
        <v>441</v>
      </c>
      <c r="C18" s="103" t="e">
        <f>石油ETF即時淨值!G4</f>
        <v>#REF!</v>
      </c>
      <c r="D18" s="103" t="e">
        <f>石油ETF即時淨值!H4</f>
        <v>#REF!</v>
      </c>
      <c r="E18" s="103" t="e">
        <f>石油ETF即時淨值!I4</f>
        <v>#REF!</v>
      </c>
      <c r="F18" s="20" t="e">
        <f xml:space="preserve"> [1]!'00672L.Tw-price'</f>
        <v>#REF!</v>
      </c>
      <c r="G18" s="20" t="e">
        <f xml:space="preserve"> [1]!'00672L.Tw-bestbid1'</f>
        <v>#REF!</v>
      </c>
      <c r="H18" s="20" t="e">
        <f xml:space="preserve"> [1]!'00672L.Tw-bestask1'</f>
        <v>#REF!</v>
      </c>
      <c r="I18" s="21" t="e">
        <f t="shared" si="0"/>
        <v>#REF!</v>
      </c>
      <c r="J18" s="21" t="e">
        <f t="shared" si="1"/>
        <v>#REF!</v>
      </c>
      <c r="K18" s="21" t="e">
        <f t="shared" si="2"/>
        <v>#REF!</v>
      </c>
    </row>
    <row r="19" spans="1:11" s="81" customFormat="1" ht="18" customHeight="1">
      <c r="A19" s="123" t="s">
        <v>415</v>
      </c>
      <c r="B19" s="22" t="s">
        <v>442</v>
      </c>
      <c r="C19" s="103" t="e">
        <f>石油ETF即時淨值!G6</f>
        <v>#REF!</v>
      </c>
      <c r="D19" s="103" t="e">
        <f>石油ETF即時淨值!H6</f>
        <v>#REF!</v>
      </c>
      <c r="E19" s="103" t="e">
        <f>石油ETF即時淨值!I6</f>
        <v>#REF!</v>
      </c>
      <c r="F19" s="20" t="e">
        <f xml:space="preserve"> [1]!'00673R.TW-Price'</f>
        <v>#REF!</v>
      </c>
      <c r="G19" s="20" t="e">
        <f xml:space="preserve"> [1]!'00673R.TW-BestBid1'</f>
        <v>#REF!</v>
      </c>
      <c r="H19" s="20" t="e">
        <f xml:space="preserve"> [1]!'00673R.TW-BestAsk1'</f>
        <v>#REF!</v>
      </c>
      <c r="I19" s="21" t="e">
        <f t="shared" si="0"/>
        <v>#REF!</v>
      </c>
      <c r="J19" s="21" t="e">
        <f t="shared" si="1"/>
        <v>#REF!</v>
      </c>
      <c r="K19" s="21" t="e">
        <f t="shared" si="2"/>
        <v>#REF!</v>
      </c>
    </row>
    <row r="20" spans="1:11" s="81" customFormat="1" ht="18" customHeight="1">
      <c r="A20" s="123" t="s">
        <v>406</v>
      </c>
      <c r="B20" s="22" t="s">
        <v>443</v>
      </c>
      <c r="C20" s="103" t="e">
        <f>黃金ETF即時淨值!G2</f>
        <v>#REF!</v>
      </c>
      <c r="D20" s="103" t="e">
        <f>黃金ETF即時淨值!H2</f>
        <v>#REF!</v>
      </c>
      <c r="E20" s="103" t="e">
        <f>黃金ETF即時淨值!I2</f>
        <v>#REF!</v>
      </c>
      <c r="F20" s="20" t="e">
        <f xml:space="preserve"> [1]!'00635U.TW-Price'</f>
        <v>#REF!</v>
      </c>
      <c r="G20" s="20" t="e">
        <f xml:space="preserve"> [1]!'00635U.TW-BestBid1'</f>
        <v>#REF!</v>
      </c>
      <c r="H20" s="20" t="e">
        <f xml:space="preserve"> [1]!'00635U.TW-BestAsk1'</f>
        <v>#REF!</v>
      </c>
      <c r="I20" s="21" t="e">
        <f t="shared" si="0"/>
        <v>#REF!</v>
      </c>
      <c r="J20" s="21" t="e">
        <f t="shared" si="1"/>
        <v>#REF!</v>
      </c>
      <c r="K20" s="21" t="e">
        <f t="shared" si="2"/>
        <v>#REF!</v>
      </c>
    </row>
    <row r="21" spans="1:11" s="81" customFormat="1" ht="18" customHeight="1">
      <c r="A21" s="123" t="s">
        <v>444</v>
      </c>
      <c r="B21" s="22" t="s">
        <v>464</v>
      </c>
      <c r="C21" s="103" t="e">
        <f>黃金ETF即時淨值!G4</f>
        <v>#REF!</v>
      </c>
      <c r="D21" s="103" t="e">
        <f>黃金ETF即時淨值!H4</f>
        <v>#REF!</v>
      </c>
      <c r="E21" s="103" t="e">
        <f>黃金ETF即時淨值!I4</f>
        <v>#REF!</v>
      </c>
      <c r="F21" s="20" t="e">
        <f xml:space="preserve"> [1]!'00708L.TW-Price'</f>
        <v>#REF!</v>
      </c>
      <c r="G21" s="20" t="e">
        <f xml:space="preserve"> [1]!'00708L.TW-BestBid1'</f>
        <v>#REF!</v>
      </c>
      <c r="H21" s="20" t="e">
        <f xml:space="preserve"> [1]!'00708L.TW-BestAsk1'</f>
        <v>#REF!</v>
      </c>
      <c r="I21" s="21" t="e">
        <f t="shared" si="0"/>
        <v>#REF!</v>
      </c>
      <c r="J21" s="21" t="e">
        <f t="shared" si="1"/>
        <v>#REF!</v>
      </c>
      <c r="K21" s="21" t="e">
        <f t="shared" si="2"/>
        <v>#REF!</v>
      </c>
    </row>
    <row r="22" spans="1:11" s="81" customFormat="1" ht="18" customHeight="1">
      <c r="A22" s="123" t="s">
        <v>416</v>
      </c>
      <c r="B22" s="22" t="s">
        <v>445</v>
      </c>
      <c r="C22" s="103" t="e">
        <f>黃金ETF即時淨值!G6</f>
        <v>#REF!</v>
      </c>
      <c r="D22" s="103" t="e">
        <f>黃金ETF即時淨值!H6</f>
        <v>#REF!</v>
      </c>
      <c r="E22" s="103" t="e">
        <f>黃金ETF即時淨值!I6</f>
        <v>#REF!</v>
      </c>
      <c r="F22" s="20" t="e">
        <f xml:space="preserve"> [1]!'00674R.TW-Price'</f>
        <v>#REF!</v>
      </c>
      <c r="G22" s="20" t="e">
        <f xml:space="preserve"> [1]!'00674R.TW-BestBid1'</f>
        <v>#REF!</v>
      </c>
      <c r="H22" s="20" t="e">
        <f xml:space="preserve"> [1]!'00674R.TW-BestAsk1'</f>
        <v>#REF!</v>
      </c>
      <c r="I22" s="21" t="e">
        <f t="shared" si="0"/>
        <v>#REF!</v>
      </c>
      <c r="J22" s="21" t="e">
        <f t="shared" si="1"/>
        <v>#REF!</v>
      </c>
      <c r="K22" s="21" t="e">
        <f t="shared" si="2"/>
        <v>#REF!</v>
      </c>
    </row>
    <row r="23" spans="1:11" ht="18" customHeight="1">
      <c r="A23" s="123" t="s">
        <v>408</v>
      </c>
      <c r="B23" s="22" t="s">
        <v>446</v>
      </c>
      <c r="C23" s="103" t="e">
        <f>'S&amp;P500系列即時淨值'!G6</f>
        <v>#REF!</v>
      </c>
      <c r="D23" s="103" t="e">
        <f>'S&amp;P500系列即時淨值'!H6</f>
        <v>#REF!</v>
      </c>
      <c r="E23" s="103" t="e">
        <f>'S&amp;P500系列即時淨值'!I6</f>
        <v>#REF!</v>
      </c>
      <c r="F23" s="20" t="e">
        <f xml:space="preserve"> [1]!'00646.TW-Price'</f>
        <v>#REF!</v>
      </c>
      <c r="G23" s="20" t="e">
        <f xml:space="preserve"> [1]!'00646.TW-BestBid1'</f>
        <v>#REF!</v>
      </c>
      <c r="H23" s="20" t="e">
        <f xml:space="preserve"> [1]!'00646.TW-BestAsk1'</f>
        <v>#REF!</v>
      </c>
      <c r="I23" s="21" t="e">
        <f t="shared" si="0"/>
        <v>#REF!</v>
      </c>
      <c r="J23" s="21" t="e">
        <f t="shared" si="1"/>
        <v>#REF!</v>
      </c>
      <c r="K23" s="21" t="e">
        <f t="shared" si="2"/>
        <v>#REF!</v>
      </c>
    </row>
    <row r="24" spans="1:11" ht="18" customHeight="1">
      <c r="A24" s="123" t="s">
        <v>409</v>
      </c>
      <c r="B24" s="22" t="s">
        <v>447</v>
      </c>
      <c r="C24" s="103" t="e">
        <f>'S&amp;P500系列即時淨值'!G2</f>
        <v>#REF!</v>
      </c>
      <c r="D24" s="103" t="e">
        <f>'S&amp;P500系列即時淨值'!H2</f>
        <v>#REF!</v>
      </c>
      <c r="E24" s="103" t="e">
        <f>'S&amp;P500系列即時淨值'!I2</f>
        <v>#REF!</v>
      </c>
      <c r="F24" s="20" t="e">
        <f xml:space="preserve"> [1]!'00647L.TW-Price'</f>
        <v>#REF!</v>
      </c>
      <c r="G24" s="20" t="e">
        <f xml:space="preserve"> [1]!'00647L.TW-BestBid1'</f>
        <v>#REF!</v>
      </c>
      <c r="H24" s="20" t="e">
        <f xml:space="preserve"> [1]!'00647L.TW-BestAsk1'</f>
        <v>#REF!</v>
      </c>
      <c r="I24" s="21" t="e">
        <f t="shared" si="0"/>
        <v>#REF!</v>
      </c>
      <c r="J24" s="21" t="e">
        <f t="shared" si="1"/>
        <v>#REF!</v>
      </c>
      <c r="K24" s="21" t="e">
        <f t="shared" si="2"/>
        <v>#REF!</v>
      </c>
    </row>
    <row r="25" spans="1:11" ht="18" customHeight="1">
      <c r="A25" s="123" t="s">
        <v>410</v>
      </c>
      <c r="B25" s="22" t="s">
        <v>448</v>
      </c>
      <c r="C25" s="103" t="e">
        <f>'S&amp;P500系列即時淨值'!G4</f>
        <v>#REF!</v>
      </c>
      <c r="D25" s="103" t="e">
        <f>'S&amp;P500系列即時淨值'!H4</f>
        <v>#REF!</v>
      </c>
      <c r="E25" s="103" t="e">
        <f>'S&amp;P500系列即時淨值'!I4</f>
        <v>#REF!</v>
      </c>
      <c r="F25" s="20" t="e">
        <f xml:space="preserve"> [1]!'00648R.TW-Price'</f>
        <v>#REF!</v>
      </c>
      <c r="G25" s="20" t="e">
        <f xml:space="preserve"> [1]!'00648R.TW-BestBid1'</f>
        <v>#REF!</v>
      </c>
      <c r="H25" s="20" t="e">
        <f xml:space="preserve"> [1]!'00648R.TW-BestAsk1'</f>
        <v>#REF!</v>
      </c>
      <c r="I25" s="21" t="e">
        <f t="shared" si="0"/>
        <v>#REF!</v>
      </c>
      <c r="J25" s="21" t="e">
        <f t="shared" si="1"/>
        <v>#REF!</v>
      </c>
      <c r="K25" s="21" t="e">
        <f t="shared" si="2"/>
        <v>#REF!</v>
      </c>
    </row>
    <row r="26" spans="1:11" s="81" customFormat="1" ht="18" customHeight="1">
      <c r="A26" s="123" t="s">
        <v>420</v>
      </c>
      <c r="B26" s="22" t="s">
        <v>449</v>
      </c>
      <c r="C26" s="103" t="e">
        <f>美元指數ETF即時淨值!G2</f>
        <v>#REF!</v>
      </c>
      <c r="D26" s="103" t="e">
        <f>美元指數ETF即時淨值!H2</f>
        <v>#REF!</v>
      </c>
      <c r="E26" s="103" t="e">
        <f>美元指數ETF即時淨值!I2</f>
        <v>#REF!</v>
      </c>
      <c r="F26" s="20" t="e">
        <f xml:space="preserve"> [1]!'00682U.TW-Price'</f>
        <v>#REF!</v>
      </c>
      <c r="G26" s="20" t="e">
        <f xml:space="preserve"> [1]!'00682U.TW-BestBid1'</f>
        <v>#REF!</v>
      </c>
      <c r="H26" s="20" t="e">
        <f xml:space="preserve"> [1]!'00682U.TW-BestAsk1'</f>
        <v>#REF!</v>
      </c>
      <c r="I26" s="21" t="e">
        <f t="shared" si="0"/>
        <v>#REF!</v>
      </c>
      <c r="J26" s="21" t="e">
        <f t="shared" si="1"/>
        <v>#REF!</v>
      </c>
      <c r="K26" s="21" t="e">
        <f t="shared" si="2"/>
        <v>#REF!</v>
      </c>
    </row>
    <row r="27" spans="1:11" s="81" customFormat="1" ht="18" customHeight="1">
      <c r="A27" s="123" t="s">
        <v>421</v>
      </c>
      <c r="B27" s="22" t="s">
        <v>450</v>
      </c>
      <c r="C27" s="103" t="e">
        <f>美元指數ETF即時淨值!G4</f>
        <v>#REF!</v>
      </c>
      <c r="D27" s="103" t="e">
        <f>美元指數ETF即時淨值!H4</f>
        <v>#REF!</v>
      </c>
      <c r="E27" s="103" t="e">
        <f>美元指數ETF即時淨值!I4</f>
        <v>#REF!</v>
      </c>
      <c r="F27" s="20" t="e">
        <f xml:space="preserve"> [1]!'00683L.TW-Price'</f>
        <v>#REF!</v>
      </c>
      <c r="G27" s="20" t="e">
        <f xml:space="preserve"> [1]!'00683L.TW-BestBid1'</f>
        <v>#REF!</v>
      </c>
      <c r="H27" s="20" t="e">
        <f xml:space="preserve"> [1]!'00683L.TW-BestAsk1'</f>
        <v>#REF!</v>
      </c>
      <c r="I27" s="21" t="e">
        <f t="shared" si="0"/>
        <v>#REF!</v>
      </c>
      <c r="J27" s="21" t="e">
        <f t="shared" si="1"/>
        <v>#REF!</v>
      </c>
      <c r="K27" s="21" t="e">
        <f t="shared" si="2"/>
        <v>#REF!</v>
      </c>
    </row>
    <row r="28" spans="1:11" s="81" customFormat="1" ht="18" customHeight="1">
      <c r="A28" s="123" t="s">
        <v>422</v>
      </c>
      <c r="B28" s="22" t="s">
        <v>451</v>
      </c>
      <c r="C28" s="103" t="e">
        <f>美元指數ETF即時淨值!G6</f>
        <v>#REF!</v>
      </c>
      <c r="D28" s="103" t="e">
        <f>美元指數ETF即時淨值!H6</f>
        <v>#REF!</v>
      </c>
      <c r="E28" s="103" t="e">
        <f>美元指數ETF即時淨值!I6</f>
        <v>#REF!</v>
      </c>
      <c r="F28" s="20" t="e">
        <f xml:space="preserve"> [1]!'00684R.TW-Price'</f>
        <v>#REF!</v>
      </c>
      <c r="G28" s="20" t="e">
        <f xml:space="preserve"> [1]!'00684R.TW-BestBid1'</f>
        <v>#REF!</v>
      </c>
      <c r="H28" s="20" t="e">
        <f xml:space="preserve"> [1]!'00684R.TW-BestAsk1'</f>
        <v>#REF!</v>
      </c>
      <c r="I28" s="21" t="e">
        <f t="shared" si="0"/>
        <v>#REF!</v>
      </c>
      <c r="J28" s="21" t="e">
        <f t="shared" si="1"/>
        <v>#REF!</v>
      </c>
      <c r="K28" s="21" t="e">
        <f t="shared" si="2"/>
        <v>#REF!</v>
      </c>
    </row>
    <row r="29" spans="1:11" s="81" customFormat="1" ht="18" customHeight="1">
      <c r="A29" s="123" t="s">
        <v>452</v>
      </c>
      <c r="B29" s="22" t="s">
        <v>465</v>
      </c>
      <c r="C29" s="103" t="e">
        <f>日圓ETF即時淨值!G4</f>
        <v>#REF!</v>
      </c>
      <c r="D29" s="103" t="e">
        <f>日圓ETF即時淨值!H4</f>
        <v>#REF!</v>
      </c>
      <c r="E29" s="103" t="e">
        <f>日圓ETF即時淨值!I4</f>
        <v>#REF!</v>
      </c>
      <c r="F29" s="20" t="e">
        <f xml:space="preserve"> [1]!'00706L.TW-Price'</f>
        <v>#REF!</v>
      </c>
      <c r="G29" s="20" t="e">
        <f xml:space="preserve"> [1]!'00706L.TW-BestBid1'</f>
        <v>#REF!</v>
      </c>
      <c r="H29" s="20" t="e">
        <f xml:space="preserve"> [1]!'00706L.TW-BestAsk1'</f>
        <v>#REF!</v>
      </c>
      <c r="I29" s="21" t="e">
        <f t="shared" si="0"/>
        <v>#REF!</v>
      </c>
      <c r="J29" s="21" t="e">
        <f t="shared" si="1"/>
        <v>#REF!</v>
      </c>
      <c r="K29" s="21" t="e">
        <f t="shared" si="2"/>
        <v>#REF!</v>
      </c>
    </row>
    <row r="30" spans="1:11" s="81" customFormat="1" ht="18" customHeight="1" thickBot="1">
      <c r="A30" s="123" t="s">
        <v>453</v>
      </c>
      <c r="B30" s="22" t="s">
        <v>466</v>
      </c>
      <c r="C30" s="218" t="e">
        <f>日圓ETF即時淨值!G6</f>
        <v>#REF!</v>
      </c>
      <c r="D30" s="218" t="e">
        <f>日圓ETF即時淨值!H6</f>
        <v>#REF!</v>
      </c>
      <c r="E30" s="218" t="e">
        <f>日圓ETF即時淨值!I6</f>
        <v>#REF!</v>
      </c>
      <c r="F30" s="20" t="e">
        <f xml:space="preserve"> [1]!'00707R.TW-Price'</f>
        <v>#REF!</v>
      </c>
      <c r="G30" s="20" t="e">
        <f xml:space="preserve"> [1]!'00707R.TW-BestBid1'</f>
        <v>#REF!</v>
      </c>
      <c r="H30" s="20" t="e">
        <f xml:space="preserve"> [1]!'00707R.TW-BestAsk1'</f>
        <v>#REF!</v>
      </c>
      <c r="I30" s="21" t="e">
        <f t="shared" si="0"/>
        <v>#REF!</v>
      </c>
      <c r="J30" s="21" t="e">
        <f t="shared" si="1"/>
        <v>#REF!</v>
      </c>
      <c r="K30" s="21" t="e">
        <f t="shared" si="2"/>
        <v>#REF!</v>
      </c>
    </row>
    <row r="31" spans="1:11" ht="18" customHeight="1">
      <c r="A31" s="123" t="s">
        <v>411</v>
      </c>
      <c r="B31" s="216" t="s">
        <v>454</v>
      </c>
      <c r="C31" s="221"/>
      <c r="D31" s="222"/>
      <c r="E31" s="223"/>
      <c r="F31" s="217" t="e">
        <f xml:space="preserve"> [1]!'00660.TW-Price'</f>
        <v>#REF!</v>
      </c>
      <c r="G31" s="20" t="e">
        <f xml:space="preserve"> [1]!'00660.TW-BestBid1'</f>
        <v>#REF!</v>
      </c>
      <c r="H31" s="20" t="e">
        <f xml:space="preserve"> [1]!'00660.TW-BestAsk1'</f>
        <v>#REF!</v>
      </c>
      <c r="I31" s="21" t="e">
        <f t="shared" si="0"/>
        <v>#REF!</v>
      </c>
      <c r="J31" s="21" t="e">
        <f t="shared" si="1"/>
        <v>#REF!</v>
      </c>
      <c r="K31" s="21" t="e">
        <f t="shared" si="2"/>
        <v>#REF!</v>
      </c>
    </row>
    <row r="32" spans="1:11" ht="18" customHeight="1">
      <c r="A32" s="123" t="s">
        <v>412</v>
      </c>
      <c r="B32" s="216" t="s">
        <v>455</v>
      </c>
      <c r="C32" s="224"/>
      <c r="D32" s="225"/>
      <c r="E32" s="226"/>
      <c r="F32" s="217" t="e">
        <f xml:space="preserve"> [1]!'00661.TW-Price'</f>
        <v>#REF!</v>
      </c>
      <c r="G32" s="20" t="e">
        <f xml:space="preserve"> [1]!'00661.TW-BestBid1'</f>
        <v>#REF!</v>
      </c>
      <c r="H32" s="20" t="e">
        <f xml:space="preserve"> [1]!'00661.TW-BestAsk1'</f>
        <v>#REF!</v>
      </c>
      <c r="I32" s="21" t="e">
        <f t="shared" si="0"/>
        <v>#REF!</v>
      </c>
      <c r="J32" s="21" t="e">
        <f t="shared" si="1"/>
        <v>#REF!</v>
      </c>
      <c r="K32" s="21" t="e">
        <f t="shared" si="2"/>
        <v>#REF!</v>
      </c>
    </row>
    <row r="33" spans="1:11" ht="18" customHeight="1" thickBot="1">
      <c r="A33" s="123" t="s">
        <v>413</v>
      </c>
      <c r="B33" s="216" t="s">
        <v>456</v>
      </c>
      <c r="C33" s="227"/>
      <c r="D33" s="228"/>
      <c r="E33" s="229"/>
      <c r="F33" s="217" t="e">
        <f xml:space="preserve"> [1]!'00667.TW-Price'</f>
        <v>#REF!</v>
      </c>
      <c r="G33" s="20" t="e">
        <f xml:space="preserve"> [1]!'00667.TW-BestBid1'</f>
        <v>#REF!</v>
      </c>
      <c r="H33" s="20" t="e">
        <f xml:space="preserve"> [1]!'00667.TW-BestAsk1'</f>
        <v>#REF!</v>
      </c>
      <c r="I33" s="21" t="e">
        <f t="shared" si="0"/>
        <v>#REF!</v>
      </c>
      <c r="J33" s="21" t="e">
        <f t="shared" si="1"/>
        <v>#REF!</v>
      </c>
      <c r="K33" s="21" t="e">
        <f t="shared" si="2"/>
        <v>#REF!</v>
      </c>
    </row>
    <row r="34" spans="1:11" ht="18" customHeight="1" thickBot="1">
      <c r="A34" s="123" t="s">
        <v>417</v>
      </c>
      <c r="B34" s="216" t="s">
        <v>457</v>
      </c>
      <c r="C34" s="230"/>
      <c r="D34" s="231"/>
      <c r="E34" s="232"/>
      <c r="F34" s="217" t="e">
        <f xml:space="preserve"> [1]!'00679B.TW-Price'</f>
        <v>#REF!</v>
      </c>
      <c r="G34" s="20" t="e">
        <f xml:space="preserve"> [1]!'00679B.TW-BestBid1'</f>
        <v>#REF!</v>
      </c>
      <c r="H34" s="20" t="e">
        <f xml:space="preserve"> [1]!'00679B.TW-BestAsk1'</f>
        <v>#REF!</v>
      </c>
      <c r="I34" s="21" t="e">
        <f t="shared" si="0"/>
        <v>#REF!</v>
      </c>
      <c r="J34" s="21" t="e">
        <f t="shared" si="1"/>
        <v>#REF!</v>
      </c>
      <c r="K34" s="21" t="e">
        <f t="shared" si="2"/>
        <v>#REF!</v>
      </c>
    </row>
    <row r="35" spans="1:11" ht="18" customHeight="1">
      <c r="A35" s="123" t="s">
        <v>418</v>
      </c>
      <c r="B35" s="22" t="s">
        <v>458</v>
      </c>
      <c r="C35" s="219" t="e">
        <f>'20年美債ETF即時淨值'!G2</f>
        <v>#REF!</v>
      </c>
      <c r="D35" s="219" t="e">
        <f>'20年美債ETF即時淨值'!H2</f>
        <v>#REF!</v>
      </c>
      <c r="E35" s="219" t="e">
        <f>'20年美債ETF即時淨值'!I2</f>
        <v>#REF!</v>
      </c>
      <c r="F35" s="20" t="e">
        <f xml:space="preserve"> [1]!'00680L.TW-Price'</f>
        <v>#REF!</v>
      </c>
      <c r="G35" s="20" t="e">
        <f xml:space="preserve"> [1]!'00680L.TW-BestBid1'</f>
        <v>#REF!</v>
      </c>
      <c r="H35" s="20" t="e">
        <f xml:space="preserve"> [1]!'00680L.TW-BestAsk1'</f>
        <v>#REF!</v>
      </c>
      <c r="I35" s="21" t="e">
        <f t="shared" si="0"/>
        <v>#REF!</v>
      </c>
      <c r="J35" s="21" t="e">
        <f t="shared" si="1"/>
        <v>#REF!</v>
      </c>
      <c r="K35" s="21" t="e">
        <f t="shared" si="2"/>
        <v>#REF!</v>
      </c>
    </row>
    <row r="36" spans="1:11" ht="18" customHeight="1" thickBot="1">
      <c r="A36" s="123" t="s">
        <v>419</v>
      </c>
      <c r="B36" s="22" t="s">
        <v>459</v>
      </c>
      <c r="C36" s="218" t="e">
        <f>'20年美債ETF即時淨值'!G4</f>
        <v>#REF!</v>
      </c>
      <c r="D36" s="218" t="e">
        <f>'20年美債ETF即時淨值'!H4</f>
        <v>#REF!</v>
      </c>
      <c r="E36" s="218" t="e">
        <f>'20年美債ETF即時淨值'!I4</f>
        <v>#REF!</v>
      </c>
      <c r="F36" s="20" t="e">
        <f xml:space="preserve"> [1]!'00681R.TW-Price'</f>
        <v>#REF!</v>
      </c>
      <c r="G36" s="20" t="e">
        <f xml:space="preserve"> [1]!'00681R.TW-BestBid1'</f>
        <v>#REF!</v>
      </c>
      <c r="H36" s="20" t="e">
        <f xml:space="preserve"> [1]!'00681R.TW-BestAsk1'</f>
        <v>#REF!</v>
      </c>
      <c r="I36" s="21" t="e">
        <f t="shared" si="0"/>
        <v>#REF!</v>
      </c>
      <c r="J36" s="21" t="e">
        <f t="shared" si="1"/>
        <v>#REF!</v>
      </c>
      <c r="K36" s="21" t="e">
        <f t="shared" si="2"/>
        <v>#REF!</v>
      </c>
    </row>
    <row r="37" spans="1:11" ht="18" customHeight="1" thickBot="1">
      <c r="A37" s="123" t="s">
        <v>423</v>
      </c>
      <c r="B37" s="216" t="s">
        <v>460</v>
      </c>
      <c r="C37" s="230"/>
      <c r="D37" s="231"/>
      <c r="E37" s="232"/>
      <c r="F37" s="217" t="e">
        <f xml:space="preserve"> [1]!'00697B.TW-Price'</f>
        <v>#REF!</v>
      </c>
      <c r="G37" s="20" t="e">
        <f xml:space="preserve"> [1]!'00697B.TW-BestBid1'</f>
        <v>#REF!</v>
      </c>
      <c r="H37" s="20" t="e">
        <f xml:space="preserve"> [1]!'00697B.TW-BestAsk1'</f>
        <v>#REF!</v>
      </c>
      <c r="I37" s="21" t="e">
        <f t="shared" si="0"/>
        <v>#REF!</v>
      </c>
      <c r="J37" s="21" t="e">
        <f t="shared" si="1"/>
        <v>#REF!</v>
      </c>
      <c r="K37" s="21" t="e">
        <f t="shared" si="2"/>
        <v>#REF!</v>
      </c>
    </row>
    <row r="38" spans="1:11" ht="18" customHeight="1">
      <c r="A38" s="123" t="s">
        <v>424</v>
      </c>
      <c r="B38" s="22" t="s">
        <v>461</v>
      </c>
      <c r="C38" s="219" t="e">
        <f>'10年美債ETF即時淨值'!G2</f>
        <v>#REF!</v>
      </c>
      <c r="D38" s="219" t="e">
        <f>'10年美債ETF即時淨值'!H2</f>
        <v>#REF!</v>
      </c>
      <c r="E38" s="219" t="e">
        <f>'10年美債ETF即時淨值'!I2</f>
        <v>#REF!</v>
      </c>
      <c r="F38" s="20" t="e">
        <f xml:space="preserve"> [1]!'00698L.TW-Price'</f>
        <v>#REF!</v>
      </c>
      <c r="G38" s="20" t="e">
        <f xml:space="preserve"> [1]!'00698L.TW-BestBid1'</f>
        <v>#REF!</v>
      </c>
      <c r="H38" s="20" t="e">
        <f xml:space="preserve"> [1]!'00698L.TW-BestAsk1'</f>
        <v>#REF!</v>
      </c>
      <c r="I38" s="21" t="e">
        <f t="shared" si="0"/>
        <v>#REF!</v>
      </c>
      <c r="J38" s="21" t="e">
        <f t="shared" si="1"/>
        <v>#REF!</v>
      </c>
      <c r="K38" s="21" t="e">
        <f t="shared" si="2"/>
        <v>#REF!</v>
      </c>
    </row>
    <row r="39" spans="1:11" ht="18" customHeight="1">
      <c r="A39" s="123" t="s">
        <v>425</v>
      </c>
      <c r="B39" s="22" t="s">
        <v>462</v>
      </c>
      <c r="C39" s="103" t="e">
        <f>'10年美債ETF即時淨值'!G4</f>
        <v>#REF!</v>
      </c>
      <c r="D39" s="103" t="e">
        <f>'10年美債ETF即時淨值'!H4</f>
        <v>#REF!</v>
      </c>
      <c r="E39" s="103" t="e">
        <f>'10年美債ETF即時淨值'!I4</f>
        <v>#REF!</v>
      </c>
      <c r="F39" s="20" t="e">
        <f xml:space="preserve"> [1]!'00699R.TW-Price'</f>
        <v>#REF!</v>
      </c>
      <c r="G39" s="20" t="e">
        <f xml:space="preserve"> [1]!'00699R.TW-BestBid1'</f>
        <v>#REF!</v>
      </c>
      <c r="H39" s="20" t="e">
        <f xml:space="preserve"> [1]!'00699R.TW-BestAsk1'</f>
        <v>#REF!</v>
      </c>
      <c r="I39" s="21" t="e">
        <f t="shared" si="0"/>
        <v>#REF!</v>
      </c>
      <c r="J39" s="21" t="e">
        <f t="shared" si="1"/>
        <v>#REF!</v>
      </c>
      <c r="K39" s="21" t="e">
        <f t="shared" si="2"/>
        <v>#REF!</v>
      </c>
    </row>
    <row r="40" spans="1:11" ht="18" customHeight="1"/>
    <row r="41" spans="1:11" ht="18" customHeight="1"/>
    <row r="42" spans="1:11" ht="18" customHeight="1">
      <c r="C42" s="396"/>
      <c r="D42" s="396"/>
      <c r="E42" s="396"/>
      <c r="F42" s="396"/>
      <c r="G42" s="396"/>
    </row>
    <row r="43" spans="1:11" ht="18" customHeight="1">
      <c r="C43" s="396"/>
      <c r="D43" s="396"/>
      <c r="E43" s="396"/>
      <c r="F43" s="396"/>
      <c r="G43" s="396"/>
    </row>
    <row r="44" spans="1:11" ht="18" customHeight="1">
      <c r="C44" s="396"/>
      <c r="D44" s="396"/>
      <c r="E44" s="396"/>
      <c r="F44" s="396"/>
      <c r="G44" s="396"/>
    </row>
    <row r="45" spans="1:11" ht="18" customHeight="1">
      <c r="C45" s="396"/>
      <c r="D45" s="396"/>
      <c r="E45" s="396"/>
      <c r="F45" s="396"/>
      <c r="G45" s="396"/>
    </row>
    <row r="46" spans="1:11">
      <c r="C46" s="396"/>
      <c r="D46" s="396"/>
      <c r="E46" s="396"/>
      <c r="F46" s="396"/>
      <c r="G46" s="396"/>
    </row>
    <row r="47" spans="1:11">
      <c r="C47" s="396"/>
      <c r="D47" s="396"/>
      <c r="E47" s="396"/>
      <c r="F47" s="396"/>
      <c r="G47" s="396"/>
    </row>
    <row r="48" spans="1:11">
      <c r="C48" s="396"/>
      <c r="D48" s="396"/>
      <c r="E48" s="396"/>
      <c r="F48" s="396"/>
      <c r="G48" s="396"/>
    </row>
  </sheetData>
  <mergeCells count="3">
    <mergeCell ref="F1:H1"/>
    <mergeCell ref="I1:K1"/>
    <mergeCell ref="C1:E1"/>
  </mergeCells>
  <phoneticPr fontId="0" type="noConversion"/>
  <conditionalFormatting sqref="I3:K39">
    <cfRule type="cellIs" dxfId="89" priority="1" operator="lessThan">
      <formula>0</formula>
    </cfRule>
    <cfRule type="cellIs" dxfId="88" priority="2" operator="greaterThan">
      <formula>0</formula>
    </cfRule>
  </conditionalFormatting>
  <pageMargins left="0.7" right="0.7" top="0.75" bottom="0.75" header="0.3" footer="0.3"/>
  <pageSetup paperSize="9" scale="49" orientation="portrait" r:id="rId1"/>
  <drawing r:id="rId2"/>
  <legacyDrawing r:id="rId3"/>
  <controls>
    <mc:AlternateContent xmlns:mc="http://schemas.openxmlformats.org/markup-compatibility/2006">
      <mc:Choice Requires="x14">
        <control shapeId="34671616" r:id="rId4" name="CommandButton1">
          <controlPr defaultSize="0" autoLine="0" r:id="rId5">
            <anchor moveWithCells="1">
              <from>
                <xdr:col>11</xdr:col>
                <xdr:colOff>95250</xdr:colOff>
                <xdr:row>0</xdr:row>
                <xdr:rowOff>123825</xdr:rowOff>
              </from>
              <to>
                <xdr:col>14</xdr:col>
                <xdr:colOff>28575</xdr:colOff>
                <xdr:row>2</xdr:row>
                <xdr:rowOff>171450</xdr:rowOff>
              </to>
            </anchor>
          </controlPr>
        </control>
      </mc:Choice>
      <mc:Fallback>
        <control shapeId="3467161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6.5"/>
  <cols>
    <col min="1" max="1" width="23.5" style="392" customWidth="1"/>
    <col min="2" max="2" width="12.75" style="390" customWidth="1"/>
    <col min="3" max="3" width="9" style="390" customWidth="1"/>
    <col min="4" max="4" width="17.375" style="390" customWidth="1"/>
    <col min="5" max="5" width="24" style="390" customWidth="1"/>
    <col min="6" max="6" width="12.375" style="390" customWidth="1"/>
    <col min="7" max="7" width="10.75" style="390" customWidth="1"/>
    <col min="8" max="8" width="21.125" style="390" customWidth="1"/>
    <col min="9" max="9" width="19.25" style="390" customWidth="1"/>
    <col min="10" max="10" width="10.375" style="390" customWidth="1"/>
    <col min="11" max="11" width="13.5" style="390" customWidth="1"/>
    <col min="12" max="12" width="63.25" style="390" customWidth="1"/>
    <col min="13" max="13" width="96.625" style="390" bestFit="1" customWidth="1"/>
    <col min="14" max="14" width="25.25" style="390" customWidth="1"/>
    <col min="15" max="15" width="17.375" style="390" customWidth="1"/>
    <col min="16" max="16" width="20.875" style="390" customWidth="1"/>
    <col min="17" max="16384" width="9" style="390"/>
  </cols>
  <sheetData>
    <row r="1" spans="1:18">
      <c r="A1" s="392" t="s">
        <v>2276</v>
      </c>
      <c r="B1" s="390" t="s">
        <v>2285</v>
      </c>
      <c r="C1" s="390" t="s">
        <v>2286</v>
      </c>
      <c r="D1" s="390" t="s">
        <v>2344</v>
      </c>
      <c r="E1" s="390" t="s">
        <v>2299</v>
      </c>
      <c r="F1" s="390" t="s">
        <v>2287</v>
      </c>
      <c r="G1" s="390" t="s">
        <v>2288</v>
      </c>
      <c r="H1" s="390" t="s">
        <v>2284</v>
      </c>
      <c r="I1" s="390" t="s">
        <v>2289</v>
      </c>
      <c r="J1" s="390" t="s">
        <v>2290</v>
      </c>
      <c r="K1" s="390" t="s">
        <v>2283</v>
      </c>
      <c r="M1" s="390" t="s">
        <v>2282</v>
      </c>
      <c r="N1" s="390" t="s">
        <v>2291</v>
      </c>
      <c r="O1" s="393"/>
    </row>
    <row r="2" spans="1:18">
      <c r="A2" s="392" t="s">
        <v>2281</v>
      </c>
      <c r="B2" s="390" t="s">
        <v>2274</v>
      </c>
      <c r="C2" s="390" t="s">
        <v>2273</v>
      </c>
      <c r="D2" s="391" t="e">
        <f>RTD("kgi.tw.der.pricertdserver.2014.1",,A2 &amp; "_Reference" &amp; ":" &amp; B2 &amp; "@" &amp; C2)</f>
        <v>#N/A</v>
      </c>
      <c r="E2" s="391" t="e">
        <f>RTD("kgi.tw.der.pricertdserver.2014.1",,A2 &amp;":"&amp; B2&amp;"@" &amp; C2)</f>
        <v>#N/A</v>
      </c>
      <c r="F2" s="391" t="e">
        <f>RTD("kgi.tw.der.pricertdserver.2014.1",,A2 &amp; "_BidPrice1" &amp; ":" &amp; B2 &amp; "@" &amp; C2)</f>
        <v>#N/A</v>
      </c>
      <c r="G2" s="391" t="e">
        <f>RTD("kgi.tw.der.pricertdserver.2014.1",,A2 &amp; "_AskPrice1" &amp; ":" &amp; B2 &amp; "@" &amp; C2)</f>
        <v>#N/A</v>
      </c>
      <c r="H2" s="390" t="e">
        <f>RTD("kgi.tw.der.pricertdserver.2014.1",,A2 &amp; "_Time" &amp; ":" &amp; B2 &amp; "@" &amp; C2)</f>
        <v>#N/A</v>
      </c>
      <c r="I2" s="390" t="e">
        <f t="shared" ref="I2:I6" si="0">LEFT(H2,FIND("_",H2)-1) &amp; RIGHT(H2,FIND("_",H2))</f>
        <v>#N/A</v>
      </c>
      <c r="J2" s="394" t="e">
        <f t="shared" ref="J2:J6" ca="1" si="1">I2-$L$2+100000</f>
        <v>#N/A</v>
      </c>
      <c r="K2" s="390" t="s">
        <v>2276</v>
      </c>
      <c r="L2" s="395" t="str">
        <f ca="1">TEXT(NOW(),"yyyymmddhhmm") &amp; "00000"</f>
        <v>20190708170000000</v>
      </c>
      <c r="M2" s="390" t="s">
        <v>2275</v>
      </c>
      <c r="N2" s="391"/>
      <c r="R2" s="391"/>
    </row>
    <row r="3" spans="1:18">
      <c r="A3" s="392" t="s">
        <v>2280</v>
      </c>
      <c r="B3" s="390" t="s">
        <v>2274</v>
      </c>
      <c r="C3" s="390" t="s">
        <v>2273</v>
      </c>
      <c r="D3" s="391" t="e">
        <f>RTD("kgi.tw.der.pricertdserver.2014.1",,A3 &amp; "_Reference" &amp; ":" &amp; B3 &amp; "@" &amp; C3)</f>
        <v>#N/A</v>
      </c>
      <c r="E3" s="391" t="e">
        <f>RTD("kgi.tw.der.pricertdserver.2014.1",,A3 &amp;":"&amp; B3&amp;"@" &amp; C3)</f>
        <v>#N/A</v>
      </c>
      <c r="F3" s="391" t="e">
        <f>RTD("kgi.tw.der.pricertdserver.2014.1",,A3 &amp; "_BidPrice1" &amp; ":" &amp; B3 &amp; "@" &amp; C3)</f>
        <v>#N/A</v>
      </c>
      <c r="G3" s="391" t="e">
        <f>RTD("kgi.tw.der.pricertdserver.2014.1",,A3 &amp; "_AskPrice1" &amp; ":" &amp; B3 &amp; "@" &amp; C3)</f>
        <v>#N/A</v>
      </c>
      <c r="H3" s="390" t="e">
        <f>RTD("kgi.tw.der.pricertdserver.2014.1",,A3 &amp; "_Time" &amp; ":" &amp; B3 &amp; "@" &amp; C3)</f>
        <v>#N/A</v>
      </c>
      <c r="I3" s="390" t="e">
        <f t="shared" si="0"/>
        <v>#N/A</v>
      </c>
      <c r="J3" s="394" t="e">
        <f t="shared" ca="1" si="1"/>
        <v>#N/A</v>
      </c>
      <c r="K3" s="390" t="s">
        <v>2276</v>
      </c>
      <c r="L3" s="394"/>
      <c r="M3" s="390" t="s">
        <v>2275</v>
      </c>
      <c r="N3" s="391"/>
    </row>
    <row r="4" spans="1:18">
      <c r="A4" s="392" t="s">
        <v>2279</v>
      </c>
      <c r="B4" s="390" t="s">
        <v>2274</v>
      </c>
      <c r="C4" s="390" t="s">
        <v>2273</v>
      </c>
      <c r="D4" s="391" t="e">
        <f>RTD("kgi.tw.der.pricertdserver.2014.1",,A4 &amp; "_Reference" &amp; ":" &amp; B4 &amp; "@" &amp; C4)</f>
        <v>#N/A</v>
      </c>
      <c r="E4" s="391" t="e">
        <f>RTD("kgi.tw.der.pricertdserver.2014.1",,A4 &amp;":"&amp; B4&amp;"@" &amp; C4)</f>
        <v>#N/A</v>
      </c>
      <c r="F4" s="391" t="e">
        <f>RTD("kgi.tw.der.pricertdserver.2014.1",,A4 &amp; "_BidPrice1" &amp; ":" &amp; B4 &amp; "@" &amp; C4)</f>
        <v>#N/A</v>
      </c>
      <c r="G4" s="391" t="e">
        <f>RTD("kgi.tw.der.pricertdserver.2014.1",,A4 &amp; "_AskPrice1" &amp; ":" &amp; B4 &amp; "@" &amp; C4)</f>
        <v>#N/A</v>
      </c>
      <c r="H4" s="390" t="e">
        <f>RTD("kgi.tw.der.pricertdserver.2014.1",,A4 &amp; "_Time" &amp; ":" &amp; B4 &amp; "@" &amp; C4)</f>
        <v>#N/A</v>
      </c>
      <c r="I4" s="390" t="e">
        <f t="shared" si="0"/>
        <v>#N/A</v>
      </c>
      <c r="J4" s="394" t="e">
        <f t="shared" ca="1" si="1"/>
        <v>#N/A</v>
      </c>
      <c r="K4" s="390" t="s">
        <v>2276</v>
      </c>
      <c r="M4" s="390" t="s">
        <v>2275</v>
      </c>
      <c r="N4" s="391"/>
    </row>
    <row r="5" spans="1:18">
      <c r="A5" s="392" t="s">
        <v>2278</v>
      </c>
      <c r="B5" s="390" t="s">
        <v>2274</v>
      </c>
      <c r="C5" s="390" t="s">
        <v>2273</v>
      </c>
      <c r="D5" s="391" t="e">
        <f>RTD("kgi.tw.der.pricertdserver.2014.1",,A5 &amp; "_Reference" &amp; ":" &amp; B5 &amp; "@" &amp; C5)</f>
        <v>#N/A</v>
      </c>
      <c r="E5" s="391" t="e">
        <f>RTD("kgi.tw.der.pricertdserver.2014.1",,A5 &amp;":"&amp; B5&amp;"@" &amp; C5)</f>
        <v>#N/A</v>
      </c>
      <c r="F5" s="391" t="e">
        <f>RTD("kgi.tw.der.pricertdserver.2014.1",,A5 &amp; "_BidPrice1" &amp; ":" &amp; B5 &amp; "@" &amp; C5)</f>
        <v>#N/A</v>
      </c>
      <c r="G5" s="391" t="e">
        <f>RTD("kgi.tw.der.pricertdserver.2014.1",,A5 &amp; "_AskPrice1" &amp; ":" &amp; B5 &amp; "@" &amp; C5)</f>
        <v>#N/A</v>
      </c>
      <c r="H5" s="390" t="e">
        <f>RTD("kgi.tw.der.pricertdserver.2014.1",,A5 &amp; "_Time" &amp; ":" &amp; B5 &amp; "@" &amp; C5)</f>
        <v>#N/A</v>
      </c>
      <c r="I5" s="390" t="e">
        <f t="shared" si="0"/>
        <v>#N/A</v>
      </c>
      <c r="J5" s="394" t="e">
        <f t="shared" ca="1" si="1"/>
        <v>#N/A</v>
      </c>
      <c r="K5" s="390" t="s">
        <v>2276</v>
      </c>
      <c r="M5" s="390" t="s">
        <v>2275</v>
      </c>
      <c r="N5" s="391"/>
    </row>
    <row r="6" spans="1:18">
      <c r="A6" s="392" t="s">
        <v>2277</v>
      </c>
      <c r="B6" s="390" t="s">
        <v>2274</v>
      </c>
      <c r="C6" s="390" t="s">
        <v>2273</v>
      </c>
      <c r="D6" s="391" t="e">
        <f>RTD("kgi.tw.der.pricertdserver.2014.1",,A6 &amp; "_Reference" &amp; ":" &amp; B6 &amp; "@" &amp; C6)</f>
        <v>#N/A</v>
      </c>
      <c r="E6" s="391" t="e">
        <f>RTD("kgi.tw.der.pricertdserver.2014.1",,A6 &amp;":"&amp; B6&amp;"@" &amp; C6)</f>
        <v>#N/A</v>
      </c>
      <c r="F6" s="391" t="e">
        <f>RTD("kgi.tw.der.pricertdserver.2014.1",,A6 &amp; "_BidPrice1" &amp; ":" &amp; B6 &amp; "@" &amp; C6)</f>
        <v>#N/A</v>
      </c>
      <c r="G6" s="391" t="e">
        <f>RTD("kgi.tw.der.pricertdserver.2014.1",,A6 &amp; "_AskPrice1" &amp; ":" &amp; B6 &amp; "@" &amp; C6)</f>
        <v>#N/A</v>
      </c>
      <c r="H6" s="390" t="e">
        <f>RTD("kgi.tw.der.pricertdserver.2014.1",,A6 &amp; "_Time" &amp; ":" &amp; B6 &amp; "@" &amp; C6)</f>
        <v>#N/A</v>
      </c>
      <c r="I6" s="390" t="e">
        <f t="shared" si="0"/>
        <v>#N/A</v>
      </c>
      <c r="J6" s="394" t="e">
        <f t="shared" ca="1" si="1"/>
        <v>#N/A</v>
      </c>
      <c r="K6" s="390" t="s">
        <v>2276</v>
      </c>
      <c r="M6" s="390" t="s">
        <v>2275</v>
      </c>
      <c r="N6" s="391"/>
    </row>
    <row r="7" spans="1:18">
      <c r="A7" s="392" t="s">
        <v>2292</v>
      </c>
      <c r="B7" s="390" t="s">
        <v>2293</v>
      </c>
      <c r="C7" s="390" t="s">
        <v>2273</v>
      </c>
      <c r="D7" s="391" t="e">
        <f>RTD("kgi.tw.der.pricertdserver.2014.1",,A7 &amp; "_Reference" &amp; ":" &amp; B7 &amp; "@" &amp; C7)</f>
        <v>#N/A</v>
      </c>
      <c r="E7" s="391" t="e">
        <f>RTD("kgi.tw.der.pricertdserver.2014.1",,A7 &amp;":"&amp; B7&amp;"@" &amp; C7)</f>
        <v>#N/A</v>
      </c>
      <c r="F7" s="391" t="e">
        <f>RTD("kgi.tw.der.pricertdserver.2014.1",,A7 &amp; "_BidPrice1" &amp; ":" &amp; B7 &amp; "@" &amp; C7)</f>
        <v>#N/A</v>
      </c>
      <c r="G7" s="391" t="e">
        <f>RTD("kgi.tw.der.pricertdserver.2014.1",,A7 &amp; "_AskPrice1" &amp; ":" &amp; B7 &amp; "@" &amp; C7)</f>
        <v>#N/A</v>
      </c>
      <c r="H7" s="390" t="e">
        <f>RTD("kgi.tw.der.pricertdserver.2014.1",,A7 &amp; "_Time" &amp; ":" &amp; B7 &amp; "@" &amp; C7)</f>
        <v>#N/A</v>
      </c>
      <c r="I7" s="390" t="e">
        <f t="shared" ref="I7:I8" si="2">LEFT(H7,FIND("_",H7)-1) &amp; RIGHT(H7,FIND("_",H7))</f>
        <v>#N/A</v>
      </c>
      <c r="J7" s="394" t="e">
        <f t="shared" ref="J7:J8" ca="1" si="3">I7-$L$2+100000</f>
        <v>#N/A</v>
      </c>
      <c r="K7" s="390" t="s">
        <v>2294</v>
      </c>
      <c r="M7" s="390" t="s">
        <v>2295</v>
      </c>
      <c r="N7" s="391"/>
    </row>
    <row r="8" spans="1:18">
      <c r="A8" s="392" t="s">
        <v>2327</v>
      </c>
      <c r="B8" s="390" t="s">
        <v>2293</v>
      </c>
      <c r="C8" s="390" t="s">
        <v>2273</v>
      </c>
      <c r="D8" s="391" t="e">
        <f>RTD("kgi.tw.der.pricertdserver.2014.1",,A8 &amp; "_Reference" &amp; ":" &amp; B8 &amp; "@" &amp; C8)</f>
        <v>#N/A</v>
      </c>
      <c r="E8" s="391" t="e">
        <f>RTD("kgi.tw.der.pricertdserver.2014.1",,A8 &amp;":"&amp; B8&amp;"@" &amp; C8)</f>
        <v>#N/A</v>
      </c>
      <c r="F8" s="391" t="e">
        <f>RTD("kgi.tw.der.pricertdserver.2014.1",,A8 &amp; "_BidPrice1" &amp; ":" &amp; B8 &amp; "@" &amp; C8)</f>
        <v>#N/A</v>
      </c>
      <c r="G8" s="391" t="e">
        <f>RTD("kgi.tw.der.pricertdserver.2014.1",,A8 &amp; "_AskPrice1" &amp; ":" &amp; B8 &amp; "@" &amp; C8)</f>
        <v>#N/A</v>
      </c>
      <c r="H8" s="390" t="e">
        <f>RTD("kgi.tw.der.pricertdserver.2014.1",,A8 &amp; "_Time" &amp; ":" &amp; B8 &amp; "@" &amp; C8)</f>
        <v>#N/A</v>
      </c>
      <c r="I8" s="390" t="e">
        <f t="shared" si="2"/>
        <v>#N/A</v>
      </c>
      <c r="J8" s="394" t="e">
        <f t="shared" ca="1" si="3"/>
        <v>#N/A</v>
      </c>
      <c r="K8" s="390" t="s">
        <v>2294</v>
      </c>
      <c r="M8" s="390" t="s">
        <v>2296</v>
      </c>
      <c r="N8" s="391"/>
    </row>
    <row r="9" spans="1:18">
      <c r="A9" s="392" t="s">
        <v>2328</v>
      </c>
      <c r="B9" s="390" t="s">
        <v>2293</v>
      </c>
      <c r="C9" s="390" t="s">
        <v>2273</v>
      </c>
      <c r="D9" s="391" t="e">
        <f>RTD("kgi.tw.der.pricertdserver.2014.1",,A9 &amp; "_Reference" &amp; ":" &amp; B9 &amp; "@" &amp; C9)</f>
        <v>#N/A</v>
      </c>
      <c r="E9" s="391" t="e">
        <f>RTD("kgi.tw.der.pricertdserver.2014.1",,A9 &amp;":"&amp; B9&amp;"@" &amp; C9)</f>
        <v>#N/A</v>
      </c>
      <c r="F9" s="391" t="e">
        <f>RTD("kgi.tw.der.pricertdserver.2014.1",,A9 &amp; "_BidPrice1" &amp; ":" &amp; B9 &amp; "@" &amp; C9)</f>
        <v>#N/A</v>
      </c>
      <c r="G9" s="391" t="e">
        <f>RTD("kgi.tw.der.pricertdserver.2014.1",,A9 &amp; "_AskPrice1" &amp; ":" &amp; B9 &amp; "@" &amp; C9)</f>
        <v>#N/A</v>
      </c>
      <c r="H9" s="390" t="e">
        <f>RTD("kgi.tw.der.pricertdserver.2014.1",,A9 &amp; "_Time" &amp; ":" &amp; B9 &amp; "@" &amp; C9)</f>
        <v>#N/A</v>
      </c>
      <c r="I9" s="390" t="e">
        <f t="shared" ref="I9:I48" si="4">LEFT(H9,FIND("_",H9)-1) &amp; RIGHT(H9,FIND("_",H9))</f>
        <v>#N/A</v>
      </c>
      <c r="J9" s="394" t="e">
        <f t="shared" ref="J9:J48" ca="1" si="5">I9-$L$2+100000</f>
        <v>#N/A</v>
      </c>
      <c r="K9" s="390" t="s">
        <v>2294</v>
      </c>
      <c r="N9" s="391"/>
    </row>
    <row r="10" spans="1:18">
      <c r="A10" s="392" t="s">
        <v>2300</v>
      </c>
      <c r="B10" s="390" t="s">
        <v>2293</v>
      </c>
      <c r="C10" s="390" t="s">
        <v>2273</v>
      </c>
      <c r="D10" s="391" t="e">
        <f>RTD("kgi.tw.der.pricertdserver.2014.1",,A10 &amp; "_Reference" &amp; ":" &amp; B10 &amp; "@" &amp; C10)</f>
        <v>#N/A</v>
      </c>
      <c r="E10" s="391" t="e">
        <f>RTD("kgi.tw.der.pricertdserver.2014.1",,A10 &amp;":"&amp; B10&amp;"@" &amp; C10)</f>
        <v>#N/A</v>
      </c>
      <c r="F10" s="391" t="e">
        <f>RTD("kgi.tw.der.pricertdserver.2014.1",,A10 &amp; "_BidPrice1" &amp; ":" &amp; B10 &amp; "@" &amp; C10)</f>
        <v>#N/A</v>
      </c>
      <c r="G10" s="391" t="e">
        <f>RTD("kgi.tw.der.pricertdserver.2014.1",,A10 &amp; "_AskPrice1" &amp; ":" &amp; B10 &amp; "@" &amp; C10)</f>
        <v>#N/A</v>
      </c>
      <c r="H10" s="390" t="e">
        <f>RTD("kgi.tw.der.pricertdserver.2014.1",,A10 &amp; "_Time" &amp; ":" &amp; B10 &amp; "@" &amp; C10)</f>
        <v>#N/A</v>
      </c>
      <c r="I10" s="390" t="e">
        <f t="shared" si="4"/>
        <v>#N/A</v>
      </c>
      <c r="J10" s="394" t="e">
        <f t="shared" ca="1" si="5"/>
        <v>#N/A</v>
      </c>
      <c r="K10" s="390" t="s">
        <v>2294</v>
      </c>
    </row>
    <row r="11" spans="1:18">
      <c r="A11" s="392" t="s">
        <v>2329</v>
      </c>
      <c r="B11" s="390" t="s">
        <v>2293</v>
      </c>
      <c r="C11" s="390" t="s">
        <v>2273</v>
      </c>
      <c r="D11" s="391" t="e">
        <f>RTD("kgi.tw.der.pricertdserver.2014.1",,A11 &amp; "_Reference" &amp; ":" &amp; B11 &amp; "@" &amp; C11)</f>
        <v>#N/A</v>
      </c>
      <c r="E11" s="391" t="e">
        <f>RTD("kgi.tw.der.pricertdserver.2014.1",,A11 &amp;":"&amp; B11&amp;"@" &amp; C11)</f>
        <v>#N/A</v>
      </c>
      <c r="F11" s="391" t="e">
        <f>RTD("kgi.tw.der.pricertdserver.2014.1",,A11 &amp; "_BidPrice1" &amp; ":" &amp; B11 &amp; "@" &amp; C11)</f>
        <v>#N/A</v>
      </c>
      <c r="G11" s="391" t="e">
        <f>RTD("kgi.tw.der.pricertdserver.2014.1",,A11 &amp; "_AskPrice1" &amp; ":" &amp; B11 &amp; "@" &amp; C11)</f>
        <v>#N/A</v>
      </c>
      <c r="H11" s="390" t="e">
        <f>RTD("kgi.tw.der.pricertdserver.2014.1",,A11 &amp; "_Time" &amp; ":" &amp; B11 &amp; "@" &amp; C11)</f>
        <v>#N/A</v>
      </c>
      <c r="I11" s="390" t="e">
        <f t="shared" si="4"/>
        <v>#N/A</v>
      </c>
      <c r="J11" s="394" t="e">
        <f t="shared" ca="1" si="5"/>
        <v>#N/A</v>
      </c>
      <c r="K11" s="390" t="s">
        <v>2294</v>
      </c>
    </row>
    <row r="12" spans="1:18">
      <c r="A12" s="392" t="s">
        <v>2330</v>
      </c>
      <c r="B12" s="390" t="s">
        <v>2293</v>
      </c>
      <c r="C12" s="390" t="s">
        <v>2273</v>
      </c>
      <c r="D12" s="391" t="e">
        <f>RTD("kgi.tw.der.pricertdserver.2014.1",,A12 &amp; "_Reference" &amp; ":" &amp; B12 &amp; "@" &amp; C12)</f>
        <v>#N/A</v>
      </c>
      <c r="E12" s="391" t="e">
        <f>RTD("kgi.tw.der.pricertdserver.2014.1",,A12 &amp;":"&amp; B12&amp;"@" &amp; C12)</f>
        <v>#N/A</v>
      </c>
      <c r="F12" s="391" t="e">
        <f>RTD("kgi.tw.der.pricertdserver.2014.1",,A12 &amp; "_BidPrice1" &amp; ":" &amp; B12 &amp; "@" &amp; C12)</f>
        <v>#N/A</v>
      </c>
      <c r="G12" s="391" t="e">
        <f>RTD("kgi.tw.der.pricertdserver.2014.1",,A12 &amp; "_AskPrice1" &amp; ":" &amp; B12 &amp; "@" &amp; C12)</f>
        <v>#N/A</v>
      </c>
      <c r="H12" s="390" t="e">
        <f>RTD("kgi.tw.der.pricertdserver.2014.1",,A12 &amp; "_Time" &amp; ":" &amp; B12 &amp; "@" &amp; C12)</f>
        <v>#N/A</v>
      </c>
      <c r="I12" s="390" t="e">
        <f t="shared" si="4"/>
        <v>#N/A</v>
      </c>
      <c r="J12" s="394" t="e">
        <f t="shared" ca="1" si="5"/>
        <v>#N/A</v>
      </c>
      <c r="K12" s="390" t="s">
        <v>2294</v>
      </c>
      <c r="N12" s="391"/>
    </row>
    <row r="13" spans="1:18">
      <c r="A13" s="398" t="s">
        <v>2331</v>
      </c>
      <c r="B13" s="390" t="s">
        <v>2293</v>
      </c>
      <c r="C13" s="390" t="s">
        <v>2273</v>
      </c>
      <c r="D13" s="391" t="e">
        <f>RTD("kgi.tw.der.pricertdserver.2014.1",,A13 &amp; "_Reference" &amp; ":" &amp; B13 &amp; "@" &amp; C13)</f>
        <v>#N/A</v>
      </c>
      <c r="E13" s="391" t="e">
        <f>RTD("kgi.tw.der.pricertdserver.2014.1",,A13 &amp;":"&amp; B13&amp;"@" &amp; C13)</f>
        <v>#N/A</v>
      </c>
      <c r="F13" s="391" t="e">
        <f>RTD("kgi.tw.der.pricertdserver.2014.1",,A13 &amp; "_BidPrice1" &amp; ":" &amp; B13 &amp; "@" &amp; C13)</f>
        <v>#N/A</v>
      </c>
      <c r="G13" s="391" t="e">
        <f>RTD("kgi.tw.der.pricertdserver.2014.1",,A13 &amp; "_AskPrice1" &amp; ":" &amp; B13 &amp; "@" &amp; C13)</f>
        <v>#N/A</v>
      </c>
      <c r="H13" s="390" t="e">
        <f>RTD("kgi.tw.der.pricertdserver.2014.1",,A13 &amp; "_Time" &amp; ":" &amp; B13 &amp; "@" &amp; C13)</f>
        <v>#N/A</v>
      </c>
      <c r="I13" s="390" t="e">
        <f t="shared" si="4"/>
        <v>#N/A</v>
      </c>
      <c r="J13" s="394" t="e">
        <f t="shared" ca="1" si="5"/>
        <v>#N/A</v>
      </c>
      <c r="K13" s="390" t="s">
        <v>2294</v>
      </c>
    </row>
    <row r="14" spans="1:18">
      <c r="A14" s="398" t="s">
        <v>2332</v>
      </c>
      <c r="B14" s="390" t="s">
        <v>2293</v>
      </c>
      <c r="C14" s="390" t="s">
        <v>2273</v>
      </c>
      <c r="D14" s="391" t="e">
        <f>RTD("kgi.tw.der.pricertdserver.2014.1",,A14 &amp; "_Reference" &amp; ":" &amp; B14 &amp; "@" &amp; C14)</f>
        <v>#N/A</v>
      </c>
      <c r="E14" s="391" t="e">
        <f>RTD("kgi.tw.der.pricertdserver.2014.1",,A14 &amp;":"&amp; B14&amp;"@" &amp; C14)</f>
        <v>#N/A</v>
      </c>
      <c r="F14" s="391" t="e">
        <f>RTD("kgi.tw.der.pricertdserver.2014.1",,A14 &amp; "_BidPrice1" &amp; ":" &amp; B14 &amp; "@" &amp; C14)</f>
        <v>#N/A</v>
      </c>
      <c r="G14" s="391" t="e">
        <f>RTD("kgi.tw.der.pricertdserver.2014.1",,A14 &amp; "_AskPrice1" &amp; ":" &amp; B14 &amp; "@" &amp; C14)</f>
        <v>#N/A</v>
      </c>
      <c r="H14" s="390" t="e">
        <f>RTD("kgi.tw.der.pricertdserver.2014.1",,A14 &amp; "_Time" &amp; ":" &amp; B14 &amp; "@" &amp; C14)</f>
        <v>#N/A</v>
      </c>
      <c r="I14" s="390" t="e">
        <f t="shared" si="4"/>
        <v>#N/A</v>
      </c>
      <c r="J14" s="394" t="e">
        <f t="shared" ca="1" si="5"/>
        <v>#N/A</v>
      </c>
      <c r="K14" s="390" t="s">
        <v>2294</v>
      </c>
    </row>
    <row r="15" spans="1:18">
      <c r="A15" s="398" t="s">
        <v>2333</v>
      </c>
      <c r="B15" s="390" t="s">
        <v>2293</v>
      </c>
      <c r="C15" s="390" t="s">
        <v>2273</v>
      </c>
      <c r="D15" s="391" t="e">
        <f>RTD("kgi.tw.der.pricertdserver.2014.1",,A15 &amp; "_Reference" &amp; ":" &amp; B15 &amp; "@" &amp; C15)</f>
        <v>#N/A</v>
      </c>
      <c r="E15" s="391" t="e">
        <f>RTD("kgi.tw.der.pricertdserver.2014.1",,A15 &amp;":"&amp; B15&amp;"@" &amp; C15)</f>
        <v>#N/A</v>
      </c>
      <c r="F15" s="391" t="e">
        <f>RTD("kgi.tw.der.pricertdserver.2014.1",,A15 &amp; "_BidPrice1" &amp; ":" &amp; B15 &amp; "@" &amp; C15)</f>
        <v>#N/A</v>
      </c>
      <c r="G15" s="391" t="e">
        <f>RTD("kgi.tw.der.pricertdserver.2014.1",,A15 &amp; "_AskPrice1" &amp; ":" &amp; B15 &amp; "@" &amp; C15)</f>
        <v>#N/A</v>
      </c>
      <c r="H15" s="390" t="e">
        <f>RTD("kgi.tw.der.pricertdserver.2014.1",,A15 &amp; "_Time" &amp; ":" &amp; B15 &amp; "@" &amp; C15)</f>
        <v>#N/A</v>
      </c>
      <c r="I15" s="390" t="e">
        <f t="shared" si="4"/>
        <v>#N/A</v>
      </c>
      <c r="J15" s="394" t="e">
        <f t="shared" ca="1" si="5"/>
        <v>#N/A</v>
      </c>
      <c r="K15" s="390" t="s">
        <v>2294</v>
      </c>
      <c r="N15" s="391"/>
    </row>
    <row r="16" spans="1:18">
      <c r="A16" s="398" t="s">
        <v>2334</v>
      </c>
      <c r="B16" s="390" t="s">
        <v>2293</v>
      </c>
      <c r="C16" s="390" t="s">
        <v>2273</v>
      </c>
      <c r="D16" s="391" t="e">
        <f>RTD("kgi.tw.der.pricertdserver.2014.1",,A16 &amp; "_Reference" &amp; ":" &amp; B16 &amp; "@" &amp; C16)</f>
        <v>#N/A</v>
      </c>
      <c r="E16" s="391" t="e">
        <f>RTD("kgi.tw.der.pricertdserver.2014.1",,A16 &amp;":"&amp; B16&amp;"@" &amp; C16)</f>
        <v>#N/A</v>
      </c>
      <c r="F16" s="391" t="e">
        <f>RTD("kgi.tw.der.pricertdserver.2014.1",,A16 &amp; "_BidPrice1" &amp; ":" &amp; B16 &amp; "@" &amp; C16)</f>
        <v>#N/A</v>
      </c>
      <c r="G16" s="391" t="e">
        <f>RTD("kgi.tw.der.pricertdserver.2014.1",,A16 &amp; "_AskPrice1" &amp; ":" &amp; B16 &amp; "@" &amp; C16)</f>
        <v>#N/A</v>
      </c>
      <c r="H16" s="390" t="e">
        <f>RTD("kgi.tw.der.pricertdserver.2014.1",,A16 &amp; "_Time" &amp; ":" &amp; B16 &amp; "@" &amp; C16)</f>
        <v>#N/A</v>
      </c>
      <c r="I16" s="390" t="e">
        <f t="shared" si="4"/>
        <v>#N/A</v>
      </c>
      <c r="J16" s="394" t="e">
        <f t="shared" ca="1" si="5"/>
        <v>#N/A</v>
      </c>
      <c r="K16" s="390" t="s">
        <v>2294</v>
      </c>
    </row>
    <row r="17" spans="1:14">
      <c r="A17" s="398" t="s">
        <v>2335</v>
      </c>
      <c r="B17" s="390" t="s">
        <v>2293</v>
      </c>
      <c r="C17" s="390" t="s">
        <v>2273</v>
      </c>
      <c r="D17" s="391" t="e">
        <f>RTD("kgi.tw.der.pricertdserver.2014.1",,A17 &amp; "_Reference" &amp; ":" &amp; B17 &amp; "@" &amp; C17)</f>
        <v>#N/A</v>
      </c>
      <c r="E17" s="391" t="e">
        <f>RTD("kgi.tw.der.pricertdserver.2014.1",,A17 &amp;":"&amp; B17&amp;"@" &amp; C17)</f>
        <v>#N/A</v>
      </c>
      <c r="F17" s="391" t="e">
        <f>RTD("kgi.tw.der.pricertdserver.2014.1",,A17 &amp; "_BidPrice1" &amp; ":" &amp; B17 &amp; "@" &amp; C17)</f>
        <v>#N/A</v>
      </c>
      <c r="G17" s="391" t="e">
        <f>RTD("kgi.tw.der.pricertdserver.2014.1",,A17 &amp; "_AskPrice1" &amp; ":" &amp; B17 &amp; "@" &amp; C17)</f>
        <v>#N/A</v>
      </c>
      <c r="H17" s="390" t="e">
        <f>RTD("kgi.tw.der.pricertdserver.2014.1",,A17 &amp; "_Time" &amp; ":" &amp; B17 &amp; "@" &amp; C17)</f>
        <v>#N/A</v>
      </c>
      <c r="I17" s="390" t="e">
        <f t="shared" si="4"/>
        <v>#N/A</v>
      </c>
      <c r="J17" s="394" t="e">
        <f t="shared" ca="1" si="5"/>
        <v>#N/A</v>
      </c>
      <c r="K17" s="390" t="s">
        <v>2294</v>
      </c>
    </row>
    <row r="18" spans="1:14">
      <c r="A18" s="398" t="s">
        <v>2336</v>
      </c>
      <c r="B18" s="390" t="s">
        <v>2293</v>
      </c>
      <c r="C18" s="390" t="s">
        <v>2273</v>
      </c>
      <c r="D18" s="391" t="e">
        <f>RTD("kgi.tw.der.pricertdserver.2014.1",,A18 &amp; "_Reference" &amp; ":" &amp; B18 &amp; "@" &amp; C18)</f>
        <v>#N/A</v>
      </c>
      <c r="E18" s="391" t="e">
        <f>RTD("kgi.tw.der.pricertdserver.2014.1",,A18 &amp;":"&amp; B18&amp;"@" &amp; C18)</f>
        <v>#N/A</v>
      </c>
      <c r="F18" s="391" t="e">
        <f>RTD("kgi.tw.der.pricertdserver.2014.1",,A18 &amp; "_BidPrice1" &amp; ":" &amp; B18 &amp; "@" &amp; C18)</f>
        <v>#N/A</v>
      </c>
      <c r="G18" s="391" t="e">
        <f>RTD("kgi.tw.der.pricertdserver.2014.1",,A18 &amp; "_AskPrice1" &amp; ":" &amp; B18 &amp; "@" &amp; C18)</f>
        <v>#N/A</v>
      </c>
      <c r="H18" s="390" t="e">
        <f>RTD("kgi.tw.der.pricertdserver.2014.1",,A18 &amp; "_Time" &amp; ":" &amp; B18 &amp; "@" &amp; C18)</f>
        <v>#N/A</v>
      </c>
      <c r="I18" s="390" t="e">
        <f t="shared" si="4"/>
        <v>#N/A</v>
      </c>
      <c r="J18" s="394" t="e">
        <f t="shared" ca="1" si="5"/>
        <v>#N/A</v>
      </c>
      <c r="K18" s="390" t="s">
        <v>2294</v>
      </c>
      <c r="N18" s="391"/>
    </row>
    <row r="19" spans="1:14">
      <c r="A19" s="398" t="s">
        <v>2337</v>
      </c>
      <c r="B19" s="390" t="s">
        <v>2338</v>
      </c>
      <c r="C19" s="390" t="s">
        <v>2273</v>
      </c>
      <c r="D19" s="391" t="e">
        <f>RTD("kgi.tw.der.pricertdserver.2014.1",,A19 &amp; "_Reference" &amp; ":" &amp; B19 &amp; "@" &amp; C19)</f>
        <v>#N/A</v>
      </c>
      <c r="E19" s="391" t="e">
        <f>RTD("kgi.tw.der.pricertdserver.2014.1",,A19 &amp;":"&amp; B19&amp;"@" &amp; C19)</f>
        <v>#N/A</v>
      </c>
      <c r="F19" s="391" t="e">
        <f>RTD("kgi.tw.der.pricertdserver.2014.1",,A19 &amp; "_BidPrice1" &amp; ":" &amp; B19 &amp; "@" &amp; C19)</f>
        <v>#N/A</v>
      </c>
      <c r="G19" s="391" t="e">
        <f>RTD("kgi.tw.der.pricertdserver.2014.1",,A19 &amp; "_AskPrice1" &amp; ":" &amp; B19 &amp; "@" &amp; C19)</f>
        <v>#N/A</v>
      </c>
      <c r="H19" s="404" t="e">
        <f>RTD("kgi.tw.der.pricertdserver.2014.1",,A19 &amp; "_Time" &amp; ":" &amp; B19 &amp; "@" &amp; C19)</f>
        <v>#N/A</v>
      </c>
      <c r="I19" s="390" t="e">
        <f t="shared" si="4"/>
        <v>#N/A</v>
      </c>
      <c r="J19" s="394" t="e">
        <f t="shared" ca="1" si="5"/>
        <v>#N/A</v>
      </c>
      <c r="K19" s="390" t="s">
        <v>2294</v>
      </c>
    </row>
    <row r="20" spans="1:14">
      <c r="A20" s="398" t="s">
        <v>2339</v>
      </c>
      <c r="B20" s="390" t="s">
        <v>2338</v>
      </c>
      <c r="C20" s="390" t="s">
        <v>2273</v>
      </c>
      <c r="D20" s="391" t="e">
        <f>RTD("kgi.tw.der.pricertdserver.2014.1",,A20 &amp; "_Reference" &amp; ":" &amp; B20 &amp; "@" &amp; C20)</f>
        <v>#N/A</v>
      </c>
      <c r="E20" s="391" t="e">
        <f>RTD("kgi.tw.der.pricertdserver.2014.1",,A20 &amp;":"&amp; B20&amp;"@" &amp; C20)</f>
        <v>#N/A</v>
      </c>
      <c r="F20" s="391" t="e">
        <f>RTD("kgi.tw.der.pricertdserver.2014.1",,A20 &amp; "_BidPrice1" &amp; ":" &amp; B20 &amp; "@" &amp; C20)</f>
        <v>#N/A</v>
      </c>
      <c r="G20" s="391" t="e">
        <f>RTD("kgi.tw.der.pricertdserver.2014.1",,A20 &amp; "_AskPrice1" &amp; ":" &amp; B20 &amp; "@" &amp; C20)</f>
        <v>#N/A</v>
      </c>
      <c r="H20" s="404" t="e">
        <f>RTD("kgi.tw.der.pricertdserver.2014.1",,A20 &amp; "_Time" &amp; ":" &amp; B20 &amp; "@" &amp; C20)</f>
        <v>#N/A</v>
      </c>
      <c r="I20" s="390" t="e">
        <f t="shared" si="4"/>
        <v>#N/A</v>
      </c>
      <c r="J20" s="394" t="e">
        <f t="shared" ca="1" si="5"/>
        <v>#N/A</v>
      </c>
      <c r="K20" s="390" t="s">
        <v>2294</v>
      </c>
    </row>
    <row r="21" spans="1:14">
      <c r="A21" s="398" t="s">
        <v>2340</v>
      </c>
      <c r="B21" s="390" t="s">
        <v>2338</v>
      </c>
      <c r="C21" s="390" t="s">
        <v>2273</v>
      </c>
      <c r="D21" s="391" t="e">
        <f>RTD("kgi.tw.der.pricertdserver.2014.1",,A21 &amp; "_Reference" &amp; ":" &amp; B21 &amp; "@" &amp; C21)</f>
        <v>#N/A</v>
      </c>
      <c r="E21" s="391" t="e">
        <f>RTD("kgi.tw.der.pricertdserver.2014.1",,A21 &amp;":"&amp; B21&amp;"@" &amp; C21)</f>
        <v>#N/A</v>
      </c>
      <c r="F21" s="391" t="e">
        <f>RTD("kgi.tw.der.pricertdserver.2014.1",,A21 &amp; "_BidPrice1" &amp; ":" &amp; B21 &amp; "@" &amp; C21)</f>
        <v>#N/A</v>
      </c>
      <c r="G21" s="391" t="e">
        <f>RTD("kgi.tw.der.pricertdserver.2014.1",,A21 &amp; "_AskPrice1" &amp; ":" &amp; B21 &amp; "@" &amp; C21)</f>
        <v>#N/A</v>
      </c>
      <c r="H21" s="404" t="e">
        <f>RTD("kgi.tw.der.pricertdserver.2014.1",,A21 &amp; "_Time" &amp; ":" &amp; B21 &amp; "@" &amp; C21)</f>
        <v>#N/A</v>
      </c>
      <c r="I21" s="390" t="e">
        <f t="shared" si="4"/>
        <v>#N/A</v>
      </c>
      <c r="J21" s="394" t="e">
        <f t="shared" ca="1" si="5"/>
        <v>#N/A</v>
      </c>
      <c r="K21" s="390" t="s">
        <v>2294</v>
      </c>
      <c r="N21" s="391"/>
    </row>
    <row r="22" spans="1:14">
      <c r="A22" s="399" t="s">
        <v>2341</v>
      </c>
      <c r="B22" s="390" t="s">
        <v>2338</v>
      </c>
      <c r="C22" s="390" t="s">
        <v>2273</v>
      </c>
      <c r="D22" s="391" t="e">
        <f>RTD("kgi.tw.der.pricertdserver.2014.1",,A22 &amp; "_Reference" &amp; ":" &amp; B22 &amp; "@" &amp; C22)</f>
        <v>#N/A</v>
      </c>
      <c r="E22" s="391" t="e">
        <f>RTD("kgi.tw.der.pricertdserver.2014.1",,A22 &amp;":"&amp; B22&amp;"@" &amp; C22)</f>
        <v>#N/A</v>
      </c>
      <c r="F22" s="391" t="e">
        <f>RTD("kgi.tw.der.pricertdserver.2014.1",,A22 &amp; "_BidPrice1" &amp; ":" &amp; B22 &amp; "@" &amp; C22)</f>
        <v>#N/A</v>
      </c>
      <c r="G22" s="391" t="e">
        <f>RTD("kgi.tw.der.pricertdserver.2014.1",,A22 &amp; "_AskPrice1" &amp; ":" &amp; B22 &amp; "@" &amp; C22)</f>
        <v>#N/A</v>
      </c>
      <c r="H22" s="404" t="e">
        <f>RTD("kgi.tw.der.pricertdserver.2014.1",,A22 &amp; "_Time" &amp; ":" &amp; B22 &amp; "@" &amp; C22)</f>
        <v>#N/A</v>
      </c>
      <c r="I22" s="390" t="e">
        <f t="shared" si="4"/>
        <v>#N/A</v>
      </c>
      <c r="J22" s="394" t="e">
        <f t="shared" ca="1" si="5"/>
        <v>#N/A</v>
      </c>
      <c r="K22" s="390" t="s">
        <v>2294</v>
      </c>
    </row>
    <row r="23" spans="1:14">
      <c r="A23" s="398" t="s">
        <v>2342</v>
      </c>
      <c r="B23" s="390" t="s">
        <v>2338</v>
      </c>
      <c r="C23" s="390" t="s">
        <v>2273</v>
      </c>
      <c r="D23" s="391" t="e">
        <f>RTD("kgi.tw.der.pricertdserver.2014.1",,A23 &amp; "_Reference" &amp; ":" &amp; B23 &amp; "@" &amp; C23)</f>
        <v>#N/A</v>
      </c>
      <c r="E23" s="391" t="e">
        <f>RTD("kgi.tw.der.pricertdserver.2014.1",,A23 &amp;":"&amp; B23&amp;"@" &amp; C23)</f>
        <v>#N/A</v>
      </c>
      <c r="F23" s="391" t="e">
        <f>RTD("kgi.tw.der.pricertdserver.2014.1",,A23 &amp; "_BidPrice1" &amp; ":" &amp; B23 &amp; "@" &amp; C23)</f>
        <v>#N/A</v>
      </c>
      <c r="G23" s="391" t="e">
        <f>RTD("kgi.tw.der.pricertdserver.2014.1",,A23 &amp; "_AskPrice1" &amp; ":" &amp; B23 &amp; "@" &amp; C23)</f>
        <v>#N/A</v>
      </c>
      <c r="H23" s="404" t="e">
        <f>RTD("kgi.tw.der.pricertdserver.2014.1",,A23 &amp; "_Time" &amp; ":" &amp; B23 &amp; "@" &amp; C23)</f>
        <v>#N/A</v>
      </c>
      <c r="I23" s="390" t="e">
        <f t="shared" si="4"/>
        <v>#N/A</v>
      </c>
      <c r="J23" s="394" t="e">
        <f t="shared" ca="1" si="5"/>
        <v>#N/A</v>
      </c>
      <c r="K23" s="390" t="s">
        <v>2294</v>
      </c>
    </row>
    <row r="24" spans="1:14">
      <c r="A24" s="398" t="s">
        <v>2343</v>
      </c>
      <c r="B24" s="390" t="s">
        <v>2338</v>
      </c>
      <c r="C24" s="390" t="s">
        <v>2273</v>
      </c>
      <c r="D24" s="391" t="e">
        <f>RTD("kgi.tw.der.pricertdserver.2014.1",,A24 &amp; "_Reference" &amp; ":" &amp; B24 &amp; "@" &amp; C24)</f>
        <v>#N/A</v>
      </c>
      <c r="E24" s="391" t="e">
        <f>RTD("kgi.tw.der.pricertdserver.2014.1",,A24 &amp;":"&amp; B24&amp;"@" &amp; C24)</f>
        <v>#N/A</v>
      </c>
      <c r="F24" s="391" t="e">
        <f>RTD("kgi.tw.der.pricertdserver.2014.1",,A24 &amp; "_BidPrice1" &amp; ":" &amp; B24 &amp; "@" &amp; C24)</f>
        <v>#N/A</v>
      </c>
      <c r="G24" s="391" t="e">
        <f>RTD("kgi.tw.der.pricertdserver.2014.1",,A24 &amp; "_AskPrice1" &amp; ":" &amp; B24 &amp; "@" &amp; C24)</f>
        <v>#N/A</v>
      </c>
      <c r="H24" s="404" t="e">
        <f>RTD("kgi.tw.der.pricertdserver.2014.1",,A24 &amp; "_Time" &amp; ":" &amp; B24 &amp; "@" &amp; C24)</f>
        <v>#N/A</v>
      </c>
      <c r="I24" s="390" t="e">
        <f t="shared" si="4"/>
        <v>#N/A</v>
      </c>
      <c r="J24" s="394" t="e">
        <f t="shared" ca="1" si="5"/>
        <v>#N/A</v>
      </c>
      <c r="K24" s="390" t="s">
        <v>2294</v>
      </c>
      <c r="N24" s="391"/>
    </row>
    <row r="25" spans="1:14">
      <c r="A25" s="398" t="s">
        <v>2347</v>
      </c>
      <c r="B25" s="390" t="s">
        <v>2345</v>
      </c>
      <c r="C25" s="390" t="s">
        <v>2273</v>
      </c>
      <c r="D25" s="391" t="e">
        <f>RTD("kgi.tw.der.pricertdserver.2014.1",,A25 &amp; "_Reference" &amp; ":" &amp; B25 &amp; "@" &amp; C25)</f>
        <v>#N/A</v>
      </c>
      <c r="E25" s="391" t="e">
        <f>RTD("kgi.tw.der.pricertdserver.2014.1",,A25 &amp;":"&amp; B25&amp;"@" &amp; C25)</f>
        <v>#N/A</v>
      </c>
      <c r="F25" s="391" t="e">
        <f>RTD("kgi.tw.der.pricertdserver.2014.1",,A25 &amp; "_BidPrice1" &amp; ":" &amp; B25 &amp; "@" &amp; C25)</f>
        <v>#N/A</v>
      </c>
      <c r="G25" s="391" t="e">
        <f>RTD("kgi.tw.der.pricertdserver.2014.1",,A25 &amp; "_AskPrice1" &amp; ":" &amp; B25 &amp; "@" &amp; C25)</f>
        <v>#N/A</v>
      </c>
      <c r="H25" s="390" t="e">
        <f>RTD("kgi.tw.der.pricertdserver.2014.1",,A25 &amp; "_Time" &amp; ":" &amp; B25 &amp; "@" &amp; C25)</f>
        <v>#N/A</v>
      </c>
      <c r="I25" s="390" t="e">
        <f t="shared" si="4"/>
        <v>#N/A</v>
      </c>
      <c r="J25" s="394" t="e">
        <f t="shared" ca="1" si="5"/>
        <v>#N/A</v>
      </c>
      <c r="K25" s="390" t="s">
        <v>2294</v>
      </c>
      <c r="L25" s="390" t="s">
        <v>2348</v>
      </c>
    </row>
    <row r="26" spans="1:14">
      <c r="A26" s="398" t="s">
        <v>2346</v>
      </c>
      <c r="B26" s="390" t="s">
        <v>2345</v>
      </c>
      <c r="C26" s="390" t="s">
        <v>2273</v>
      </c>
      <c r="D26" s="391" t="e">
        <f>RTD("kgi.tw.der.pricertdserver.2014.1",,A26 &amp; "_Reference" &amp; ":" &amp; B26 &amp; "@" &amp; C26)</f>
        <v>#N/A</v>
      </c>
      <c r="E26" s="391" t="e">
        <f>RTD("kgi.tw.der.pricertdserver.2014.1",,A26 &amp;":"&amp; B26&amp;"@" &amp; C26)</f>
        <v>#N/A</v>
      </c>
      <c r="F26" s="391" t="e">
        <f>RTD("kgi.tw.der.pricertdserver.2014.1",,A26 &amp; "_BidPrice1" &amp; ":" &amp; B26 &amp; "@" &amp; C26)</f>
        <v>#N/A</v>
      </c>
      <c r="G26" s="391" t="e">
        <f>RTD("kgi.tw.der.pricertdserver.2014.1",,A26 &amp; "_AskPrice1" &amp; ":" &amp; B26 &amp; "@" &amp; C26)</f>
        <v>#N/A</v>
      </c>
      <c r="H26" s="390" t="e">
        <f>RTD("kgi.tw.der.pricertdserver.2014.1",,A26 &amp; "_Time" &amp; ":" &amp; B26 &amp; "@" &amp; C26)</f>
        <v>#N/A</v>
      </c>
      <c r="I26" s="390" t="e">
        <f t="shared" si="4"/>
        <v>#N/A</v>
      </c>
      <c r="J26" s="394" t="e">
        <f t="shared" ca="1" si="5"/>
        <v>#N/A</v>
      </c>
      <c r="K26" s="390" t="s">
        <v>2294</v>
      </c>
      <c r="L26" s="390" t="s">
        <v>2348</v>
      </c>
    </row>
    <row r="27" spans="1:14">
      <c r="A27" s="398" t="s">
        <v>2347</v>
      </c>
      <c r="B27" s="390" t="s">
        <v>2345</v>
      </c>
      <c r="C27" s="390" t="s">
        <v>2273</v>
      </c>
      <c r="D27" s="391" t="e">
        <f>RTD("kgi.tw.der.pricertdserver.2014.1",,A27 &amp; "_Reference" &amp; ":" &amp; B27 &amp; "@" &amp; C27)</f>
        <v>#N/A</v>
      </c>
      <c r="E27" s="391" t="e">
        <f>RTD("kgi.tw.der.pricertdserver.2014.1",,A27 &amp;":"&amp; B27&amp;"@" &amp; C27)</f>
        <v>#N/A</v>
      </c>
      <c r="F27" s="391" t="e">
        <f>RTD("kgi.tw.der.pricertdserver.2014.1",,A27 &amp; "_BidPrice1" &amp; ":" &amp; B27 &amp; "@" &amp; C27)</f>
        <v>#N/A</v>
      </c>
      <c r="G27" s="391" t="e">
        <f>RTD("kgi.tw.der.pricertdserver.2014.1",,A27 &amp; "_AskPrice1" &amp; ":" &amp; B27 &amp; "@" &amp; C27)</f>
        <v>#N/A</v>
      </c>
      <c r="H27" s="390" t="e">
        <f>RTD("kgi.tw.der.pricertdserver.2014.1",,A27 &amp; "_Time" &amp; ":" &amp; B27 &amp; "@" &amp; C27)</f>
        <v>#N/A</v>
      </c>
      <c r="I27" s="390" t="e">
        <f t="shared" si="4"/>
        <v>#N/A</v>
      </c>
      <c r="J27" s="394" t="e">
        <f t="shared" ca="1" si="5"/>
        <v>#N/A</v>
      </c>
      <c r="K27" s="390" t="s">
        <v>2294</v>
      </c>
      <c r="L27" s="390" t="s">
        <v>2349</v>
      </c>
    </row>
    <row r="28" spans="1:14">
      <c r="A28" s="398" t="s">
        <v>2370</v>
      </c>
      <c r="B28" s="390" t="s">
        <v>2345</v>
      </c>
      <c r="C28" s="390" t="s">
        <v>2273</v>
      </c>
      <c r="D28" s="391" t="e">
        <f>RTD("kgi.tw.der.pricertdserver.2014.1",,A28 &amp; "_Reference" &amp; ":" &amp; B28 &amp; "@" &amp; C28)</f>
        <v>#N/A</v>
      </c>
      <c r="E28" s="391" t="e">
        <f>RTD("kgi.tw.der.pricertdserver.2014.1",,A28 &amp;":"&amp; B28&amp;"@" &amp; C28)</f>
        <v>#N/A</v>
      </c>
      <c r="F28" s="391" t="e">
        <f>RTD("kgi.tw.der.pricertdserver.2014.1",,A28 &amp; "_BidPrice1" &amp; ":" &amp; B28 &amp; "@" &amp; C28)</f>
        <v>#N/A</v>
      </c>
      <c r="G28" s="391" t="e">
        <f>RTD("kgi.tw.der.pricertdserver.2014.1",,A28 &amp; "_AskPrice1" &amp; ":" &amp; B28 &amp; "@" &amp; C28)</f>
        <v>#N/A</v>
      </c>
      <c r="H28" s="390" t="e">
        <f>RTD("kgi.tw.der.pricertdserver.2014.1",,A28 &amp; "_Time" &amp; ":" &amp; B28 &amp; "@" &amp; C28)</f>
        <v>#N/A</v>
      </c>
      <c r="I28" s="390" t="e">
        <f t="shared" si="4"/>
        <v>#N/A</v>
      </c>
      <c r="J28" s="394" t="e">
        <f t="shared" ca="1" si="5"/>
        <v>#N/A</v>
      </c>
      <c r="K28" s="390" t="s">
        <v>2294</v>
      </c>
      <c r="L28" s="390" t="s">
        <v>2350</v>
      </c>
    </row>
    <row r="29" spans="1:14">
      <c r="A29" s="399" t="s">
        <v>2369</v>
      </c>
      <c r="B29" s="390" t="s">
        <v>2345</v>
      </c>
      <c r="C29" s="390" t="s">
        <v>2273</v>
      </c>
      <c r="D29" s="391" t="e">
        <f>RTD("kgi.tw.der.pricertdserver.2014.1",,A29 &amp; "_Reference" &amp; ":" &amp; B29 &amp; "@" &amp; C29)</f>
        <v>#N/A</v>
      </c>
      <c r="E29" s="391" t="e">
        <f>RTD("kgi.tw.der.pricertdserver.2014.1",,A29 &amp;":"&amp; B29&amp;"@" &amp; C29)</f>
        <v>#N/A</v>
      </c>
      <c r="F29" s="391" t="e">
        <f>RTD("kgi.tw.der.pricertdserver.2014.1",,A29 &amp; "_BidPrice1" &amp; ":" &amp; B29 &amp; "@" &amp; C29)</f>
        <v>#N/A</v>
      </c>
      <c r="G29" s="391" t="e">
        <f>RTD("kgi.tw.der.pricertdserver.2014.1",,A29 &amp; "_AskPrice1" &amp; ":" &amp; B29 &amp; "@" &amp; C29)</f>
        <v>#N/A</v>
      </c>
      <c r="H29" s="390" t="e">
        <f>RTD("kgi.tw.der.pricertdserver.2014.1",,A29 &amp; "_Time" &amp; ":" &amp; B29 &amp; "@" &amp; C29)</f>
        <v>#N/A</v>
      </c>
      <c r="I29" s="390" t="e">
        <f t="shared" si="4"/>
        <v>#N/A</v>
      </c>
      <c r="J29" s="394" t="e">
        <f t="shared" ca="1" si="5"/>
        <v>#N/A</v>
      </c>
      <c r="K29" s="390" t="s">
        <v>2294</v>
      </c>
    </row>
    <row r="30" spans="1:14">
      <c r="A30" s="398" t="s">
        <v>2351</v>
      </c>
      <c r="B30" s="390" t="s">
        <v>2356</v>
      </c>
      <c r="C30" s="390" t="s">
        <v>2273</v>
      </c>
      <c r="D30" s="391" t="e">
        <f>RTD("kgi.tw.der.pricertdserver.2014.1",,A30 &amp; "_Reference" &amp; ":" &amp; B30 &amp; "@" &amp; C30)</f>
        <v>#N/A</v>
      </c>
      <c r="E30" s="391" t="e">
        <f>RTD("kgi.tw.der.pricertdserver.2014.1",,A30 &amp;":"&amp; B30&amp;"@" &amp; C30)</f>
        <v>#N/A</v>
      </c>
      <c r="F30" s="391" t="e">
        <f>RTD("kgi.tw.der.pricertdserver.2014.1",,A30 &amp; "_BidPrice1" &amp; ":" &amp; B30 &amp; "@" &amp; C30)</f>
        <v>#N/A</v>
      </c>
      <c r="G30" s="391" t="e">
        <f>RTD("kgi.tw.der.pricertdserver.2014.1",,A30 &amp; "_AskPrice1" &amp; ":" &amp; B30 &amp; "@" &amp; C30)</f>
        <v>#N/A</v>
      </c>
      <c r="H30" s="390" t="e">
        <f>RTD("kgi.tw.der.pricertdserver.2014.1",,A30 &amp; "_Time" &amp; ":" &amp; B30 &amp; "@" &amp; C30)</f>
        <v>#N/A</v>
      </c>
      <c r="I30" s="390" t="e">
        <f t="shared" si="4"/>
        <v>#N/A</v>
      </c>
      <c r="J30" s="394" t="e">
        <f t="shared" ca="1" si="5"/>
        <v>#N/A</v>
      </c>
      <c r="K30" s="390" t="s">
        <v>2294</v>
      </c>
    </row>
    <row r="31" spans="1:14">
      <c r="A31" s="398" t="s">
        <v>2353</v>
      </c>
      <c r="B31" s="390" t="s">
        <v>2352</v>
      </c>
      <c r="C31" s="390" t="s">
        <v>2273</v>
      </c>
      <c r="D31" s="391" t="e">
        <f>RTD("kgi.tw.der.pricertdserver.2014.1",,A31 &amp; "_Reference" &amp; ":" &amp; B31 &amp; "@" &amp; C31)</f>
        <v>#N/A</v>
      </c>
      <c r="E31" s="391" t="e">
        <f>RTD("kgi.tw.der.pricertdserver.2014.1",,A31 &amp;":"&amp; B31&amp;"@" &amp; C31)</f>
        <v>#N/A</v>
      </c>
      <c r="F31" s="391" t="e">
        <f>RTD("kgi.tw.der.pricertdserver.2014.1",,A31 &amp; "_BidPrice1" &amp; ":" &amp; B31 &amp; "@" &amp; C31)</f>
        <v>#N/A</v>
      </c>
      <c r="G31" s="391" t="e">
        <f>RTD("kgi.tw.der.pricertdserver.2014.1",,A31 &amp; "_AskPrice1" &amp; ":" &amp; B31 &amp; "@" &amp; C31)</f>
        <v>#N/A</v>
      </c>
      <c r="H31" s="390" t="e">
        <f>RTD("kgi.tw.der.pricertdserver.2014.1",,A31 &amp; "_Time" &amp; ":" &amp; B31 &amp; "@" &amp; C31)</f>
        <v>#N/A</v>
      </c>
      <c r="I31" s="390" t="e">
        <f t="shared" si="4"/>
        <v>#N/A</v>
      </c>
      <c r="J31" s="394" t="e">
        <f t="shared" ca="1" si="5"/>
        <v>#N/A</v>
      </c>
      <c r="K31" s="390" t="s">
        <v>2294</v>
      </c>
    </row>
    <row r="32" spans="1:14">
      <c r="A32" s="398" t="s">
        <v>2354</v>
      </c>
      <c r="B32" s="390" t="s">
        <v>2352</v>
      </c>
      <c r="C32" s="390" t="s">
        <v>2273</v>
      </c>
      <c r="D32" s="391" t="e">
        <f>RTD("kgi.tw.der.pricertdserver.2014.1",,A32 &amp; "_Reference" &amp; ":" &amp; B32 &amp; "@" &amp; C32)</f>
        <v>#N/A</v>
      </c>
      <c r="E32" s="391" t="e">
        <f>RTD("kgi.tw.der.pricertdserver.2014.1",,A32 &amp;":"&amp; B32&amp;"@" &amp; C32)</f>
        <v>#N/A</v>
      </c>
      <c r="F32" s="391" t="e">
        <f>RTD("kgi.tw.der.pricertdserver.2014.1",,A32 &amp; "_BidPrice1" &amp; ":" &amp; B32 &amp; "@" &amp; C32)</f>
        <v>#N/A</v>
      </c>
      <c r="G32" s="391" t="e">
        <f>RTD("kgi.tw.der.pricertdserver.2014.1",,A32 &amp; "_AskPrice1" &amp; ":" &amp; B32 &amp; "@" &amp; C32)</f>
        <v>#N/A</v>
      </c>
      <c r="H32" s="390" t="e">
        <f>RTD("kgi.tw.der.pricertdserver.2014.1",,A32 &amp; "_Time" &amp; ":" &amp; B32 &amp; "@" &amp; C32)</f>
        <v>#N/A</v>
      </c>
      <c r="I32" s="390" t="e">
        <f t="shared" si="4"/>
        <v>#N/A</v>
      </c>
      <c r="J32" s="394" t="e">
        <f t="shared" ca="1" si="5"/>
        <v>#N/A</v>
      </c>
      <c r="K32" s="390" t="s">
        <v>2294</v>
      </c>
    </row>
    <row r="33" spans="1:12">
      <c r="A33" s="398" t="s">
        <v>2355</v>
      </c>
      <c r="B33" s="390" t="s">
        <v>2352</v>
      </c>
      <c r="C33" s="390" t="s">
        <v>2273</v>
      </c>
      <c r="D33" s="391" t="e">
        <f>RTD("kgi.tw.der.pricertdserver.2014.1",,A33 &amp; "_Reference" &amp; ":" &amp; B33 &amp; "@" &amp; C33)</f>
        <v>#N/A</v>
      </c>
      <c r="E33" s="391" t="e">
        <f>RTD("kgi.tw.der.pricertdserver.2014.1",,A33 &amp;":"&amp; B33&amp;"@" &amp; C33)</f>
        <v>#N/A</v>
      </c>
      <c r="F33" s="391" t="e">
        <f>RTD("kgi.tw.der.pricertdserver.2014.1",,A33 &amp; "_BidPrice1" &amp; ":" &amp; B33 &amp; "@" &amp; C33)</f>
        <v>#N/A</v>
      </c>
      <c r="G33" s="391" t="e">
        <f>RTD("kgi.tw.der.pricertdserver.2014.1",,A33 &amp; "_AskPrice1" &amp; ":" &amp; B33 &amp; "@" &amp; C33)</f>
        <v>#N/A</v>
      </c>
      <c r="H33" s="390" t="e">
        <f>RTD("kgi.tw.der.pricertdserver.2014.1",,A33 &amp; "_Time" &amp; ":" &amp; B33 &amp; "@" &amp; C33)</f>
        <v>#N/A</v>
      </c>
      <c r="I33" s="390" t="e">
        <f t="shared" si="4"/>
        <v>#N/A</v>
      </c>
      <c r="J33" s="394" t="e">
        <f t="shared" ca="1" si="5"/>
        <v>#N/A</v>
      </c>
      <c r="K33" s="390" t="s">
        <v>2294</v>
      </c>
    </row>
    <row r="34" spans="1:12">
      <c r="A34" s="403" t="s">
        <v>2375</v>
      </c>
      <c r="B34" s="404" t="s">
        <v>2357</v>
      </c>
      <c r="C34" s="390" t="s">
        <v>2273</v>
      </c>
      <c r="D34" s="391" t="e">
        <f>RTD("kgi.tw.der.pricertdserver.2014.1",,A34 &amp; "_Reference" &amp; ":" &amp; B34 &amp; "@" &amp; C34)*1000000</f>
        <v>#N/A</v>
      </c>
      <c r="E34" s="391" t="e">
        <f>RTD("kgi.tw.der.pricertdserver.2014.1",,A34 &amp;":"&amp; B34&amp;"@" &amp; C34)*1000000</f>
        <v>#N/A</v>
      </c>
      <c r="F34" s="391" t="e">
        <f>RTD("kgi.tw.der.pricertdserver.2014.1",,A34 &amp; "_BidPrice1" &amp; ":" &amp; B34 &amp; "@" &amp; C34)*1000000</f>
        <v>#N/A</v>
      </c>
      <c r="G34" s="391" t="e">
        <f>RTD("kgi.tw.der.pricertdserver.2014.1",,A34 &amp; "_AskPrice1" &amp; ":" &amp; B34 &amp; "@" &amp; C34)</f>
        <v>#N/A</v>
      </c>
      <c r="H34" s="390" t="e">
        <f>RTD("kgi.tw.der.pricertdserver.2014.1",,A34 &amp; "_Time" &amp; ":" &amp; B34 &amp; "@" &amp; C34)</f>
        <v>#N/A</v>
      </c>
      <c r="I34" s="390" t="e">
        <f t="shared" si="4"/>
        <v>#N/A</v>
      </c>
      <c r="J34" s="394" t="e">
        <f t="shared" ca="1" si="5"/>
        <v>#N/A</v>
      </c>
      <c r="K34" s="390" t="s">
        <v>2294</v>
      </c>
      <c r="L34" s="390" t="s">
        <v>2378</v>
      </c>
    </row>
    <row r="35" spans="1:12">
      <c r="A35" s="403" t="s">
        <v>2376</v>
      </c>
      <c r="B35" s="404" t="s">
        <v>2352</v>
      </c>
      <c r="C35" s="390" t="s">
        <v>2273</v>
      </c>
      <c r="D35" s="402" t="e">
        <f>RTD("kgi.tw.der.pricertdserver.2014.1",,A35 &amp; "_Reference" &amp; ":" &amp; B35 &amp; "@" &amp; C35)*1000000</f>
        <v>#N/A</v>
      </c>
      <c r="E35" s="402" t="e">
        <f>RTD("kgi.tw.der.pricertdserver.2014.1",,A35 &amp;":"&amp; B35&amp;"@" &amp; C35)*1000000</f>
        <v>#N/A</v>
      </c>
      <c r="F35" s="402" t="e">
        <f>RTD("kgi.tw.der.pricertdserver.2014.1",,A35 &amp; "_BidPrice1" &amp; ":" &amp; B35 &amp; "@" &amp; C35)*1000000</f>
        <v>#N/A</v>
      </c>
      <c r="G35" s="391" t="e">
        <f>RTD("kgi.tw.der.pricertdserver.2014.1",,A35 &amp; "_AskPrice1" &amp; ":" &amp; B35 &amp; "@" &amp; C35)</f>
        <v>#N/A</v>
      </c>
      <c r="H35" s="390" t="e">
        <f>RTD("kgi.tw.der.pricertdserver.2014.1",,A35 &amp; "_Time" &amp; ":" &amp; B35 &amp; "@" &amp; C35)</f>
        <v>#N/A</v>
      </c>
      <c r="I35" s="390" t="e">
        <f t="shared" si="4"/>
        <v>#N/A</v>
      </c>
      <c r="J35" s="394" t="e">
        <f t="shared" ca="1" si="5"/>
        <v>#N/A</v>
      </c>
      <c r="K35" s="390" t="s">
        <v>2294</v>
      </c>
      <c r="L35" s="390" t="s">
        <v>2378</v>
      </c>
    </row>
    <row r="36" spans="1:12">
      <c r="A36" s="403" t="s">
        <v>2377</v>
      </c>
      <c r="B36" s="404" t="s">
        <v>2352</v>
      </c>
      <c r="C36" s="390" t="s">
        <v>2273</v>
      </c>
      <c r="D36" s="402" t="e">
        <f>RTD("kgi.tw.der.pricertdserver.2014.1",,A36 &amp; "_Reference" &amp; ":" &amp; B36 &amp; "@" &amp; C36)*1000000</f>
        <v>#N/A</v>
      </c>
      <c r="E36" s="402" t="e">
        <f>RTD("kgi.tw.der.pricertdserver.2014.1",,A36 &amp;":"&amp; B36&amp;"@" &amp; C36)*1000000</f>
        <v>#N/A</v>
      </c>
      <c r="F36" s="402" t="e">
        <f>RTD("kgi.tw.der.pricertdserver.2014.1",,A36 &amp; "_BidPrice1" &amp; ":" &amp; B36 &amp; "@" &amp; C36)*1000000</f>
        <v>#N/A</v>
      </c>
      <c r="G36" s="391" t="e">
        <f>RTD("kgi.tw.der.pricertdserver.2014.1",,A36 &amp; "_AskPrice1" &amp; ":" &amp; B36 &amp; "@" &amp; C36)</f>
        <v>#N/A</v>
      </c>
      <c r="H36" s="390" t="e">
        <f>RTD("kgi.tw.der.pricertdserver.2014.1",,A36 &amp; "_Time" &amp; ":" &amp; B36 &amp; "@" &amp; C36)</f>
        <v>#N/A</v>
      </c>
      <c r="I36" s="390" t="e">
        <f t="shared" si="4"/>
        <v>#N/A</v>
      </c>
      <c r="J36" s="394" t="e">
        <f t="shared" ca="1" si="5"/>
        <v>#N/A</v>
      </c>
      <c r="K36" s="390" t="s">
        <v>2294</v>
      </c>
      <c r="L36" s="390" t="s">
        <v>2378</v>
      </c>
    </row>
    <row r="37" spans="1:12">
      <c r="A37" s="398" t="s">
        <v>2358</v>
      </c>
      <c r="B37" s="390" t="s">
        <v>2365</v>
      </c>
      <c r="C37" s="390" t="s">
        <v>2273</v>
      </c>
      <c r="D37" s="391" t="e">
        <f>RTD("kgi.tw.der.pricertdserver.2014.1",,A37 &amp; "_Reference" &amp; ":" &amp; B37 &amp; "@" &amp; C37)</f>
        <v>#N/A</v>
      </c>
      <c r="E37" s="391" t="e">
        <f>RTD("kgi.tw.der.pricertdserver.2014.1",,A37 &amp;":"&amp; B37&amp;"@" &amp; C37)</f>
        <v>#N/A</v>
      </c>
      <c r="F37" s="391" t="e">
        <f>RTD("kgi.tw.der.pricertdserver.2014.1",,A37 &amp; "_BidPrice1" &amp; ":" &amp; B37 &amp; "@" &amp; C37)</f>
        <v>#N/A</v>
      </c>
      <c r="G37" s="391" t="e">
        <f>RTD("kgi.tw.der.pricertdserver.2014.1",,A37 &amp; "_AskPrice1" &amp; ":" &amp; B37 &amp; "@" &amp; C37)</f>
        <v>#N/A</v>
      </c>
      <c r="H37" s="390" t="e">
        <f>RTD("kgi.tw.der.pricertdserver.2014.1",,A37 &amp; "_Time" &amp; ":" &amp; B37 &amp; "@" &amp; C37)</f>
        <v>#N/A</v>
      </c>
      <c r="I37" s="390" t="e">
        <f t="shared" si="4"/>
        <v>#N/A</v>
      </c>
      <c r="J37" s="394" t="e">
        <f t="shared" ca="1" si="5"/>
        <v>#N/A</v>
      </c>
      <c r="K37" s="390" t="s">
        <v>2294</v>
      </c>
    </row>
    <row r="38" spans="1:12">
      <c r="A38" s="398" t="s">
        <v>2366</v>
      </c>
      <c r="B38" s="390" t="s">
        <v>2365</v>
      </c>
      <c r="C38" s="390" t="s">
        <v>2273</v>
      </c>
      <c r="D38" s="391" t="e">
        <f>RTD("kgi.tw.der.pricertdserver.2014.1",,A38 &amp; "_Reference" &amp; ":" &amp; B38 &amp; "@" &amp; C38)</f>
        <v>#N/A</v>
      </c>
      <c r="E38" s="391" t="e">
        <f>RTD("kgi.tw.der.pricertdserver.2014.1",,A38 &amp;":"&amp; B38&amp;"@" &amp; C38)</f>
        <v>#N/A</v>
      </c>
      <c r="F38" s="391" t="e">
        <f>RTD("kgi.tw.der.pricertdserver.2014.1",,A38 &amp; "_BidPrice1" &amp; ":" &amp; B38 &amp; "@" &amp; C38)</f>
        <v>#N/A</v>
      </c>
      <c r="G38" s="391" t="e">
        <f>RTD("kgi.tw.der.pricertdserver.2014.1",,A38 &amp; "_AskPrice1" &amp; ":" &amp; B38 &amp; "@" &amp; C38)</f>
        <v>#N/A</v>
      </c>
      <c r="H38" s="390" t="e">
        <f>RTD("kgi.tw.der.pricertdserver.2014.1",,A38 &amp; "_Time" &amp; ":" &amp; B38 &amp; "@" &amp; C38)</f>
        <v>#N/A</v>
      </c>
      <c r="I38" s="390" t="e">
        <f t="shared" si="4"/>
        <v>#N/A</v>
      </c>
      <c r="J38" s="394" t="e">
        <f t="shared" ca="1" si="5"/>
        <v>#N/A</v>
      </c>
      <c r="K38" s="390" t="s">
        <v>2294</v>
      </c>
    </row>
    <row r="39" spans="1:12">
      <c r="A39" s="398" t="s">
        <v>2359</v>
      </c>
      <c r="B39" s="390" t="s">
        <v>2298</v>
      </c>
      <c r="C39" s="390" t="s">
        <v>2273</v>
      </c>
      <c r="D39" s="391" t="e">
        <f>RTD("kgi.tw.der.pricertdserver.2014.1",,A39 &amp; "_Reference" &amp; ":" &amp; B39 &amp; "@" &amp; C39)</f>
        <v>#N/A</v>
      </c>
      <c r="E39" s="391" t="e">
        <f>RTD("kgi.tw.der.pricertdserver.2014.1",,A39 &amp;":"&amp; B39&amp;"@" &amp; C39)</f>
        <v>#N/A</v>
      </c>
      <c r="F39" s="391" t="e">
        <f>RTD("kgi.tw.der.pricertdserver.2014.1",,A39 &amp; "_BidPrice1" &amp; ":" &amp; B39 &amp; "@" &amp; C39)</f>
        <v>#N/A</v>
      </c>
      <c r="G39" s="391" t="e">
        <f>RTD("kgi.tw.der.pricertdserver.2014.1",,A39 &amp; "_AskPrice1" &amp; ":" &amp; B39 &amp; "@" &amp; C39)</f>
        <v>#N/A</v>
      </c>
      <c r="H39" s="390" t="e">
        <f>RTD("kgi.tw.der.pricertdserver.2014.1",,A39 &amp; "_Time" &amp; ":" &amp; B39 &amp; "@" &amp; C39)</f>
        <v>#N/A</v>
      </c>
      <c r="I39" s="390" t="e">
        <f t="shared" si="4"/>
        <v>#N/A</v>
      </c>
      <c r="J39" s="394" t="e">
        <f t="shared" ca="1" si="5"/>
        <v>#N/A</v>
      </c>
      <c r="K39" s="390" t="s">
        <v>2294</v>
      </c>
    </row>
    <row r="40" spans="1:12">
      <c r="A40" s="398" t="s">
        <v>2360</v>
      </c>
      <c r="B40" s="390" t="s">
        <v>2298</v>
      </c>
      <c r="C40" s="390" t="s">
        <v>2273</v>
      </c>
      <c r="D40" s="391" t="e">
        <f>RTD("kgi.tw.der.pricertdserver.2014.1",,A40 &amp; "_Reference" &amp; ":" &amp; B40 &amp; "@" &amp; C40)</f>
        <v>#N/A</v>
      </c>
      <c r="E40" s="391" t="e">
        <f>RTD("kgi.tw.der.pricertdserver.2014.1",,A40 &amp;":"&amp; B40&amp;"@" &amp; C40)</f>
        <v>#N/A</v>
      </c>
      <c r="F40" s="391" t="e">
        <f>RTD("kgi.tw.der.pricertdserver.2014.1",,A40 &amp; "_BidPrice1" &amp; ":" &amp; B40 &amp; "@" &amp; C40)</f>
        <v>#N/A</v>
      </c>
      <c r="G40" s="391" t="e">
        <f>RTD("kgi.tw.der.pricertdserver.2014.1",,A40 &amp; "_AskPrice1" &amp; ":" &amp; B40 &amp; "@" &amp; C40)</f>
        <v>#N/A</v>
      </c>
      <c r="H40" s="390" t="e">
        <f>RTD("kgi.tw.der.pricertdserver.2014.1",,A40 &amp; "_Time" &amp; ":" &amp; B40 &amp; "@" &amp; C40)</f>
        <v>#N/A</v>
      </c>
      <c r="I40" s="390" t="e">
        <f t="shared" si="4"/>
        <v>#N/A</v>
      </c>
      <c r="J40" s="394" t="e">
        <f t="shared" ca="1" si="5"/>
        <v>#N/A</v>
      </c>
      <c r="K40" s="390" t="s">
        <v>2294</v>
      </c>
    </row>
    <row r="41" spans="1:12">
      <c r="A41" s="398" t="s">
        <v>2361</v>
      </c>
      <c r="B41" s="390" t="s">
        <v>2298</v>
      </c>
      <c r="C41" s="390" t="s">
        <v>2273</v>
      </c>
      <c r="D41" s="391" t="e">
        <f>RTD("kgi.tw.der.pricertdserver.2014.1",,A41 &amp; "_Reference" &amp; ":" &amp; B41 &amp; "@" &amp; C41)</f>
        <v>#N/A</v>
      </c>
      <c r="E41" s="391" t="e">
        <f>RTD("kgi.tw.der.pricertdserver.2014.1",,A41 &amp;":"&amp; B41&amp;"@" &amp; C41)</f>
        <v>#N/A</v>
      </c>
      <c r="F41" s="391" t="e">
        <f>RTD("kgi.tw.der.pricertdserver.2014.1",,A41 &amp; "_BidPrice1" &amp; ":" &amp; B41 &amp; "@" &amp; C41)</f>
        <v>#N/A</v>
      </c>
      <c r="G41" s="391" t="e">
        <f>RTD("kgi.tw.der.pricertdserver.2014.1",,A41 &amp; "_AskPrice1" &amp; ":" &amp; B41 &amp; "@" &amp; C41)</f>
        <v>#N/A</v>
      </c>
      <c r="H41" s="390" t="e">
        <f>RTD("kgi.tw.der.pricertdserver.2014.1",,A41 &amp; "_Time" &amp; ":" &amp; B41 &amp; "@" &amp; C41)</f>
        <v>#N/A</v>
      </c>
      <c r="I41" s="390" t="e">
        <f t="shared" si="4"/>
        <v>#N/A</v>
      </c>
      <c r="J41" s="394" t="e">
        <f t="shared" ca="1" si="5"/>
        <v>#N/A</v>
      </c>
      <c r="K41" s="390" t="s">
        <v>2294</v>
      </c>
    </row>
    <row r="42" spans="1:12">
      <c r="A42" s="400" t="s">
        <v>2362</v>
      </c>
      <c r="B42" s="401" t="s">
        <v>2298</v>
      </c>
      <c r="C42" s="390" t="s">
        <v>2273</v>
      </c>
      <c r="D42" s="391" t="e">
        <f>RTD("kgi.tw.der.pricertdserver.2014.1",,A42 &amp; "_Reference" &amp; ":" &amp; B42 &amp; "@" &amp; C42)</f>
        <v>#N/A</v>
      </c>
      <c r="E42" s="391" t="e">
        <f>RTD("kgi.tw.der.pricertdserver.2014.1",,A42 &amp;":"&amp; B42&amp;"@" &amp; C42)</f>
        <v>#N/A</v>
      </c>
      <c r="F42" s="391" t="e">
        <f>RTD("kgi.tw.der.pricertdserver.2014.1",,A42 &amp; "_BidPrice1" &amp; ":" &amp; B42 &amp; "@" &amp; C42)</f>
        <v>#N/A</v>
      </c>
      <c r="G42" s="391" t="e">
        <f>RTD("kgi.tw.der.pricertdserver.2014.1",,A42 &amp; "_AskPrice1" &amp; ":" &amp; B42 &amp; "@" &amp; C42)</f>
        <v>#N/A</v>
      </c>
      <c r="H42" s="390" t="e">
        <f>RTD("kgi.tw.der.pricertdserver.2014.1",,A42 &amp; "_Time" &amp; ":" &amp; B42 &amp; "@" &amp; C42)</f>
        <v>#N/A</v>
      </c>
      <c r="I42" s="390" t="e">
        <f t="shared" si="4"/>
        <v>#N/A</v>
      </c>
      <c r="J42" s="394" t="e">
        <f t="shared" ca="1" si="5"/>
        <v>#N/A</v>
      </c>
      <c r="K42" s="390" t="s">
        <v>2294</v>
      </c>
      <c r="L42" s="390" t="s">
        <v>2367</v>
      </c>
    </row>
    <row r="43" spans="1:12">
      <c r="A43" s="398" t="s">
        <v>2363</v>
      </c>
      <c r="B43" s="390" t="s">
        <v>2298</v>
      </c>
      <c r="C43" s="390" t="s">
        <v>2273</v>
      </c>
      <c r="D43" s="391" t="e">
        <f>RTD("kgi.tw.der.pricertdserver.2014.1",,A43 &amp; "_Reference" &amp; ":" &amp; B43 &amp; "@" &amp; C43)</f>
        <v>#N/A</v>
      </c>
      <c r="E43" s="391" t="e">
        <f>RTD("kgi.tw.der.pricertdserver.2014.1",,A43 &amp;":"&amp; B43&amp;"@" &amp; C43)</f>
        <v>#N/A</v>
      </c>
      <c r="F43" s="391" t="e">
        <f>RTD("kgi.tw.der.pricertdserver.2014.1",,A43 &amp; "_BidPrice1" &amp; ":" &amp; B43 &amp; "@" &amp; C43)</f>
        <v>#N/A</v>
      </c>
      <c r="G43" s="391" t="e">
        <f>RTD("kgi.tw.der.pricertdserver.2014.1",,A43 &amp; "_AskPrice1" &amp; ":" &amp; B43 &amp; "@" &amp; C43)</f>
        <v>#N/A</v>
      </c>
      <c r="H43" s="390" t="e">
        <f>RTD("kgi.tw.der.pricertdserver.2014.1",,A43 &amp; "_Time" &amp; ":" &amp; B43 &amp; "@" &amp; C43)</f>
        <v>#N/A</v>
      </c>
      <c r="I43" s="390" t="e">
        <f t="shared" si="4"/>
        <v>#N/A</v>
      </c>
      <c r="J43" s="394" t="e">
        <f t="shared" ca="1" si="5"/>
        <v>#N/A</v>
      </c>
      <c r="K43" s="390" t="s">
        <v>2294</v>
      </c>
    </row>
    <row r="44" spans="1:12">
      <c r="A44" s="398" t="s">
        <v>2364</v>
      </c>
      <c r="B44" s="390" t="s">
        <v>2298</v>
      </c>
      <c r="C44" s="390" t="s">
        <v>2273</v>
      </c>
      <c r="D44" s="391" t="e">
        <f>RTD("kgi.tw.der.pricertdserver.2014.1",,A44 &amp; "_Reference" &amp; ":" &amp; B44 &amp; "@" &amp; C44)</f>
        <v>#N/A</v>
      </c>
      <c r="E44" s="391" t="e">
        <f>RTD("kgi.tw.der.pricertdserver.2014.1",,A44 &amp;":"&amp; B44&amp;"@" &amp; C44)</f>
        <v>#N/A</v>
      </c>
      <c r="F44" s="391" t="e">
        <f>RTD("kgi.tw.der.pricertdserver.2014.1",,A44 &amp; "_BidPrice1" &amp; ":" &amp; B44 &amp; "@" &amp; C44)</f>
        <v>#N/A</v>
      </c>
      <c r="G44" s="391" t="e">
        <f>RTD("kgi.tw.der.pricertdserver.2014.1",,A44 &amp; "_AskPrice1" &amp; ":" &amp; B44 &amp; "@" &amp; C44)</f>
        <v>#N/A</v>
      </c>
      <c r="H44" s="390" t="e">
        <f>RTD("kgi.tw.der.pricertdserver.2014.1",,A44 &amp; "_Time" &amp; ":" &amp; B44 &amp; "@" &amp; C44)</f>
        <v>#N/A</v>
      </c>
      <c r="I44" s="390" t="e">
        <f t="shared" si="4"/>
        <v>#N/A</v>
      </c>
      <c r="J44" s="394" t="e">
        <f t="shared" ca="1" si="5"/>
        <v>#N/A</v>
      </c>
      <c r="K44" s="390" t="s">
        <v>2294</v>
      </c>
    </row>
    <row r="45" spans="1:12">
      <c r="A45" s="398" t="s">
        <v>2368</v>
      </c>
      <c r="B45" s="390" t="s">
        <v>2298</v>
      </c>
      <c r="C45" s="390" t="s">
        <v>2273</v>
      </c>
      <c r="D45" s="391" t="e">
        <f>RTD("kgi.tw.der.pricertdserver.2014.1",,A45 &amp; "_Reference" &amp; ":" &amp; B45 &amp; "@" &amp; C45)</f>
        <v>#N/A</v>
      </c>
      <c r="E45" s="391" t="e">
        <f>RTD("kgi.tw.der.pricertdserver.2014.1",,A45 &amp;":"&amp; B45&amp;"@" &amp; C45)</f>
        <v>#N/A</v>
      </c>
      <c r="F45" s="391" t="e">
        <f>RTD("kgi.tw.der.pricertdserver.2014.1",,A45 &amp; "_BidPrice1" &amp; ":" &amp; B45 &amp; "@" &amp; C45)</f>
        <v>#N/A</v>
      </c>
      <c r="G45" s="391" t="e">
        <f>RTD("kgi.tw.der.pricertdserver.2014.1",,A45 &amp; "_AskPrice1" &amp; ":" &amp; B45 &amp; "@" &amp; C45)</f>
        <v>#N/A</v>
      </c>
      <c r="H45" s="390" t="e">
        <f>RTD("kgi.tw.der.pricertdserver.2014.1",,A45 &amp; "_Time" &amp; ":" &amp; B45 &amp; "@" &amp; C45)</f>
        <v>#N/A</v>
      </c>
      <c r="I45" s="390" t="e">
        <f t="shared" si="4"/>
        <v>#N/A</v>
      </c>
      <c r="J45" s="394" t="e">
        <f t="shared" ca="1" si="5"/>
        <v>#N/A</v>
      </c>
      <c r="K45" s="390" t="s">
        <v>2294</v>
      </c>
    </row>
    <row r="46" spans="1:12">
      <c r="A46" s="398" t="s">
        <v>2373</v>
      </c>
      <c r="B46" s="390" t="s">
        <v>2371</v>
      </c>
      <c r="C46" s="390" t="s">
        <v>2273</v>
      </c>
      <c r="D46" s="391" t="e">
        <f>RTD("kgi.tw.der.pricertdserver.2014.1",,A46 &amp; "_Reference" &amp; ":" &amp; B46 &amp; "@" &amp; C46)</f>
        <v>#N/A</v>
      </c>
      <c r="E46" s="391" t="e">
        <f>RTD("kgi.tw.der.pricertdserver.2014.1",,A46 &amp;":"&amp; B46&amp;"@" &amp; C46)</f>
        <v>#N/A</v>
      </c>
      <c r="F46" s="391" t="e">
        <f>RTD("kgi.tw.der.pricertdserver.2014.1",,A46 &amp; "_BidPrice1" &amp; ":" &amp; B46 &amp; "@" &amp; C46)</f>
        <v>#N/A</v>
      </c>
      <c r="G46" s="391" t="e">
        <f>RTD("kgi.tw.der.pricertdserver.2014.1",,A46 &amp; "_AskPrice1" &amp; ":" &amp; B46 &amp; "@" &amp; C46)</f>
        <v>#N/A</v>
      </c>
      <c r="H46" s="390" t="e">
        <f>RTD("kgi.tw.der.pricertdserver.2014.1",,A46 &amp; "_Time" &amp; ":" &amp; B46 &amp; "@" &amp; C46)</f>
        <v>#N/A</v>
      </c>
      <c r="I46" s="390" t="e">
        <f t="shared" si="4"/>
        <v>#N/A</v>
      </c>
      <c r="J46" s="394" t="e">
        <f t="shared" ca="1" si="5"/>
        <v>#N/A</v>
      </c>
      <c r="K46" s="390" t="s">
        <v>2294</v>
      </c>
    </row>
    <row r="47" spans="1:12">
      <c r="A47" s="398" t="s">
        <v>2374</v>
      </c>
      <c r="B47" s="390" t="s">
        <v>2371</v>
      </c>
      <c r="C47" s="390" t="s">
        <v>2273</v>
      </c>
      <c r="D47" s="391" t="e">
        <f>RTD("kgi.tw.der.pricertdserver.2014.1",,A47 &amp; "_Reference" &amp; ":" &amp; B47 &amp; "@" &amp; C47)</f>
        <v>#N/A</v>
      </c>
      <c r="E47" s="391" t="e">
        <f>RTD("kgi.tw.der.pricertdserver.2014.1",,A47 &amp;":"&amp; B47&amp;"@" &amp; C47)</f>
        <v>#N/A</v>
      </c>
      <c r="F47" s="391" t="e">
        <f>RTD("kgi.tw.der.pricertdserver.2014.1",,A47 &amp; "_BidPrice1" &amp; ":" &amp; B47 &amp; "@" &amp; C47)</f>
        <v>#N/A</v>
      </c>
      <c r="G47" s="391" t="e">
        <f>RTD("kgi.tw.der.pricertdserver.2014.1",,A47 &amp; "_AskPrice1" &amp; ":" &amp; B47 &amp; "@" &amp; C47)</f>
        <v>#N/A</v>
      </c>
      <c r="H47" s="390" t="e">
        <f>RTD("kgi.tw.der.pricertdserver.2014.1",,A47 &amp; "_Time" &amp; ":" &amp; B47 &amp; "@" &amp; C47)</f>
        <v>#N/A</v>
      </c>
      <c r="I47" s="390" t="e">
        <f t="shared" si="4"/>
        <v>#N/A</v>
      </c>
      <c r="J47" s="394" t="e">
        <f t="shared" ca="1" si="5"/>
        <v>#N/A</v>
      </c>
      <c r="K47" s="390" t="s">
        <v>2294</v>
      </c>
    </row>
    <row r="48" spans="1:12">
      <c r="A48" s="398" t="s">
        <v>2372</v>
      </c>
      <c r="B48" s="390" t="s">
        <v>2371</v>
      </c>
      <c r="C48" s="390" t="s">
        <v>2273</v>
      </c>
      <c r="D48" s="391" t="e">
        <f>RTD("kgi.tw.der.pricertdserver.2014.1",,A48 &amp; "_Reference" &amp; ":" &amp; B48 &amp; "@" &amp; C48)</f>
        <v>#N/A</v>
      </c>
      <c r="E48" s="391" t="e">
        <f>RTD("kgi.tw.der.pricertdserver.2014.1",,A48 &amp;":"&amp; B48&amp;"@" &amp; C48)</f>
        <v>#N/A</v>
      </c>
      <c r="F48" s="391" t="e">
        <f>RTD("kgi.tw.der.pricertdserver.2014.1",,A48 &amp; "_BidPrice1" &amp; ":" &amp; B48 &amp; "@" &amp; C48)</f>
        <v>#N/A</v>
      </c>
      <c r="G48" s="391" t="e">
        <f>RTD("kgi.tw.der.pricertdserver.2014.1",,A48 &amp; "_AskPrice1" &amp; ":" &amp; B48 &amp; "@" &amp; C48)</f>
        <v>#N/A</v>
      </c>
      <c r="H48" s="390" t="e">
        <f>RTD("kgi.tw.der.pricertdserver.2014.1",,A48 &amp; "_Time" &amp; ":" &amp; B48 &amp; "@" &amp; C48)</f>
        <v>#N/A</v>
      </c>
      <c r="I48" s="390" t="e">
        <f t="shared" si="4"/>
        <v>#N/A</v>
      </c>
      <c r="J48" s="394" t="e">
        <f t="shared" ca="1" si="5"/>
        <v>#N/A</v>
      </c>
      <c r="K48" s="390" t="s">
        <v>2294</v>
      </c>
    </row>
    <row r="49" spans="1:14">
      <c r="A49" s="398" t="s">
        <v>2379</v>
      </c>
      <c r="B49" s="390" t="s">
        <v>2297</v>
      </c>
      <c r="C49" s="390" t="s">
        <v>2273</v>
      </c>
      <c r="D49" s="391" t="e">
        <f>RTD("kgi.tw.der.pricertdserver.2014.1",,A49 &amp; "_Reference" &amp; ":" &amp; B49 &amp; "@" &amp; C49)</f>
        <v>#N/A</v>
      </c>
      <c r="E49" s="391" t="e">
        <f>RTD("kgi.tw.der.pricertdserver.2014.1",,A49 &amp;":"&amp; B49&amp;"@" &amp; C49)</f>
        <v>#N/A</v>
      </c>
      <c r="F49" s="391" t="e">
        <f>RTD("kgi.tw.der.pricertdserver.2014.1",,A49 &amp; "_BidPrice1" &amp; ":" &amp; B49 &amp; "@" &amp; C49)</f>
        <v>#N/A</v>
      </c>
      <c r="G49" s="391" t="e">
        <f>RTD("kgi.tw.der.pricertdserver.2014.1",,A49 &amp; "_AskPrice1" &amp; ":" &amp; B49 &amp; "@" &amp; C49)</f>
        <v>#N/A</v>
      </c>
      <c r="H49" s="390" t="e">
        <f>RTD("kgi.tw.der.pricertdserver.2014.1",,A49 &amp; "_Time" &amp; ":" &amp; B49 &amp; "@" &amp; C49)</f>
        <v>#N/A</v>
      </c>
      <c r="I49" s="390" t="e">
        <f>LEFT(H49,FIND("_",H49)-1) &amp; RIGHT(H49,FIND("_",H49))</f>
        <v>#N/A</v>
      </c>
      <c r="J49" s="394" t="e">
        <f ca="1">I49-$L$2+100000</f>
        <v>#N/A</v>
      </c>
      <c r="K49" s="390" t="s">
        <v>2294</v>
      </c>
      <c r="L49" s="390" t="s">
        <v>2382</v>
      </c>
      <c r="N49" s="391"/>
    </row>
    <row r="50" spans="1:14">
      <c r="A50" s="398" t="s">
        <v>2380</v>
      </c>
      <c r="B50" s="390" t="s">
        <v>2297</v>
      </c>
      <c r="C50" s="390" t="s">
        <v>2273</v>
      </c>
      <c r="D50" s="391" t="e">
        <f>RTD("kgi.tw.der.pricertdserver.2014.1",,A50 &amp; "_Reference" &amp; ":" &amp; B50 &amp; "@" &amp; C50)</f>
        <v>#N/A</v>
      </c>
      <c r="E50" s="391" t="e">
        <f>RTD("kgi.tw.der.pricertdserver.2014.1",,A50 &amp;":"&amp; B50&amp;"@" &amp; C50)</f>
        <v>#N/A</v>
      </c>
      <c r="F50" s="391" t="e">
        <f>RTD("kgi.tw.der.pricertdserver.2014.1",,A50 &amp; "_BidPrice1" &amp; ":" &amp; B50 &amp; "@" &amp; C50)</f>
        <v>#N/A</v>
      </c>
      <c r="G50" s="391" t="e">
        <f>RTD("kgi.tw.der.pricertdserver.2014.1",,A50 &amp; "_AskPrice1" &amp; ":" &amp; B50 &amp; "@" &amp; C50)</f>
        <v>#N/A</v>
      </c>
      <c r="H50" s="390" t="e">
        <f>RTD("kgi.tw.der.pricertdserver.2014.1",,A50 &amp; "_Time" &amp; ":" &amp; B50 &amp; "@" &amp; C50)</f>
        <v>#N/A</v>
      </c>
      <c r="I50" s="390" t="e">
        <f>LEFT(H50,FIND("_",H50)-1) &amp; RIGHT(H50,FIND("_",H50))</f>
        <v>#N/A</v>
      </c>
      <c r="J50" s="394" t="e">
        <f ca="1">I50-$L$2+100000</f>
        <v>#N/A</v>
      </c>
      <c r="K50" s="390" t="s">
        <v>2294</v>
      </c>
      <c r="L50" s="390" t="s">
        <v>2383</v>
      </c>
      <c r="N50" s="391"/>
    </row>
    <row r="51" spans="1:14">
      <c r="A51" s="398" t="s">
        <v>2381</v>
      </c>
      <c r="B51" s="390" t="s">
        <v>2297</v>
      </c>
      <c r="C51" s="390" t="s">
        <v>2273</v>
      </c>
      <c r="D51" s="391" t="e">
        <f>RTD("kgi.tw.der.pricertdserver.2014.1",,A51 &amp; "_Reference" &amp; ":" &amp; B51 &amp; "@" &amp; C51)</f>
        <v>#N/A</v>
      </c>
      <c r="E51" s="391" t="e">
        <f>RTD("kgi.tw.der.pricertdserver.2014.1",,A51 &amp;":"&amp; B51&amp;"@" &amp; C51)</f>
        <v>#N/A</v>
      </c>
      <c r="F51" s="391" t="e">
        <f>RTD("kgi.tw.der.pricertdserver.2014.1",,A51 &amp; "_BidPrice1" &amp; ":" &amp; B51 &amp; "@" &amp; C51)</f>
        <v>#N/A</v>
      </c>
      <c r="G51" s="391" t="e">
        <f>RTD("kgi.tw.der.pricertdserver.2014.1",,A51 &amp; "_AskPrice1" &amp; ":" &amp; B51 &amp; "@" &amp; C51)</f>
        <v>#N/A</v>
      </c>
      <c r="H51" s="390" t="e">
        <f>RTD("kgi.tw.der.pricertdserver.2014.1",,A51 &amp; "_Time" &amp; ":" &amp; B51 &amp; "@" &amp; C51)</f>
        <v>#N/A</v>
      </c>
      <c r="I51" s="390" t="e">
        <f>LEFT(H51,FIND("_",H51)-1) &amp; RIGHT(H51,FIND("_",H51))</f>
        <v>#N/A</v>
      </c>
      <c r="J51" s="394" t="e">
        <f ca="1">I51-$L$2+100000</f>
        <v>#N/A</v>
      </c>
      <c r="K51" s="390" t="s">
        <v>2294</v>
      </c>
      <c r="L51" s="390" t="s">
        <v>2384</v>
      </c>
      <c r="N51" s="391"/>
    </row>
    <row r="52" spans="1:14">
      <c r="A52" s="398" t="s">
        <v>2386</v>
      </c>
      <c r="B52" s="390" t="s">
        <v>2297</v>
      </c>
      <c r="C52" s="390" t="s">
        <v>2273</v>
      </c>
      <c r="D52" s="391" t="e">
        <f>RTD("kgi.tw.der.pricertdserver.2014.1",,A52 &amp; "_Reference" &amp; ":" &amp; B52 &amp; "@" &amp; C52)</f>
        <v>#N/A</v>
      </c>
      <c r="E52" s="391" t="e">
        <f>RTD("kgi.tw.der.pricertdserver.2014.1",,A52 &amp;":"&amp; B52&amp;"@" &amp; C52)</f>
        <v>#N/A</v>
      </c>
      <c r="F52" s="391" t="e">
        <f>RTD("kgi.tw.der.pricertdserver.2014.1",,A52 &amp; "_BidPrice1" &amp; ":" &amp; B52 &amp; "@" &amp; C52)</f>
        <v>#N/A</v>
      </c>
      <c r="G52" s="391" t="e">
        <f>RTD("kgi.tw.der.pricertdserver.2014.1",,A52 &amp; "_AskPrice1" &amp; ":" &amp; B52 &amp; "@" &amp; C52)</f>
        <v>#N/A</v>
      </c>
      <c r="H52" s="390" t="e">
        <f>RTD("kgi.tw.der.pricertdserver.2014.1",,A52 &amp; "_Time" &amp; ":" &amp; B52 &amp; "@" &amp; C52)</f>
        <v>#N/A</v>
      </c>
      <c r="I52" s="390" t="e">
        <f>LEFT(H52,FIND("_",H52)-1) &amp; RIGHT(H52,FIND("_",H52))</f>
        <v>#N/A</v>
      </c>
      <c r="J52" s="394" t="e">
        <f ca="1">I52-$L$2+100000</f>
        <v>#N/A</v>
      </c>
      <c r="K52" s="390" t="s">
        <v>2294</v>
      </c>
      <c r="L52" s="390" t="s">
        <v>2385</v>
      </c>
      <c r="N52" s="391"/>
    </row>
    <row r="53" spans="1:14">
      <c r="D53" s="391"/>
      <c r="E53" s="391"/>
      <c r="F53" s="391"/>
      <c r="G53" s="391"/>
      <c r="J53" s="394"/>
      <c r="N53" s="391"/>
    </row>
    <row r="54" spans="1:14">
      <c r="D54" s="391"/>
      <c r="E54" s="391"/>
      <c r="F54" s="391"/>
      <c r="G54" s="391"/>
      <c r="J54" s="394"/>
    </row>
    <row r="55" spans="1:14">
      <c r="D55" s="391"/>
      <c r="E55" s="391"/>
      <c r="F55" s="391"/>
      <c r="G55" s="391"/>
      <c r="J55" s="394"/>
    </row>
  </sheetData>
  <phoneticPr fontId="5" type="noConversion"/>
  <conditionalFormatting sqref="J12 J2:J10 J49:J50 J28:J29 J53:J55">
    <cfRule type="cellIs" dxfId="87" priority="204" operator="lessThan">
      <formula>0</formula>
    </cfRule>
    <cfRule type="cellIs" dxfId="86" priority="205" operator="lessThan">
      <formula>0</formula>
    </cfRule>
  </conditionalFormatting>
  <conditionalFormatting sqref="H12 H2:H10 H49:H50 H28:H29 H53:H55">
    <cfRule type="expression" dxfId="85" priority="203">
      <formula>J2 &lt; 0</formula>
    </cfRule>
  </conditionalFormatting>
  <conditionalFormatting sqref="J15 J13">
    <cfRule type="cellIs" dxfId="84" priority="119" operator="lessThan">
      <formula>0</formula>
    </cfRule>
    <cfRule type="cellIs" dxfId="83" priority="120" operator="lessThan">
      <formula>0</formula>
    </cfRule>
  </conditionalFormatting>
  <conditionalFormatting sqref="H15 H13">
    <cfRule type="expression" dxfId="82" priority="118">
      <formula>J13 &lt; 0</formula>
    </cfRule>
  </conditionalFormatting>
  <conditionalFormatting sqref="J11">
    <cfRule type="cellIs" dxfId="81" priority="140" operator="lessThan">
      <formula>0</formula>
    </cfRule>
    <cfRule type="cellIs" dxfId="80" priority="141" operator="lessThan">
      <formula>0</formula>
    </cfRule>
  </conditionalFormatting>
  <conditionalFormatting sqref="H11">
    <cfRule type="expression" dxfId="79" priority="139">
      <formula>J11 &lt; 0</formula>
    </cfRule>
  </conditionalFormatting>
  <conditionalFormatting sqref="J18 J16">
    <cfRule type="cellIs" dxfId="78" priority="113" operator="lessThan">
      <formula>0</formula>
    </cfRule>
    <cfRule type="cellIs" dxfId="77" priority="114" operator="lessThan">
      <formula>0</formula>
    </cfRule>
  </conditionalFormatting>
  <conditionalFormatting sqref="H18 H16">
    <cfRule type="expression" dxfId="76" priority="112">
      <formula>J16 &lt; 0</formula>
    </cfRule>
  </conditionalFormatting>
  <conditionalFormatting sqref="J14">
    <cfRule type="cellIs" dxfId="75" priority="116" operator="lessThan">
      <formula>0</formula>
    </cfRule>
    <cfRule type="cellIs" dxfId="74" priority="117" operator="lessThan">
      <formula>0</formula>
    </cfRule>
  </conditionalFormatting>
  <conditionalFormatting sqref="H14">
    <cfRule type="expression" dxfId="73" priority="115">
      <formula>J14 &lt; 0</formula>
    </cfRule>
  </conditionalFormatting>
  <conditionalFormatting sqref="J17">
    <cfRule type="cellIs" dxfId="72" priority="110" operator="lessThan">
      <formula>0</formula>
    </cfRule>
    <cfRule type="cellIs" dxfId="71" priority="111" operator="lessThan">
      <formula>0</formula>
    </cfRule>
  </conditionalFormatting>
  <conditionalFormatting sqref="H17">
    <cfRule type="expression" dxfId="70" priority="109">
      <formula>J17 &lt; 0</formula>
    </cfRule>
  </conditionalFormatting>
  <conditionalFormatting sqref="J21 J19">
    <cfRule type="cellIs" dxfId="69" priority="107" operator="lessThan">
      <formula>0</formula>
    </cfRule>
    <cfRule type="cellIs" dxfId="68" priority="108" operator="lessThan">
      <formula>0</formula>
    </cfRule>
  </conditionalFormatting>
  <conditionalFormatting sqref="H21 H19">
    <cfRule type="expression" dxfId="67" priority="106">
      <formula>J19 &lt; 0</formula>
    </cfRule>
  </conditionalFormatting>
  <conditionalFormatting sqref="J20">
    <cfRule type="cellIs" dxfId="66" priority="104" operator="lessThan">
      <formula>0</formula>
    </cfRule>
    <cfRule type="cellIs" dxfId="65" priority="105" operator="lessThan">
      <formula>0</formula>
    </cfRule>
  </conditionalFormatting>
  <conditionalFormatting sqref="H20">
    <cfRule type="expression" dxfId="64" priority="103">
      <formula>J20 &lt; 0</formula>
    </cfRule>
  </conditionalFormatting>
  <conditionalFormatting sqref="J24 J22">
    <cfRule type="cellIs" dxfId="63" priority="101" operator="lessThan">
      <formula>0</formula>
    </cfRule>
    <cfRule type="cellIs" dxfId="62" priority="102" operator="lessThan">
      <formula>0</formula>
    </cfRule>
  </conditionalFormatting>
  <conditionalFormatting sqref="H24 H22">
    <cfRule type="expression" dxfId="61" priority="100">
      <formula>J22 &lt; 0</formula>
    </cfRule>
  </conditionalFormatting>
  <conditionalFormatting sqref="J23">
    <cfRule type="cellIs" dxfId="60" priority="98" operator="lessThan">
      <formula>0</formula>
    </cfRule>
    <cfRule type="cellIs" dxfId="59" priority="99" operator="lessThan">
      <formula>0</formula>
    </cfRule>
  </conditionalFormatting>
  <conditionalFormatting sqref="H23">
    <cfRule type="expression" dxfId="58" priority="97">
      <formula>J23 &lt; 0</formula>
    </cfRule>
  </conditionalFormatting>
  <conditionalFormatting sqref="J25">
    <cfRule type="cellIs" dxfId="57" priority="95" operator="lessThan">
      <formula>0</formula>
    </cfRule>
    <cfRule type="cellIs" dxfId="56" priority="96" operator="lessThan">
      <formula>0</formula>
    </cfRule>
  </conditionalFormatting>
  <conditionalFormatting sqref="H25">
    <cfRule type="expression" dxfId="55" priority="94">
      <formula>J25 &lt; 0</formula>
    </cfRule>
  </conditionalFormatting>
  <conditionalFormatting sqref="J26">
    <cfRule type="cellIs" dxfId="54" priority="92" operator="lessThan">
      <formula>0</formula>
    </cfRule>
    <cfRule type="cellIs" dxfId="53" priority="93" operator="lessThan">
      <formula>0</formula>
    </cfRule>
  </conditionalFormatting>
  <conditionalFormatting sqref="H26">
    <cfRule type="expression" dxfId="52" priority="91">
      <formula>J26 &lt; 0</formula>
    </cfRule>
  </conditionalFormatting>
  <conditionalFormatting sqref="J27">
    <cfRule type="cellIs" dxfId="51" priority="89" operator="lessThan">
      <formula>0</formula>
    </cfRule>
    <cfRule type="cellIs" dxfId="50" priority="90" operator="lessThan">
      <formula>0</formula>
    </cfRule>
  </conditionalFormatting>
  <conditionalFormatting sqref="H27">
    <cfRule type="expression" dxfId="49" priority="88">
      <formula>J27 &lt; 0</formula>
    </cfRule>
  </conditionalFormatting>
  <conditionalFormatting sqref="J32">
    <cfRule type="cellIs" dxfId="48" priority="47" operator="lessThan">
      <formula>0</formula>
    </cfRule>
    <cfRule type="cellIs" dxfId="47" priority="48" operator="lessThan">
      <formula>0</formula>
    </cfRule>
  </conditionalFormatting>
  <conditionalFormatting sqref="H32">
    <cfRule type="expression" dxfId="46" priority="46">
      <formula>J32 &lt; 0</formula>
    </cfRule>
  </conditionalFormatting>
  <conditionalFormatting sqref="J31">
    <cfRule type="cellIs" dxfId="45" priority="53" operator="lessThan">
      <formula>0</formula>
    </cfRule>
    <cfRule type="cellIs" dxfId="44" priority="54" operator="lessThan">
      <formula>0</formula>
    </cfRule>
  </conditionalFormatting>
  <conditionalFormatting sqref="H31">
    <cfRule type="expression" dxfId="43" priority="52">
      <formula>J31 &lt; 0</formula>
    </cfRule>
  </conditionalFormatting>
  <conditionalFormatting sqref="J30">
    <cfRule type="cellIs" dxfId="42" priority="56" operator="lessThan">
      <formula>0</formula>
    </cfRule>
    <cfRule type="cellIs" dxfId="41" priority="57" operator="lessThan">
      <formula>0</formula>
    </cfRule>
  </conditionalFormatting>
  <conditionalFormatting sqref="H30">
    <cfRule type="expression" dxfId="40" priority="55">
      <formula>J30 &lt; 0</formula>
    </cfRule>
  </conditionalFormatting>
  <conditionalFormatting sqref="J33">
    <cfRule type="cellIs" dxfId="39" priority="44" operator="lessThan">
      <formula>0</formula>
    </cfRule>
    <cfRule type="cellIs" dxfId="38" priority="45" operator="lessThan">
      <formula>0</formula>
    </cfRule>
  </conditionalFormatting>
  <conditionalFormatting sqref="H33">
    <cfRule type="expression" dxfId="37" priority="43">
      <formula>J33 &lt; 0</formula>
    </cfRule>
  </conditionalFormatting>
  <conditionalFormatting sqref="J34">
    <cfRule type="cellIs" dxfId="36" priority="41" operator="lessThan">
      <formula>0</formula>
    </cfRule>
    <cfRule type="cellIs" dxfId="35" priority="42" operator="lessThan">
      <formula>0</formula>
    </cfRule>
  </conditionalFormatting>
  <conditionalFormatting sqref="H34">
    <cfRule type="expression" dxfId="34" priority="40">
      <formula>J34 &lt; 0</formula>
    </cfRule>
  </conditionalFormatting>
  <conditionalFormatting sqref="J35">
    <cfRule type="cellIs" dxfId="33" priority="38" operator="lessThan">
      <formula>0</formula>
    </cfRule>
    <cfRule type="cellIs" dxfId="32" priority="39" operator="lessThan">
      <formula>0</formula>
    </cfRule>
  </conditionalFormatting>
  <conditionalFormatting sqref="H35">
    <cfRule type="expression" dxfId="31" priority="37">
      <formula>J35 &lt; 0</formula>
    </cfRule>
  </conditionalFormatting>
  <conditionalFormatting sqref="J36:J38">
    <cfRule type="cellIs" dxfId="30" priority="35" operator="lessThan">
      <formula>0</formula>
    </cfRule>
    <cfRule type="cellIs" dxfId="29" priority="36" operator="lessThan">
      <formula>0</formula>
    </cfRule>
  </conditionalFormatting>
  <conditionalFormatting sqref="H36:H38">
    <cfRule type="expression" dxfId="28" priority="34">
      <formula>J36 &lt; 0</formula>
    </cfRule>
  </conditionalFormatting>
  <conditionalFormatting sqref="J41">
    <cfRule type="cellIs" dxfId="27" priority="20" operator="lessThan">
      <formula>0</formula>
    </cfRule>
    <cfRule type="cellIs" dxfId="26" priority="21" operator="lessThan">
      <formula>0</formula>
    </cfRule>
  </conditionalFormatting>
  <conditionalFormatting sqref="H41">
    <cfRule type="expression" dxfId="25" priority="19">
      <formula>J41 &lt; 0</formula>
    </cfRule>
  </conditionalFormatting>
  <conditionalFormatting sqref="J39">
    <cfRule type="cellIs" dxfId="24" priority="29" operator="lessThan">
      <formula>0</formula>
    </cfRule>
    <cfRule type="cellIs" dxfId="23" priority="30" operator="lessThan">
      <formula>0</formula>
    </cfRule>
  </conditionalFormatting>
  <conditionalFormatting sqref="H39">
    <cfRule type="expression" dxfId="22" priority="28">
      <formula>J39 &lt; 0</formula>
    </cfRule>
  </conditionalFormatting>
  <conditionalFormatting sqref="J40">
    <cfRule type="cellIs" dxfId="21" priority="26" operator="lessThan">
      <formula>0</formula>
    </cfRule>
    <cfRule type="cellIs" dxfId="20" priority="27" operator="lessThan">
      <formula>0</formula>
    </cfRule>
  </conditionalFormatting>
  <conditionalFormatting sqref="H40">
    <cfRule type="expression" dxfId="19" priority="25">
      <formula>J40 &lt; 0</formula>
    </cfRule>
  </conditionalFormatting>
  <conditionalFormatting sqref="J45:J48">
    <cfRule type="cellIs" dxfId="18" priority="8" operator="lessThan">
      <formula>0</formula>
    </cfRule>
    <cfRule type="cellIs" dxfId="17" priority="9" operator="lessThan">
      <formula>0</formula>
    </cfRule>
  </conditionalFormatting>
  <conditionalFormatting sqref="H45:H48">
    <cfRule type="expression" dxfId="16" priority="7">
      <formula>J45 &lt; 0</formula>
    </cfRule>
  </conditionalFormatting>
  <conditionalFormatting sqref="J42">
    <cfRule type="cellIs" dxfId="15" priority="17" operator="lessThan">
      <formula>0</formula>
    </cfRule>
    <cfRule type="cellIs" dxfId="14" priority="18" operator="lessThan">
      <formula>0</formula>
    </cfRule>
  </conditionalFormatting>
  <conditionalFormatting sqref="H42">
    <cfRule type="expression" dxfId="13" priority="16">
      <formula>J42 &lt; 0</formula>
    </cfRule>
  </conditionalFormatting>
  <conditionalFormatting sqref="J43">
    <cfRule type="cellIs" dxfId="12" priority="14" operator="lessThan">
      <formula>0</formula>
    </cfRule>
    <cfRule type="cellIs" dxfId="11" priority="15" operator="lessThan">
      <formula>0</formula>
    </cfRule>
  </conditionalFormatting>
  <conditionalFormatting sqref="H43">
    <cfRule type="expression" dxfId="10" priority="13">
      <formula>J43 &lt; 0</formula>
    </cfRule>
  </conditionalFormatting>
  <conditionalFormatting sqref="J44">
    <cfRule type="cellIs" dxfId="9" priority="11" operator="lessThan">
      <formula>0</formula>
    </cfRule>
    <cfRule type="cellIs" dxfId="8" priority="12" operator="lessThan">
      <formula>0</formula>
    </cfRule>
  </conditionalFormatting>
  <conditionalFormatting sqref="H44">
    <cfRule type="expression" dxfId="7" priority="10">
      <formula>J44 &lt; 0</formula>
    </cfRule>
  </conditionalFormatting>
  <conditionalFormatting sqref="J51:J52">
    <cfRule type="cellIs" dxfId="6" priority="5" operator="lessThan">
      <formula>0</formula>
    </cfRule>
    <cfRule type="cellIs" dxfId="5" priority="6" operator="lessThan">
      <formula>0</formula>
    </cfRule>
  </conditionalFormatting>
  <conditionalFormatting sqref="H51:H52">
    <cfRule type="expression" dxfId="4" priority="4">
      <formula>J51 &lt; 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S30"/>
  <sheetViews>
    <sheetView workbookViewId="0">
      <selection activeCell="A2" sqref="A2"/>
    </sheetView>
  </sheetViews>
  <sheetFormatPr defaultColWidth="9" defaultRowHeight="16.5"/>
  <cols>
    <col min="1" max="1" width="14.625" style="124" customWidth="1"/>
    <col min="2" max="2" width="22.375" style="124" customWidth="1"/>
    <col min="3" max="3" width="16.5" style="124" customWidth="1"/>
    <col min="4" max="4" width="16.875" style="124" customWidth="1"/>
    <col min="5" max="5" width="12.875" style="124" customWidth="1"/>
    <col min="6" max="6" width="13" style="124" customWidth="1"/>
    <col min="7" max="7" width="16.875" style="124" customWidth="1"/>
    <col min="8" max="8" width="11.5" style="124" customWidth="1"/>
    <col min="9" max="9" width="10.875" style="124" customWidth="1"/>
    <col min="10" max="10" width="9.875" style="124" customWidth="1"/>
    <col min="11" max="11" width="13.75" style="124" customWidth="1"/>
    <col min="12" max="13" width="9" style="124"/>
    <col min="14" max="14" width="10.125" style="124" customWidth="1"/>
    <col min="15" max="15" width="9" style="124"/>
    <col min="16" max="16" width="13.375" style="124" customWidth="1"/>
    <col min="17" max="16384" width="9" style="124"/>
  </cols>
  <sheetData>
    <row r="1" spans="1:19" ht="18.75" customHeight="1">
      <c r="E1" s="125" t="s">
        <v>372</v>
      </c>
      <c r="G1" s="397" t="s">
        <v>2301</v>
      </c>
      <c r="H1" s="397" t="s">
        <v>2303</v>
      </c>
      <c r="I1" s="397" t="s">
        <v>2304</v>
      </c>
      <c r="J1" s="397" t="s">
        <v>2305</v>
      </c>
      <c r="K1" s="397" t="s">
        <v>2306</v>
      </c>
      <c r="L1" s="397" t="s">
        <v>2307</v>
      </c>
      <c r="M1" s="397" t="s">
        <v>2308</v>
      </c>
      <c r="N1" s="397" t="s">
        <v>2309</v>
      </c>
      <c r="O1" s="397" t="s">
        <v>2310</v>
      </c>
      <c r="P1" s="397" t="s">
        <v>2311</v>
      </c>
      <c r="Q1" s="397" t="s">
        <v>2312</v>
      </c>
      <c r="R1" s="397" t="s">
        <v>2313</v>
      </c>
      <c r="S1" s="397" t="s">
        <v>2314</v>
      </c>
    </row>
    <row r="2" spans="1:19">
      <c r="A2" s="126"/>
      <c r="E2" s="127" t="s">
        <v>639</v>
      </c>
      <c r="G2" s="397" t="s">
        <v>2302</v>
      </c>
      <c r="H2" s="397" t="s">
        <v>2315</v>
      </c>
      <c r="I2" s="397" t="s">
        <v>2316</v>
      </c>
      <c r="J2" s="397" t="s">
        <v>2317</v>
      </c>
      <c r="K2" s="397" t="s">
        <v>2318</v>
      </c>
      <c r="L2" s="397" t="s">
        <v>2319</v>
      </c>
      <c r="M2" s="397" t="s">
        <v>2320</v>
      </c>
      <c r="N2" s="397" t="s">
        <v>2321</v>
      </c>
      <c r="O2" s="397" t="s">
        <v>2322</v>
      </c>
      <c r="P2" s="397" t="s">
        <v>2323</v>
      </c>
      <c r="Q2" s="397" t="s">
        <v>2324</v>
      </c>
      <c r="R2" s="397" t="s">
        <v>2325</v>
      </c>
      <c r="S2" s="397" t="s">
        <v>2326</v>
      </c>
    </row>
    <row r="3" spans="1:19">
      <c r="A3" s="124" t="s">
        <v>373</v>
      </c>
      <c r="B3" s="124" t="s">
        <v>373</v>
      </c>
    </row>
    <row r="4" spans="1:19">
      <c r="A4" s="124">
        <v>167</v>
      </c>
    </row>
    <row r="5" spans="1:19" s="130" customFormat="1" ht="17.25" thickBot="1">
      <c r="A5" s="128" t="s">
        <v>374</v>
      </c>
      <c r="B5" s="129" t="s">
        <v>375</v>
      </c>
      <c r="C5" s="128" t="s">
        <v>376</v>
      </c>
      <c r="D5" s="138" t="s">
        <v>377</v>
      </c>
      <c r="E5" s="138" t="s">
        <v>378</v>
      </c>
      <c r="F5" s="138" t="s">
        <v>379</v>
      </c>
      <c r="G5" s="138" t="s">
        <v>380</v>
      </c>
      <c r="H5" s="138" t="s">
        <v>381</v>
      </c>
      <c r="I5" s="138" t="s">
        <v>382</v>
      </c>
      <c r="J5" s="138" t="s">
        <v>234</v>
      </c>
      <c r="K5" s="138" t="s">
        <v>383</v>
      </c>
      <c r="L5" s="138" t="s">
        <v>384</v>
      </c>
      <c r="M5" s="138" t="s">
        <v>385</v>
      </c>
      <c r="N5" s="138" t="s">
        <v>386</v>
      </c>
      <c r="O5" s="138" t="s">
        <v>387</v>
      </c>
      <c r="P5" s="138" t="s">
        <v>388</v>
      </c>
    </row>
    <row r="6" spans="1:19" ht="17.25" thickBot="1">
      <c r="A6" s="131" t="s">
        <v>389</v>
      </c>
      <c r="B6" s="132" t="s">
        <v>718</v>
      </c>
      <c r="C6" s="133" t="s">
        <v>390</v>
      </c>
      <c r="D6" s="132" t="s">
        <v>717</v>
      </c>
      <c r="E6" s="134">
        <v>12029.86</v>
      </c>
      <c r="F6" s="135">
        <v>12077.41</v>
      </c>
      <c r="G6" s="136">
        <v>11977.84</v>
      </c>
      <c r="H6" s="136">
        <v>12007.03</v>
      </c>
      <c r="I6" s="134">
        <v>1202986</v>
      </c>
      <c r="J6" s="137">
        <v>1</v>
      </c>
      <c r="K6" s="134">
        <v>12029.86</v>
      </c>
      <c r="L6" s="136">
        <v>0</v>
      </c>
      <c r="M6" s="135">
        <v>0</v>
      </c>
      <c r="N6" s="136">
        <v>0</v>
      </c>
      <c r="O6" s="136">
        <v>0</v>
      </c>
      <c r="P6" s="137">
        <v>0</v>
      </c>
    </row>
    <row r="7" spans="1:19" ht="17.25" thickBot="1">
      <c r="A7" s="131" t="s">
        <v>637</v>
      </c>
      <c r="B7" s="132" t="s">
        <v>718</v>
      </c>
      <c r="C7" s="133" t="s">
        <v>644</v>
      </c>
      <c r="D7" s="132" t="s">
        <v>719</v>
      </c>
      <c r="E7" s="134">
        <v>19297.96</v>
      </c>
      <c r="F7" s="136">
        <v>19357.490000000002</v>
      </c>
      <c r="G7" s="136">
        <v>19239.52</v>
      </c>
      <c r="H7" s="136">
        <v>19274.82</v>
      </c>
      <c r="I7" s="134">
        <v>1939652</v>
      </c>
      <c r="J7" s="137">
        <v>6911</v>
      </c>
      <c r="K7" s="134">
        <v>19396.52</v>
      </c>
      <c r="L7" s="136">
        <v>0</v>
      </c>
      <c r="M7" s="135">
        <v>0</v>
      </c>
      <c r="N7" s="136">
        <v>0</v>
      </c>
      <c r="O7" s="136">
        <v>0</v>
      </c>
      <c r="P7" s="137">
        <v>109920</v>
      </c>
    </row>
    <row r="8" spans="1:19" ht="17.25" thickBot="1">
      <c r="A8" s="131" t="s">
        <v>643</v>
      </c>
      <c r="B8" s="132" t="s">
        <v>720</v>
      </c>
      <c r="C8" s="133" t="s">
        <v>645</v>
      </c>
      <c r="D8" s="132" t="s">
        <v>721</v>
      </c>
      <c r="E8" s="134">
        <v>3835.6</v>
      </c>
      <c r="F8" s="135">
        <v>3847</v>
      </c>
      <c r="G8" s="136">
        <v>3808</v>
      </c>
      <c r="H8" s="136">
        <v>3820.8</v>
      </c>
      <c r="I8" s="134">
        <v>381900</v>
      </c>
      <c r="J8" s="137">
        <v>1</v>
      </c>
      <c r="K8" s="134">
        <v>3836.2</v>
      </c>
      <c r="L8" s="136">
        <v>3820.6</v>
      </c>
      <c r="M8" s="135">
        <v>2</v>
      </c>
      <c r="N8" s="136">
        <v>3822.6</v>
      </c>
      <c r="O8" s="136">
        <v>1</v>
      </c>
      <c r="P8" s="137">
        <v>12189</v>
      </c>
    </row>
    <row r="9" spans="1:19" ht="17.25" thickBot="1">
      <c r="A9" s="131" t="s">
        <v>643</v>
      </c>
      <c r="B9" s="132" t="s">
        <v>720</v>
      </c>
      <c r="C9" s="133" t="s">
        <v>646</v>
      </c>
      <c r="D9" s="132" t="s">
        <v>722</v>
      </c>
      <c r="E9" s="134">
        <v>3818.2</v>
      </c>
      <c r="F9" s="135">
        <v>3835.8</v>
      </c>
      <c r="G9" s="136">
        <v>3796</v>
      </c>
      <c r="H9" s="136">
        <v>3811.6</v>
      </c>
      <c r="I9" s="134">
        <v>380740</v>
      </c>
      <c r="J9" s="137">
        <v>1</v>
      </c>
      <c r="K9" s="134">
        <v>3825.4</v>
      </c>
      <c r="L9" s="136">
        <v>3811</v>
      </c>
      <c r="M9" s="135">
        <v>2</v>
      </c>
      <c r="N9" s="136">
        <v>3812.8</v>
      </c>
      <c r="O9" s="136">
        <v>1</v>
      </c>
      <c r="P9" s="137">
        <v>1807</v>
      </c>
    </row>
    <row r="10" spans="1:19" ht="17.25" thickBot="1">
      <c r="A10" s="131" t="s">
        <v>389</v>
      </c>
      <c r="B10" s="132" t="s">
        <v>714</v>
      </c>
      <c r="C10" s="133" t="s">
        <v>647</v>
      </c>
      <c r="D10" s="132" t="s">
        <v>715</v>
      </c>
      <c r="E10" s="134">
        <v>19460</v>
      </c>
      <c r="F10" s="135">
        <v>19485</v>
      </c>
      <c r="G10" s="135">
        <v>19435</v>
      </c>
      <c r="H10" s="135">
        <v>19435</v>
      </c>
      <c r="I10" s="134">
        <v>19350</v>
      </c>
      <c r="J10" s="137">
        <v>8</v>
      </c>
      <c r="K10" s="134">
        <v>19350</v>
      </c>
      <c r="L10" s="135">
        <v>19435</v>
      </c>
      <c r="M10" s="135">
        <v>5</v>
      </c>
      <c r="N10" s="135">
        <v>19440</v>
      </c>
      <c r="O10" s="136">
        <v>39</v>
      </c>
      <c r="P10" s="137">
        <v>740</v>
      </c>
    </row>
    <row r="11" spans="1:19" ht="17.25" thickBot="1">
      <c r="A11" s="131" t="s">
        <v>389</v>
      </c>
      <c r="B11" s="132" t="s">
        <v>714</v>
      </c>
      <c r="C11" s="133" t="s">
        <v>648</v>
      </c>
      <c r="D11" s="132" t="s">
        <v>716</v>
      </c>
      <c r="E11" s="134">
        <v>9927</v>
      </c>
      <c r="F11" s="135">
        <v>9958</v>
      </c>
      <c r="G11" s="136">
        <v>9916</v>
      </c>
      <c r="H11" s="136">
        <v>9927.5</v>
      </c>
      <c r="I11" s="134">
        <v>99380</v>
      </c>
      <c r="J11" s="137">
        <v>2</v>
      </c>
      <c r="K11" s="134">
        <v>9938</v>
      </c>
      <c r="L11" s="136">
        <v>9926</v>
      </c>
      <c r="M11" s="135">
        <v>3</v>
      </c>
      <c r="N11" s="136">
        <v>9927.5</v>
      </c>
      <c r="O11" s="136">
        <v>5</v>
      </c>
      <c r="P11" s="137">
        <v>6357</v>
      </c>
    </row>
    <row r="12" spans="1:19" ht="17.25" thickBot="1">
      <c r="A12" s="131" t="s">
        <v>389</v>
      </c>
      <c r="B12" s="132" t="s">
        <v>718</v>
      </c>
      <c r="C12" s="133" t="s">
        <v>649</v>
      </c>
      <c r="D12" s="132" t="s">
        <v>723</v>
      </c>
      <c r="E12" s="134">
        <v>12040</v>
      </c>
      <c r="F12" s="135">
        <v>12090</v>
      </c>
      <c r="G12" s="136">
        <v>11980</v>
      </c>
      <c r="H12" s="135">
        <v>12042.5</v>
      </c>
      <c r="I12" s="134">
        <v>120350</v>
      </c>
      <c r="J12" s="137">
        <v>10</v>
      </c>
      <c r="K12" s="134">
        <v>12035</v>
      </c>
      <c r="L12" s="135">
        <v>12042.5</v>
      </c>
      <c r="M12" s="135">
        <v>30</v>
      </c>
      <c r="N12" s="135">
        <v>12045</v>
      </c>
      <c r="O12" s="136">
        <v>124</v>
      </c>
      <c r="P12" s="137">
        <v>103794</v>
      </c>
    </row>
    <row r="13" spans="1:19" ht="17.25" thickBot="1">
      <c r="A13" s="131" t="s">
        <v>389</v>
      </c>
      <c r="B13" s="132" t="s">
        <v>718</v>
      </c>
      <c r="C13" s="133" t="s">
        <v>650</v>
      </c>
      <c r="D13" s="132" t="s">
        <v>724</v>
      </c>
      <c r="E13" s="134">
        <v>12085</v>
      </c>
      <c r="F13" s="135">
        <v>12120</v>
      </c>
      <c r="G13" s="136">
        <v>12012.5</v>
      </c>
      <c r="H13" s="136">
        <v>12070</v>
      </c>
      <c r="I13" s="134">
        <v>120725</v>
      </c>
      <c r="J13" s="137">
        <v>1</v>
      </c>
      <c r="K13" s="134">
        <v>12072.5</v>
      </c>
      <c r="L13" s="135">
        <v>12072.5</v>
      </c>
      <c r="M13" s="135">
        <v>55</v>
      </c>
      <c r="N13" s="135">
        <v>12075</v>
      </c>
      <c r="O13" s="136">
        <v>15</v>
      </c>
      <c r="P13" s="137">
        <v>1318</v>
      </c>
    </row>
    <row r="14" spans="1:19" ht="17.25" thickBot="1">
      <c r="A14" s="131" t="s">
        <v>391</v>
      </c>
      <c r="B14" s="132" t="s">
        <v>725</v>
      </c>
      <c r="C14" s="133" t="s">
        <v>651</v>
      </c>
      <c r="D14" s="132" t="s">
        <v>726</v>
      </c>
      <c r="E14" s="134">
        <v>9227.5</v>
      </c>
      <c r="F14" s="135">
        <v>9299</v>
      </c>
      <c r="G14" s="135">
        <v>9221</v>
      </c>
      <c r="H14" s="135">
        <v>9282</v>
      </c>
      <c r="I14" s="134">
        <v>92055</v>
      </c>
      <c r="J14" s="137">
        <v>1</v>
      </c>
      <c r="K14" s="134">
        <v>9205.5</v>
      </c>
      <c r="L14" s="135">
        <v>9282</v>
      </c>
      <c r="M14" s="135">
        <v>23</v>
      </c>
      <c r="N14" s="135">
        <v>9282.5</v>
      </c>
      <c r="O14" s="136">
        <v>5</v>
      </c>
      <c r="P14" s="137">
        <v>109286</v>
      </c>
    </row>
    <row r="15" spans="1:19" ht="17.25" thickBot="1">
      <c r="A15" s="131" t="s">
        <v>391</v>
      </c>
      <c r="B15" s="132" t="s">
        <v>725</v>
      </c>
      <c r="C15" s="133" t="s">
        <v>652</v>
      </c>
      <c r="D15" s="132" t="s">
        <v>727</v>
      </c>
      <c r="E15" s="134">
        <v>9265</v>
      </c>
      <c r="F15" s="135">
        <v>9337</v>
      </c>
      <c r="G15" s="135">
        <v>9260</v>
      </c>
      <c r="H15" s="135">
        <v>9320.5</v>
      </c>
      <c r="I15" s="134">
        <v>92445</v>
      </c>
      <c r="J15" s="137">
        <v>3</v>
      </c>
      <c r="K15" s="134">
        <v>9244.5</v>
      </c>
      <c r="L15" s="135">
        <v>9320</v>
      </c>
      <c r="M15" s="135">
        <v>19</v>
      </c>
      <c r="N15" s="135">
        <v>9321.5</v>
      </c>
      <c r="O15" s="136">
        <v>21</v>
      </c>
      <c r="P15" s="137">
        <v>3070</v>
      </c>
    </row>
    <row r="16" spans="1:19" ht="17.25" thickBot="1">
      <c r="A16" s="131" t="s">
        <v>391</v>
      </c>
      <c r="B16" s="132" t="s">
        <v>725</v>
      </c>
      <c r="C16" s="133" t="s">
        <v>653</v>
      </c>
      <c r="D16" s="132" t="s">
        <v>728</v>
      </c>
      <c r="E16" s="134">
        <v>2466.5</v>
      </c>
      <c r="F16" s="135">
        <v>2467.5</v>
      </c>
      <c r="G16" s="136">
        <v>2458.5</v>
      </c>
      <c r="H16" s="136">
        <v>2460.25</v>
      </c>
      <c r="I16" s="134">
        <v>246650</v>
      </c>
      <c r="J16" s="137">
        <v>37</v>
      </c>
      <c r="K16" s="134">
        <v>2466.5</v>
      </c>
      <c r="L16" s="136">
        <v>2460</v>
      </c>
      <c r="M16" s="135">
        <v>126</v>
      </c>
      <c r="N16" s="136">
        <v>2460.25</v>
      </c>
      <c r="O16" s="136">
        <v>16</v>
      </c>
      <c r="P16" s="137">
        <v>60610</v>
      </c>
    </row>
    <row r="17" spans="1:16" ht="17.25" thickBot="1">
      <c r="A17" s="131" t="s">
        <v>391</v>
      </c>
      <c r="B17" s="132" t="s">
        <v>725</v>
      </c>
      <c r="C17" s="133" t="s">
        <v>654</v>
      </c>
      <c r="D17" s="132" t="s">
        <v>729</v>
      </c>
      <c r="E17" s="134">
        <v>2464.75</v>
      </c>
      <c r="F17" s="135">
        <v>2465.75</v>
      </c>
      <c r="G17" s="136">
        <v>2456.75</v>
      </c>
      <c r="H17" s="136">
        <v>2458.5</v>
      </c>
      <c r="I17" s="134">
        <v>246475</v>
      </c>
      <c r="J17" s="137">
        <v>5</v>
      </c>
      <c r="K17" s="134">
        <v>2464.75</v>
      </c>
      <c r="L17" s="136">
        <v>2458.25</v>
      </c>
      <c r="M17" s="135">
        <v>128</v>
      </c>
      <c r="N17" s="136">
        <v>2458.5</v>
      </c>
      <c r="O17" s="136">
        <v>80</v>
      </c>
      <c r="P17" s="137">
        <v>72622</v>
      </c>
    </row>
    <row r="18" spans="1:16" ht="17.25" thickBot="1">
      <c r="A18" s="131" t="s">
        <v>641</v>
      </c>
      <c r="B18" s="132" t="s">
        <v>730</v>
      </c>
      <c r="C18" s="133" t="s">
        <v>655</v>
      </c>
      <c r="D18" s="132" t="s">
        <v>731</v>
      </c>
      <c r="E18" s="134">
        <v>91.44</v>
      </c>
      <c r="F18" s="136">
        <v>91.49</v>
      </c>
      <c r="G18" s="136">
        <v>90.99</v>
      </c>
      <c r="H18" s="136">
        <v>91.284999999999997</v>
      </c>
      <c r="I18" s="134">
        <v>91642</v>
      </c>
      <c r="J18" s="137">
        <v>1</v>
      </c>
      <c r="K18" s="134">
        <v>91.641999999999996</v>
      </c>
      <c r="L18" s="136">
        <v>91.275000000000006</v>
      </c>
      <c r="M18" s="135">
        <v>2</v>
      </c>
      <c r="N18" s="136">
        <v>91.28</v>
      </c>
      <c r="O18" s="136">
        <v>12</v>
      </c>
      <c r="P18" s="137">
        <v>12445</v>
      </c>
    </row>
    <row r="19" spans="1:16" ht="17.25" thickBot="1">
      <c r="A19" s="131" t="s">
        <v>640</v>
      </c>
      <c r="B19" s="132" t="s">
        <v>730</v>
      </c>
      <c r="C19" s="133" t="s">
        <v>656</v>
      </c>
      <c r="D19" s="132" t="s">
        <v>732</v>
      </c>
      <c r="E19" s="134">
        <v>91.215000000000003</v>
      </c>
      <c r="F19" s="136">
        <v>91.275000000000006</v>
      </c>
      <c r="G19" s="136">
        <v>90.795000000000002</v>
      </c>
      <c r="H19" s="136">
        <v>91.11</v>
      </c>
      <c r="I19" s="134">
        <v>91417</v>
      </c>
      <c r="J19" s="137">
        <v>1</v>
      </c>
      <c r="K19" s="134">
        <v>91.417000000000002</v>
      </c>
      <c r="L19" s="136">
        <v>91.07</v>
      </c>
      <c r="M19" s="135">
        <v>16</v>
      </c>
      <c r="N19" s="136">
        <v>91.08</v>
      </c>
      <c r="O19" s="136">
        <v>4</v>
      </c>
      <c r="P19" s="137">
        <v>2402</v>
      </c>
    </row>
    <row r="20" spans="1:16" ht="17.25" thickBot="1">
      <c r="A20" s="131" t="s">
        <v>638</v>
      </c>
      <c r="B20" s="132" t="s">
        <v>733</v>
      </c>
      <c r="C20" s="133" t="s">
        <v>657</v>
      </c>
      <c r="D20" s="132" t="s">
        <v>734</v>
      </c>
      <c r="E20" s="134">
        <v>49.09</v>
      </c>
      <c r="F20" s="135">
        <v>49.26</v>
      </c>
      <c r="G20" s="136">
        <v>48.93</v>
      </c>
      <c r="H20" s="136">
        <v>48.98</v>
      </c>
      <c r="I20" s="134">
        <v>490900</v>
      </c>
      <c r="J20" s="137">
        <v>1</v>
      </c>
      <c r="K20" s="134">
        <v>49.09</v>
      </c>
      <c r="L20" s="136">
        <v>48.97</v>
      </c>
      <c r="M20" s="135">
        <v>31</v>
      </c>
      <c r="N20" s="136">
        <v>48.98</v>
      </c>
      <c r="O20" s="136">
        <v>63</v>
      </c>
      <c r="P20" s="137">
        <v>55977</v>
      </c>
    </row>
    <row r="21" spans="1:16" ht="17.25" thickBot="1">
      <c r="A21" s="131" t="s">
        <v>638</v>
      </c>
      <c r="B21" s="132" t="s">
        <v>733</v>
      </c>
      <c r="C21" s="133" t="s">
        <v>658</v>
      </c>
      <c r="D21" s="132" t="s">
        <v>735</v>
      </c>
      <c r="E21" s="134">
        <v>49.53</v>
      </c>
      <c r="F21" s="135">
        <v>49.69</v>
      </c>
      <c r="G21" s="136">
        <v>49.39</v>
      </c>
      <c r="H21" s="136">
        <v>49.43</v>
      </c>
      <c r="I21" s="134">
        <v>495300</v>
      </c>
      <c r="J21" s="137">
        <v>2</v>
      </c>
      <c r="K21" s="134">
        <v>49.53</v>
      </c>
      <c r="L21" s="136">
        <v>49.42</v>
      </c>
      <c r="M21" s="135">
        <v>38</v>
      </c>
      <c r="N21" s="136">
        <v>49.43</v>
      </c>
      <c r="O21" s="136">
        <v>8</v>
      </c>
      <c r="P21" s="137">
        <v>10990</v>
      </c>
    </row>
    <row r="22" spans="1:16" ht="17.25" thickBot="1">
      <c r="A22" s="131" t="s">
        <v>638</v>
      </c>
      <c r="B22" s="132" t="s">
        <v>733</v>
      </c>
      <c r="C22" s="133" t="s">
        <v>659</v>
      </c>
      <c r="D22" s="132" t="s">
        <v>736</v>
      </c>
      <c r="E22" s="134">
        <v>50.88</v>
      </c>
      <c r="F22" s="135">
        <v>51</v>
      </c>
      <c r="G22" s="136">
        <v>50.79</v>
      </c>
      <c r="H22" s="136">
        <v>50.82</v>
      </c>
      <c r="I22" s="134">
        <v>509600</v>
      </c>
      <c r="J22" s="137">
        <v>3</v>
      </c>
      <c r="K22" s="134">
        <v>50.96</v>
      </c>
      <c r="L22" s="136">
        <v>50.78</v>
      </c>
      <c r="M22" s="135">
        <v>19</v>
      </c>
      <c r="N22" s="136">
        <v>50.81</v>
      </c>
      <c r="O22" s="136">
        <v>6</v>
      </c>
      <c r="P22" s="137">
        <v>940</v>
      </c>
    </row>
    <row r="23" spans="1:16" ht="17.25" thickBot="1">
      <c r="A23" s="131" t="s">
        <v>638</v>
      </c>
      <c r="B23" s="132" t="s">
        <v>733</v>
      </c>
      <c r="C23" s="133" t="s">
        <v>660</v>
      </c>
      <c r="D23" s="132" t="s">
        <v>737</v>
      </c>
      <c r="E23" s="134">
        <v>1349.9</v>
      </c>
      <c r="F23" s="135">
        <v>1358.5</v>
      </c>
      <c r="G23" s="135">
        <v>1348.8</v>
      </c>
      <c r="H23" s="135">
        <v>1353.8</v>
      </c>
      <c r="I23" s="134">
        <v>13465</v>
      </c>
      <c r="J23" s="137">
        <v>1</v>
      </c>
      <c r="K23" s="134">
        <v>1346.5</v>
      </c>
      <c r="L23" s="135">
        <v>1353.8</v>
      </c>
      <c r="M23" s="135">
        <v>14</v>
      </c>
      <c r="N23" s="135">
        <v>1354</v>
      </c>
      <c r="O23" s="136">
        <v>20</v>
      </c>
      <c r="P23" s="137">
        <v>1547</v>
      </c>
    </row>
    <row r="24" spans="1:16" ht="17.25" thickBot="1">
      <c r="A24" s="131" t="s">
        <v>638</v>
      </c>
      <c r="B24" s="132" t="s">
        <v>733</v>
      </c>
      <c r="C24" s="133" t="s">
        <v>661</v>
      </c>
      <c r="D24" s="132" t="s">
        <v>738</v>
      </c>
      <c r="E24" s="134">
        <v>1354</v>
      </c>
      <c r="F24" s="135">
        <v>1362.4</v>
      </c>
      <c r="G24" s="135">
        <v>1352.3</v>
      </c>
      <c r="H24" s="135">
        <v>1357.7</v>
      </c>
      <c r="I24" s="134">
        <v>13503</v>
      </c>
      <c r="J24" s="137">
        <v>8</v>
      </c>
      <c r="K24" s="134">
        <v>1350.3</v>
      </c>
      <c r="L24" s="135">
        <v>1357.7</v>
      </c>
      <c r="M24" s="135">
        <v>12</v>
      </c>
      <c r="N24" s="135">
        <v>1357.8</v>
      </c>
      <c r="O24" s="136">
        <v>19</v>
      </c>
      <c r="P24" s="137">
        <v>123866</v>
      </c>
    </row>
    <row r="25" spans="1:16" ht="17.25" thickBot="1">
      <c r="A25" s="131" t="s">
        <v>642</v>
      </c>
      <c r="B25" s="132" t="s">
        <v>739</v>
      </c>
      <c r="C25" s="133" t="s">
        <v>662</v>
      </c>
      <c r="D25" s="132" t="s">
        <v>740</v>
      </c>
      <c r="E25" s="134">
        <v>172.25</v>
      </c>
      <c r="F25" s="135">
        <v>172.53125</v>
      </c>
      <c r="G25" s="135">
        <v>172.25</v>
      </c>
      <c r="H25" s="135">
        <v>172.40625</v>
      </c>
      <c r="I25" s="134">
        <v>171562500</v>
      </c>
      <c r="J25" s="137">
        <v>1</v>
      </c>
      <c r="K25" s="134">
        <v>171.5625</v>
      </c>
      <c r="L25" s="135">
        <v>172.34375</v>
      </c>
      <c r="M25" s="135">
        <v>13</v>
      </c>
      <c r="N25" s="135">
        <v>172.4375</v>
      </c>
      <c r="O25" s="136">
        <v>22</v>
      </c>
      <c r="P25" s="137">
        <v>22</v>
      </c>
    </row>
    <row r="26" spans="1:16" ht="17.25" thickBot="1">
      <c r="A26" s="131" t="s">
        <v>642</v>
      </c>
      <c r="B26" s="132" t="s">
        <v>741</v>
      </c>
      <c r="C26" s="133" t="s">
        <v>700</v>
      </c>
      <c r="D26" s="132" t="s">
        <v>742</v>
      </c>
      <c r="E26" s="134">
        <v>171.09375</v>
      </c>
      <c r="F26" s="135">
        <v>171.84375</v>
      </c>
      <c r="G26" s="135">
        <v>170.90625</v>
      </c>
      <c r="H26" s="135">
        <v>171.375</v>
      </c>
      <c r="I26" s="134">
        <v>170562500</v>
      </c>
      <c r="J26" s="137">
        <v>4</v>
      </c>
      <c r="K26" s="134">
        <v>170.5625</v>
      </c>
      <c r="L26" s="135">
        <v>171.375</v>
      </c>
      <c r="M26" s="135">
        <v>8</v>
      </c>
      <c r="N26" s="135">
        <v>171.40625</v>
      </c>
      <c r="O26" s="136">
        <v>61</v>
      </c>
      <c r="P26" s="137">
        <v>9944</v>
      </c>
    </row>
    <row r="27" spans="1:16" ht="17.25" thickBot="1">
      <c r="A27" s="131" t="s">
        <v>642</v>
      </c>
      <c r="B27" s="132" t="s">
        <v>743</v>
      </c>
      <c r="C27" s="133" t="s">
        <v>709</v>
      </c>
      <c r="D27" s="132" t="s">
        <v>744</v>
      </c>
      <c r="E27" s="134">
        <v>127.859375</v>
      </c>
      <c r="F27" s="135">
        <v>128.109375</v>
      </c>
      <c r="G27" s="135">
        <v>127.859375</v>
      </c>
      <c r="H27" s="135">
        <v>128.015625</v>
      </c>
      <c r="I27" s="134">
        <v>127765625</v>
      </c>
      <c r="J27" s="137">
        <v>50</v>
      </c>
      <c r="K27" s="134">
        <v>127.765625</v>
      </c>
      <c r="L27" s="135">
        <v>127.984375</v>
      </c>
      <c r="M27" s="135">
        <v>368</v>
      </c>
      <c r="N27" s="135">
        <v>128.015625</v>
      </c>
      <c r="O27" s="136">
        <v>47</v>
      </c>
      <c r="P27" s="137">
        <v>2210</v>
      </c>
    </row>
    <row r="28" spans="1:16" ht="17.25" thickBot="1">
      <c r="A28" s="131" t="s">
        <v>642</v>
      </c>
      <c r="B28" s="132" t="s">
        <v>745</v>
      </c>
      <c r="C28" s="133" t="s">
        <v>710</v>
      </c>
      <c r="D28" s="132" t="s">
        <v>746</v>
      </c>
      <c r="E28" s="134">
        <v>127.640625</v>
      </c>
      <c r="F28" s="135">
        <v>127.890625</v>
      </c>
      <c r="G28" s="135">
        <v>127.59375</v>
      </c>
      <c r="H28" s="135">
        <v>127.78125</v>
      </c>
      <c r="I28" s="134">
        <v>127515625</v>
      </c>
      <c r="J28" s="137">
        <v>3</v>
      </c>
      <c r="K28" s="134">
        <v>127.515625</v>
      </c>
      <c r="L28" s="135">
        <v>127.765625</v>
      </c>
      <c r="M28" s="135">
        <v>1188</v>
      </c>
      <c r="N28" s="135">
        <v>127.78125</v>
      </c>
      <c r="O28" s="136">
        <v>1012</v>
      </c>
      <c r="P28" s="137">
        <v>257026</v>
      </c>
    </row>
    <row r="29" spans="1:16" ht="17.25" thickBot="1">
      <c r="A29" s="131"/>
      <c r="B29" s="132"/>
      <c r="C29" s="133"/>
      <c r="D29" s="132"/>
      <c r="E29" s="134"/>
      <c r="F29" s="135"/>
      <c r="G29" s="136"/>
      <c r="H29" s="136"/>
      <c r="I29" s="134"/>
      <c r="J29" s="137"/>
      <c r="K29" s="134"/>
      <c r="L29" s="136"/>
      <c r="M29" s="135"/>
      <c r="N29" s="136"/>
      <c r="O29" s="136"/>
      <c r="P29" s="137"/>
    </row>
    <row r="30" spans="1:16" ht="17.25" thickBot="1">
      <c r="A30" s="131"/>
      <c r="B30" s="149"/>
      <c r="C30" s="133"/>
      <c r="D30" s="149"/>
      <c r="E30" s="150"/>
      <c r="F30" s="151"/>
      <c r="G30" s="152"/>
      <c r="H30" s="152"/>
      <c r="I30" s="150"/>
      <c r="J30" s="153"/>
      <c r="K30" s="150"/>
      <c r="L30" s="152"/>
      <c r="M30" s="151"/>
      <c r="N30" s="152"/>
      <c r="O30" s="152"/>
      <c r="P30" s="153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678785" r:id="rId3" name="CommandButton1">
          <controlPr defaultSize="0" autoLine="0" r:id="rId4">
            <anchor moveWithCells="1">
              <from>
                <xdr:col>0</xdr:col>
                <xdr:colOff>428625</xdr:colOff>
                <xdr:row>0</xdr:row>
                <xdr:rowOff>200025</xdr:rowOff>
              </from>
              <to>
                <xdr:col>1</xdr:col>
                <xdr:colOff>561975</xdr:colOff>
                <xdr:row>2</xdr:row>
                <xdr:rowOff>66675</xdr:rowOff>
              </to>
            </anchor>
          </controlPr>
        </control>
      </mc:Choice>
      <mc:Fallback>
        <control shapeId="34678785" r:id="rId3" name="CommandButton1"/>
      </mc:Fallback>
    </mc:AlternateContent>
    <mc:AlternateContent xmlns:mc="http://schemas.openxmlformats.org/markup-compatibility/2006">
      <mc:Choice Requires="x14">
        <control shapeId="34678786" r:id="rId5" name="CommandButton2">
          <controlPr defaultSize="0" autoLine="0" r:id="rId6">
            <anchor moveWithCells="1">
              <from>
                <xdr:col>2</xdr:col>
                <xdr:colOff>180975</xdr:colOff>
                <xdr:row>0</xdr:row>
                <xdr:rowOff>66675</xdr:rowOff>
              </from>
              <to>
                <xdr:col>2</xdr:col>
                <xdr:colOff>1247775</xdr:colOff>
                <xdr:row>2</xdr:row>
                <xdr:rowOff>19050</xdr:rowOff>
              </to>
            </anchor>
          </controlPr>
        </control>
      </mc:Choice>
      <mc:Fallback>
        <control shapeId="34678786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63"/>
  <sheetViews>
    <sheetView workbookViewId="0">
      <selection activeCell="A2" sqref="A2"/>
    </sheetView>
  </sheetViews>
  <sheetFormatPr defaultColWidth="9" defaultRowHeight="16.5"/>
  <cols>
    <col min="1" max="1" width="29.75" style="51" customWidth="1"/>
    <col min="2" max="2" width="12.125" style="51" customWidth="1"/>
    <col min="3" max="3" width="9" style="2"/>
    <col min="4" max="10" width="9" style="51"/>
    <col min="11" max="11" width="9" style="2"/>
    <col min="12" max="15" width="9" style="51"/>
    <col min="16" max="17" width="9" style="2"/>
    <col min="18" max="16384" width="9" style="51"/>
  </cols>
  <sheetData>
    <row r="1" spans="1:21">
      <c r="A1" s="51" t="s">
        <v>147</v>
      </c>
      <c r="B1" s="51" t="s">
        <v>146</v>
      </c>
      <c r="C1" s="2" t="s">
        <v>148</v>
      </c>
      <c r="D1" s="51" t="s">
        <v>233</v>
      </c>
      <c r="E1" s="51" t="s">
        <v>234</v>
      </c>
      <c r="F1" s="51" t="s">
        <v>235</v>
      </c>
      <c r="G1" s="51" t="s">
        <v>236</v>
      </c>
      <c r="H1" s="51" t="s">
        <v>237</v>
      </c>
      <c r="I1" s="51" t="s">
        <v>238</v>
      </c>
      <c r="J1" s="51" t="s">
        <v>239</v>
      </c>
      <c r="K1" s="2" t="s">
        <v>240</v>
      </c>
      <c r="L1" s="51" t="s">
        <v>236</v>
      </c>
      <c r="M1" s="51" t="s">
        <v>237</v>
      </c>
      <c r="N1" s="51" t="s">
        <v>238</v>
      </c>
      <c r="O1" s="51" t="s">
        <v>241</v>
      </c>
      <c r="P1" s="2" t="s">
        <v>149</v>
      </c>
      <c r="Q1" s="2" t="s">
        <v>150</v>
      </c>
      <c r="R1" s="51" t="s">
        <v>242</v>
      </c>
      <c r="S1" s="51" t="s">
        <v>233</v>
      </c>
      <c r="T1" s="51" t="s">
        <v>234</v>
      </c>
      <c r="U1" s="51" t="s">
        <v>235</v>
      </c>
    </row>
    <row r="2" spans="1:21">
      <c r="A2" s="51" t="e">
        <f>[1]!'FITX*1.TF-Name'</f>
        <v>#REF!</v>
      </c>
      <c r="B2" s="51" t="e">
        <f>[1]!'FITX*1.TF-ID'</f>
        <v>#REF!</v>
      </c>
      <c r="C2" s="2" t="e">
        <f>[1]!'FITX*1.TF-Price'</f>
        <v>#REF!</v>
      </c>
      <c r="D2" s="51" t="e">
        <f>[1]!'FITX*1.TF-PriceChangeRatio'</f>
        <v>#REF!</v>
      </c>
      <c r="E2" s="51" t="e">
        <f>[1]!'FITX*1.TF-Volume'</f>
        <v>#REF!</v>
      </c>
      <c r="F2" s="51" t="e">
        <f>[1]!'FITX*1.TF-TotalVolume'</f>
        <v>#REF!</v>
      </c>
      <c r="G2" s="51" t="e">
        <f>[1]!'FITX*1.TF-Open'</f>
        <v>#REF!</v>
      </c>
      <c r="H2" s="51" t="e">
        <f>[1]!'FITX*1.TF-High'</f>
        <v>#REF!</v>
      </c>
      <c r="I2" s="51" t="e">
        <f>[1]!'FITX*1.TF-Low'</f>
        <v>#REF!</v>
      </c>
      <c r="J2" s="51" t="e">
        <f>[1]!'FITX*1.TF-Amplitude'</f>
        <v>#REF!</v>
      </c>
      <c r="K2" s="2" t="e">
        <f>[1]!'FITX*1.TF-PreClose'</f>
        <v>#REF!</v>
      </c>
      <c r="L2" s="51" t="e">
        <f>[1]!'FITX*1.TF-Open'</f>
        <v>#REF!</v>
      </c>
      <c r="M2" s="51" t="e">
        <f>[1]!'FITX*1.TF-High'</f>
        <v>#REF!</v>
      </c>
      <c r="N2" s="51" t="e">
        <f>[1]!'FITX*1.TF-Low'</f>
        <v>#REF!</v>
      </c>
      <c r="O2" s="51" t="e">
        <f>[1]!'FITX*1.TF-PreTotalVolume'</f>
        <v>#REF!</v>
      </c>
      <c r="P2" s="2" t="e">
        <f>[1]!'FITX*1.TF-Bid'</f>
        <v>#REF!</v>
      </c>
      <c r="Q2" s="2" t="e">
        <f>[1]!'FITX*1.TF-Ask'</f>
        <v>#REF!</v>
      </c>
      <c r="R2" s="51" t="e">
        <f>[1]!'FITX*1.TF-PriceChange'</f>
        <v>#REF!</v>
      </c>
      <c r="S2" s="51" t="e">
        <f>[1]!'FITX*1.TF-PriceChangeRatio'</f>
        <v>#REF!</v>
      </c>
      <c r="T2" s="51" t="e">
        <f>[1]!'FITX*1.TF-Volume'</f>
        <v>#REF!</v>
      </c>
      <c r="U2" s="51" t="e">
        <f>[1]!'FITX*1.TF-TotalVolume'</f>
        <v>#REF!</v>
      </c>
    </row>
    <row r="3" spans="1:21">
      <c r="A3" s="51" t="e">
        <f>[1]!'FITX*2.TF-Name'</f>
        <v>#REF!</v>
      </c>
      <c r="B3" s="51" t="e">
        <f>[1]!'FITX*2.TF-ID'</f>
        <v>#REF!</v>
      </c>
      <c r="C3" s="2" t="e">
        <f>[1]!'FITX*2.TF-Price'</f>
        <v>#REF!</v>
      </c>
      <c r="D3" s="51" t="e">
        <f>[1]!'FITX*2.TF-PriceChangeRatio'</f>
        <v>#REF!</v>
      </c>
      <c r="E3" s="51" t="e">
        <f>[1]!'FITX*2.TF-Volume'</f>
        <v>#REF!</v>
      </c>
      <c r="F3" s="51" t="e">
        <f>[1]!'FITX*2.TF-TotalVolume'</f>
        <v>#REF!</v>
      </c>
      <c r="G3" s="51" t="e">
        <f>[1]!'FITX*2.TF-Open'</f>
        <v>#REF!</v>
      </c>
      <c r="H3" s="51" t="e">
        <f>[1]!'FITX*2.TF-High'</f>
        <v>#REF!</v>
      </c>
      <c r="I3" s="51" t="e">
        <f>[1]!'FITX*2.TF-Low'</f>
        <v>#REF!</v>
      </c>
      <c r="J3" s="51" t="e">
        <f>[1]!'FITX*2.TF-Amplitude'</f>
        <v>#REF!</v>
      </c>
      <c r="K3" s="2" t="e">
        <f>[1]!'FITX*2.TF-PreClose'</f>
        <v>#REF!</v>
      </c>
      <c r="L3" s="51" t="e">
        <f>[1]!'FITX*2.TF-Open'</f>
        <v>#REF!</v>
      </c>
      <c r="M3" s="51" t="e">
        <f>[1]!'FITX*2.TF-High'</f>
        <v>#REF!</v>
      </c>
      <c r="N3" s="51" t="e">
        <f>[1]!'FITX*2.TF-Low'</f>
        <v>#REF!</v>
      </c>
      <c r="O3" s="51" t="e">
        <f>[1]!'FITX*2.TF-PreTotalVolume'</f>
        <v>#REF!</v>
      </c>
      <c r="P3" s="2" t="e">
        <f>[1]!'FITX*2.TF-Bid'</f>
        <v>#REF!</v>
      </c>
      <c r="Q3" s="2" t="e">
        <f>[1]!'FITX*2.TF-Ask'</f>
        <v>#REF!</v>
      </c>
      <c r="R3" s="51" t="e">
        <f>[1]!'FITX*2.TF-PriceChange'</f>
        <v>#REF!</v>
      </c>
      <c r="S3" s="51" t="e">
        <f>[1]!'FITX*2.TF-PriceChangeRatio'</f>
        <v>#REF!</v>
      </c>
      <c r="T3" s="51" t="e">
        <f>[1]!'FITX*2.TF-Volume'</f>
        <v>#REF!</v>
      </c>
      <c r="U3" s="51" t="e">
        <f>[1]!'FITX*2.TF-TotalVolume'</f>
        <v>#REF!</v>
      </c>
    </row>
    <row r="4" spans="1:21">
      <c r="A4" s="51" t="e">
        <f>[1]!'FITX00.TF-Name'</f>
        <v>#REF!</v>
      </c>
      <c r="B4" s="51" t="e">
        <f>[1]!'FITX00.TF-ID'</f>
        <v>#REF!</v>
      </c>
      <c r="C4" s="2" t="e">
        <f>[1]!'FITX00.TF-Price'</f>
        <v>#REF!</v>
      </c>
      <c r="D4" s="51" t="e">
        <f>[1]!'FITX00.TF-PriceChangeRatio'</f>
        <v>#REF!</v>
      </c>
      <c r="E4" s="51" t="e">
        <f>[1]!'FITX00.TF-Volume'</f>
        <v>#REF!</v>
      </c>
      <c r="F4" s="51" t="e">
        <f>[1]!'FITX00.TF-TotalVolume'</f>
        <v>#REF!</v>
      </c>
      <c r="G4" s="51" t="e">
        <f>[1]!'FITX00.TF-Open'</f>
        <v>#REF!</v>
      </c>
      <c r="H4" s="51" t="e">
        <f>[1]!'FITX00.TF-High'</f>
        <v>#REF!</v>
      </c>
      <c r="I4" s="51" t="e">
        <f>[1]!'FITX00.TF-Low'</f>
        <v>#REF!</v>
      </c>
      <c r="J4" s="51" t="e">
        <f>[1]!'FITX00.TF-Amplitude'</f>
        <v>#REF!</v>
      </c>
      <c r="K4" s="2" t="e">
        <f>[1]!'FITX00.TF-PreClose'</f>
        <v>#REF!</v>
      </c>
      <c r="L4" s="51" t="e">
        <f>[1]!'FITX00.TF-Open'</f>
        <v>#REF!</v>
      </c>
      <c r="M4" s="51" t="e">
        <f>[1]!'FITX00.TF-High'</f>
        <v>#REF!</v>
      </c>
      <c r="N4" s="51" t="e">
        <f>[1]!'FITX00.TF-Low'</f>
        <v>#REF!</v>
      </c>
      <c r="O4" s="51" t="e">
        <f>[1]!'FITX00.TF-PreTotalVolume'</f>
        <v>#REF!</v>
      </c>
      <c r="P4" s="2" t="e">
        <f>[1]!'FITX00.TF-Bid'</f>
        <v>#REF!</v>
      </c>
      <c r="Q4" s="2" t="e">
        <f>[1]!'FITX00.TF-Ask'</f>
        <v>#REF!</v>
      </c>
      <c r="R4" s="51" t="e">
        <f>[1]!'FITX00.TF-PriceChange'</f>
        <v>#REF!</v>
      </c>
      <c r="S4" s="51" t="e">
        <f>[1]!'FITX00.TF-PriceChangeRatio'</f>
        <v>#REF!</v>
      </c>
      <c r="T4" s="51" t="e">
        <f>[1]!'FITX00.TF-Volume'</f>
        <v>#REF!</v>
      </c>
      <c r="U4" s="51" t="e">
        <f>[1]!'FITX00.TF-TotalVolume'</f>
        <v>#REF!</v>
      </c>
    </row>
    <row r="5" spans="1:21">
      <c r="A5" s="51" t="e">
        <f>[1]!'FITXN*1.TF-Name'</f>
        <v>#REF!</v>
      </c>
      <c r="B5" s="51" t="e">
        <f>[1]!'FITXN*1.TF-ID'</f>
        <v>#REF!</v>
      </c>
      <c r="C5" s="2" t="e">
        <f>[1]!'FITXN*1.TF-Price'</f>
        <v>#REF!</v>
      </c>
      <c r="D5" s="51" t="e">
        <f>[1]!'FITXN*1.TF-PriceChangeRatio'</f>
        <v>#REF!</v>
      </c>
      <c r="E5" s="51" t="e">
        <f>[1]!'FITXN*1.TF-Volume'</f>
        <v>#REF!</v>
      </c>
      <c r="F5" s="51" t="e">
        <f>[1]!'FITXN*1.TF-TotalVolume'</f>
        <v>#REF!</v>
      </c>
      <c r="G5" s="51" t="e">
        <f>[1]!'FITXN*1.TF-Open'</f>
        <v>#REF!</v>
      </c>
      <c r="H5" s="51" t="e">
        <f>[1]!'FITXN*1.TF-High'</f>
        <v>#REF!</v>
      </c>
      <c r="I5" s="51" t="e">
        <f>[1]!'FITXN*1.TF-Low'</f>
        <v>#REF!</v>
      </c>
      <c r="J5" s="51" t="e">
        <f>[1]!'FITXN*1.TF-Amplitude'</f>
        <v>#REF!</v>
      </c>
      <c r="K5" s="2" t="e">
        <f>[1]!'FITXN*1.TF-PreClose'</f>
        <v>#REF!</v>
      </c>
      <c r="L5" s="51" t="e">
        <f>[1]!'FITXN*1.TF-Open'</f>
        <v>#REF!</v>
      </c>
      <c r="M5" s="51" t="e">
        <f>[1]!'FITXN*1.TF-High'</f>
        <v>#REF!</v>
      </c>
      <c r="N5" s="51" t="e">
        <f>[1]!'FITXN*1.TF-Low'</f>
        <v>#REF!</v>
      </c>
      <c r="O5" s="51" t="e">
        <f>[1]!'FITXN*1.TF-PreTotalVolume'</f>
        <v>#REF!</v>
      </c>
      <c r="P5" s="2" t="e">
        <f>[1]!'FITXN*1.TF-Bid'</f>
        <v>#REF!</v>
      </c>
      <c r="Q5" s="2" t="e">
        <f>[1]!'FITXN*1.TF-Ask'</f>
        <v>#REF!</v>
      </c>
      <c r="R5" s="51" t="e">
        <f>[1]!'FITXN*1.TF-PriceChange'</f>
        <v>#REF!</v>
      </c>
      <c r="S5" s="51" t="e">
        <f>[1]!'FITXN*1.TF-PriceChangeRatio'</f>
        <v>#REF!</v>
      </c>
      <c r="T5" s="51" t="e">
        <f>[1]!'FITXN*1.TF-Volume'</f>
        <v>#REF!</v>
      </c>
      <c r="U5" s="51" t="e">
        <f>[1]!'FITXN*1.TF-TotalVolume'</f>
        <v>#REF!</v>
      </c>
    </row>
    <row r="6" spans="1:21">
      <c r="A6" s="51" t="e">
        <f>[1]!'FITXN*2.TF-Name'</f>
        <v>#REF!</v>
      </c>
      <c r="B6" s="51" t="e">
        <f>[1]!'FITXN*2.TF-ID'</f>
        <v>#REF!</v>
      </c>
      <c r="C6" s="2" t="e">
        <f>[1]!'FITXN*2.TF-Price'</f>
        <v>#REF!</v>
      </c>
      <c r="D6" s="51" t="e">
        <f>[1]!'FITXN*2.TF-PriceChangeRatio'</f>
        <v>#REF!</v>
      </c>
      <c r="E6" s="51" t="e">
        <f>[1]!'FITXN*2.TF-Volume'</f>
        <v>#REF!</v>
      </c>
      <c r="F6" s="51" t="e">
        <f>[1]!'FITXN*2.TF-TotalVolume'</f>
        <v>#REF!</v>
      </c>
      <c r="G6" s="51" t="e">
        <f>[1]!'FITXN*2.TF-Open'</f>
        <v>#REF!</v>
      </c>
      <c r="H6" s="51" t="e">
        <f>[1]!'FITXN*2.TF-High'</f>
        <v>#REF!</v>
      </c>
      <c r="I6" s="51" t="e">
        <f>[1]!'FITXN*2.TF-Low'</f>
        <v>#REF!</v>
      </c>
      <c r="J6" s="51" t="e">
        <f>[1]!'FITXN*2.TF-Amplitude'</f>
        <v>#REF!</v>
      </c>
      <c r="K6" s="2" t="e">
        <f>[1]!'FITXN*2.TF-PreClose'</f>
        <v>#REF!</v>
      </c>
      <c r="L6" s="51" t="e">
        <f>[1]!'FITXN*2.TF-Open'</f>
        <v>#REF!</v>
      </c>
      <c r="M6" s="51" t="e">
        <f>[1]!'FITXN*2.TF-High'</f>
        <v>#REF!</v>
      </c>
      <c r="N6" s="51" t="e">
        <f>[1]!'FITXN*2.TF-Low'</f>
        <v>#REF!</v>
      </c>
      <c r="O6" s="51" t="e">
        <f>[1]!'FITXN*2.TF-PreTotalVolume'</f>
        <v>#REF!</v>
      </c>
      <c r="P6" s="2" t="e">
        <f>[1]!'FITXN*2.TF-Bid'</f>
        <v>#REF!</v>
      </c>
      <c r="Q6" s="2" t="e">
        <f>[1]!'FITXN*2.TF-Ask'</f>
        <v>#REF!</v>
      </c>
      <c r="R6" s="51" t="e">
        <f>[1]!'FITXN*2.TF-PriceChange'</f>
        <v>#REF!</v>
      </c>
      <c r="S6" s="51" t="e">
        <f>[1]!'FITXN*2.TF-PriceChangeRatio'</f>
        <v>#REF!</v>
      </c>
      <c r="T6" s="51" t="e">
        <f>[1]!'FITXN*2.TF-Volume'</f>
        <v>#REF!</v>
      </c>
      <c r="U6" s="51" t="e">
        <f>[1]!'FITXN*2.TF-TotalVolume'</f>
        <v>#REF!</v>
      </c>
    </row>
    <row r="7" spans="1:21">
      <c r="A7" s="51" t="e">
        <f>[1]!'FITE*1.TF-Name'</f>
        <v>#REF!</v>
      </c>
      <c r="B7" s="51" t="e">
        <f>[1]!'FITE*1.TF-ID'</f>
        <v>#REF!</v>
      </c>
      <c r="C7" s="2" t="e">
        <f>[1]!'FITE*1.TF-Price'</f>
        <v>#REF!</v>
      </c>
      <c r="D7" s="51" t="e">
        <f>[1]!'FITE*1.TF-PriceChangeRatio'</f>
        <v>#REF!</v>
      </c>
      <c r="E7" s="51" t="e">
        <f>[1]!'FITE*1.TF-Volume'</f>
        <v>#REF!</v>
      </c>
      <c r="F7" s="51" t="e">
        <f>[1]!'FITE*1.TF-TotalVolume'</f>
        <v>#REF!</v>
      </c>
      <c r="G7" s="51" t="e">
        <f>[1]!'FITE*1.TF-Open'</f>
        <v>#REF!</v>
      </c>
      <c r="H7" s="51" t="e">
        <f>[1]!'FITE*1.TF-High'</f>
        <v>#REF!</v>
      </c>
      <c r="I7" s="51" t="e">
        <f>[1]!'FITE*1.TF-Low'</f>
        <v>#REF!</v>
      </c>
      <c r="J7" s="51" t="e">
        <f>[1]!'FITE*1.TF-Amplitude'</f>
        <v>#REF!</v>
      </c>
      <c r="K7" s="2" t="e">
        <f>[1]!'FITE*1.TF-PreClose'</f>
        <v>#REF!</v>
      </c>
      <c r="L7" s="51" t="e">
        <f>[1]!'FITE*1.TF-Open'</f>
        <v>#REF!</v>
      </c>
      <c r="M7" s="51" t="e">
        <f>[1]!'FITE*1.TF-High'</f>
        <v>#REF!</v>
      </c>
      <c r="N7" s="51" t="e">
        <f>[1]!'FITE*1.TF-Low'</f>
        <v>#REF!</v>
      </c>
      <c r="O7" s="51" t="e">
        <f>[1]!'FITE*1.TF-PreTotalVolume'</f>
        <v>#REF!</v>
      </c>
      <c r="P7" s="2" t="e">
        <f>[1]!'FITE*1.TF-Bid'</f>
        <v>#REF!</v>
      </c>
      <c r="Q7" s="2" t="e">
        <f>[1]!'FITE*1.TF-Ask'</f>
        <v>#REF!</v>
      </c>
      <c r="R7" s="51" t="e">
        <f>[1]!'FITE*1.TF-PriceChange'</f>
        <v>#REF!</v>
      </c>
      <c r="S7" s="51" t="e">
        <f>[1]!'FITE*1.TF-PriceChangeRatio'</f>
        <v>#REF!</v>
      </c>
      <c r="T7" s="51" t="e">
        <f>[1]!'FITE*1.TF-Volume'</f>
        <v>#REF!</v>
      </c>
      <c r="U7" s="51" t="e">
        <f>[1]!'FITE*1.TF-TotalVolume'</f>
        <v>#REF!</v>
      </c>
    </row>
    <row r="8" spans="1:21">
      <c r="A8" s="51" t="e">
        <f>[1]!'FITE*2.TF-Name'</f>
        <v>#REF!</v>
      </c>
      <c r="B8" s="51" t="e">
        <f>[1]!'FITE*2.TF-ID'</f>
        <v>#REF!</v>
      </c>
      <c r="C8" s="2" t="e">
        <f>[1]!'FITE*2.TF-Price'</f>
        <v>#REF!</v>
      </c>
      <c r="D8" s="51" t="e">
        <f>[1]!'FITE*2.TF-PriceChangeRatio'</f>
        <v>#REF!</v>
      </c>
      <c r="E8" s="51" t="e">
        <f>[1]!'FITE*2.TF-Volume'</f>
        <v>#REF!</v>
      </c>
      <c r="F8" s="51" t="e">
        <f>[1]!'FITE*2.TF-TotalVolume'</f>
        <v>#REF!</v>
      </c>
      <c r="G8" s="51" t="e">
        <f>[1]!'FITE*2.TF-Open'</f>
        <v>#REF!</v>
      </c>
      <c r="H8" s="51" t="e">
        <f>[1]!'FITE*2.TF-High'</f>
        <v>#REF!</v>
      </c>
      <c r="I8" s="51" t="e">
        <f>[1]!'FITE*2.TF-Low'</f>
        <v>#REF!</v>
      </c>
      <c r="J8" s="51" t="e">
        <f>[1]!'FITE*2.TF-Amplitude'</f>
        <v>#REF!</v>
      </c>
      <c r="K8" s="2" t="e">
        <f>[1]!'FITE*2.TF-PreClose'</f>
        <v>#REF!</v>
      </c>
      <c r="L8" s="51" t="e">
        <f>[1]!'FITE*2.TF-Open'</f>
        <v>#REF!</v>
      </c>
      <c r="M8" s="51" t="e">
        <f>[1]!'FITE*2.TF-High'</f>
        <v>#REF!</v>
      </c>
      <c r="N8" s="51" t="e">
        <f>[1]!'FITE*2.TF-Low'</f>
        <v>#REF!</v>
      </c>
      <c r="O8" s="51" t="e">
        <f>[1]!'FITE*2.TF-PreTotalVolume'</f>
        <v>#REF!</v>
      </c>
      <c r="P8" s="2" t="e">
        <f>[1]!'FITE*2.TF-Bid'</f>
        <v>#REF!</v>
      </c>
      <c r="Q8" s="2" t="e">
        <f>[1]!'FITE*2.TF-Ask'</f>
        <v>#REF!</v>
      </c>
      <c r="R8" s="51" t="e">
        <f>[1]!'FITE*2.TF-PriceChange'</f>
        <v>#REF!</v>
      </c>
      <c r="S8" s="51" t="e">
        <f>[1]!'FITE*2.TF-PriceChangeRatio'</f>
        <v>#REF!</v>
      </c>
      <c r="T8" s="51" t="e">
        <f>[1]!'FITE*2.TF-Volume'</f>
        <v>#REF!</v>
      </c>
      <c r="U8" s="51" t="e">
        <f>[1]!'FITE*2.TF-TotalVolume'</f>
        <v>#REF!</v>
      </c>
    </row>
    <row r="9" spans="1:21">
      <c r="A9" s="51" t="e">
        <f>[1]!'FITE00.TF-Name'</f>
        <v>#REF!</v>
      </c>
      <c r="B9" s="51" t="e">
        <f>[1]!'FITE00.TF-ID'</f>
        <v>#REF!</v>
      </c>
      <c r="C9" s="2" t="e">
        <f>[1]!'FITE00.TF-Price'</f>
        <v>#REF!</v>
      </c>
      <c r="D9" s="51" t="e">
        <f>[1]!'FITE00.TF-PriceChangeRatio'</f>
        <v>#REF!</v>
      </c>
      <c r="E9" s="51" t="e">
        <f>[1]!'FITE00.TF-Volume'</f>
        <v>#REF!</v>
      </c>
      <c r="F9" s="51" t="e">
        <f>[1]!'FITE00.TF-TotalVolume'</f>
        <v>#REF!</v>
      </c>
      <c r="G9" s="51" t="e">
        <f>[1]!'FITE00.TF-Open'</f>
        <v>#REF!</v>
      </c>
      <c r="H9" s="51" t="e">
        <f>[1]!'FITE00.TF-High'</f>
        <v>#REF!</v>
      </c>
      <c r="I9" s="51" t="e">
        <f>[1]!'FITE00.TF-Low'</f>
        <v>#REF!</v>
      </c>
      <c r="J9" s="51" t="e">
        <f>[1]!'FITE00.TF-Amplitude'</f>
        <v>#REF!</v>
      </c>
      <c r="K9" s="2" t="e">
        <f>[1]!'FITE00.TF-PreClose'</f>
        <v>#REF!</v>
      </c>
      <c r="L9" s="51" t="e">
        <f>[1]!'FITE00.TF-Open'</f>
        <v>#REF!</v>
      </c>
      <c r="M9" s="51" t="e">
        <f>[1]!'FITE00.TF-High'</f>
        <v>#REF!</v>
      </c>
      <c r="N9" s="51" t="e">
        <f>[1]!'FITE00.TF-Low'</f>
        <v>#REF!</v>
      </c>
      <c r="O9" s="51" t="e">
        <f>[1]!'FITE00.TF-PreTotalVolume'</f>
        <v>#REF!</v>
      </c>
      <c r="P9" s="2" t="e">
        <f>[1]!'FITE00.TF-Bid'</f>
        <v>#REF!</v>
      </c>
      <c r="Q9" s="2" t="e">
        <f>[1]!'FITE00.TF-Ask'</f>
        <v>#REF!</v>
      </c>
      <c r="R9" s="51" t="e">
        <f>[1]!'FITE00.TF-PriceChange'</f>
        <v>#REF!</v>
      </c>
      <c r="S9" s="51" t="e">
        <f>[1]!'FITE00.TF-PriceChangeRatio'</f>
        <v>#REF!</v>
      </c>
      <c r="T9" s="51" t="e">
        <f>[1]!'FITE00.TF-Volume'</f>
        <v>#REF!</v>
      </c>
      <c r="U9" s="51" t="e">
        <f>[1]!'FITE00.TF-TotalVolume'</f>
        <v>#REF!</v>
      </c>
    </row>
    <row r="10" spans="1:21">
      <c r="A10" s="51" t="e">
        <f>[1]!'FITF*1.TF-Name'</f>
        <v>#REF!</v>
      </c>
      <c r="B10" s="51" t="e">
        <f>[1]!'FITF*1.TF-ID'</f>
        <v>#REF!</v>
      </c>
      <c r="C10" s="2" t="e">
        <f>[1]!'FITF*1.TF-Price'</f>
        <v>#REF!</v>
      </c>
      <c r="D10" s="51" t="e">
        <f>[1]!'FITF*1.TF-PriceChangeRatio'</f>
        <v>#REF!</v>
      </c>
      <c r="E10" s="51" t="e">
        <f>[1]!'FITF*1.TF-Volume'</f>
        <v>#REF!</v>
      </c>
      <c r="F10" s="51" t="e">
        <f>[1]!'FITF*1.TF-TotalVolume'</f>
        <v>#REF!</v>
      </c>
      <c r="G10" s="51" t="e">
        <f>[1]!'FITF*1.TF-Open'</f>
        <v>#REF!</v>
      </c>
      <c r="H10" s="51" t="e">
        <f>[1]!'FITF*1.TF-High'</f>
        <v>#REF!</v>
      </c>
      <c r="I10" s="51" t="e">
        <f>[1]!'FITF*1.TF-Low'</f>
        <v>#REF!</v>
      </c>
      <c r="J10" s="51" t="e">
        <f>[1]!'FITF*1.TF-Amplitude'</f>
        <v>#REF!</v>
      </c>
      <c r="K10" s="2" t="e">
        <f>[1]!'FITF*1.TF-PreClose'</f>
        <v>#REF!</v>
      </c>
      <c r="L10" s="51" t="e">
        <f>[1]!'FITF*1.TF-Open'</f>
        <v>#REF!</v>
      </c>
      <c r="M10" s="51" t="e">
        <f>[1]!'FITF*1.TF-High'</f>
        <v>#REF!</v>
      </c>
      <c r="N10" s="51" t="e">
        <f>[1]!'FITF*1.TF-Low'</f>
        <v>#REF!</v>
      </c>
      <c r="O10" s="51" t="e">
        <f>[1]!'FITF*1.TF-PreTotalVolume'</f>
        <v>#REF!</v>
      </c>
      <c r="P10" s="2" t="e">
        <f>[1]!'FITF*1.TF-Bid'</f>
        <v>#REF!</v>
      </c>
      <c r="Q10" s="2" t="e">
        <f>[1]!'FITF*1.TF-Ask'</f>
        <v>#REF!</v>
      </c>
      <c r="R10" s="51" t="e">
        <f>[1]!'FITF*1.TF-PriceChange'</f>
        <v>#REF!</v>
      </c>
      <c r="S10" s="51" t="e">
        <f>[1]!'FITF*1.TF-PriceChangeRatio'</f>
        <v>#REF!</v>
      </c>
      <c r="T10" s="51" t="e">
        <f>[1]!'FITF*1.TF-Volume'</f>
        <v>#REF!</v>
      </c>
      <c r="U10" s="51" t="e">
        <f>[1]!'FITF*1.TF-TotalVolume'</f>
        <v>#REF!</v>
      </c>
    </row>
    <row r="11" spans="1:21">
      <c r="A11" s="51" t="e">
        <f>[1]!'FITF*2.TF-Name'</f>
        <v>#REF!</v>
      </c>
      <c r="B11" s="51" t="e">
        <f>[1]!'FITF*2.TF-ID'</f>
        <v>#REF!</v>
      </c>
      <c r="C11" s="2" t="e">
        <f>[1]!'FITF*2.TF-Price'</f>
        <v>#REF!</v>
      </c>
      <c r="D11" s="51" t="e">
        <f>[1]!'FITF*2.TF-PriceChangeRatio'</f>
        <v>#REF!</v>
      </c>
      <c r="E11" s="51" t="e">
        <f>[1]!'FITF*2.TF-Volume'</f>
        <v>#REF!</v>
      </c>
      <c r="F11" s="51" t="e">
        <f>[1]!'FITF*2.TF-TotalVolume'</f>
        <v>#REF!</v>
      </c>
      <c r="G11" s="51" t="e">
        <f>[1]!'FITF*2.TF-Open'</f>
        <v>#REF!</v>
      </c>
      <c r="H11" s="51" t="e">
        <f>[1]!'FITF*2.TF-High'</f>
        <v>#REF!</v>
      </c>
      <c r="I11" s="51" t="e">
        <f>[1]!'FITF*2.TF-Low'</f>
        <v>#REF!</v>
      </c>
      <c r="J11" s="51" t="e">
        <f>[1]!'FITF*2.TF-Amplitude'</f>
        <v>#REF!</v>
      </c>
      <c r="K11" s="2" t="e">
        <f>[1]!'FITF*2.TF-PreClose'</f>
        <v>#REF!</v>
      </c>
      <c r="L11" s="51" t="e">
        <f>[1]!'FITF*2.TF-Open'</f>
        <v>#REF!</v>
      </c>
      <c r="M11" s="51" t="e">
        <f>[1]!'FITF*2.TF-High'</f>
        <v>#REF!</v>
      </c>
      <c r="N11" s="51" t="e">
        <f>[1]!'FITF*2.TF-Low'</f>
        <v>#REF!</v>
      </c>
      <c r="O11" s="51" t="e">
        <f>[1]!'FITF*2.TF-PreTotalVolume'</f>
        <v>#REF!</v>
      </c>
      <c r="P11" s="2" t="e">
        <f>[1]!'FITF*2.TF-Bid'</f>
        <v>#REF!</v>
      </c>
      <c r="Q11" s="2" t="e">
        <f>[1]!'FITF*2.TF-Ask'</f>
        <v>#REF!</v>
      </c>
      <c r="R11" s="51" t="e">
        <f>[1]!'FITF*2.TF-PriceChange'</f>
        <v>#REF!</v>
      </c>
      <c r="S11" s="51" t="e">
        <f>[1]!'FITF*2.TF-PriceChangeRatio'</f>
        <v>#REF!</v>
      </c>
      <c r="T11" s="51" t="e">
        <f>[1]!'FITF*2.TF-Volume'</f>
        <v>#REF!</v>
      </c>
      <c r="U11" s="51" t="e">
        <f>[1]!'FITF*2.TF-TotalVolume'</f>
        <v>#REF!</v>
      </c>
    </row>
    <row r="12" spans="1:21">
      <c r="A12" s="51" t="e">
        <f>[1]!'FITF00.TF-Name'</f>
        <v>#REF!</v>
      </c>
      <c r="B12" s="51" t="e">
        <f>[1]!'FITF00.TF-ID'</f>
        <v>#REF!</v>
      </c>
      <c r="C12" s="2" t="e">
        <f>[1]!'FITF00.TF-Price'</f>
        <v>#REF!</v>
      </c>
      <c r="D12" s="51" t="e">
        <f>[1]!'FITF00.TF-PriceChangeRatio'</f>
        <v>#REF!</v>
      </c>
      <c r="E12" s="51" t="e">
        <f>[1]!'FITF00.TF-Volume'</f>
        <v>#REF!</v>
      </c>
      <c r="F12" s="51" t="e">
        <f>[1]!'FITF00.TF-TotalVolume'</f>
        <v>#REF!</v>
      </c>
      <c r="G12" s="51" t="e">
        <f>[1]!'FITF00.TF-Open'</f>
        <v>#REF!</v>
      </c>
      <c r="H12" s="51" t="e">
        <f>[1]!'FITF00.TF-High'</f>
        <v>#REF!</v>
      </c>
      <c r="I12" s="51" t="e">
        <f>[1]!'FITF00.TF-Low'</f>
        <v>#REF!</v>
      </c>
      <c r="J12" s="51" t="e">
        <f>[1]!'FITF00.TF-Amplitude'</f>
        <v>#REF!</v>
      </c>
      <c r="K12" s="2" t="e">
        <f>[1]!'FITF00.TF-PreClose'</f>
        <v>#REF!</v>
      </c>
      <c r="L12" s="51" t="e">
        <f>[1]!'FITF00.TF-Open'</f>
        <v>#REF!</v>
      </c>
      <c r="M12" s="51" t="e">
        <f>[1]!'FITF00.TF-High'</f>
        <v>#REF!</v>
      </c>
      <c r="N12" s="51" t="e">
        <f>[1]!'FITF00.TF-Low'</f>
        <v>#REF!</v>
      </c>
      <c r="O12" s="51" t="e">
        <f>[1]!'FITF00.TF-PreTotalVolume'</f>
        <v>#REF!</v>
      </c>
      <c r="P12" s="2" t="e">
        <f>[1]!'FITF00.TF-Bid'</f>
        <v>#REF!</v>
      </c>
      <c r="Q12" s="2" t="e">
        <f>[1]!'FITF00.TF-Ask'</f>
        <v>#REF!</v>
      </c>
      <c r="R12" s="51" t="e">
        <f>[1]!'FITF00.TF-PriceChange'</f>
        <v>#REF!</v>
      </c>
      <c r="S12" s="51" t="e">
        <f>[1]!'FITF00.TF-PriceChangeRatio'</f>
        <v>#REF!</v>
      </c>
      <c r="T12" s="51" t="e">
        <f>[1]!'FITF00.TF-Volume'</f>
        <v>#REF!</v>
      </c>
      <c r="U12" s="51" t="e">
        <f>[1]!'FITF00.TF-TotalVolume'</f>
        <v>#REF!</v>
      </c>
    </row>
    <row r="13" spans="1:21">
      <c r="A13" s="51" t="e">
        <f>[1]!'FIMTX*1.TF-Name'</f>
        <v>#REF!</v>
      </c>
      <c r="B13" s="51" t="e">
        <f>[1]!'FIMTX*1.TF-ID'</f>
        <v>#REF!</v>
      </c>
      <c r="C13" s="2" t="e">
        <f>[1]!'FIMTX*1.TF-Price'</f>
        <v>#REF!</v>
      </c>
      <c r="D13" s="51" t="e">
        <f>[1]!'FIMTX*1.TF-PriceChangeRatio'</f>
        <v>#REF!</v>
      </c>
      <c r="E13" s="51" t="e">
        <f>[1]!'FIMTX*1.TF-Volume'</f>
        <v>#REF!</v>
      </c>
      <c r="F13" s="51" t="e">
        <f>[1]!'FIMTX*1.TF-TotalVolume'</f>
        <v>#REF!</v>
      </c>
      <c r="G13" s="51" t="e">
        <f>[1]!'FIMTX*1.TF-Open'</f>
        <v>#REF!</v>
      </c>
      <c r="H13" s="51" t="e">
        <f>[1]!'FIMTX*1.TF-High'</f>
        <v>#REF!</v>
      </c>
      <c r="I13" s="51" t="e">
        <f>[1]!'FIMTX*1.TF-Low'</f>
        <v>#REF!</v>
      </c>
      <c r="J13" s="51" t="e">
        <f>[1]!'FIMTX*1.TF-Amplitude'</f>
        <v>#REF!</v>
      </c>
      <c r="K13" s="2" t="e">
        <f>[1]!'FIMTX*1.TF-PreClose'</f>
        <v>#REF!</v>
      </c>
      <c r="L13" s="51" t="e">
        <f>[1]!'FIMTX*1.TF-Open'</f>
        <v>#REF!</v>
      </c>
      <c r="M13" s="51" t="e">
        <f>[1]!'FIMTX*1.TF-High'</f>
        <v>#REF!</v>
      </c>
      <c r="N13" s="51" t="e">
        <f>[1]!'FIMTX*1.TF-Low'</f>
        <v>#REF!</v>
      </c>
      <c r="O13" s="51" t="e">
        <f>[1]!'FIMTX*1.TF-PreTotalVolume'</f>
        <v>#REF!</v>
      </c>
      <c r="P13" s="2" t="e">
        <f>[1]!'FIMTX*1.TF-Bid'</f>
        <v>#REF!</v>
      </c>
      <c r="Q13" s="2" t="e">
        <f>[1]!'FIMTX*1.TF-Ask'</f>
        <v>#REF!</v>
      </c>
      <c r="R13" s="51" t="e">
        <f>[1]!'FIMTX*1.TF-PriceChange'</f>
        <v>#REF!</v>
      </c>
      <c r="S13" s="51" t="e">
        <f>[1]!'FIMTX*1.TF-PriceChangeRatio'</f>
        <v>#REF!</v>
      </c>
      <c r="T13" s="51" t="e">
        <f>[1]!'FIMTX*1.TF-Volume'</f>
        <v>#REF!</v>
      </c>
      <c r="U13" s="51" t="e">
        <f>[1]!'FIMTX*1.TF-TotalVolume'</f>
        <v>#REF!</v>
      </c>
    </row>
    <row r="14" spans="1:21">
      <c r="A14" s="51" t="e">
        <f>[1]!'FIMTX*2.TF-Name'</f>
        <v>#REF!</v>
      </c>
      <c r="B14" s="51" t="e">
        <f>[1]!'FIMTX*2.TF-ID'</f>
        <v>#REF!</v>
      </c>
      <c r="C14" s="2" t="e">
        <f>[1]!'FIMTX*2.TF-Price'</f>
        <v>#REF!</v>
      </c>
      <c r="D14" s="51" t="e">
        <f>[1]!'FIMTX*2.TF-PriceChangeRatio'</f>
        <v>#REF!</v>
      </c>
      <c r="E14" s="51" t="e">
        <f>[1]!'FIMTX*2.TF-Volume'</f>
        <v>#REF!</v>
      </c>
      <c r="F14" s="51" t="e">
        <f>[1]!'FIMTX*2.TF-TotalVolume'</f>
        <v>#REF!</v>
      </c>
      <c r="G14" s="51" t="e">
        <f>[1]!'FIMTX*2.TF-Open'</f>
        <v>#REF!</v>
      </c>
      <c r="H14" s="51" t="e">
        <f>[1]!'FIMTX*2.TF-High'</f>
        <v>#REF!</v>
      </c>
      <c r="I14" s="51" t="e">
        <f>[1]!'FIMTX*2.TF-Low'</f>
        <v>#REF!</v>
      </c>
      <c r="J14" s="51" t="e">
        <f>[1]!'FIMTX*2.TF-Amplitude'</f>
        <v>#REF!</v>
      </c>
      <c r="K14" s="2" t="e">
        <f>[1]!'FIMTX*2.TF-PreClose'</f>
        <v>#REF!</v>
      </c>
      <c r="L14" s="51" t="e">
        <f>[1]!'FIMTX*2.TF-Open'</f>
        <v>#REF!</v>
      </c>
      <c r="M14" s="51" t="e">
        <f>[1]!'FIMTX*2.TF-High'</f>
        <v>#REF!</v>
      </c>
      <c r="N14" s="51" t="e">
        <f>[1]!'FIMTX*2.TF-Low'</f>
        <v>#REF!</v>
      </c>
      <c r="O14" s="51" t="e">
        <f>[1]!'FIMTX*2.TF-PreTotalVolume'</f>
        <v>#REF!</v>
      </c>
      <c r="P14" s="2" t="e">
        <f>[1]!'FIMTX*2.TF-Bid'</f>
        <v>#REF!</v>
      </c>
      <c r="Q14" s="2" t="e">
        <f>[1]!'FIMTX*2.TF-Ask'</f>
        <v>#REF!</v>
      </c>
      <c r="R14" s="51" t="e">
        <f>[1]!'FIMTX*2.TF-PriceChange'</f>
        <v>#REF!</v>
      </c>
      <c r="S14" s="51" t="e">
        <f>[1]!'FIMTX*2.TF-PriceChangeRatio'</f>
        <v>#REF!</v>
      </c>
      <c r="T14" s="51" t="e">
        <f>[1]!'FIMTX*2.TF-Volume'</f>
        <v>#REF!</v>
      </c>
      <c r="U14" s="51" t="e">
        <f>[1]!'FIMTX*2.TF-TotalVolume'</f>
        <v>#REF!</v>
      </c>
    </row>
    <row r="15" spans="1:21">
      <c r="A15" s="51" t="e">
        <f>[1]!'FIMTX00.TF-Name'</f>
        <v>#REF!</v>
      </c>
      <c r="B15" s="51" t="e">
        <f>[1]!'FIMTX00.TF-ID'</f>
        <v>#REF!</v>
      </c>
      <c r="C15" s="2" t="e">
        <f>[1]!'FIMTX00.TF-Price'</f>
        <v>#REF!</v>
      </c>
      <c r="D15" s="51" t="e">
        <f>[1]!'FIMTX00.TF-PriceChangeRatio'</f>
        <v>#REF!</v>
      </c>
      <c r="E15" s="51" t="e">
        <f>[1]!'FIMTX00.TF-Volume'</f>
        <v>#REF!</v>
      </c>
      <c r="F15" s="51" t="e">
        <f>[1]!'FIMTX00.TF-TotalVolume'</f>
        <v>#REF!</v>
      </c>
      <c r="G15" s="51" t="e">
        <f>[1]!'FIMTX00.TF-Open'</f>
        <v>#REF!</v>
      </c>
      <c r="H15" s="51" t="e">
        <f>[1]!'FIMTX00.TF-High'</f>
        <v>#REF!</v>
      </c>
      <c r="I15" s="51" t="e">
        <f>[1]!'FIMTX00.TF-Low'</f>
        <v>#REF!</v>
      </c>
      <c r="J15" s="51" t="e">
        <f>[1]!'FIMTX00.TF-Amplitude'</f>
        <v>#REF!</v>
      </c>
      <c r="K15" s="2" t="e">
        <f>[1]!'FIMTX00.TF-PreClose'</f>
        <v>#REF!</v>
      </c>
      <c r="L15" s="51" t="e">
        <f>[1]!'FIMTX00.TF-Open'</f>
        <v>#REF!</v>
      </c>
      <c r="M15" s="51" t="e">
        <f>[1]!'FIMTX00.TF-High'</f>
        <v>#REF!</v>
      </c>
      <c r="N15" s="51" t="e">
        <f>[1]!'FIMTX00.TF-Low'</f>
        <v>#REF!</v>
      </c>
      <c r="O15" s="51" t="e">
        <f>[1]!'FIMTX00.TF-PreTotalVolume'</f>
        <v>#REF!</v>
      </c>
      <c r="P15" s="2" t="e">
        <f>[1]!'FIMTX00.TF-Bid'</f>
        <v>#REF!</v>
      </c>
      <c r="Q15" s="2" t="e">
        <f>[1]!'FIMTX00.TF-Ask'</f>
        <v>#REF!</v>
      </c>
      <c r="R15" s="51" t="e">
        <f>[1]!'FIMTX00.TF-PriceChange'</f>
        <v>#REF!</v>
      </c>
      <c r="S15" s="51" t="e">
        <f>[1]!'FIMTX00.TF-PriceChangeRatio'</f>
        <v>#REF!</v>
      </c>
      <c r="T15" s="51" t="e">
        <f>[1]!'FIMTX00.TF-Volume'</f>
        <v>#REF!</v>
      </c>
      <c r="U15" s="51" t="e">
        <f>[1]!'FIMTX00.TF-TotalVolume'</f>
        <v>#REF!</v>
      </c>
    </row>
    <row r="16" spans="1:21">
      <c r="A16" s="51" t="e">
        <f>[1]!'FIMTXN*1.TF-Name'</f>
        <v>#REF!</v>
      </c>
      <c r="B16" s="51" t="e">
        <f>[1]!'FIMTXN*1.TF-ID'</f>
        <v>#REF!</v>
      </c>
      <c r="C16" s="2" t="e">
        <f>[1]!'FIMTXN*1.TF-Price'</f>
        <v>#REF!</v>
      </c>
      <c r="D16" s="51" t="e">
        <f>[1]!'FIMTXN*1.TF-PriceChangeRatio'</f>
        <v>#REF!</v>
      </c>
      <c r="E16" s="51" t="e">
        <f>[1]!'FIMTXN*1.TF-Volume'</f>
        <v>#REF!</v>
      </c>
      <c r="F16" s="51" t="e">
        <f>[1]!'FIMTXN*1.TF-TotalVolume'</f>
        <v>#REF!</v>
      </c>
      <c r="G16" s="51" t="e">
        <f>[1]!'FIMTXN*1.TF-Open'</f>
        <v>#REF!</v>
      </c>
      <c r="H16" s="51" t="e">
        <f>[1]!'FIMTXN*1.TF-High'</f>
        <v>#REF!</v>
      </c>
      <c r="I16" s="51" t="e">
        <f>[1]!'FIMTXN*1.TF-Low'</f>
        <v>#REF!</v>
      </c>
      <c r="J16" s="51" t="e">
        <f>[1]!'FIMTXN*1.TF-Amplitude'</f>
        <v>#REF!</v>
      </c>
      <c r="K16" s="2" t="e">
        <f>[1]!'FIMTXN*1.TF-PreClose'</f>
        <v>#REF!</v>
      </c>
      <c r="L16" s="51" t="e">
        <f>[1]!'FIMTXN*1.TF-Open'</f>
        <v>#REF!</v>
      </c>
      <c r="M16" s="51" t="e">
        <f>[1]!'FIMTXN*1.TF-High'</f>
        <v>#REF!</v>
      </c>
      <c r="N16" s="51" t="e">
        <f>[1]!'FIMTXN*1.TF-Low'</f>
        <v>#REF!</v>
      </c>
      <c r="O16" s="51" t="e">
        <f>[1]!'FIMTXN*1.TF-PreTotalVolume'</f>
        <v>#REF!</v>
      </c>
      <c r="P16" s="2" t="e">
        <f>[1]!'FIMTXN*1.TF-Bid'</f>
        <v>#REF!</v>
      </c>
      <c r="Q16" s="2" t="e">
        <f>[1]!'FIMTXN*1.TF-Ask'</f>
        <v>#REF!</v>
      </c>
      <c r="R16" s="51" t="e">
        <f>[1]!'FIMTXN*1.TF-PriceChange'</f>
        <v>#REF!</v>
      </c>
      <c r="S16" s="51" t="e">
        <f>[1]!'FIMTXN*1.TF-PriceChangeRatio'</f>
        <v>#REF!</v>
      </c>
      <c r="T16" s="51" t="e">
        <f>[1]!'FIMTXN*1.TF-Volume'</f>
        <v>#REF!</v>
      </c>
      <c r="U16" s="51" t="e">
        <f>[1]!'FIMTXN*1.TF-TotalVolume'</f>
        <v>#REF!</v>
      </c>
    </row>
    <row r="17" spans="1:21">
      <c r="A17" s="51" t="e">
        <f>[1]!'FIMTXN*2.TF-Name'</f>
        <v>#REF!</v>
      </c>
      <c r="B17" s="51" t="e">
        <f>[1]!'FIMTXN*2.TF-ID'</f>
        <v>#REF!</v>
      </c>
      <c r="C17" s="2" t="e">
        <f>[1]!'FIMTXN*2.TF-Price'</f>
        <v>#REF!</v>
      </c>
      <c r="D17" s="51" t="e">
        <f>[1]!'FIMTXN*2.TF-PriceChangeRatio'</f>
        <v>#REF!</v>
      </c>
      <c r="E17" s="51" t="e">
        <f>[1]!'FIMTXN*2.TF-Volume'</f>
        <v>#REF!</v>
      </c>
      <c r="F17" s="51" t="e">
        <f>[1]!'FIMTXN*2.TF-TotalVolume'</f>
        <v>#REF!</v>
      </c>
      <c r="G17" s="51" t="e">
        <f>[1]!'FIMTXN*2.TF-Open'</f>
        <v>#REF!</v>
      </c>
      <c r="H17" s="51" t="e">
        <f>[1]!'FIMTXN*2.TF-High'</f>
        <v>#REF!</v>
      </c>
      <c r="I17" s="51" t="e">
        <f>[1]!'FIMTXN*2.TF-Low'</f>
        <v>#REF!</v>
      </c>
      <c r="J17" s="51" t="e">
        <f>[1]!'FIMTXN*2.TF-Amplitude'</f>
        <v>#REF!</v>
      </c>
      <c r="K17" s="2" t="e">
        <f>[1]!'FIMTXN*2.TF-PreClose'</f>
        <v>#REF!</v>
      </c>
      <c r="L17" s="51" t="e">
        <f>[1]!'FIMTXN*2.TF-Open'</f>
        <v>#REF!</v>
      </c>
      <c r="M17" s="51" t="e">
        <f>[1]!'FIMTXN*2.TF-High'</f>
        <v>#REF!</v>
      </c>
      <c r="N17" s="51" t="e">
        <f>[1]!'FIMTXN*2.TF-Low'</f>
        <v>#REF!</v>
      </c>
      <c r="O17" s="51" t="e">
        <f>[1]!'FIMTXN*2.TF-PreTotalVolume'</f>
        <v>#REF!</v>
      </c>
      <c r="P17" s="2" t="e">
        <f>[1]!'FIMTXN*2.TF-Bid'</f>
        <v>#REF!</v>
      </c>
      <c r="Q17" s="2" t="e">
        <f>[1]!'FIMTXN*2.TF-Ask'</f>
        <v>#REF!</v>
      </c>
      <c r="R17" s="51" t="e">
        <f>[1]!'FIMTXN*2.TF-PriceChange'</f>
        <v>#REF!</v>
      </c>
      <c r="S17" s="51" t="e">
        <f>[1]!'FIMTXN*2.TF-PriceChangeRatio'</f>
        <v>#REF!</v>
      </c>
      <c r="T17" s="51" t="e">
        <f>[1]!'FIMTXN*2.TF-Volume'</f>
        <v>#REF!</v>
      </c>
      <c r="U17" s="51" t="e">
        <f>[1]!'FIMTXN*2.TF-TotalVolume'</f>
        <v>#REF!</v>
      </c>
    </row>
    <row r="18" spans="1:21">
      <c r="A18" s="51" t="e">
        <f>[1]!'FITV*1.TF-Name'</f>
        <v>#REF!</v>
      </c>
      <c r="B18" s="51" t="e">
        <f>[1]!'FITV*1.TF-ID'</f>
        <v>#REF!</v>
      </c>
      <c r="C18" s="2" t="e">
        <f>[1]!'FITV*1.TF-Price'</f>
        <v>#REF!</v>
      </c>
      <c r="D18" s="51" t="e">
        <f>[1]!'FITV*1.TF-PriceChangeRatio'</f>
        <v>#REF!</v>
      </c>
      <c r="E18" s="51" t="e">
        <f>[1]!'FITV*1.TF-Volume'</f>
        <v>#REF!</v>
      </c>
      <c r="F18" s="51" t="e">
        <f>[1]!'FITV*1.TF-TotalVolume'</f>
        <v>#REF!</v>
      </c>
      <c r="G18" s="51" t="e">
        <f>[1]!'FITV*1.TF-Open'</f>
        <v>#REF!</v>
      </c>
      <c r="H18" s="51" t="e">
        <f>[1]!'FITV*1.TF-High'</f>
        <v>#REF!</v>
      </c>
      <c r="I18" s="51" t="e">
        <f>[1]!'FITV*1.TF-Low'</f>
        <v>#REF!</v>
      </c>
      <c r="J18" s="51" t="e">
        <f>[1]!'FITV*1.TF-Amplitude'</f>
        <v>#REF!</v>
      </c>
      <c r="K18" s="2" t="e">
        <f>[1]!'FITV*1.TF-PreClose'</f>
        <v>#REF!</v>
      </c>
      <c r="L18" s="51" t="e">
        <f>[1]!'FITV*1.TF-Open'</f>
        <v>#REF!</v>
      </c>
      <c r="M18" s="51" t="e">
        <f>[1]!'FITV*1.TF-High'</f>
        <v>#REF!</v>
      </c>
      <c r="N18" s="51" t="e">
        <f>[1]!'FITV*1.TF-Low'</f>
        <v>#REF!</v>
      </c>
      <c r="O18" s="51" t="e">
        <f>[1]!'FITV*1.TF-PreTotalVolume'</f>
        <v>#REF!</v>
      </c>
      <c r="P18" s="2" t="e">
        <f>[1]!'FITV*1.TF-Bid'</f>
        <v>#REF!</v>
      </c>
      <c r="Q18" s="2" t="e">
        <f>[1]!'FITV*1.TF-Ask'</f>
        <v>#REF!</v>
      </c>
      <c r="R18" s="51" t="e">
        <f>[1]!'FITV*1.TF-PriceChange'</f>
        <v>#REF!</v>
      </c>
      <c r="S18" s="51" t="e">
        <f>[1]!'FITV*1.TF-PriceChangeRatio'</f>
        <v>#REF!</v>
      </c>
      <c r="T18" s="51" t="e">
        <f>[1]!'FITV*1.TF-Volume'</f>
        <v>#REF!</v>
      </c>
      <c r="U18" s="51" t="e">
        <f>[1]!'FITV*1.TF-TotalVolume'</f>
        <v>#REF!</v>
      </c>
    </row>
    <row r="19" spans="1:21">
      <c r="A19" s="51" t="e">
        <f>[1]!'FITV*2.TF-Name'</f>
        <v>#REF!</v>
      </c>
      <c r="B19" s="51" t="e">
        <f>[1]!'FITV*2.TF-ID'</f>
        <v>#REF!</v>
      </c>
      <c r="C19" s="2" t="e">
        <f>[1]!'FITV*2.TF-Price'</f>
        <v>#REF!</v>
      </c>
      <c r="D19" s="51" t="e">
        <f>[1]!'FITV*2.TF-PriceChangeRatio'</f>
        <v>#REF!</v>
      </c>
      <c r="E19" s="51" t="e">
        <f>[1]!'FITV*2.TF-Volume'</f>
        <v>#REF!</v>
      </c>
      <c r="F19" s="51" t="e">
        <f>[1]!'FITV*2.TF-TotalVolume'</f>
        <v>#REF!</v>
      </c>
      <c r="G19" s="51" t="e">
        <f>[1]!'FITV*2.TF-Open'</f>
        <v>#REF!</v>
      </c>
      <c r="H19" s="51" t="e">
        <f>[1]!'FITV*2.TF-High'</f>
        <v>#REF!</v>
      </c>
      <c r="I19" s="51" t="e">
        <f>[1]!'FITV*2.TF-Low'</f>
        <v>#REF!</v>
      </c>
      <c r="J19" s="51" t="e">
        <f>[1]!'FITV*2.TF-Amplitude'</f>
        <v>#REF!</v>
      </c>
      <c r="K19" s="2" t="e">
        <f>[1]!'FITV*2.TF-PreClose'</f>
        <v>#REF!</v>
      </c>
      <c r="L19" s="51" t="e">
        <f>[1]!'FITV*2.TF-Open'</f>
        <v>#REF!</v>
      </c>
      <c r="M19" s="51" t="e">
        <f>[1]!'FITV*2.TF-High'</f>
        <v>#REF!</v>
      </c>
      <c r="N19" s="51" t="e">
        <f>[1]!'FITV*2.TF-Low'</f>
        <v>#REF!</v>
      </c>
      <c r="O19" s="51" t="e">
        <f>[1]!'FITV*2.TF-PreTotalVolume'</f>
        <v>#REF!</v>
      </c>
      <c r="P19" s="2" t="e">
        <f>[1]!'FITV*2.TF-Bid'</f>
        <v>#REF!</v>
      </c>
      <c r="Q19" s="2" t="e">
        <f>[1]!'FITV*2.TF-Ask'</f>
        <v>#REF!</v>
      </c>
      <c r="R19" s="51" t="e">
        <f>[1]!'FITV*2.TF-PriceChange'</f>
        <v>#REF!</v>
      </c>
      <c r="S19" s="51" t="e">
        <f>[1]!'FITV*2.TF-PriceChangeRatio'</f>
        <v>#REF!</v>
      </c>
      <c r="T19" s="51" t="e">
        <f>[1]!'FITV*2.TF-Volume'</f>
        <v>#REF!</v>
      </c>
      <c r="U19" s="51" t="e">
        <f>[1]!'FITV*2.TF-TotalVolume'</f>
        <v>#REF!</v>
      </c>
    </row>
    <row r="20" spans="1:21">
      <c r="A20" s="51" t="e">
        <f>[1]!'FITV00.TF-Name'</f>
        <v>#REF!</v>
      </c>
      <c r="B20" s="51" t="e">
        <f>[1]!'FITV00.TF-ID'</f>
        <v>#REF!</v>
      </c>
      <c r="C20" s="2" t="e">
        <f>[1]!'FITV00.TF-Price'</f>
        <v>#REF!</v>
      </c>
      <c r="D20" s="51" t="e">
        <f>[1]!'FITV00.TF-PriceChangeRatio'</f>
        <v>#REF!</v>
      </c>
      <c r="E20" s="51" t="e">
        <f>[1]!'FITV00.TF-Volume'</f>
        <v>#REF!</v>
      </c>
      <c r="F20" s="51" t="e">
        <f>[1]!'FITV00.TF-TotalVolume'</f>
        <v>#REF!</v>
      </c>
      <c r="G20" s="51" t="e">
        <f>[1]!'FITV00.TF-Open'</f>
        <v>#REF!</v>
      </c>
      <c r="H20" s="51" t="e">
        <f>[1]!'FITV00.TF-High'</f>
        <v>#REF!</v>
      </c>
      <c r="I20" s="51" t="e">
        <f>[1]!'FITV00.TF-Low'</f>
        <v>#REF!</v>
      </c>
      <c r="J20" s="51" t="e">
        <f>[1]!'FITV00.TF-Amplitude'</f>
        <v>#REF!</v>
      </c>
      <c r="K20" s="2" t="e">
        <f>[1]!'FITV00.TF-PreClose'</f>
        <v>#REF!</v>
      </c>
      <c r="L20" s="51" t="e">
        <f>[1]!'FITV00.TF-Open'</f>
        <v>#REF!</v>
      </c>
      <c r="M20" s="51" t="e">
        <f>[1]!'FITV00.TF-High'</f>
        <v>#REF!</v>
      </c>
      <c r="N20" s="51" t="e">
        <f>[1]!'FITV00.TF-Low'</f>
        <v>#REF!</v>
      </c>
      <c r="O20" s="51" t="e">
        <f>[1]!'FITV00.TF-PreTotalVolume'</f>
        <v>#REF!</v>
      </c>
      <c r="P20" s="2" t="e">
        <f>[1]!'FITV00.TF-Bid'</f>
        <v>#REF!</v>
      </c>
      <c r="Q20" s="2" t="e">
        <f>[1]!'FITV00.TF-Ask'</f>
        <v>#REF!</v>
      </c>
      <c r="R20" s="51" t="e">
        <f>[1]!'FITV00.TF-PriceChange'</f>
        <v>#REF!</v>
      </c>
      <c r="S20" s="51" t="e">
        <f>[1]!'FITV00.TF-PriceChangeRatio'</f>
        <v>#REF!</v>
      </c>
      <c r="T20" s="51" t="e">
        <f>[1]!'FITV00.TF-Volume'</f>
        <v>#REF!</v>
      </c>
      <c r="U20" s="51" t="e">
        <f>[1]!'FITV00.TF-TotalVolume'</f>
        <v>#REF!</v>
      </c>
    </row>
    <row r="21" spans="1:21">
      <c r="A21" s="51" t="e">
        <f>[1]!'FIGD*1.TF-Name'</f>
        <v>#REF!</v>
      </c>
      <c r="B21" s="51" t="e">
        <f>[1]!'FIGD*1.TF-ID'</f>
        <v>#REF!</v>
      </c>
      <c r="C21" s="2" t="e">
        <f>[1]!'FIGD*1.TF-Price'</f>
        <v>#REF!</v>
      </c>
      <c r="D21" s="51" t="e">
        <f>[1]!'FIGD*1.TF-PriceChangeRatio'</f>
        <v>#REF!</v>
      </c>
      <c r="E21" s="51" t="e">
        <f>[1]!'FIGD*1.TF-Volume'</f>
        <v>#REF!</v>
      </c>
      <c r="F21" s="51" t="e">
        <f>[1]!'FIGD*1.TF-TotalVolume'</f>
        <v>#REF!</v>
      </c>
      <c r="G21" s="51" t="e">
        <f>[1]!'FIGD*1.TF-Open'</f>
        <v>#REF!</v>
      </c>
      <c r="H21" s="51" t="e">
        <f>[1]!'FIGD*1.TF-High'</f>
        <v>#REF!</v>
      </c>
      <c r="I21" s="51" t="e">
        <f>[1]!'FIGD*1.TF-Low'</f>
        <v>#REF!</v>
      </c>
      <c r="J21" s="51" t="e">
        <f>[1]!'FIGD*1.TF-Amplitude'</f>
        <v>#REF!</v>
      </c>
      <c r="K21" s="2" t="e">
        <f>[1]!'FIGD*1.TF-PreClose'</f>
        <v>#REF!</v>
      </c>
      <c r="L21" s="51" t="e">
        <f>[1]!'FIGD*1.TF-Open'</f>
        <v>#REF!</v>
      </c>
      <c r="M21" s="51" t="e">
        <f>[1]!'FIGD*1.TF-High'</f>
        <v>#REF!</v>
      </c>
      <c r="N21" s="51" t="e">
        <f>[1]!'FIGD*1.TF-Low'</f>
        <v>#REF!</v>
      </c>
      <c r="O21" s="51" t="e">
        <f>[1]!'FIGD*1.TF-PreTotalVolume'</f>
        <v>#REF!</v>
      </c>
      <c r="P21" s="2" t="e">
        <f>[1]!'FIGD*1.TF-Bid'</f>
        <v>#REF!</v>
      </c>
      <c r="Q21" s="2" t="e">
        <f>[1]!'FIGD*1.TF-Ask'</f>
        <v>#REF!</v>
      </c>
      <c r="R21" s="51" t="e">
        <f>[1]!'FIGD*1.TF-PriceChange'</f>
        <v>#REF!</v>
      </c>
      <c r="S21" s="51" t="e">
        <f>[1]!'FIGD*1.TF-PriceChangeRatio'</f>
        <v>#REF!</v>
      </c>
      <c r="T21" s="51" t="e">
        <f>[1]!'FIGD*1.TF-Volume'</f>
        <v>#REF!</v>
      </c>
      <c r="U21" s="51" t="e">
        <f>[1]!'FIGD*1.TF-TotalVolume'</f>
        <v>#REF!</v>
      </c>
    </row>
    <row r="22" spans="1:21">
      <c r="A22" s="51" t="e">
        <f>[1]!'FIGD*2.TF-Name'</f>
        <v>#REF!</v>
      </c>
      <c r="B22" s="51" t="e">
        <f>[1]!'FIGD*2.TF-ID'</f>
        <v>#REF!</v>
      </c>
      <c r="C22" s="2" t="e">
        <f>[1]!'FIGD*2.TF-Price'</f>
        <v>#REF!</v>
      </c>
      <c r="D22" s="51" t="e">
        <f>[1]!'FIGD*2.TF-PriceChangeRatio'</f>
        <v>#REF!</v>
      </c>
      <c r="E22" s="51" t="e">
        <f>[1]!'FIGD*2.TF-Volume'</f>
        <v>#REF!</v>
      </c>
      <c r="F22" s="51" t="e">
        <f>[1]!'FIGD*2.TF-TotalVolume'</f>
        <v>#REF!</v>
      </c>
      <c r="G22" s="51" t="e">
        <f>[1]!'FIGD*2.TF-Open'</f>
        <v>#REF!</v>
      </c>
      <c r="H22" s="51" t="e">
        <f>[1]!'FIGD*2.TF-High'</f>
        <v>#REF!</v>
      </c>
      <c r="I22" s="51" t="e">
        <f>[1]!'FIGD*2.TF-Low'</f>
        <v>#REF!</v>
      </c>
      <c r="J22" s="51" t="e">
        <f>[1]!'FIGD*2.TF-Amplitude'</f>
        <v>#REF!</v>
      </c>
      <c r="K22" s="2" t="e">
        <f>[1]!'FIGD*2.TF-PreClose'</f>
        <v>#REF!</v>
      </c>
      <c r="L22" s="51" t="e">
        <f>[1]!'FIGD*2.TF-Open'</f>
        <v>#REF!</v>
      </c>
      <c r="M22" s="51" t="e">
        <f>[1]!'FIGD*2.TF-High'</f>
        <v>#REF!</v>
      </c>
      <c r="N22" s="51" t="e">
        <f>[1]!'FIGD*2.TF-Low'</f>
        <v>#REF!</v>
      </c>
      <c r="O22" s="51" t="e">
        <f>[1]!'FIGD*2.TF-PreTotalVolume'</f>
        <v>#REF!</v>
      </c>
      <c r="P22" s="2" t="e">
        <f>[1]!'FIGD*2.TF-Bid'</f>
        <v>#REF!</v>
      </c>
      <c r="Q22" s="2" t="e">
        <f>[1]!'FIGD*2.TF-Ask'</f>
        <v>#REF!</v>
      </c>
      <c r="R22" s="51" t="e">
        <f>[1]!'FIGD*2.TF-PriceChange'</f>
        <v>#REF!</v>
      </c>
      <c r="S22" s="51" t="e">
        <f>[1]!'FIGD*2.TF-PriceChangeRatio'</f>
        <v>#REF!</v>
      </c>
      <c r="T22" s="51" t="e">
        <f>[1]!'FIGD*2.TF-Volume'</f>
        <v>#REF!</v>
      </c>
      <c r="U22" s="51" t="e">
        <f>[1]!'FIGD*2.TF-TotalVolume'</f>
        <v>#REF!</v>
      </c>
    </row>
    <row r="23" spans="1:21">
      <c r="A23" s="51" t="e">
        <f>[1]!'FIXI*1.TF-Name'</f>
        <v>#REF!</v>
      </c>
      <c r="B23" s="51" t="e">
        <f>[1]!'FIXI*1.TF-ID'</f>
        <v>#REF!</v>
      </c>
      <c r="C23" s="2" t="e">
        <f>[1]!'FIXI*1.TF-Price'</f>
        <v>#REF!</v>
      </c>
      <c r="D23" s="51" t="e">
        <f>[1]!'FIXI*1.TF-PriceChangeRatio'</f>
        <v>#REF!</v>
      </c>
      <c r="E23" s="51" t="e">
        <f>[1]!'FIXI*1.TF-Volume'</f>
        <v>#REF!</v>
      </c>
      <c r="F23" s="51" t="e">
        <f>[1]!'FIXI*1.TF-TotalVolume'</f>
        <v>#REF!</v>
      </c>
      <c r="G23" s="51" t="e">
        <f>[1]!'FIXI*1.TF-Open'</f>
        <v>#REF!</v>
      </c>
      <c r="H23" s="51" t="e">
        <f>[1]!'FIXI*1.TF-High'</f>
        <v>#REF!</v>
      </c>
      <c r="I23" s="51" t="e">
        <f>[1]!'FIXI*1.TF-Low'</f>
        <v>#REF!</v>
      </c>
      <c r="J23" s="51" t="e">
        <f>[1]!'FIXI*1.TF-Amplitude'</f>
        <v>#REF!</v>
      </c>
      <c r="K23" s="2" t="e">
        <f>[1]!'FIXI*1.TF-PreClose'</f>
        <v>#REF!</v>
      </c>
      <c r="L23" s="51" t="e">
        <f>[1]!'FIXI*1.TF-Open'</f>
        <v>#REF!</v>
      </c>
      <c r="M23" s="51" t="e">
        <f>[1]!'FIXI*1.TF-High'</f>
        <v>#REF!</v>
      </c>
      <c r="N23" s="51" t="e">
        <f>[1]!'FIXI*1.TF-Low'</f>
        <v>#REF!</v>
      </c>
      <c r="O23" s="51" t="e">
        <f>[1]!'FIXI*1.TF-PreTotalVolume'</f>
        <v>#REF!</v>
      </c>
      <c r="P23" s="2" t="e">
        <f>[1]!'FIXI*1.TF-Bid'</f>
        <v>#REF!</v>
      </c>
      <c r="Q23" s="2" t="e">
        <f>[1]!'FIXI*1.TF-Ask'</f>
        <v>#REF!</v>
      </c>
      <c r="R23" s="51" t="e">
        <f>[1]!'FIXI*1.TF-PriceChange'</f>
        <v>#REF!</v>
      </c>
      <c r="S23" s="51" t="e">
        <f>[1]!'FIXI*1.TF-PriceChangeRatio'</f>
        <v>#REF!</v>
      </c>
      <c r="T23" s="51" t="e">
        <f>[1]!'FIXI*1.TF-Volume'</f>
        <v>#REF!</v>
      </c>
      <c r="U23" s="51" t="e">
        <f>[1]!'FIXI*1.TF-TotalVolume'</f>
        <v>#REF!</v>
      </c>
    </row>
    <row r="24" spans="1:21">
      <c r="A24" s="51" t="e">
        <f>[1]!'FIXI*2.TF-Name'</f>
        <v>#REF!</v>
      </c>
      <c r="B24" s="51" t="e">
        <f>[1]!'FIXI*2.TF-ID'</f>
        <v>#REF!</v>
      </c>
      <c r="C24" s="2" t="e">
        <f>[1]!'FIXI*2.TF-Price'</f>
        <v>#REF!</v>
      </c>
      <c r="D24" s="51" t="e">
        <f>[1]!'FIXI*2.TF-PriceChangeRatio'</f>
        <v>#REF!</v>
      </c>
      <c r="E24" s="51" t="e">
        <f>[1]!'FIXI*2.TF-Volume'</f>
        <v>#REF!</v>
      </c>
      <c r="F24" s="51" t="e">
        <f>[1]!'FIXI*2.TF-TotalVolume'</f>
        <v>#REF!</v>
      </c>
      <c r="G24" s="51" t="e">
        <f>[1]!'FIXI*2.TF-Open'</f>
        <v>#REF!</v>
      </c>
      <c r="H24" s="51" t="e">
        <f>[1]!'FIXI*2.TF-High'</f>
        <v>#REF!</v>
      </c>
      <c r="I24" s="51" t="e">
        <f>[1]!'FIXI*2.TF-Low'</f>
        <v>#REF!</v>
      </c>
      <c r="J24" s="51" t="e">
        <f>[1]!'FIXI*2.TF-Amplitude'</f>
        <v>#REF!</v>
      </c>
      <c r="K24" s="2" t="e">
        <f>[1]!'FIXI*2.TF-PreClose'</f>
        <v>#REF!</v>
      </c>
      <c r="L24" s="51" t="e">
        <f>[1]!'FIXI*2.TF-Open'</f>
        <v>#REF!</v>
      </c>
      <c r="M24" s="51" t="e">
        <f>[1]!'FIXI*2.TF-High'</f>
        <v>#REF!</v>
      </c>
      <c r="N24" s="51" t="e">
        <f>[1]!'FIXI*2.TF-Low'</f>
        <v>#REF!</v>
      </c>
      <c r="O24" s="51" t="e">
        <f>[1]!'FIXI*2.TF-PreTotalVolume'</f>
        <v>#REF!</v>
      </c>
      <c r="P24" s="2" t="e">
        <f>[1]!'FIXI*2.TF-Bid'</f>
        <v>#REF!</v>
      </c>
      <c r="Q24" s="2" t="e">
        <f>[1]!'FIXI*2.TF-Ask'</f>
        <v>#REF!</v>
      </c>
      <c r="R24" s="51" t="e">
        <f>[1]!'FIXI*2.TF-PriceChange'</f>
        <v>#REF!</v>
      </c>
      <c r="S24" s="51" t="e">
        <f>[1]!'FIXI*2.TF-PriceChangeRatio'</f>
        <v>#REF!</v>
      </c>
      <c r="T24" s="51" t="e">
        <f>[1]!'FIXI*2.TF-Volume'</f>
        <v>#REF!</v>
      </c>
      <c r="U24" s="51" t="e">
        <f>[1]!'FIXI*2.TF-TotalVolume'</f>
        <v>#REF!</v>
      </c>
    </row>
    <row r="25" spans="1:21">
      <c r="A25" s="51" t="e">
        <f>[1]!'FIXI00.TF-Name'</f>
        <v>#REF!</v>
      </c>
      <c r="B25" s="51" t="e">
        <f>[1]!'FIXI00.TF-ID'</f>
        <v>#REF!</v>
      </c>
      <c r="C25" s="2" t="e">
        <f>[1]!'FIXI00.TF-Price'</f>
        <v>#REF!</v>
      </c>
      <c r="D25" s="51" t="e">
        <f>[1]!'FIXI00.TF-PriceChangeRatio'</f>
        <v>#REF!</v>
      </c>
      <c r="E25" s="51" t="e">
        <f>[1]!'FIXI00.TF-Volume'</f>
        <v>#REF!</v>
      </c>
      <c r="F25" s="51" t="e">
        <f>[1]!'FIXI00.TF-TotalVolume'</f>
        <v>#REF!</v>
      </c>
      <c r="G25" s="51" t="e">
        <f>[1]!'FIXI00.TF-Open'</f>
        <v>#REF!</v>
      </c>
      <c r="H25" s="51" t="e">
        <f>[1]!'FIXI00.TF-High'</f>
        <v>#REF!</v>
      </c>
      <c r="I25" s="51" t="e">
        <f>[1]!'FIXI00.TF-Low'</f>
        <v>#REF!</v>
      </c>
      <c r="J25" s="51" t="e">
        <f>[1]!'FIXI00.TF-Amplitude'</f>
        <v>#REF!</v>
      </c>
      <c r="K25" s="2" t="e">
        <f>[1]!'FIXI00.TF-PreClose'</f>
        <v>#REF!</v>
      </c>
      <c r="L25" s="51" t="e">
        <f>[1]!'FIXI00.TF-Open'</f>
        <v>#REF!</v>
      </c>
      <c r="M25" s="51" t="e">
        <f>[1]!'FIXI00.TF-High'</f>
        <v>#REF!</v>
      </c>
      <c r="N25" s="51" t="e">
        <f>[1]!'FIXI00.TF-Low'</f>
        <v>#REF!</v>
      </c>
      <c r="O25" s="51" t="e">
        <f>[1]!'FIXI00.TF-PreTotalVolume'</f>
        <v>#REF!</v>
      </c>
      <c r="P25" s="2" t="e">
        <f>[1]!'FIXI00.TF-Bid'</f>
        <v>#REF!</v>
      </c>
      <c r="Q25" s="2" t="e">
        <f>[1]!'FIXI00.TF-Ask'</f>
        <v>#REF!</v>
      </c>
      <c r="R25" s="51" t="e">
        <f>[1]!'FIXI00.TF-PriceChange'</f>
        <v>#REF!</v>
      </c>
      <c r="S25" s="51" t="e">
        <f>[1]!'FIXI00.TF-PriceChangeRatio'</f>
        <v>#REF!</v>
      </c>
      <c r="T25" s="51" t="e">
        <f>[1]!'FIXI00.TF-Volume'</f>
        <v>#REF!</v>
      </c>
      <c r="U25" s="51" t="e">
        <f>[1]!'FIXI00.TF-TotalVolume'</f>
        <v>#REF!</v>
      </c>
    </row>
    <row r="26" spans="1:21">
      <c r="A26" s="51" t="e">
        <f>[1]!'FIGT*1.TF-Name'</f>
        <v>#REF!</v>
      </c>
      <c r="B26" s="51" t="e">
        <f>[1]!'FIGT*1.TF-ID'</f>
        <v>#REF!</v>
      </c>
      <c r="C26" s="2" t="e">
        <f>[1]!'FIGT*1.TF-Price'</f>
        <v>#REF!</v>
      </c>
      <c r="D26" s="51" t="e">
        <f>[1]!'FIGT*1.TF-PriceChangeRatio'</f>
        <v>#REF!</v>
      </c>
      <c r="E26" s="51" t="e">
        <f>[1]!'FIGT*1.TF-Volume'</f>
        <v>#REF!</v>
      </c>
      <c r="F26" s="51" t="e">
        <f>[1]!'FIGT*1.TF-TotalVolume'</f>
        <v>#REF!</v>
      </c>
      <c r="G26" s="51" t="e">
        <f>[1]!'FIGT*1.TF-Open'</f>
        <v>#REF!</v>
      </c>
      <c r="H26" s="51" t="e">
        <f>[1]!'FIGT*1.TF-High'</f>
        <v>#REF!</v>
      </c>
      <c r="I26" s="51" t="e">
        <f>[1]!'FIGT*1.TF-Low'</f>
        <v>#REF!</v>
      </c>
      <c r="J26" s="51" t="e">
        <f>[1]!'FIGT*1.TF-Amplitude'</f>
        <v>#REF!</v>
      </c>
      <c r="K26" s="2" t="e">
        <f>[1]!'FIGT*1.TF-PreClose'</f>
        <v>#REF!</v>
      </c>
      <c r="L26" s="51" t="e">
        <f>[1]!'FIGT*1.TF-Open'</f>
        <v>#REF!</v>
      </c>
      <c r="M26" s="51" t="e">
        <f>[1]!'FIGT*1.TF-High'</f>
        <v>#REF!</v>
      </c>
      <c r="N26" s="51" t="e">
        <f>[1]!'FIGT*1.TF-Low'</f>
        <v>#REF!</v>
      </c>
      <c r="O26" s="51" t="e">
        <f>[1]!'FIGT*1.TF-PreTotalVolume'</f>
        <v>#REF!</v>
      </c>
      <c r="P26" s="2" t="e">
        <f>[1]!'FIGT*1.TF-Bid'</f>
        <v>#REF!</v>
      </c>
      <c r="Q26" s="2" t="e">
        <f>[1]!'FIGT*1.TF-Ask'</f>
        <v>#REF!</v>
      </c>
      <c r="R26" s="51" t="e">
        <f>[1]!'FIGT*1.TF-PriceChange'</f>
        <v>#REF!</v>
      </c>
      <c r="S26" s="51" t="e">
        <f>[1]!'FIGT*1.TF-PriceChangeRatio'</f>
        <v>#REF!</v>
      </c>
      <c r="T26" s="51" t="e">
        <f>[1]!'FIGT*1.TF-Volume'</f>
        <v>#REF!</v>
      </c>
      <c r="U26" s="51" t="e">
        <f>[1]!'FIGT*1.TF-TotalVolume'</f>
        <v>#REF!</v>
      </c>
    </row>
    <row r="27" spans="1:21">
      <c r="A27" s="51" t="e">
        <f>[1]!'FIGT*2.TF-Name'</f>
        <v>#REF!</v>
      </c>
      <c r="B27" s="51" t="e">
        <f>[1]!'FIGT*2.TF-ID'</f>
        <v>#REF!</v>
      </c>
      <c r="C27" s="2" t="e">
        <f>[1]!'FIGT*2.TF-Price'</f>
        <v>#REF!</v>
      </c>
      <c r="D27" s="51" t="e">
        <f>[1]!'FIGT*2.TF-PriceChangeRatio'</f>
        <v>#REF!</v>
      </c>
      <c r="E27" s="51" t="e">
        <f>[1]!'FIGT*2.TF-Volume'</f>
        <v>#REF!</v>
      </c>
      <c r="F27" s="51" t="e">
        <f>[1]!'FIGT*2.TF-TotalVolume'</f>
        <v>#REF!</v>
      </c>
      <c r="G27" s="51" t="e">
        <f>[1]!'FIGT*2.TF-Open'</f>
        <v>#REF!</v>
      </c>
      <c r="H27" s="51" t="e">
        <f>[1]!'FIGT*2.TF-High'</f>
        <v>#REF!</v>
      </c>
      <c r="I27" s="51" t="e">
        <f>[1]!'FIGT*2.TF-Low'</f>
        <v>#REF!</v>
      </c>
      <c r="J27" s="51" t="e">
        <f>[1]!'FIGT*2.TF-Amplitude'</f>
        <v>#REF!</v>
      </c>
      <c r="K27" s="2" t="e">
        <f>[1]!'FIGT*2.TF-PreClose'</f>
        <v>#REF!</v>
      </c>
      <c r="L27" s="51" t="e">
        <f>[1]!'FIGT*2.TF-Open'</f>
        <v>#REF!</v>
      </c>
      <c r="M27" s="51" t="e">
        <f>[1]!'FIGT*2.TF-High'</f>
        <v>#REF!</v>
      </c>
      <c r="N27" s="51" t="e">
        <f>[1]!'FIGT*2.TF-Low'</f>
        <v>#REF!</v>
      </c>
      <c r="O27" s="51" t="e">
        <f>[1]!'FIGT*2.TF-PreTotalVolume'</f>
        <v>#REF!</v>
      </c>
      <c r="P27" s="2" t="e">
        <f>[1]!'FIGT*2.TF-Bid'</f>
        <v>#REF!</v>
      </c>
      <c r="Q27" s="2" t="e">
        <f>[1]!'FIGT*2.TF-Ask'</f>
        <v>#REF!</v>
      </c>
      <c r="R27" s="51" t="e">
        <f>[1]!'FIGT*2.TF-PriceChange'</f>
        <v>#REF!</v>
      </c>
      <c r="S27" s="51" t="e">
        <f>[1]!'FIGT*2.TF-PriceChangeRatio'</f>
        <v>#REF!</v>
      </c>
      <c r="T27" s="51" t="e">
        <f>[1]!'FIGT*2.TF-Volume'</f>
        <v>#REF!</v>
      </c>
      <c r="U27" s="51" t="e">
        <f>[1]!'FIGT*2.TF-TotalVolume'</f>
        <v>#REF!</v>
      </c>
    </row>
    <row r="28" spans="1:21">
      <c r="A28" s="51" t="e">
        <f>[1]!'FIGT00.TF-Name'</f>
        <v>#REF!</v>
      </c>
      <c r="B28" s="51" t="e">
        <f>[1]!'FIGT00.TF-ID'</f>
        <v>#REF!</v>
      </c>
      <c r="C28" s="2" t="e">
        <f>[1]!'FIGT00.TF-Price'</f>
        <v>#REF!</v>
      </c>
      <c r="D28" s="51" t="e">
        <f>[1]!'FIGT00.TF-PriceChangeRatio'</f>
        <v>#REF!</v>
      </c>
      <c r="E28" s="51" t="e">
        <f>[1]!'FIGT00.TF-Volume'</f>
        <v>#REF!</v>
      </c>
      <c r="F28" s="51" t="e">
        <f>[1]!'FIGT00.TF-TotalVolume'</f>
        <v>#REF!</v>
      </c>
      <c r="G28" s="51" t="e">
        <f>[1]!'FIGT00.TF-Open'</f>
        <v>#REF!</v>
      </c>
      <c r="H28" s="51" t="e">
        <f>[1]!'FIGT00.TF-High'</f>
        <v>#REF!</v>
      </c>
      <c r="I28" s="51" t="e">
        <f>[1]!'FIGT00.TF-Low'</f>
        <v>#REF!</v>
      </c>
      <c r="J28" s="51" t="e">
        <f>[1]!'FIGT00.TF-Amplitude'</f>
        <v>#REF!</v>
      </c>
      <c r="K28" s="2" t="e">
        <f>[1]!'FIGT00.TF-PreClose'</f>
        <v>#REF!</v>
      </c>
      <c r="L28" s="51" t="e">
        <f>[1]!'FIGT00.TF-Open'</f>
        <v>#REF!</v>
      </c>
      <c r="M28" s="51" t="e">
        <f>[1]!'FIGT00.TF-High'</f>
        <v>#REF!</v>
      </c>
      <c r="N28" s="51" t="e">
        <f>[1]!'FIGT00.TF-Low'</f>
        <v>#REF!</v>
      </c>
      <c r="O28" s="51" t="e">
        <f>[1]!'FIGT00.TF-PreTotalVolume'</f>
        <v>#REF!</v>
      </c>
      <c r="P28" s="2" t="e">
        <f>[1]!'FIGT00.TF-Bid'</f>
        <v>#REF!</v>
      </c>
      <c r="Q28" s="2" t="e">
        <f>[1]!'FIGT00.TF-Ask'</f>
        <v>#REF!</v>
      </c>
      <c r="R28" s="51" t="e">
        <f>[1]!'FIGT00.TF-PriceChange'</f>
        <v>#REF!</v>
      </c>
      <c r="S28" s="51" t="e">
        <f>[1]!'FIGT00.TF-PriceChangeRatio'</f>
        <v>#REF!</v>
      </c>
      <c r="T28" s="51" t="e">
        <f>[1]!'FIGT00.TF-Volume'</f>
        <v>#REF!</v>
      </c>
      <c r="U28" s="51" t="e">
        <f>[1]!'FIGT00.TF-TotalVolume'</f>
        <v>#REF!</v>
      </c>
    </row>
    <row r="29" spans="1:21">
      <c r="A29" s="51" t="e">
        <f>[1]!'FITJ*1.TF-Name'</f>
        <v>#REF!</v>
      </c>
      <c r="B29" s="51" t="e">
        <f>[1]!'FITJ*1.TF-ID'</f>
        <v>#REF!</v>
      </c>
      <c r="C29" s="2" t="e">
        <f>[1]!'FITJ*1.TF-Price'</f>
        <v>#REF!</v>
      </c>
      <c r="D29" s="51" t="e">
        <f>[1]!'FITJ*1.TF-PriceChangeRatio'</f>
        <v>#REF!</v>
      </c>
      <c r="E29" s="51" t="e">
        <f>[1]!'FITJ*1.TF-Volume'</f>
        <v>#REF!</v>
      </c>
      <c r="F29" s="51" t="e">
        <f>[1]!'FITJ*1.TF-TotalVolume'</f>
        <v>#REF!</v>
      </c>
      <c r="G29" s="51" t="e">
        <f>[1]!'FITJ*1.TF-Open'</f>
        <v>#REF!</v>
      </c>
      <c r="H29" s="51" t="e">
        <f>[1]!'FITJ*1.TF-High'</f>
        <v>#REF!</v>
      </c>
      <c r="I29" s="51" t="e">
        <f>[1]!'FITJ*1.TF-Low'</f>
        <v>#REF!</v>
      </c>
      <c r="J29" s="51" t="e">
        <f>[1]!'FITJ*1.TF-Amplitude'</f>
        <v>#REF!</v>
      </c>
      <c r="K29" s="2" t="e">
        <f>[1]!'FITJ*1.TF-PreClose'</f>
        <v>#REF!</v>
      </c>
      <c r="L29" s="51" t="e">
        <f>[1]!'FITJ*1.TF-Open'</f>
        <v>#REF!</v>
      </c>
      <c r="M29" s="51" t="e">
        <f>[1]!'FITJ*1.TF-High'</f>
        <v>#REF!</v>
      </c>
      <c r="N29" s="51" t="e">
        <f>[1]!'FITJ*1.TF-Low'</f>
        <v>#REF!</v>
      </c>
      <c r="O29" s="51" t="e">
        <f>[1]!'FITJ*1.TF-PreTotalVolume'</f>
        <v>#REF!</v>
      </c>
      <c r="P29" s="2" t="e">
        <f>[1]!'FITJ*1.TF-Bid'</f>
        <v>#REF!</v>
      </c>
      <c r="Q29" s="2" t="e">
        <f>[1]!'FITJ*1.TF-Ask'</f>
        <v>#REF!</v>
      </c>
      <c r="R29" s="51" t="e">
        <f>[1]!'FITJ*1.TF-PriceChange'</f>
        <v>#REF!</v>
      </c>
      <c r="S29" s="51" t="e">
        <f>[1]!'FITJ*1.TF-PriceChangeRatio'</f>
        <v>#REF!</v>
      </c>
      <c r="T29" s="51" t="e">
        <f>[1]!'FITJ*1.TF-Volume'</f>
        <v>#REF!</v>
      </c>
      <c r="U29" s="51" t="e">
        <f>[1]!'FITJ*1.TF-TotalVolume'</f>
        <v>#REF!</v>
      </c>
    </row>
    <row r="30" spans="1:21">
      <c r="A30" s="51" t="e">
        <f>[1]!'FITJ*2.TF-Name'</f>
        <v>#REF!</v>
      </c>
      <c r="B30" s="51" t="e">
        <f>[1]!'FITJ*2.TF-ID'</f>
        <v>#REF!</v>
      </c>
      <c r="C30" s="2" t="e">
        <f>[1]!'FITJ*2.TF-Price'</f>
        <v>#REF!</v>
      </c>
      <c r="D30" s="51" t="e">
        <f>[1]!'FITJ*2.TF-PriceChangeRatio'</f>
        <v>#REF!</v>
      </c>
      <c r="E30" s="51" t="e">
        <f>[1]!'FITJ*2.TF-Volume'</f>
        <v>#REF!</v>
      </c>
      <c r="F30" s="51" t="e">
        <f>[1]!'FITJ*2.TF-TotalVolume'</f>
        <v>#REF!</v>
      </c>
      <c r="G30" s="51" t="e">
        <f>[1]!'FITJ*2.TF-Open'</f>
        <v>#REF!</v>
      </c>
      <c r="H30" s="51" t="e">
        <f>[1]!'FITJ*2.TF-High'</f>
        <v>#REF!</v>
      </c>
      <c r="I30" s="51" t="e">
        <f>[1]!'FITJ*2.TF-Low'</f>
        <v>#REF!</v>
      </c>
      <c r="J30" s="51" t="e">
        <f>[1]!'FITJ*2.TF-Amplitude'</f>
        <v>#REF!</v>
      </c>
      <c r="K30" s="2" t="e">
        <f>[1]!'FITJ*2.TF-PreClose'</f>
        <v>#REF!</v>
      </c>
      <c r="L30" s="51" t="e">
        <f>[1]!'FITJ*2.TF-Open'</f>
        <v>#REF!</v>
      </c>
      <c r="M30" s="51" t="e">
        <f>[1]!'FITJ*2.TF-High'</f>
        <v>#REF!</v>
      </c>
      <c r="N30" s="51" t="e">
        <f>[1]!'FITJ*2.TF-Low'</f>
        <v>#REF!</v>
      </c>
      <c r="O30" s="51" t="e">
        <f>[1]!'FITJ*2.TF-PreTotalVolume'</f>
        <v>#REF!</v>
      </c>
      <c r="P30" s="2" t="e">
        <f>[1]!'FITJ*2.TF-Bid'</f>
        <v>#REF!</v>
      </c>
      <c r="Q30" s="2" t="e">
        <f>[1]!'FITJ*2.TF-Ask'</f>
        <v>#REF!</v>
      </c>
      <c r="R30" s="51" t="e">
        <f>[1]!'FITJ*2.TF-PriceChange'</f>
        <v>#REF!</v>
      </c>
      <c r="S30" s="51" t="e">
        <f>[1]!'FITJ*2.TF-PriceChangeRatio'</f>
        <v>#REF!</v>
      </c>
      <c r="T30" s="51" t="e">
        <f>[1]!'FITJ*2.TF-Volume'</f>
        <v>#REF!</v>
      </c>
      <c r="U30" s="51" t="e">
        <f>[1]!'FITJ*2.TF-TotalVolume'</f>
        <v>#REF!</v>
      </c>
    </row>
    <row r="31" spans="1:21">
      <c r="A31" s="51" t="e">
        <f>[1]!'FITJ00.TF-Name'</f>
        <v>#REF!</v>
      </c>
      <c r="B31" s="51" t="e">
        <f>[1]!'FITJ00.TF-ID'</f>
        <v>#REF!</v>
      </c>
      <c r="C31" s="2" t="e">
        <f>[1]!'FITJ00.TF-Price'</f>
        <v>#REF!</v>
      </c>
      <c r="D31" s="51" t="e">
        <f>[1]!'FITJ00.TF-PriceChangeRatio'</f>
        <v>#REF!</v>
      </c>
      <c r="E31" s="51" t="e">
        <f>[1]!'FITJ00.TF-Volume'</f>
        <v>#REF!</v>
      </c>
      <c r="F31" s="51" t="e">
        <f>[1]!'FITJ00.TF-TotalVolume'</f>
        <v>#REF!</v>
      </c>
      <c r="G31" s="51" t="e">
        <f>[1]!'FITJ00.TF-Open'</f>
        <v>#REF!</v>
      </c>
      <c r="H31" s="51" t="e">
        <f>[1]!'FITJ00.TF-High'</f>
        <v>#REF!</v>
      </c>
      <c r="I31" s="51" t="e">
        <f>[1]!'FITJ00.TF-Low'</f>
        <v>#REF!</v>
      </c>
      <c r="J31" s="51" t="e">
        <f>[1]!'FITJ00.TF-Amplitude'</f>
        <v>#REF!</v>
      </c>
      <c r="K31" s="2" t="e">
        <f>[1]!'FITJ00.TF-PreClose'</f>
        <v>#REF!</v>
      </c>
      <c r="L31" s="51" t="e">
        <f>[1]!'FITJ00.TF-Open'</f>
        <v>#REF!</v>
      </c>
      <c r="M31" s="51" t="e">
        <f>[1]!'FITJ00.TF-High'</f>
        <v>#REF!</v>
      </c>
      <c r="N31" s="51" t="e">
        <f>[1]!'FITJ00.TF-Low'</f>
        <v>#REF!</v>
      </c>
      <c r="O31" s="51" t="e">
        <f>[1]!'FITJ00.TF-PreTotalVolume'</f>
        <v>#REF!</v>
      </c>
      <c r="P31" s="2" t="e">
        <f>[1]!'FITJ00.TF-Bid'</f>
        <v>#REF!</v>
      </c>
      <c r="Q31" s="2" t="e">
        <f>[1]!'FITJ00.TF-Ask'</f>
        <v>#REF!</v>
      </c>
      <c r="R31" s="51" t="e">
        <f>[1]!'FITJ00.TF-PriceChange'</f>
        <v>#REF!</v>
      </c>
      <c r="S31" s="51" t="e">
        <f>[1]!'FITJ00.TF-PriceChangeRatio'</f>
        <v>#REF!</v>
      </c>
      <c r="T31" s="51" t="e">
        <f>[1]!'FITJ00.TF-Volume'</f>
        <v>#REF!</v>
      </c>
      <c r="U31" s="51" t="e">
        <f>[1]!'FITJ00.TF-TotalVolume'</f>
        <v>#REF!</v>
      </c>
    </row>
    <row r="32" spans="1:21">
      <c r="A32" s="51" t="e">
        <f>[1]!'FII5*1.TF-Name'</f>
        <v>#REF!</v>
      </c>
      <c r="B32" s="51" t="e">
        <f>[1]!'FII5*1.TF-ID'</f>
        <v>#REF!</v>
      </c>
      <c r="C32" s="2" t="e">
        <f>[1]!'FII5*1.TF-Price'</f>
        <v>#REF!</v>
      </c>
      <c r="D32" s="51" t="e">
        <f>[1]!'FII5*1.TF-PriceChangeRatio'</f>
        <v>#REF!</v>
      </c>
      <c r="E32" s="51" t="e">
        <f>[1]!'FII5*1.TF-Volume'</f>
        <v>#REF!</v>
      </c>
      <c r="F32" s="51" t="e">
        <f>[1]!'FII5*1.TF-TotalVolume'</f>
        <v>#REF!</v>
      </c>
      <c r="G32" s="51" t="e">
        <f>[1]!'FII5*1.TF-Open'</f>
        <v>#REF!</v>
      </c>
      <c r="H32" s="51" t="e">
        <f>[1]!'FII5*1.TF-High'</f>
        <v>#REF!</v>
      </c>
      <c r="I32" s="51" t="e">
        <f>[1]!'FII5*1.TF-Low'</f>
        <v>#REF!</v>
      </c>
      <c r="J32" s="51" t="e">
        <f>[1]!'FII5*1.TF-Amplitude'</f>
        <v>#REF!</v>
      </c>
      <c r="K32" s="2" t="e">
        <f>[1]!'FII5*1.TF-PreClose'</f>
        <v>#REF!</v>
      </c>
      <c r="L32" s="51" t="e">
        <f>[1]!'FII5*1.TF-Open'</f>
        <v>#REF!</v>
      </c>
      <c r="M32" s="51" t="e">
        <f>[1]!'FII5*1.TF-High'</f>
        <v>#REF!</v>
      </c>
      <c r="N32" s="51" t="e">
        <f>[1]!'FII5*1.TF-Low'</f>
        <v>#REF!</v>
      </c>
      <c r="O32" s="51" t="e">
        <f>[1]!'FII5*1.TF-PreTotalVolume'</f>
        <v>#REF!</v>
      </c>
      <c r="P32" s="2" t="e">
        <f>[1]!'FII5*1.TF-Bid'</f>
        <v>#REF!</v>
      </c>
      <c r="Q32" s="2" t="e">
        <f>[1]!'FII5*1.TF-Ask'</f>
        <v>#REF!</v>
      </c>
      <c r="R32" s="51" t="e">
        <f>[1]!'FII5*1.TF-PriceChange'</f>
        <v>#REF!</v>
      </c>
      <c r="S32" s="51" t="e">
        <f>[1]!'FII5*1.TF-PriceChangeRatio'</f>
        <v>#REF!</v>
      </c>
      <c r="T32" s="51" t="e">
        <f>[1]!'FII5*1.TF-Volume'</f>
        <v>#REF!</v>
      </c>
      <c r="U32" s="51" t="e">
        <f>[1]!'FII5*1.TF-TotalVolume'</f>
        <v>#REF!</v>
      </c>
    </row>
    <row r="33" spans="1:21">
      <c r="A33" s="51" t="e">
        <f>[1]!'FII5*2.TF-Name'</f>
        <v>#REF!</v>
      </c>
      <c r="B33" s="51" t="e">
        <f>[1]!'FII5*2.TF-ID'</f>
        <v>#REF!</v>
      </c>
      <c r="C33" s="2" t="e">
        <f>[1]!'FII5*2.TF-Price'</f>
        <v>#REF!</v>
      </c>
      <c r="D33" s="51" t="e">
        <f>[1]!'FII5*2.TF-PriceChangeRatio'</f>
        <v>#REF!</v>
      </c>
      <c r="E33" s="51" t="e">
        <f>[1]!'FII5*2.TF-Volume'</f>
        <v>#REF!</v>
      </c>
      <c r="F33" s="51" t="e">
        <f>[1]!'FII5*2.TF-TotalVolume'</f>
        <v>#REF!</v>
      </c>
      <c r="G33" s="51" t="e">
        <f>[1]!'FII5*2.TF-Open'</f>
        <v>#REF!</v>
      </c>
      <c r="H33" s="51" t="e">
        <f>[1]!'FII5*2.TF-High'</f>
        <v>#REF!</v>
      </c>
      <c r="I33" s="51" t="e">
        <f>[1]!'FII5*2.TF-Low'</f>
        <v>#REF!</v>
      </c>
      <c r="J33" s="51" t="e">
        <f>[1]!'FII5*2.TF-Amplitude'</f>
        <v>#REF!</v>
      </c>
      <c r="K33" s="2" t="e">
        <f>[1]!'FII5*2.TF-PreClose'</f>
        <v>#REF!</v>
      </c>
      <c r="L33" s="51" t="e">
        <f>[1]!'FII5*2.TF-Open'</f>
        <v>#REF!</v>
      </c>
      <c r="M33" s="51" t="e">
        <f>[1]!'FII5*2.TF-High'</f>
        <v>#REF!</v>
      </c>
      <c r="N33" s="51" t="e">
        <f>[1]!'FII5*2.TF-Low'</f>
        <v>#REF!</v>
      </c>
      <c r="O33" s="51" t="e">
        <f>[1]!'FII5*2.TF-PreTotalVolume'</f>
        <v>#REF!</v>
      </c>
      <c r="P33" s="2" t="e">
        <f>[1]!'FII5*2.TF-Bid'</f>
        <v>#REF!</v>
      </c>
      <c r="Q33" s="2" t="e">
        <f>[1]!'FII5*2.TF-Ask'</f>
        <v>#REF!</v>
      </c>
      <c r="R33" s="51" t="e">
        <f>[1]!'FII5*2.TF-PriceChange'</f>
        <v>#REF!</v>
      </c>
      <c r="S33" s="51" t="e">
        <f>[1]!'FII5*2.TF-PriceChangeRatio'</f>
        <v>#REF!</v>
      </c>
      <c r="T33" s="51" t="e">
        <f>[1]!'FII5*2.TF-Volume'</f>
        <v>#REF!</v>
      </c>
      <c r="U33" s="51" t="e">
        <f>[1]!'FII5*2.TF-TotalVolume'</f>
        <v>#REF!</v>
      </c>
    </row>
    <row r="34" spans="1:21">
      <c r="A34" s="51" t="e">
        <f>[1]!'FIUD*1.TF-Name'</f>
        <v>#REF!</v>
      </c>
      <c r="B34" s="51" t="e">
        <f>[1]!'FIUD*1.TF-ID'</f>
        <v>#REF!</v>
      </c>
      <c r="C34" s="2" t="e">
        <f>[1]!'FIUD*1.TF-Price'</f>
        <v>#REF!</v>
      </c>
      <c r="D34" s="51" t="e">
        <f>[1]!'FIUD*1.TF-PriceChangeRatio'</f>
        <v>#REF!</v>
      </c>
      <c r="E34" s="51" t="e">
        <f>[1]!'FIUD*1.TF-Volume'</f>
        <v>#REF!</v>
      </c>
      <c r="F34" s="51" t="e">
        <f>[1]!'FIUD*1.TF-TotalVolume'</f>
        <v>#REF!</v>
      </c>
      <c r="G34" s="51" t="e">
        <f>[1]!'FIUD*1.TF-Open'</f>
        <v>#REF!</v>
      </c>
      <c r="H34" s="51" t="e">
        <f>[1]!'FIUD*1.TF-High'</f>
        <v>#REF!</v>
      </c>
      <c r="I34" s="51" t="e">
        <f>[1]!'FIUD*1.TF-Low'</f>
        <v>#REF!</v>
      </c>
      <c r="J34" s="51" t="e">
        <f>[1]!'FIUD*1.TF-Amplitude'</f>
        <v>#REF!</v>
      </c>
      <c r="K34" s="2" t="e">
        <f>[1]!'FIUD*1.TF-PreClose'</f>
        <v>#REF!</v>
      </c>
      <c r="L34" s="51" t="e">
        <f>[1]!'FIUD*1.TF-Open'</f>
        <v>#REF!</v>
      </c>
      <c r="M34" s="51" t="e">
        <f>[1]!'FIUD*1.TF-High'</f>
        <v>#REF!</v>
      </c>
      <c r="N34" s="51" t="e">
        <f>[1]!'FIUD*1.TF-Low'</f>
        <v>#REF!</v>
      </c>
      <c r="O34" s="51" t="e">
        <f>[1]!'FIUD*1.TF-PreTotalVolume'</f>
        <v>#REF!</v>
      </c>
      <c r="P34" s="2" t="e">
        <f>[1]!'FIUD*1.TF-Bid'</f>
        <v>#REF!</v>
      </c>
      <c r="Q34" s="2" t="e">
        <f>[1]!'FIUD*1.TF-Ask'</f>
        <v>#REF!</v>
      </c>
      <c r="R34" s="51" t="e">
        <f>[1]!'FIUD*1.TF-PriceChange'</f>
        <v>#REF!</v>
      </c>
      <c r="S34" s="51" t="e">
        <f>[1]!'FIUD*1.TF-PriceChangeRatio'</f>
        <v>#REF!</v>
      </c>
      <c r="T34" s="51" t="e">
        <f>[1]!'FIUD*1.TF-Volume'</f>
        <v>#REF!</v>
      </c>
      <c r="U34" s="51" t="e">
        <f>[1]!'FIUD*1.TF-TotalVolume'</f>
        <v>#REF!</v>
      </c>
    </row>
    <row r="35" spans="1:21">
      <c r="A35" s="51" t="e">
        <f>[1]!'FIUD*2.TF-Name'</f>
        <v>#REF!</v>
      </c>
      <c r="B35" s="51" t="e">
        <f>[1]!'FIUD*2.TF-ID'</f>
        <v>#REF!</v>
      </c>
      <c r="C35" s="2" t="e">
        <f>[1]!'FIUD*2.TF-Price'</f>
        <v>#REF!</v>
      </c>
      <c r="D35" s="51" t="e">
        <f>[1]!'FIUD*2.TF-PriceChangeRatio'</f>
        <v>#REF!</v>
      </c>
      <c r="E35" s="51" t="e">
        <f>[1]!'FIUD*2.TF-Volume'</f>
        <v>#REF!</v>
      </c>
      <c r="F35" s="51" t="e">
        <f>[1]!'FIUD*2.TF-TotalVolume'</f>
        <v>#REF!</v>
      </c>
      <c r="G35" s="51" t="e">
        <f>[1]!'FIUD*2.TF-Open'</f>
        <v>#REF!</v>
      </c>
      <c r="H35" s="51" t="e">
        <f>[1]!'FIUD*2.TF-High'</f>
        <v>#REF!</v>
      </c>
      <c r="I35" s="51" t="e">
        <f>[1]!'FIUD*2.TF-Low'</f>
        <v>#REF!</v>
      </c>
      <c r="J35" s="51" t="e">
        <f>[1]!'FIUD*2.TF-Amplitude'</f>
        <v>#REF!</v>
      </c>
      <c r="K35" s="2" t="e">
        <f>[1]!'FIUD*2.TF-PreClose'</f>
        <v>#REF!</v>
      </c>
      <c r="L35" s="51" t="e">
        <f>[1]!'FIUD*2.TF-Open'</f>
        <v>#REF!</v>
      </c>
      <c r="M35" s="51" t="e">
        <f>[1]!'FIUD*2.TF-High'</f>
        <v>#REF!</v>
      </c>
      <c r="N35" s="51" t="e">
        <f>[1]!'FIUD*2.TF-Low'</f>
        <v>#REF!</v>
      </c>
      <c r="O35" s="51" t="e">
        <f>[1]!'FIUD*2.TF-PreTotalVolume'</f>
        <v>#REF!</v>
      </c>
      <c r="P35" s="2" t="e">
        <f>[1]!'FIUD*2.TF-Bid'</f>
        <v>#REF!</v>
      </c>
      <c r="Q35" s="2" t="e">
        <f>[1]!'FIUD*2.TF-Ask'</f>
        <v>#REF!</v>
      </c>
      <c r="R35" s="51" t="e">
        <f>[1]!'FIUD*2.TF-PriceChange'</f>
        <v>#REF!</v>
      </c>
      <c r="S35" s="51" t="e">
        <f>[1]!'FIUD*2.TF-PriceChangeRatio'</f>
        <v>#REF!</v>
      </c>
      <c r="T35" s="51" t="e">
        <f>[1]!'FIUD*2.TF-Volume'</f>
        <v>#REF!</v>
      </c>
      <c r="U35" s="51" t="e">
        <f>[1]!'FIUD*2.TF-TotalVolume'</f>
        <v>#REF!</v>
      </c>
    </row>
    <row r="36" spans="1:21">
      <c r="A36" s="51" t="e">
        <f>[1]!'FISP*1.TF-Name'</f>
        <v>#REF!</v>
      </c>
      <c r="B36" s="51" t="e">
        <f>[1]!'FISP*1.TF-ID'</f>
        <v>#REF!</v>
      </c>
      <c r="C36" s="2" t="e">
        <f>[1]!'FISP*1.TF-Price'</f>
        <v>#REF!</v>
      </c>
      <c r="D36" s="51" t="e">
        <f>[1]!'FISP*1.TF-PriceChangeRatio'</f>
        <v>#REF!</v>
      </c>
      <c r="E36" s="51" t="e">
        <f>[1]!'FISP*1.TF-Volume'</f>
        <v>#REF!</v>
      </c>
      <c r="F36" s="51" t="e">
        <f>[1]!'FISP*1.TF-TotalVolume'</f>
        <v>#REF!</v>
      </c>
      <c r="G36" s="51" t="e">
        <f>[1]!'FISP*1.TF-Open'</f>
        <v>#REF!</v>
      </c>
      <c r="H36" s="51" t="e">
        <f>[1]!'FISP*1.TF-High'</f>
        <v>#REF!</v>
      </c>
      <c r="I36" s="51" t="e">
        <f>[1]!'FISP*1.TF-Low'</f>
        <v>#REF!</v>
      </c>
      <c r="J36" s="51" t="e">
        <f>[1]!'FISP*1.TF-Amplitude'</f>
        <v>#REF!</v>
      </c>
      <c r="K36" s="2" t="e">
        <f>[1]!'FISP*1.TF-PreClose'</f>
        <v>#REF!</v>
      </c>
      <c r="L36" s="51" t="e">
        <f>[1]!'FISP*1.TF-Open'</f>
        <v>#REF!</v>
      </c>
      <c r="M36" s="51" t="e">
        <f>[1]!'FISP*1.TF-High'</f>
        <v>#REF!</v>
      </c>
      <c r="N36" s="51" t="e">
        <f>[1]!'FISP*1.TF-Low'</f>
        <v>#REF!</v>
      </c>
      <c r="O36" s="51" t="e">
        <f>[1]!'FISP*1.TF-PreTotalVolume'</f>
        <v>#REF!</v>
      </c>
      <c r="P36" s="2" t="e">
        <f>[1]!'FISP*1.TF-Bid'</f>
        <v>#REF!</v>
      </c>
      <c r="Q36" s="2" t="e">
        <f>[1]!'FISP*1.TF-Ask'</f>
        <v>#REF!</v>
      </c>
      <c r="R36" s="51" t="e">
        <f>[1]!'FISP*1.TF-PriceChange'</f>
        <v>#REF!</v>
      </c>
      <c r="S36" s="51" t="e">
        <f>[1]!'FISP*1.TF-PriceChangeRatio'</f>
        <v>#REF!</v>
      </c>
      <c r="T36" s="51" t="e">
        <f>[1]!'FISP*1.TF-Volume'</f>
        <v>#REF!</v>
      </c>
      <c r="U36" s="51" t="e">
        <f>[1]!'FISP*1.TF-TotalVolume'</f>
        <v>#REF!</v>
      </c>
    </row>
    <row r="37" spans="1:21">
      <c r="A37" s="51" t="e">
        <f>[1]!'FISP*2.TF-Name'</f>
        <v>#REF!</v>
      </c>
      <c r="B37" s="51" t="e">
        <f>[1]!'FISP*2.TF-ID'</f>
        <v>#REF!</v>
      </c>
      <c r="C37" s="2" t="e">
        <f>[1]!'FISP*2.TF-Price'</f>
        <v>#REF!</v>
      </c>
      <c r="D37" s="51" t="e">
        <f>[1]!'FISP*2.TF-PriceChangeRatio'</f>
        <v>#REF!</v>
      </c>
      <c r="E37" s="51" t="e">
        <f>[1]!'FISP*2.TF-Volume'</f>
        <v>#REF!</v>
      </c>
      <c r="F37" s="51" t="e">
        <f>[1]!'FISP*2.TF-TotalVolume'</f>
        <v>#REF!</v>
      </c>
      <c r="G37" s="51" t="e">
        <f>[1]!'FISP*2.TF-Open'</f>
        <v>#REF!</v>
      </c>
      <c r="H37" s="51" t="e">
        <f>[1]!'FISP*2.TF-High'</f>
        <v>#REF!</v>
      </c>
      <c r="I37" s="51" t="e">
        <f>[1]!'FISP*2.TF-Low'</f>
        <v>#REF!</v>
      </c>
      <c r="J37" s="51" t="e">
        <f>[1]!'FISP*2.TF-Amplitude'</f>
        <v>#REF!</v>
      </c>
      <c r="K37" s="2" t="e">
        <f>[1]!'FISP*2.TF-PreClose'</f>
        <v>#REF!</v>
      </c>
      <c r="L37" s="51" t="e">
        <f>[1]!'FISP*2.TF-Open'</f>
        <v>#REF!</v>
      </c>
      <c r="M37" s="51" t="e">
        <f>[1]!'FISP*2.TF-High'</f>
        <v>#REF!</v>
      </c>
      <c r="N37" s="51" t="e">
        <f>[1]!'FISP*2.TF-Low'</f>
        <v>#REF!</v>
      </c>
      <c r="O37" s="51" t="e">
        <f>[1]!'FISP*2.TF-PreTotalVolume'</f>
        <v>#REF!</v>
      </c>
      <c r="P37" s="2" t="e">
        <f>[1]!'FISP*2.TF-Bid'</f>
        <v>#REF!</v>
      </c>
      <c r="Q37" s="2" t="e">
        <f>[1]!'FISP*2.TF-Ask'</f>
        <v>#REF!</v>
      </c>
      <c r="R37" s="51" t="e">
        <f>[1]!'FISP*2.TF-PriceChange'</f>
        <v>#REF!</v>
      </c>
      <c r="S37" s="51" t="e">
        <f>[1]!'FISP*2.TF-PriceChangeRatio'</f>
        <v>#REF!</v>
      </c>
      <c r="T37" s="51" t="e">
        <f>[1]!'FISP*2.TF-Volume'</f>
        <v>#REF!</v>
      </c>
      <c r="U37" s="51" t="e">
        <f>[1]!'FISP*2.TF-TotalVolume'</f>
        <v>#REF!</v>
      </c>
    </row>
    <row r="38" spans="1:21">
      <c r="A38" s="51" t="e">
        <f>[1]!'FITG*1.TF-Name'</f>
        <v>#REF!</v>
      </c>
      <c r="B38" s="51" t="e">
        <f>[1]!'FITG*1.TF-ID'</f>
        <v>#REF!</v>
      </c>
      <c r="C38" s="2" t="e">
        <f>[1]!'FITG*1.TF-Price'</f>
        <v>#REF!</v>
      </c>
      <c r="D38" s="51" t="e">
        <f>[1]!'FITG*1.TF-PriceChangeRatio'</f>
        <v>#REF!</v>
      </c>
      <c r="E38" s="51" t="e">
        <f>[1]!'FITG*1.TF-Volume'</f>
        <v>#REF!</v>
      </c>
      <c r="F38" s="51" t="e">
        <f>[1]!'FITG*1.TF-TotalVolume'</f>
        <v>#REF!</v>
      </c>
      <c r="G38" s="51" t="e">
        <f>[1]!'FITG*1.TF-Open'</f>
        <v>#REF!</v>
      </c>
      <c r="H38" s="51" t="e">
        <f>[1]!'FITG*1.TF-High'</f>
        <v>#REF!</v>
      </c>
      <c r="I38" s="51" t="e">
        <f>[1]!'FITG*1.TF-Low'</f>
        <v>#REF!</v>
      </c>
      <c r="J38" s="51" t="e">
        <f>[1]!'FITG*1.TF-Amplitude'</f>
        <v>#REF!</v>
      </c>
      <c r="K38" s="2" t="e">
        <f>[1]!'FITG*1.TF-PreClose'</f>
        <v>#REF!</v>
      </c>
      <c r="L38" s="51" t="e">
        <f>[1]!'FITG*1.TF-Open'</f>
        <v>#REF!</v>
      </c>
      <c r="M38" s="51" t="e">
        <f>[1]!'FITG*1.TF-High'</f>
        <v>#REF!</v>
      </c>
      <c r="N38" s="51" t="e">
        <f>[1]!'FITG*1.TF-Low'</f>
        <v>#REF!</v>
      </c>
      <c r="O38" s="51" t="e">
        <f>[1]!'FITG*1.TF-PreTotalVolume'</f>
        <v>#REF!</v>
      </c>
      <c r="P38" s="2" t="e">
        <f>[1]!'FITG*1.TF-Bid'</f>
        <v>#REF!</v>
      </c>
      <c r="Q38" s="2" t="e">
        <f>[1]!'FITG*1.TF-Ask'</f>
        <v>#REF!</v>
      </c>
      <c r="R38" s="51" t="e">
        <f>[1]!'FITG*1.TF-PriceChange'</f>
        <v>#REF!</v>
      </c>
      <c r="S38" s="51" t="e">
        <f>[1]!'FITG*1.TF-PriceChangeRatio'</f>
        <v>#REF!</v>
      </c>
      <c r="T38" s="51" t="e">
        <f>[1]!'FITG*1.TF-Volume'</f>
        <v>#REF!</v>
      </c>
      <c r="U38" s="51" t="e">
        <f>[1]!'FITG*1.TF-TotalVolume'</f>
        <v>#REF!</v>
      </c>
    </row>
    <row r="39" spans="1:21" ht="17.25" thickBot="1">
      <c r="A39" s="51" t="e">
        <f>[1]!'FITG*2.TF-Name'</f>
        <v>#REF!</v>
      </c>
      <c r="B39" s="51" t="e">
        <f>[1]!'FITG*2.TF-ID'</f>
        <v>#REF!</v>
      </c>
      <c r="C39" s="2" t="e">
        <f>[1]!'FITG*2.TF-Price'</f>
        <v>#REF!</v>
      </c>
      <c r="D39" s="51" t="e">
        <f>[1]!'FITG*2.TF-PriceChangeRatio'</f>
        <v>#REF!</v>
      </c>
      <c r="E39" s="51" t="e">
        <f>[1]!'FITG*2.TF-Volume'</f>
        <v>#REF!</v>
      </c>
      <c r="F39" s="51" t="e">
        <f>[1]!'FITG*2.TF-TotalVolume'</f>
        <v>#REF!</v>
      </c>
      <c r="G39" s="51" t="e">
        <f>[1]!'FITG*2.TF-Open'</f>
        <v>#REF!</v>
      </c>
      <c r="H39" s="51" t="e">
        <f>[1]!'FITG*2.TF-High'</f>
        <v>#REF!</v>
      </c>
      <c r="I39" s="51" t="e">
        <f>[1]!'FITG*2.TF-Low'</f>
        <v>#REF!</v>
      </c>
      <c r="J39" s="51" t="e">
        <f>[1]!'FITG*2.TF-Amplitude'</f>
        <v>#REF!</v>
      </c>
      <c r="K39" s="2" t="e">
        <f>[1]!'FITG*2.TF-PreClose'</f>
        <v>#REF!</v>
      </c>
      <c r="L39" s="51" t="e">
        <f>[1]!'FITG*2.TF-Open'</f>
        <v>#REF!</v>
      </c>
      <c r="M39" s="51" t="e">
        <f>[1]!'FITG*2.TF-High'</f>
        <v>#REF!</v>
      </c>
      <c r="N39" s="51" t="e">
        <f>[1]!'FITG*2.TF-Low'</f>
        <v>#REF!</v>
      </c>
      <c r="O39" s="51" t="e">
        <f>[1]!'FITG*2.TF-PreTotalVolume'</f>
        <v>#REF!</v>
      </c>
      <c r="P39" s="2" t="e">
        <f>[1]!'FITG*2.TF-Bid'</f>
        <v>#REF!</v>
      </c>
      <c r="Q39" s="2" t="e">
        <f>[1]!'FITG*2.TF-Ask'</f>
        <v>#REF!</v>
      </c>
      <c r="R39" s="51" t="e">
        <f>[1]!'FITG*2.TF-PriceChange'</f>
        <v>#REF!</v>
      </c>
      <c r="S39" s="51" t="e">
        <f>[1]!'FITG*2.TF-PriceChangeRatio'</f>
        <v>#REF!</v>
      </c>
      <c r="T39" s="51" t="e">
        <f>[1]!'FITG*2.TF-Volume'</f>
        <v>#REF!</v>
      </c>
      <c r="U39" s="51" t="e">
        <f>[1]!'FITG*2.TF-TotalVolume'</f>
        <v>#REF!</v>
      </c>
    </row>
    <row r="40" spans="1:21" s="2" customFormat="1">
      <c r="A40" s="2" t="e">
        <f>[1]!'FINYF*1.TF-Name'</f>
        <v>#REF!</v>
      </c>
      <c r="B40" s="2" t="e">
        <f>[1]!'FINYF*1.TF-ID'</f>
        <v>#REF!</v>
      </c>
      <c r="C40" s="2" t="e">
        <f>[1]!'FINYF*1.TF-Price'</f>
        <v>#REF!</v>
      </c>
      <c r="D40" s="2" t="e">
        <f>[1]!'FINYF*1.TF-PriceChangeRatio'</f>
        <v>#REF!</v>
      </c>
      <c r="E40" s="2" t="e">
        <f>[1]!'FINYF*1.TF-Volume'</f>
        <v>#REF!</v>
      </c>
      <c r="F40" s="2" t="e">
        <f>[1]!'FINYF*1.TF-TotalVolume'</f>
        <v>#REF!</v>
      </c>
      <c r="G40" s="2" t="e">
        <f>[1]!'FINYF*1.TF-Open'</f>
        <v>#REF!</v>
      </c>
      <c r="H40" s="2" t="e">
        <f>[1]!'FINYF*1.TF-High'</f>
        <v>#REF!</v>
      </c>
      <c r="I40" s="2" t="e">
        <f>[1]!'FINYF*1.TF-Low'</f>
        <v>#REF!</v>
      </c>
      <c r="J40" s="2" t="e">
        <f>[1]!'FINYF*1.TF-Amplitude'</f>
        <v>#REF!</v>
      </c>
      <c r="K40" s="2" t="e">
        <f>[1]!'FINYF*1.TF-PreClose'</f>
        <v>#REF!</v>
      </c>
      <c r="L40" s="2" t="e">
        <f>[1]!'FINYF*1.TF-Open'</f>
        <v>#REF!</v>
      </c>
      <c r="M40" s="2" t="e">
        <f>[1]!'FINYF*1.TF-High'</f>
        <v>#REF!</v>
      </c>
      <c r="N40" s="2" t="e">
        <f>[1]!'FINYF*1.TF-Low'</f>
        <v>#REF!</v>
      </c>
      <c r="O40" s="2" t="e">
        <f>[1]!'FINYF*1.TF-PreTotalVolume'</f>
        <v>#REF!</v>
      </c>
      <c r="P40" s="212" t="e">
        <f>[1]!'FINYF*1.TF-Bid'</f>
        <v>#REF!</v>
      </c>
      <c r="Q40" s="213" t="e">
        <f>[1]!'FINYF*1.TF-Ask'</f>
        <v>#REF!</v>
      </c>
      <c r="R40" s="2" t="e">
        <f>[1]!'FINYF*1.TF-PriceChange'</f>
        <v>#REF!</v>
      </c>
      <c r="S40" s="2" t="e">
        <f>[1]!'FINYF*1.TF-PriceChangeRatio'</f>
        <v>#REF!</v>
      </c>
      <c r="T40" s="2" t="e">
        <f>[1]!'FINYF*1.TF-Volume'</f>
        <v>#REF!</v>
      </c>
      <c r="U40" s="2" t="e">
        <f>[1]!'FINYF*1.TF-TotalVolume'</f>
        <v>#REF!</v>
      </c>
    </row>
    <row r="41" spans="1:21" s="2" customFormat="1" ht="17.25" thickBot="1">
      <c r="A41" s="2" t="e">
        <f>[1]!'FINYF*2.TF-Name'</f>
        <v>#REF!</v>
      </c>
      <c r="B41" s="2" t="e">
        <f>[1]!'FINYF*2.TF-ID'</f>
        <v>#REF!</v>
      </c>
      <c r="C41" s="2" t="e">
        <f>[1]!'FINYF*2.TF-Price'</f>
        <v>#REF!</v>
      </c>
      <c r="D41" s="2" t="e">
        <f>[1]!'FINYF*2.TF-PriceChangeRatio'</f>
        <v>#REF!</v>
      </c>
      <c r="E41" s="2" t="e">
        <f>[1]!'FINYF*2.TF-Volume'</f>
        <v>#REF!</v>
      </c>
      <c r="F41" s="2" t="e">
        <f>[1]!'FINYF*2.TF-TotalVolume'</f>
        <v>#REF!</v>
      </c>
      <c r="G41" s="2" t="e">
        <f>[1]!'FINYF*2.TF-Open'</f>
        <v>#REF!</v>
      </c>
      <c r="H41" s="2" t="e">
        <f>[1]!'FINYF*2.TF-High'</f>
        <v>#REF!</v>
      </c>
      <c r="I41" s="2" t="e">
        <f>[1]!'FINYF*2.TF-Low'</f>
        <v>#REF!</v>
      </c>
      <c r="J41" s="2" t="e">
        <f>[1]!'FINYF*2.TF-Amplitude'</f>
        <v>#REF!</v>
      </c>
      <c r="K41" s="2" t="e">
        <f>[1]!'FINYF*2.TF-PreClose'</f>
        <v>#REF!</v>
      </c>
      <c r="L41" s="2" t="e">
        <f>[1]!'FINYF*2.TF-Open'</f>
        <v>#REF!</v>
      </c>
      <c r="M41" s="2" t="e">
        <f>[1]!'FINYF*2.TF-High'</f>
        <v>#REF!</v>
      </c>
      <c r="N41" s="2" t="e">
        <f>[1]!'FINYF*2.TF-Low'</f>
        <v>#REF!</v>
      </c>
      <c r="O41" s="2" t="e">
        <f>[1]!'FINYF*2.TF-PreTotalVolume'</f>
        <v>#REF!</v>
      </c>
      <c r="P41" s="214" t="e">
        <f>[1]!'FINYF*2.TF-Bid'</f>
        <v>#REF!</v>
      </c>
      <c r="Q41" s="215" t="e">
        <f>[1]!'FINYF*2.TF-Ask'</f>
        <v>#REF!</v>
      </c>
      <c r="R41" s="2" t="e">
        <f>[1]!'FINYF*2.TF-PriceChange'</f>
        <v>#REF!</v>
      </c>
      <c r="S41" s="2" t="e">
        <f>[1]!'FINYF*2.TF-PriceChangeRatio'</f>
        <v>#REF!</v>
      </c>
      <c r="T41" s="2" t="e">
        <f>[1]!'FINYF*2.TF-Volume'</f>
        <v>#REF!</v>
      </c>
      <c r="U41" s="2" t="e">
        <f>[1]!'FINYF*2.TF-TotalVolume'</f>
        <v>#REF!</v>
      </c>
    </row>
    <row r="42" spans="1:21">
      <c r="A42" s="51" t="e">
        <f>[1]!'FINYF00.TF-Name'</f>
        <v>#REF!</v>
      </c>
      <c r="B42" s="51" t="e">
        <f>[1]!'FINYF00.TF-ID'</f>
        <v>#REF!</v>
      </c>
      <c r="C42" s="2" t="e">
        <f>[1]!'FINYF00.TF-Price'</f>
        <v>#REF!</v>
      </c>
      <c r="D42" s="51" t="e">
        <f>[1]!'FINYF00.TF-PriceChangeRatio'</f>
        <v>#REF!</v>
      </c>
      <c r="E42" s="51" t="e">
        <f>[1]!'FINYF00.TF-Volume'</f>
        <v>#REF!</v>
      </c>
      <c r="F42" s="51" t="e">
        <f>[1]!'FINYF00.TF-TotalVolume'</f>
        <v>#REF!</v>
      </c>
      <c r="G42" s="51" t="e">
        <f>[1]!'FINYF00.TF-Open'</f>
        <v>#REF!</v>
      </c>
      <c r="H42" s="51" t="e">
        <f>[1]!'FINYF00.TF-High'</f>
        <v>#REF!</v>
      </c>
      <c r="I42" s="51" t="e">
        <f>[1]!'FINYF00.TF-Low'</f>
        <v>#REF!</v>
      </c>
      <c r="J42" s="51" t="e">
        <f>[1]!'FINYF00.TF-Amplitude'</f>
        <v>#REF!</v>
      </c>
      <c r="K42" s="2" t="e">
        <f>[1]!'FINYF00.TF-PreClose'</f>
        <v>#REF!</v>
      </c>
      <c r="L42" s="51" t="e">
        <f>[1]!'FINYF00.TF-Open'</f>
        <v>#REF!</v>
      </c>
      <c r="M42" s="51" t="e">
        <f>[1]!'FINYF00.TF-High'</f>
        <v>#REF!</v>
      </c>
      <c r="N42" s="51" t="e">
        <f>[1]!'FINYF00.TF-Low'</f>
        <v>#REF!</v>
      </c>
      <c r="O42" s="51" t="e">
        <f>[1]!'FINYF00.TF-PreTotalVolume'</f>
        <v>#REF!</v>
      </c>
      <c r="P42" s="2" t="e">
        <f>[1]!'FINYF00.TF-Bid'</f>
        <v>#REF!</v>
      </c>
      <c r="Q42" s="2" t="e">
        <f>[1]!'FINYF00.TF-Ask'</f>
        <v>#REF!</v>
      </c>
      <c r="R42" s="51" t="e">
        <f>[1]!'FINYF00.TF-PriceChange'</f>
        <v>#REF!</v>
      </c>
      <c r="S42" s="51" t="e">
        <f>[1]!'FINYF00.TF-PriceChangeRatio'</f>
        <v>#REF!</v>
      </c>
      <c r="T42" s="51" t="e">
        <f>[1]!'FINYF00.TF-Volume'</f>
        <v>#REF!</v>
      </c>
      <c r="U42" s="51" t="e">
        <f>[1]!'FINYF00.TF-TotalVolume'</f>
        <v>#REF!</v>
      </c>
    </row>
    <row r="43" spans="1:21">
      <c r="A43" s="51" t="e">
        <f>[1]!'FINZF*1.TF-Name'</f>
        <v>#REF!</v>
      </c>
      <c r="B43" s="51" t="e">
        <f>[1]!'FINZF*1.TF-ID'</f>
        <v>#REF!</v>
      </c>
      <c r="C43" s="2" t="e">
        <f>[1]!'FINZF*1.TF-Price'</f>
        <v>#REF!</v>
      </c>
      <c r="D43" s="51" t="e">
        <f>[1]!'FINZF*1.TF-PriceChangeRatio'</f>
        <v>#REF!</v>
      </c>
      <c r="E43" s="51" t="e">
        <f>[1]!'FINZF*1.TF-Volume'</f>
        <v>#REF!</v>
      </c>
      <c r="F43" s="51" t="e">
        <f>[1]!'FINZF*1.TF-TotalVolume'</f>
        <v>#REF!</v>
      </c>
      <c r="G43" s="51" t="e">
        <f>[1]!'FINZF*1.TF-Open'</f>
        <v>#REF!</v>
      </c>
      <c r="H43" s="51" t="e">
        <f>[1]!'FINZF*1.TF-High'</f>
        <v>#REF!</v>
      </c>
      <c r="I43" s="51" t="e">
        <f>[1]!'FINZF*1.TF-Low'</f>
        <v>#REF!</v>
      </c>
      <c r="J43" s="51" t="e">
        <f>[1]!'FINZF*1.TF-Amplitude'</f>
        <v>#REF!</v>
      </c>
      <c r="K43" s="2" t="e">
        <f>[1]!'FINZF*1.TF-PreClose'</f>
        <v>#REF!</v>
      </c>
      <c r="L43" s="51" t="e">
        <f>[1]!'FINZF*1.TF-Open'</f>
        <v>#REF!</v>
      </c>
      <c r="M43" s="51" t="e">
        <f>[1]!'FINZF*1.TF-High'</f>
        <v>#REF!</v>
      </c>
      <c r="N43" s="51" t="e">
        <f>[1]!'FINZF*1.TF-Low'</f>
        <v>#REF!</v>
      </c>
      <c r="O43" s="51" t="e">
        <f>[1]!'FINZF*1.TF-PreTotalVolume'</f>
        <v>#REF!</v>
      </c>
      <c r="P43" s="2" t="e">
        <f>[1]!'FINZF*1.TF-Bid'</f>
        <v>#REF!</v>
      </c>
      <c r="Q43" s="2" t="e">
        <f>[1]!'FINZF*1.TF-Ask'</f>
        <v>#REF!</v>
      </c>
      <c r="R43" s="51" t="e">
        <f>[1]!'FINZF*1.TF-PriceChange'</f>
        <v>#REF!</v>
      </c>
      <c r="S43" s="51" t="e">
        <f>[1]!'FINZF*1.TF-PriceChangeRatio'</f>
        <v>#REF!</v>
      </c>
      <c r="T43" s="51" t="e">
        <f>[1]!'FINZF*1.TF-Volume'</f>
        <v>#REF!</v>
      </c>
      <c r="U43" s="51" t="e">
        <f>[1]!'FINZF*1.TF-TotalVolume'</f>
        <v>#REF!</v>
      </c>
    </row>
    <row r="44" spans="1:21">
      <c r="A44" s="51" t="e">
        <f>[1]!'FINZF*2.TF-Name'</f>
        <v>#REF!</v>
      </c>
      <c r="B44" s="51" t="e">
        <f>[1]!'FINZF*2.TF-ID'</f>
        <v>#REF!</v>
      </c>
      <c r="C44" s="2" t="e">
        <f>[1]!'FINZF*2.TF-Price'</f>
        <v>#REF!</v>
      </c>
      <c r="D44" s="51" t="e">
        <f>[1]!'FINZF*2.TF-PriceChangeRatio'</f>
        <v>#REF!</v>
      </c>
      <c r="E44" s="51" t="e">
        <f>[1]!'FINZF*2.TF-Volume'</f>
        <v>#REF!</v>
      </c>
      <c r="F44" s="51" t="e">
        <f>[1]!'FINZF*2.TF-TotalVolume'</f>
        <v>#REF!</v>
      </c>
      <c r="G44" s="51" t="e">
        <f>[1]!'FINZF*2.TF-Open'</f>
        <v>#REF!</v>
      </c>
      <c r="H44" s="51" t="e">
        <f>[1]!'FINZF*2.TF-High'</f>
        <v>#REF!</v>
      </c>
      <c r="I44" s="51" t="e">
        <f>[1]!'FINZF*2.TF-Low'</f>
        <v>#REF!</v>
      </c>
      <c r="J44" s="51" t="e">
        <f>[1]!'FINZF*2.TF-Amplitude'</f>
        <v>#REF!</v>
      </c>
      <c r="K44" s="2" t="e">
        <f>[1]!'FINZF*2.TF-PreClose'</f>
        <v>#REF!</v>
      </c>
      <c r="L44" s="51" t="e">
        <f>[1]!'FINZF*2.TF-Open'</f>
        <v>#REF!</v>
      </c>
      <c r="M44" s="51" t="e">
        <f>[1]!'FINZF*2.TF-High'</f>
        <v>#REF!</v>
      </c>
      <c r="N44" s="51" t="e">
        <f>[1]!'FINZF*2.TF-Low'</f>
        <v>#REF!</v>
      </c>
      <c r="O44" s="51" t="e">
        <f>[1]!'FINZF*2.TF-PreTotalVolume'</f>
        <v>#REF!</v>
      </c>
      <c r="P44" s="2" t="e">
        <f>[1]!'FINZF*2.TF-Bid'</f>
        <v>#REF!</v>
      </c>
      <c r="Q44" s="2" t="e">
        <f>[1]!'FINZF*2.TF-Ask'</f>
        <v>#REF!</v>
      </c>
      <c r="R44" s="51" t="e">
        <f>[1]!'FINZF*2.TF-PriceChange'</f>
        <v>#REF!</v>
      </c>
      <c r="S44" s="51" t="e">
        <f>[1]!'FINZF*2.TF-PriceChangeRatio'</f>
        <v>#REF!</v>
      </c>
      <c r="T44" s="51" t="e">
        <f>[1]!'FINZF*2.TF-Volume'</f>
        <v>#REF!</v>
      </c>
      <c r="U44" s="51" t="e">
        <f>[1]!'FINZF*2.TF-TotalVolume'</f>
        <v>#REF!</v>
      </c>
    </row>
    <row r="45" spans="1:21">
      <c r="A45" s="51" t="e">
        <f>[1]!'FINZF00.TF-Name'</f>
        <v>#REF!</v>
      </c>
      <c r="B45" s="51" t="e">
        <f>[1]!'FINZF00.TF-ID'</f>
        <v>#REF!</v>
      </c>
      <c r="C45" s="2" t="e">
        <f>[1]!'FINZF00.TF-Price'</f>
        <v>#REF!</v>
      </c>
      <c r="D45" s="51" t="e">
        <f>[1]!'FINZF00.TF-PriceChangeRatio'</f>
        <v>#REF!</v>
      </c>
      <c r="E45" s="51" t="e">
        <f>[1]!'FINZF00.TF-Volume'</f>
        <v>#REF!</v>
      </c>
      <c r="F45" s="51" t="e">
        <f>[1]!'FINZF00.TF-TotalVolume'</f>
        <v>#REF!</v>
      </c>
      <c r="G45" s="51" t="e">
        <f>[1]!'FINZF00.TF-Open'</f>
        <v>#REF!</v>
      </c>
      <c r="H45" s="51" t="e">
        <f>[1]!'FINZF00.TF-High'</f>
        <v>#REF!</v>
      </c>
      <c r="I45" s="51" t="e">
        <f>[1]!'FINZF00.TF-Low'</f>
        <v>#REF!</v>
      </c>
      <c r="J45" s="51" t="e">
        <f>[1]!'FINZF00.TF-Amplitude'</f>
        <v>#REF!</v>
      </c>
      <c r="K45" s="2" t="e">
        <f>[1]!'FINZF00.TF-PreClose'</f>
        <v>#REF!</v>
      </c>
      <c r="L45" s="51" t="e">
        <f>[1]!'FINZF00.TF-Open'</f>
        <v>#REF!</v>
      </c>
      <c r="M45" s="51" t="e">
        <f>[1]!'FINZF00.TF-High'</f>
        <v>#REF!</v>
      </c>
      <c r="N45" s="51" t="e">
        <f>[1]!'FINZF00.TF-Low'</f>
        <v>#REF!</v>
      </c>
      <c r="O45" s="51" t="e">
        <f>[1]!'FINZF00.TF-PreTotalVolume'</f>
        <v>#REF!</v>
      </c>
      <c r="P45" s="2" t="e">
        <f>[1]!'FINZF00.TF-Bid'</f>
        <v>#REF!</v>
      </c>
      <c r="Q45" s="2" t="e">
        <f>[1]!'FINZF00.TF-Ask'</f>
        <v>#REF!</v>
      </c>
      <c r="R45" s="51" t="e">
        <f>[1]!'FINZF00.TF-PriceChange'</f>
        <v>#REF!</v>
      </c>
      <c r="S45" s="51" t="e">
        <f>[1]!'FINZF00.TF-PriceChangeRatio'</f>
        <v>#REF!</v>
      </c>
      <c r="T45" s="51" t="e">
        <f>[1]!'FINZF00.TF-Volume'</f>
        <v>#REF!</v>
      </c>
      <c r="U45" s="51" t="e">
        <f>[1]!'FINZF00.TF-TotalVolume'</f>
        <v>#REF!</v>
      </c>
    </row>
    <row r="46" spans="1:21">
      <c r="A46" s="51" t="e">
        <f>[1]!'FIOAF*1.TF-Name'</f>
        <v>#REF!</v>
      </c>
      <c r="B46" s="51" t="e">
        <f>[1]!'FIOAF*1.TF-ID'</f>
        <v>#REF!</v>
      </c>
      <c r="C46" s="2" t="e">
        <f>[1]!'FIOAF*1.TF-Price'</f>
        <v>#REF!</v>
      </c>
      <c r="D46" s="51" t="e">
        <f>[1]!'FIOAF*1.TF-PriceChangeRatio'</f>
        <v>#REF!</v>
      </c>
      <c r="E46" s="51" t="e">
        <f>[1]!'FIOAF*1.TF-Volume'</f>
        <v>#REF!</v>
      </c>
      <c r="F46" s="51" t="e">
        <f>[1]!'FIOAF*1.TF-TotalVolume'</f>
        <v>#REF!</v>
      </c>
      <c r="G46" s="51" t="e">
        <f>[1]!'FIOAF*1.TF-Open'</f>
        <v>#REF!</v>
      </c>
      <c r="H46" s="51" t="e">
        <f>[1]!'FIOAF*1.TF-High'</f>
        <v>#REF!</v>
      </c>
      <c r="I46" s="51" t="e">
        <f>[1]!'FIOAF*1.TF-Low'</f>
        <v>#REF!</v>
      </c>
      <c r="J46" s="51" t="e">
        <f>[1]!'FIOAF*1.TF-Amplitude'</f>
        <v>#REF!</v>
      </c>
      <c r="K46" s="2" t="e">
        <f>[1]!'FIOAF*1.TF-PreClose'</f>
        <v>#REF!</v>
      </c>
      <c r="L46" s="51" t="e">
        <f>[1]!'FIOAF*1.TF-Open'</f>
        <v>#REF!</v>
      </c>
      <c r="M46" s="51" t="e">
        <f>[1]!'FIOAF*1.TF-High'</f>
        <v>#REF!</v>
      </c>
      <c r="N46" s="51" t="e">
        <f>[1]!'FIOAF*1.TF-Low'</f>
        <v>#REF!</v>
      </c>
      <c r="O46" s="51" t="e">
        <f>[1]!'FIOAF*1.TF-PreTotalVolume'</f>
        <v>#REF!</v>
      </c>
      <c r="P46" s="2" t="e">
        <f>[1]!'FIOAF*1.TF-Bid'</f>
        <v>#REF!</v>
      </c>
      <c r="Q46" s="2" t="e">
        <f>[1]!'FIOAF*1.TF-Ask'</f>
        <v>#REF!</v>
      </c>
      <c r="R46" s="51" t="e">
        <f>[1]!'FIOAF*1.TF-PriceChange'</f>
        <v>#REF!</v>
      </c>
      <c r="S46" s="51" t="e">
        <f>[1]!'FIOAF*1.TF-PriceChangeRatio'</f>
        <v>#REF!</v>
      </c>
      <c r="T46" s="51" t="e">
        <f>[1]!'FIOAF*1.TF-Volume'</f>
        <v>#REF!</v>
      </c>
      <c r="U46" s="51" t="e">
        <f>[1]!'FIOAF*1.TF-TotalVolume'</f>
        <v>#REF!</v>
      </c>
    </row>
    <row r="47" spans="1:21">
      <c r="A47" s="51" t="e">
        <f>[1]!'FIOAF*2.TF-Name'</f>
        <v>#REF!</v>
      </c>
      <c r="B47" s="51" t="e">
        <f>[1]!'FIOAF*2.TF-ID'</f>
        <v>#REF!</v>
      </c>
      <c r="C47" s="2" t="e">
        <f>[1]!'FIOAF*2.TF-Price'</f>
        <v>#REF!</v>
      </c>
      <c r="D47" s="51" t="e">
        <f>[1]!'FIOAF*2.TF-PriceChangeRatio'</f>
        <v>#REF!</v>
      </c>
      <c r="E47" s="51" t="e">
        <f>[1]!'FIOAF*2.TF-Volume'</f>
        <v>#REF!</v>
      </c>
      <c r="F47" s="51" t="e">
        <f>[1]!'FIOAF*2.TF-TotalVolume'</f>
        <v>#REF!</v>
      </c>
      <c r="G47" s="51" t="e">
        <f>[1]!'FIOAF*2.TF-Open'</f>
        <v>#REF!</v>
      </c>
      <c r="H47" s="51" t="e">
        <f>[1]!'FIOAF*2.TF-High'</f>
        <v>#REF!</v>
      </c>
      <c r="I47" s="51" t="e">
        <f>[1]!'FIOAF*2.TF-Low'</f>
        <v>#REF!</v>
      </c>
      <c r="J47" s="51" t="e">
        <f>[1]!'FIOAF*2.TF-Amplitude'</f>
        <v>#REF!</v>
      </c>
      <c r="K47" s="2" t="e">
        <f>[1]!'FIOAF*2.TF-PreClose'</f>
        <v>#REF!</v>
      </c>
      <c r="L47" s="51" t="e">
        <f>[1]!'FIOAF*2.TF-Open'</f>
        <v>#REF!</v>
      </c>
      <c r="M47" s="51" t="e">
        <f>[1]!'FIOAF*2.TF-High'</f>
        <v>#REF!</v>
      </c>
      <c r="N47" s="51" t="e">
        <f>[1]!'FIOAF*2.TF-Low'</f>
        <v>#REF!</v>
      </c>
      <c r="O47" s="51" t="e">
        <f>[1]!'FIOAF*2.TF-PreTotalVolume'</f>
        <v>#REF!</v>
      </c>
      <c r="P47" s="2" t="e">
        <f>[1]!'FIOAF*2.TF-Bid'</f>
        <v>#REF!</v>
      </c>
      <c r="Q47" s="2" t="e">
        <f>[1]!'FIOAF*2.TF-Ask'</f>
        <v>#REF!</v>
      </c>
      <c r="R47" s="51" t="e">
        <f>[1]!'FIOAF*2.TF-PriceChange'</f>
        <v>#REF!</v>
      </c>
      <c r="S47" s="51" t="e">
        <f>[1]!'FIOAF*2.TF-PriceChangeRatio'</f>
        <v>#REF!</v>
      </c>
      <c r="T47" s="51" t="e">
        <f>[1]!'FIOAF*2.TF-Volume'</f>
        <v>#REF!</v>
      </c>
      <c r="U47" s="51" t="e">
        <f>[1]!'FIOAF*2.TF-TotalVolume'</f>
        <v>#REF!</v>
      </c>
    </row>
    <row r="48" spans="1:21">
      <c r="A48" s="51" t="e">
        <f>[1]!'FIOAF00.TF-Name'</f>
        <v>#REF!</v>
      </c>
      <c r="B48" s="51" t="e">
        <f>[1]!'FIOAF00.TF-ID'</f>
        <v>#REF!</v>
      </c>
      <c r="C48" s="2" t="e">
        <f>[1]!'FIOAF00.TF-Price'</f>
        <v>#REF!</v>
      </c>
      <c r="D48" s="51" t="e">
        <f>[1]!'FIOAF00.TF-PriceChangeRatio'</f>
        <v>#REF!</v>
      </c>
      <c r="E48" s="51" t="e">
        <f>[1]!'FIOAF00.TF-Volume'</f>
        <v>#REF!</v>
      </c>
      <c r="F48" s="51" t="e">
        <f>[1]!'FIOAF00.TF-TotalVolume'</f>
        <v>#REF!</v>
      </c>
      <c r="G48" s="51" t="e">
        <f>[1]!'FIOAF00.TF-Open'</f>
        <v>#REF!</v>
      </c>
      <c r="H48" s="51" t="e">
        <f>[1]!'FIOAF00.TF-High'</f>
        <v>#REF!</v>
      </c>
      <c r="I48" s="51" t="e">
        <f>[1]!'FIOAF00.TF-Low'</f>
        <v>#REF!</v>
      </c>
      <c r="J48" s="51" t="e">
        <f>[1]!'FIOAF00.TF-Amplitude'</f>
        <v>#REF!</v>
      </c>
      <c r="K48" s="2" t="e">
        <f>[1]!'FIOAF00.TF-PreClose'</f>
        <v>#REF!</v>
      </c>
      <c r="L48" s="51" t="e">
        <f>[1]!'FIOAF00.TF-Open'</f>
        <v>#REF!</v>
      </c>
      <c r="M48" s="51" t="e">
        <f>[1]!'FIOAF00.TF-High'</f>
        <v>#REF!</v>
      </c>
      <c r="N48" s="51" t="e">
        <f>[1]!'FIOAF00.TF-Low'</f>
        <v>#REF!</v>
      </c>
      <c r="O48" s="51" t="e">
        <f>[1]!'FIOAF00.TF-PreTotalVolume'</f>
        <v>#REF!</v>
      </c>
      <c r="P48" s="2" t="e">
        <f>[1]!'FIOAF00.TF-Bid'</f>
        <v>#REF!</v>
      </c>
      <c r="Q48" s="2" t="e">
        <f>[1]!'FIOAF00.TF-Ask'</f>
        <v>#REF!</v>
      </c>
      <c r="R48" s="51" t="e">
        <f>[1]!'FIOAF00.TF-PriceChange'</f>
        <v>#REF!</v>
      </c>
      <c r="S48" s="51" t="e">
        <f>[1]!'FIOAF00.TF-PriceChangeRatio'</f>
        <v>#REF!</v>
      </c>
      <c r="T48" s="51" t="e">
        <f>[1]!'FIOAF00.TF-Volume'</f>
        <v>#REF!</v>
      </c>
      <c r="U48" s="51" t="e">
        <f>[1]!'FIOAF00.TF-TotalVolume'</f>
        <v>#REF!</v>
      </c>
    </row>
    <row r="49" spans="1:21">
      <c r="A49" s="51" t="e">
        <f>[1]!'FIOBF*1.TF-Name'</f>
        <v>#REF!</v>
      </c>
      <c r="B49" s="51" t="e">
        <f>[1]!'FIOBF*1.TF-ID'</f>
        <v>#REF!</v>
      </c>
      <c r="C49" s="2" t="e">
        <f>[1]!'FIOBF*1.TF-Price'</f>
        <v>#REF!</v>
      </c>
      <c r="D49" s="51" t="e">
        <f>[1]!'FIOBF*1.TF-PriceChangeRatio'</f>
        <v>#REF!</v>
      </c>
      <c r="E49" s="51" t="e">
        <f>[1]!'FIOBF*1.TF-Volume'</f>
        <v>#REF!</v>
      </c>
      <c r="F49" s="51" t="e">
        <f>[1]!'FIOBF*1.TF-TotalVolume'</f>
        <v>#REF!</v>
      </c>
      <c r="G49" s="51" t="e">
        <f>[1]!'FIOBF*1.TF-Open'</f>
        <v>#REF!</v>
      </c>
      <c r="H49" s="51" t="e">
        <f>[1]!'FIOBF*1.TF-High'</f>
        <v>#REF!</v>
      </c>
      <c r="I49" s="51" t="e">
        <f>[1]!'FIOBF*1.TF-Low'</f>
        <v>#REF!</v>
      </c>
      <c r="J49" s="51" t="e">
        <f>[1]!'FIOBF*1.TF-Amplitude'</f>
        <v>#REF!</v>
      </c>
      <c r="K49" s="2" t="e">
        <f>[1]!'FIOBF*1.TF-PreClose'</f>
        <v>#REF!</v>
      </c>
      <c r="L49" s="51" t="e">
        <f>[1]!'FIOBF*1.TF-Open'</f>
        <v>#REF!</v>
      </c>
      <c r="M49" s="51" t="e">
        <f>[1]!'FIOBF*1.TF-High'</f>
        <v>#REF!</v>
      </c>
      <c r="N49" s="51" t="e">
        <f>[1]!'FIOBF*1.TF-Low'</f>
        <v>#REF!</v>
      </c>
      <c r="O49" s="51" t="e">
        <f>[1]!'FIOBF*1.TF-PreTotalVolume'</f>
        <v>#REF!</v>
      </c>
      <c r="P49" s="2" t="e">
        <f>[1]!'FIOBF*1.TF-Bid'</f>
        <v>#REF!</v>
      </c>
      <c r="Q49" s="2" t="e">
        <f>[1]!'FIOBF*1.TF-Ask'</f>
        <v>#REF!</v>
      </c>
      <c r="R49" s="51" t="e">
        <f>[1]!'FIOBF*1.TF-PriceChange'</f>
        <v>#REF!</v>
      </c>
      <c r="S49" s="51" t="e">
        <f>[1]!'FIOBF*1.TF-PriceChangeRatio'</f>
        <v>#REF!</v>
      </c>
      <c r="T49" s="51" t="e">
        <f>[1]!'FIOBF*1.TF-Volume'</f>
        <v>#REF!</v>
      </c>
      <c r="U49" s="51" t="e">
        <f>[1]!'FIOBF*1.TF-TotalVolume'</f>
        <v>#REF!</v>
      </c>
    </row>
    <row r="50" spans="1:21">
      <c r="A50" s="51" t="e">
        <f>[1]!'FIOBF*2.TF-Name'</f>
        <v>#REF!</v>
      </c>
      <c r="B50" s="51" t="e">
        <f>[1]!'FIOBF*2.TF-ID'</f>
        <v>#REF!</v>
      </c>
      <c r="C50" s="2" t="e">
        <f>[1]!'FIOBF*2.TF-Price'</f>
        <v>#REF!</v>
      </c>
      <c r="D50" s="51" t="e">
        <f>[1]!'FIOBF*2.TF-PriceChangeRatio'</f>
        <v>#REF!</v>
      </c>
      <c r="E50" s="51" t="e">
        <f>[1]!'FIOBF*2.TF-Volume'</f>
        <v>#REF!</v>
      </c>
      <c r="F50" s="51" t="e">
        <f>[1]!'FIOBF*2.TF-TotalVolume'</f>
        <v>#REF!</v>
      </c>
      <c r="G50" s="51" t="e">
        <f>[1]!'FIOBF*2.TF-Open'</f>
        <v>#REF!</v>
      </c>
      <c r="H50" s="51" t="e">
        <f>[1]!'FIOBF*2.TF-High'</f>
        <v>#REF!</v>
      </c>
      <c r="I50" s="51" t="e">
        <f>[1]!'FIOBF*2.TF-Low'</f>
        <v>#REF!</v>
      </c>
      <c r="J50" s="51" t="e">
        <f>[1]!'FIOBF*2.TF-Amplitude'</f>
        <v>#REF!</v>
      </c>
      <c r="K50" s="2" t="e">
        <f>[1]!'FIOBF*2.TF-PreClose'</f>
        <v>#REF!</v>
      </c>
      <c r="L50" s="51" t="e">
        <f>[1]!'FIOBF*2.TF-Open'</f>
        <v>#REF!</v>
      </c>
      <c r="M50" s="51" t="e">
        <f>[1]!'FIOBF*2.TF-High'</f>
        <v>#REF!</v>
      </c>
      <c r="N50" s="51" t="e">
        <f>[1]!'FIOBF*2.TF-Low'</f>
        <v>#REF!</v>
      </c>
      <c r="O50" s="51" t="e">
        <f>[1]!'FIOBF*2.TF-PreTotalVolume'</f>
        <v>#REF!</v>
      </c>
      <c r="P50" s="2" t="e">
        <f>[1]!'FIOBF*2.TF-Bid'</f>
        <v>#REF!</v>
      </c>
      <c r="Q50" s="2" t="e">
        <f>[1]!'FIOBF*2.TF-Ask'</f>
        <v>#REF!</v>
      </c>
      <c r="R50" s="51" t="e">
        <f>[1]!'FIOBF*2.TF-PriceChange'</f>
        <v>#REF!</v>
      </c>
      <c r="S50" s="51" t="e">
        <f>[1]!'FIOBF*2.TF-PriceChangeRatio'</f>
        <v>#REF!</v>
      </c>
      <c r="T50" s="51" t="e">
        <f>[1]!'FIOBF*2.TF-Volume'</f>
        <v>#REF!</v>
      </c>
      <c r="U50" s="51" t="e">
        <f>[1]!'FIOBF*2.TF-TotalVolume'</f>
        <v>#REF!</v>
      </c>
    </row>
    <row r="51" spans="1:21">
      <c r="A51" s="51" t="e">
        <f>[1]!'FIOBF00.TF-Name'</f>
        <v>#REF!</v>
      </c>
      <c r="B51" s="51" t="e">
        <f>[1]!'FIOBF00.TF-ID'</f>
        <v>#REF!</v>
      </c>
      <c r="C51" s="2" t="e">
        <f>[1]!'FIOBF00.TF-Price'</f>
        <v>#REF!</v>
      </c>
      <c r="D51" s="51" t="e">
        <f>[1]!'FIOBF00.TF-PriceChangeRatio'</f>
        <v>#REF!</v>
      </c>
      <c r="E51" s="51" t="e">
        <f>[1]!'FIOBF00.TF-Volume'</f>
        <v>#REF!</v>
      </c>
      <c r="F51" s="51" t="e">
        <f>[1]!'FIOBF00.TF-TotalVolume'</f>
        <v>#REF!</v>
      </c>
      <c r="G51" s="51" t="e">
        <f>[1]!'FIOBF00.TF-Open'</f>
        <v>#REF!</v>
      </c>
      <c r="H51" s="51" t="e">
        <f>[1]!'FIOBF00.TF-High'</f>
        <v>#REF!</v>
      </c>
      <c r="I51" s="51" t="e">
        <f>[1]!'FIOBF00.TF-Low'</f>
        <v>#REF!</v>
      </c>
      <c r="J51" s="51" t="e">
        <f>[1]!'FIOBF00.TF-Amplitude'</f>
        <v>#REF!</v>
      </c>
      <c r="K51" s="2" t="e">
        <f>[1]!'FIOBF00.TF-PreClose'</f>
        <v>#REF!</v>
      </c>
      <c r="L51" s="51" t="e">
        <f>[1]!'FIOBF00.TF-Open'</f>
        <v>#REF!</v>
      </c>
      <c r="M51" s="51" t="e">
        <f>[1]!'FIOBF00.TF-High'</f>
        <v>#REF!</v>
      </c>
      <c r="N51" s="51" t="e">
        <f>[1]!'FIOBF00.TF-Low'</f>
        <v>#REF!</v>
      </c>
      <c r="O51" s="51" t="e">
        <f>[1]!'FIOBF00.TF-PreTotalVolume'</f>
        <v>#REF!</v>
      </c>
      <c r="P51" s="2" t="e">
        <f>[1]!'FIOBF00.TF-Bid'</f>
        <v>#REF!</v>
      </c>
      <c r="Q51" s="2" t="e">
        <f>[1]!'FIOBF00.TF-Ask'</f>
        <v>#REF!</v>
      </c>
      <c r="R51" s="51" t="e">
        <f>[1]!'FIOBF00.TF-PriceChange'</f>
        <v>#REF!</v>
      </c>
      <c r="S51" s="51" t="e">
        <f>[1]!'FIOBF00.TF-PriceChangeRatio'</f>
        <v>#REF!</v>
      </c>
      <c r="T51" s="51" t="e">
        <f>[1]!'FIOBF00.TF-Volume'</f>
        <v>#REF!</v>
      </c>
      <c r="U51" s="51" t="e">
        <f>[1]!'FIOBF00.TF-TotalVolume'</f>
        <v>#REF!</v>
      </c>
    </row>
    <row r="52" spans="1:21">
      <c r="A52" s="51" t="e">
        <f>[1]!'FIOCF*1.TF-Name'</f>
        <v>#REF!</v>
      </c>
      <c r="B52" s="51" t="e">
        <f>[1]!'FIOCF*1.TF-ID'</f>
        <v>#REF!</v>
      </c>
      <c r="C52" s="2" t="e">
        <f>[1]!'FIOCF*1.TF-Price'</f>
        <v>#REF!</v>
      </c>
      <c r="D52" s="51" t="e">
        <f>[1]!'FIOCF*1.TF-PriceChangeRatio'</f>
        <v>#REF!</v>
      </c>
      <c r="E52" s="51" t="e">
        <f>[1]!'FIOCF*1.TF-Volume'</f>
        <v>#REF!</v>
      </c>
      <c r="F52" s="51" t="e">
        <f>[1]!'FIOCF*1.TF-TotalVolume'</f>
        <v>#REF!</v>
      </c>
      <c r="G52" s="51" t="e">
        <f>[1]!'FIOCF*1.TF-Open'</f>
        <v>#REF!</v>
      </c>
      <c r="H52" s="51" t="e">
        <f>[1]!'FIOCF*1.TF-High'</f>
        <v>#REF!</v>
      </c>
      <c r="I52" s="51" t="e">
        <f>[1]!'FIOCF*1.TF-Low'</f>
        <v>#REF!</v>
      </c>
      <c r="J52" s="51" t="e">
        <f>[1]!'FIOCF*1.TF-Amplitude'</f>
        <v>#REF!</v>
      </c>
      <c r="K52" s="2" t="e">
        <f>[1]!'FIOCF*1.TF-PreClose'</f>
        <v>#REF!</v>
      </c>
      <c r="L52" s="51" t="e">
        <f>[1]!'FIOCF*1.TF-Open'</f>
        <v>#REF!</v>
      </c>
      <c r="M52" s="51" t="e">
        <f>[1]!'FIOCF*1.TF-High'</f>
        <v>#REF!</v>
      </c>
      <c r="N52" s="51" t="e">
        <f>[1]!'FIOCF*1.TF-Low'</f>
        <v>#REF!</v>
      </c>
      <c r="O52" s="51" t="e">
        <f>[1]!'FIOCF*1.TF-PreTotalVolume'</f>
        <v>#REF!</v>
      </c>
      <c r="P52" s="2" t="e">
        <f>[1]!'FIOCF*1.TF-Bid'</f>
        <v>#REF!</v>
      </c>
      <c r="Q52" s="2" t="e">
        <f>[1]!'FIOCF*1.TF-Ask'</f>
        <v>#REF!</v>
      </c>
      <c r="R52" s="51" t="e">
        <f>[1]!'FIOCF*1.TF-PriceChange'</f>
        <v>#REF!</v>
      </c>
      <c r="S52" s="51" t="e">
        <f>[1]!'FIOCF*1.TF-PriceChangeRatio'</f>
        <v>#REF!</v>
      </c>
      <c r="T52" s="51" t="e">
        <f>[1]!'FIOCF*1.TF-Volume'</f>
        <v>#REF!</v>
      </c>
      <c r="U52" s="51" t="e">
        <f>[1]!'FIOCF*1.TF-TotalVolume'</f>
        <v>#REF!</v>
      </c>
    </row>
    <row r="53" spans="1:21">
      <c r="A53" s="51" t="e">
        <f>[1]!'FIOCF*2.TF-Name'</f>
        <v>#REF!</v>
      </c>
      <c r="B53" s="51" t="e">
        <f>[1]!'FIOCF*2.TF-ID'</f>
        <v>#REF!</v>
      </c>
      <c r="C53" s="2" t="e">
        <f>[1]!'FIOCF*2.TF-Price'</f>
        <v>#REF!</v>
      </c>
      <c r="D53" s="51" t="e">
        <f>[1]!'FIOCF*2.TF-PriceChangeRatio'</f>
        <v>#REF!</v>
      </c>
      <c r="E53" s="51" t="e">
        <f>[1]!'FIOCF*2.TF-Volume'</f>
        <v>#REF!</v>
      </c>
      <c r="F53" s="51" t="e">
        <f>[1]!'FIOCF*2.TF-TotalVolume'</f>
        <v>#REF!</v>
      </c>
      <c r="G53" s="51" t="e">
        <f>[1]!'FIOCF*2.TF-Open'</f>
        <v>#REF!</v>
      </c>
      <c r="H53" s="51" t="e">
        <f>[1]!'FIOCF*2.TF-High'</f>
        <v>#REF!</v>
      </c>
      <c r="I53" s="51" t="e">
        <f>[1]!'FIOCF*2.TF-Low'</f>
        <v>#REF!</v>
      </c>
      <c r="J53" s="51" t="e">
        <f>[1]!'FIOCF*2.TF-Amplitude'</f>
        <v>#REF!</v>
      </c>
      <c r="K53" s="2" t="e">
        <f>[1]!'FIOCF*2.TF-PreClose'</f>
        <v>#REF!</v>
      </c>
      <c r="L53" s="51" t="e">
        <f>[1]!'FIOCF*2.TF-Open'</f>
        <v>#REF!</v>
      </c>
      <c r="M53" s="51" t="e">
        <f>[1]!'FIOCF*2.TF-High'</f>
        <v>#REF!</v>
      </c>
      <c r="N53" s="51" t="e">
        <f>[1]!'FIOCF*2.TF-Low'</f>
        <v>#REF!</v>
      </c>
      <c r="O53" s="51" t="e">
        <f>[1]!'FIOCF*2.TF-PreTotalVolume'</f>
        <v>#REF!</v>
      </c>
      <c r="P53" s="2" t="e">
        <f>[1]!'FIOCF*2.TF-Bid'</f>
        <v>#REF!</v>
      </c>
      <c r="Q53" s="2" t="e">
        <f>[1]!'FIOCF*2.TF-Ask'</f>
        <v>#REF!</v>
      </c>
      <c r="R53" s="51" t="e">
        <f>[1]!'FIOCF*2.TF-PriceChange'</f>
        <v>#REF!</v>
      </c>
      <c r="S53" s="51" t="e">
        <f>[1]!'FIOCF*2.TF-PriceChangeRatio'</f>
        <v>#REF!</v>
      </c>
      <c r="T53" s="51" t="e">
        <f>[1]!'FIOCF*2.TF-Volume'</f>
        <v>#REF!</v>
      </c>
      <c r="U53" s="51" t="e">
        <f>[1]!'FIOCF*2.TF-TotalVolume'</f>
        <v>#REF!</v>
      </c>
    </row>
    <row r="54" spans="1:21">
      <c r="A54" s="51" t="e">
        <f>[1]!'FIOCF00.TF-Name'</f>
        <v>#REF!</v>
      </c>
      <c r="B54" s="51" t="e">
        <f>[1]!'FIOCF00.TF-ID'</f>
        <v>#REF!</v>
      </c>
      <c r="C54" s="2" t="e">
        <f>[1]!'FIOCF00.TF-Price'</f>
        <v>#REF!</v>
      </c>
      <c r="D54" s="51" t="e">
        <f>[1]!'FIOCF00.TF-PriceChangeRatio'</f>
        <v>#REF!</v>
      </c>
      <c r="E54" s="51" t="e">
        <f>[1]!'FIOCF00.TF-Volume'</f>
        <v>#REF!</v>
      </c>
      <c r="F54" s="51" t="e">
        <f>[1]!'FIOCF00.TF-TotalVolume'</f>
        <v>#REF!</v>
      </c>
      <c r="G54" s="51" t="e">
        <f>[1]!'FIOCF00.TF-Open'</f>
        <v>#REF!</v>
      </c>
      <c r="H54" s="51" t="e">
        <f>[1]!'FIOCF00.TF-High'</f>
        <v>#REF!</v>
      </c>
      <c r="I54" s="51" t="e">
        <f>[1]!'FIOCF00.TF-Low'</f>
        <v>#REF!</v>
      </c>
      <c r="J54" s="51" t="e">
        <f>[1]!'FIOCF00.TF-Amplitude'</f>
        <v>#REF!</v>
      </c>
      <c r="K54" s="2" t="e">
        <f>[1]!'FIOCF00.TF-PreClose'</f>
        <v>#REF!</v>
      </c>
      <c r="L54" s="51" t="e">
        <f>[1]!'FIOCF00.TF-Open'</f>
        <v>#REF!</v>
      </c>
      <c r="M54" s="51" t="e">
        <f>[1]!'FIOCF00.TF-High'</f>
        <v>#REF!</v>
      </c>
      <c r="N54" s="51" t="e">
        <f>[1]!'FIOCF00.TF-Low'</f>
        <v>#REF!</v>
      </c>
      <c r="O54" s="51" t="e">
        <f>[1]!'FIOCF00.TF-PreTotalVolume'</f>
        <v>#REF!</v>
      </c>
      <c r="P54" s="2" t="e">
        <f>[1]!'FIOCF00.TF-Bid'</f>
        <v>#REF!</v>
      </c>
      <c r="Q54" s="2" t="e">
        <f>[1]!'FIOCF00.TF-Ask'</f>
        <v>#REF!</v>
      </c>
      <c r="R54" s="51" t="e">
        <f>[1]!'FIOCF00.TF-PriceChange'</f>
        <v>#REF!</v>
      </c>
      <c r="S54" s="51" t="e">
        <f>[1]!'FIOCF00.TF-PriceChangeRatio'</f>
        <v>#REF!</v>
      </c>
      <c r="T54" s="51" t="e">
        <f>[1]!'FIOCF00.TF-Volume'</f>
        <v>#REF!</v>
      </c>
      <c r="U54" s="51" t="e">
        <f>[1]!'FIOCF00.TF-TotalVolume'</f>
        <v>#REF!</v>
      </c>
    </row>
    <row r="55" spans="1:21">
      <c r="A55" s="51" t="e">
        <f>[1]!'FIOJF*1.TF-Name'</f>
        <v>#REF!</v>
      </c>
      <c r="B55" s="51" t="e">
        <f>[1]!'FIOJF*1.TF-ID'</f>
        <v>#REF!</v>
      </c>
      <c r="C55" s="2" t="e">
        <f>[1]!'FIOJF*1.TF-Price'</f>
        <v>#REF!</v>
      </c>
      <c r="D55" s="51" t="e">
        <f>[1]!'FIOJF*1.TF-PriceChangeRatio'</f>
        <v>#REF!</v>
      </c>
      <c r="E55" s="51" t="e">
        <f>[1]!'FIOJF*1.TF-Volume'</f>
        <v>#REF!</v>
      </c>
      <c r="F55" s="51" t="e">
        <f>[1]!'FIOJF*1.TF-TotalVolume'</f>
        <v>#REF!</v>
      </c>
      <c r="G55" s="51" t="e">
        <f>[1]!'FIOJF*1.TF-Open'</f>
        <v>#REF!</v>
      </c>
      <c r="H55" s="51" t="e">
        <f>[1]!'FIOJF*1.TF-High'</f>
        <v>#REF!</v>
      </c>
      <c r="I55" s="51" t="e">
        <f>[1]!'FIOJF*1.TF-Low'</f>
        <v>#REF!</v>
      </c>
      <c r="J55" s="51" t="e">
        <f>[1]!'FIOJF*1.TF-Amplitude'</f>
        <v>#REF!</v>
      </c>
      <c r="K55" s="2" t="e">
        <f>[1]!'FIOJF*1.TF-PreClose'</f>
        <v>#REF!</v>
      </c>
      <c r="L55" s="51" t="e">
        <f>[1]!'FIOJF*1.TF-Open'</f>
        <v>#REF!</v>
      </c>
      <c r="M55" s="51" t="e">
        <f>[1]!'FIOJF*1.TF-High'</f>
        <v>#REF!</v>
      </c>
      <c r="N55" s="51" t="e">
        <f>[1]!'FIOJF*1.TF-Low'</f>
        <v>#REF!</v>
      </c>
      <c r="O55" s="51" t="e">
        <f>[1]!'FIOJF*1.TF-PreTotalVolume'</f>
        <v>#REF!</v>
      </c>
      <c r="P55" s="2" t="e">
        <f>[1]!'FIOJF*1.TF-Bid'</f>
        <v>#REF!</v>
      </c>
      <c r="Q55" s="2" t="e">
        <f>[1]!'FIOJF*1.TF-Ask'</f>
        <v>#REF!</v>
      </c>
      <c r="R55" s="51" t="e">
        <f>[1]!'FIOJF*1.TF-PriceChange'</f>
        <v>#REF!</v>
      </c>
      <c r="S55" s="51" t="e">
        <f>[1]!'FIOJF*1.TF-PriceChangeRatio'</f>
        <v>#REF!</v>
      </c>
      <c r="T55" s="51" t="e">
        <f>[1]!'FIOJF*1.TF-Volume'</f>
        <v>#REF!</v>
      </c>
      <c r="U55" s="51" t="e">
        <f>[1]!'FIOJF*1.TF-TotalVolume'</f>
        <v>#REF!</v>
      </c>
    </row>
    <row r="56" spans="1:21">
      <c r="A56" s="51" t="e">
        <f>[1]!'FIOJF*2.TF-Name'</f>
        <v>#REF!</v>
      </c>
      <c r="B56" s="51" t="e">
        <f>[1]!'FIOJF*2.TF-ID'</f>
        <v>#REF!</v>
      </c>
      <c r="C56" s="2" t="e">
        <f>[1]!'FIOJF*2.TF-Price'</f>
        <v>#REF!</v>
      </c>
      <c r="D56" s="51" t="e">
        <f>[1]!'FIOJF*2.TF-PriceChangeRatio'</f>
        <v>#REF!</v>
      </c>
      <c r="E56" s="51" t="e">
        <f>[1]!'FIOJF*2.TF-Volume'</f>
        <v>#REF!</v>
      </c>
      <c r="F56" s="51" t="e">
        <f>[1]!'FIOJF*2.TF-TotalVolume'</f>
        <v>#REF!</v>
      </c>
      <c r="G56" s="51" t="e">
        <f>[1]!'FIOJF*2.TF-Open'</f>
        <v>#REF!</v>
      </c>
      <c r="H56" s="51" t="e">
        <f>[1]!'FIOJF*2.TF-High'</f>
        <v>#REF!</v>
      </c>
      <c r="I56" s="51" t="e">
        <f>[1]!'FIOJF*2.TF-Low'</f>
        <v>#REF!</v>
      </c>
      <c r="J56" s="51" t="e">
        <f>[1]!'FIOJF*2.TF-Amplitude'</f>
        <v>#REF!</v>
      </c>
      <c r="K56" s="2" t="e">
        <f>[1]!'FIOJF*2.TF-PreClose'</f>
        <v>#REF!</v>
      </c>
      <c r="L56" s="51" t="e">
        <f>[1]!'FIOJF*2.TF-Open'</f>
        <v>#REF!</v>
      </c>
      <c r="M56" s="51" t="e">
        <f>[1]!'FIOJF*2.TF-High'</f>
        <v>#REF!</v>
      </c>
      <c r="N56" s="51" t="e">
        <f>[1]!'FIOJF*2.TF-Low'</f>
        <v>#REF!</v>
      </c>
      <c r="O56" s="51" t="e">
        <f>[1]!'FIOJF*2.TF-PreTotalVolume'</f>
        <v>#REF!</v>
      </c>
      <c r="P56" s="2" t="e">
        <f>[1]!'FIOJF*2.TF-Bid'</f>
        <v>#REF!</v>
      </c>
      <c r="Q56" s="2" t="e">
        <f>[1]!'FIOJF*2.TF-Ask'</f>
        <v>#REF!</v>
      </c>
      <c r="R56" s="51" t="e">
        <f>[1]!'FIOJF*2.TF-PriceChange'</f>
        <v>#REF!</v>
      </c>
      <c r="S56" s="51" t="e">
        <f>[1]!'FIOJF*2.TF-PriceChangeRatio'</f>
        <v>#REF!</v>
      </c>
      <c r="T56" s="51" t="e">
        <f>[1]!'FIOJF*2.TF-Volume'</f>
        <v>#REF!</v>
      </c>
      <c r="U56" s="51" t="e">
        <f>[1]!'FIOJF*2.TF-TotalVolume'</f>
        <v>#REF!</v>
      </c>
    </row>
    <row r="57" spans="1:21">
      <c r="A57" s="51" t="e">
        <f>[1]!'FIOJF00.TF-Name'</f>
        <v>#REF!</v>
      </c>
      <c r="B57" s="51" t="e">
        <f>[1]!'FIOJF00.TF-ID'</f>
        <v>#REF!</v>
      </c>
      <c r="C57" s="2" t="e">
        <f>[1]!'FIOJF00.TF-Price'</f>
        <v>#REF!</v>
      </c>
      <c r="D57" s="51" t="e">
        <f>[1]!'FIOJF00.TF-PriceChangeRatio'</f>
        <v>#REF!</v>
      </c>
      <c r="E57" s="51" t="e">
        <f>[1]!'FIOJF00.TF-Volume'</f>
        <v>#REF!</v>
      </c>
      <c r="F57" s="51" t="e">
        <f>[1]!'FIOJF00.TF-TotalVolume'</f>
        <v>#REF!</v>
      </c>
      <c r="G57" s="51" t="e">
        <f>[1]!'FIOJF00.TF-Open'</f>
        <v>#REF!</v>
      </c>
      <c r="H57" s="51" t="e">
        <f>[1]!'FIOJF00.TF-High'</f>
        <v>#REF!</v>
      </c>
      <c r="I57" s="51" t="e">
        <f>[1]!'FIOJF00.TF-Low'</f>
        <v>#REF!</v>
      </c>
      <c r="J57" s="51" t="e">
        <f>[1]!'FIOJF00.TF-Amplitude'</f>
        <v>#REF!</v>
      </c>
      <c r="K57" s="2" t="e">
        <f>[1]!'FIOJF00.TF-PreClose'</f>
        <v>#REF!</v>
      </c>
      <c r="L57" s="51" t="e">
        <f>[1]!'FIOJF00.TF-Open'</f>
        <v>#REF!</v>
      </c>
      <c r="M57" s="51" t="e">
        <f>[1]!'FIOJF00.TF-High'</f>
        <v>#REF!</v>
      </c>
      <c r="N57" s="51" t="e">
        <f>[1]!'FIOJF00.TF-Low'</f>
        <v>#REF!</v>
      </c>
      <c r="O57" s="51" t="e">
        <f>[1]!'FIOJF00.TF-PreTotalVolume'</f>
        <v>#REF!</v>
      </c>
      <c r="P57" s="2" t="e">
        <f>[1]!'FIOJF00.TF-Bid'</f>
        <v>#REF!</v>
      </c>
      <c r="Q57" s="2" t="e">
        <f>[1]!'FIOJF00.TF-Ask'</f>
        <v>#REF!</v>
      </c>
      <c r="R57" s="51" t="e">
        <f>[1]!'FIOJF00.TF-PriceChange'</f>
        <v>#REF!</v>
      </c>
      <c r="S57" s="51" t="e">
        <f>[1]!'FIOJF00.TF-PriceChangeRatio'</f>
        <v>#REF!</v>
      </c>
      <c r="T57" s="51" t="e">
        <f>[1]!'FIOJF00.TF-Volume'</f>
        <v>#REF!</v>
      </c>
      <c r="U57" s="51" t="e">
        <f>[1]!'FIOJF00.TF-TotalVolume'</f>
        <v>#REF!</v>
      </c>
    </row>
    <row r="58" spans="1:21">
      <c r="A58" s="51" t="e">
        <f>[1]!'FIOKF*1.TF-Name'</f>
        <v>#REF!</v>
      </c>
      <c r="B58" s="51" t="e">
        <f>[1]!'FIOKF*1.TF-ID'</f>
        <v>#REF!</v>
      </c>
      <c r="C58" s="2" t="e">
        <f>[1]!'FIOKF*1.TF-Price'</f>
        <v>#REF!</v>
      </c>
      <c r="D58" s="51" t="e">
        <f>[1]!'FIOKF*1.TF-PriceChangeRatio'</f>
        <v>#REF!</v>
      </c>
      <c r="E58" s="51" t="e">
        <f>[1]!'FIOKF*1.TF-Volume'</f>
        <v>#REF!</v>
      </c>
      <c r="F58" s="51" t="e">
        <f>[1]!'FIOKF*1.TF-TotalVolume'</f>
        <v>#REF!</v>
      </c>
      <c r="G58" s="51" t="e">
        <f>[1]!'FIOKF*1.TF-Open'</f>
        <v>#REF!</v>
      </c>
      <c r="H58" s="51" t="e">
        <f>[1]!'FIOKF*1.TF-High'</f>
        <v>#REF!</v>
      </c>
      <c r="I58" s="51" t="e">
        <f>[1]!'FIOKF*1.TF-Low'</f>
        <v>#REF!</v>
      </c>
      <c r="J58" s="51" t="e">
        <f>[1]!'FIOKF*1.TF-Amplitude'</f>
        <v>#REF!</v>
      </c>
      <c r="K58" s="2" t="e">
        <f>[1]!'FIOKF*1.TF-PreClose'</f>
        <v>#REF!</v>
      </c>
      <c r="L58" s="51" t="e">
        <f>[1]!'FIOKF*1.TF-Open'</f>
        <v>#REF!</v>
      </c>
      <c r="M58" s="51" t="e">
        <f>[1]!'FIOKF*1.TF-High'</f>
        <v>#REF!</v>
      </c>
      <c r="N58" s="51" t="e">
        <f>[1]!'FIOKF*1.TF-Low'</f>
        <v>#REF!</v>
      </c>
      <c r="O58" s="51" t="e">
        <f>[1]!'FIOKF*1.TF-PreTotalVolume'</f>
        <v>#REF!</v>
      </c>
      <c r="P58" s="2" t="e">
        <f>[1]!'FIOKF*1.TF-Bid'</f>
        <v>#REF!</v>
      </c>
      <c r="Q58" s="2" t="e">
        <f>[1]!'FIOKF*1.TF-Ask'</f>
        <v>#REF!</v>
      </c>
      <c r="R58" s="51" t="e">
        <f>[1]!'FIOKF*1.TF-PriceChange'</f>
        <v>#REF!</v>
      </c>
      <c r="S58" s="51" t="e">
        <f>[1]!'FIOKF*1.TF-PriceChangeRatio'</f>
        <v>#REF!</v>
      </c>
      <c r="T58" s="51" t="e">
        <f>[1]!'FIOKF*1.TF-Volume'</f>
        <v>#REF!</v>
      </c>
      <c r="U58" s="51" t="e">
        <f>[1]!'FIOKF*1.TF-TotalVolume'</f>
        <v>#REF!</v>
      </c>
    </row>
    <row r="59" spans="1:21">
      <c r="A59" s="51" t="e">
        <f>[1]!'FIOKF*2.TF-Name'</f>
        <v>#REF!</v>
      </c>
      <c r="B59" s="51" t="e">
        <f>[1]!'FIOKF*2.TF-ID'</f>
        <v>#REF!</v>
      </c>
      <c r="C59" s="2" t="e">
        <f>[1]!'FIOKF*2.TF-Price'</f>
        <v>#REF!</v>
      </c>
      <c r="D59" s="51" t="e">
        <f>[1]!'FIOKF*2.TF-PriceChangeRatio'</f>
        <v>#REF!</v>
      </c>
      <c r="E59" s="51" t="e">
        <f>[1]!'FIOKF*2.TF-Volume'</f>
        <v>#REF!</v>
      </c>
      <c r="F59" s="51" t="e">
        <f>[1]!'FIOKF*2.TF-TotalVolume'</f>
        <v>#REF!</v>
      </c>
      <c r="G59" s="51" t="e">
        <f>[1]!'FIOKF*2.TF-Open'</f>
        <v>#REF!</v>
      </c>
      <c r="H59" s="51" t="e">
        <f>[1]!'FIOKF*2.TF-High'</f>
        <v>#REF!</v>
      </c>
      <c r="I59" s="51" t="e">
        <f>[1]!'FIOKF*2.TF-Low'</f>
        <v>#REF!</v>
      </c>
      <c r="J59" s="51" t="e">
        <f>[1]!'FIOKF*2.TF-Amplitude'</f>
        <v>#REF!</v>
      </c>
      <c r="K59" s="2" t="e">
        <f>[1]!'FIOKF*2.TF-PreClose'</f>
        <v>#REF!</v>
      </c>
      <c r="L59" s="51" t="e">
        <f>[1]!'FIOKF*2.TF-Open'</f>
        <v>#REF!</v>
      </c>
      <c r="M59" s="51" t="e">
        <f>[1]!'FIOKF*2.TF-High'</f>
        <v>#REF!</v>
      </c>
      <c r="N59" s="51" t="e">
        <f>[1]!'FIOKF*2.TF-Low'</f>
        <v>#REF!</v>
      </c>
      <c r="O59" s="51" t="e">
        <f>[1]!'FIOKF*2.TF-PreTotalVolume'</f>
        <v>#REF!</v>
      </c>
      <c r="P59" s="2" t="e">
        <f>[1]!'FIOKF*2.TF-Bid'</f>
        <v>#REF!</v>
      </c>
      <c r="Q59" s="2" t="e">
        <f>[1]!'FIOKF*2.TF-Ask'</f>
        <v>#REF!</v>
      </c>
      <c r="R59" s="51" t="e">
        <f>[1]!'FIOKF*2.TF-PriceChange'</f>
        <v>#REF!</v>
      </c>
      <c r="S59" s="51" t="e">
        <f>[1]!'FIOKF*2.TF-PriceChangeRatio'</f>
        <v>#REF!</v>
      </c>
      <c r="T59" s="51" t="e">
        <f>[1]!'FIOKF*2.TF-Volume'</f>
        <v>#REF!</v>
      </c>
      <c r="U59" s="51" t="e">
        <f>[1]!'FIOKF*2.TF-TotalVolume'</f>
        <v>#REF!</v>
      </c>
    </row>
    <row r="60" spans="1:21">
      <c r="A60" s="51" t="e">
        <f>[1]!'FIOKF00.TF-Name'</f>
        <v>#REF!</v>
      </c>
      <c r="B60" s="51" t="e">
        <f>[1]!'FIOKF00.TF-ID'</f>
        <v>#REF!</v>
      </c>
      <c r="C60" s="2" t="e">
        <f>[1]!'FIOKF00.TF-Price'</f>
        <v>#REF!</v>
      </c>
      <c r="D60" s="51" t="e">
        <f>[1]!'FIOKF00.TF-PriceChangeRatio'</f>
        <v>#REF!</v>
      </c>
      <c r="E60" s="51" t="e">
        <f>[1]!'FIOKF00.TF-Volume'</f>
        <v>#REF!</v>
      </c>
      <c r="F60" s="51" t="e">
        <f>[1]!'FIOKF00.TF-TotalVolume'</f>
        <v>#REF!</v>
      </c>
      <c r="G60" s="51" t="e">
        <f>[1]!'FIOKF00.TF-Open'</f>
        <v>#REF!</v>
      </c>
      <c r="H60" s="51" t="e">
        <f>[1]!'FIOKF00.TF-High'</f>
        <v>#REF!</v>
      </c>
      <c r="I60" s="51" t="e">
        <f>[1]!'FIOKF00.TF-Low'</f>
        <v>#REF!</v>
      </c>
      <c r="J60" s="51" t="e">
        <f>[1]!'FIOKF00.TF-Amplitude'</f>
        <v>#REF!</v>
      </c>
      <c r="K60" s="2" t="e">
        <f>[1]!'FIOKF00.TF-PreClose'</f>
        <v>#REF!</v>
      </c>
      <c r="L60" s="51" t="e">
        <f>[1]!'FIOKF00.TF-Open'</f>
        <v>#REF!</v>
      </c>
      <c r="M60" s="51" t="e">
        <f>[1]!'FIOKF00.TF-High'</f>
        <v>#REF!</v>
      </c>
      <c r="N60" s="51" t="e">
        <f>[1]!'FIOKF00.TF-Low'</f>
        <v>#REF!</v>
      </c>
      <c r="O60" s="51" t="e">
        <f>[1]!'FIOKF00.TF-PreTotalVolume'</f>
        <v>#REF!</v>
      </c>
      <c r="P60" s="2" t="e">
        <f>[1]!'FIOKF00.TF-Bid'</f>
        <v>#REF!</v>
      </c>
      <c r="Q60" s="2" t="e">
        <f>[1]!'FIOKF00.TF-Ask'</f>
        <v>#REF!</v>
      </c>
      <c r="R60" s="51" t="e">
        <f>[1]!'FIOKF00.TF-PriceChange'</f>
        <v>#REF!</v>
      </c>
      <c r="S60" s="51" t="e">
        <f>[1]!'FIOKF00.TF-PriceChangeRatio'</f>
        <v>#REF!</v>
      </c>
      <c r="T60" s="51" t="e">
        <f>[1]!'FIOKF00.TF-Volume'</f>
        <v>#REF!</v>
      </c>
      <c r="U60" s="51" t="e">
        <f>[1]!'FIOKF00.TF-TotalVolume'</f>
        <v>#REF!</v>
      </c>
    </row>
    <row r="61" spans="1:21">
      <c r="A61" s="51" t="e">
        <f>[1]!'FIOOF*1.TF-Name'</f>
        <v>#REF!</v>
      </c>
      <c r="B61" s="51" t="e">
        <f>[1]!'FIOOF*1.TF-ID'</f>
        <v>#REF!</v>
      </c>
      <c r="C61" s="2" t="e">
        <f>[1]!'FIOOF*1.TF-Price'</f>
        <v>#REF!</v>
      </c>
      <c r="D61" s="51" t="e">
        <f>[1]!'FIOOF*1.TF-PriceChangeRatio'</f>
        <v>#REF!</v>
      </c>
      <c r="E61" s="51" t="e">
        <f>[1]!'FIOOF*1.TF-Volume'</f>
        <v>#REF!</v>
      </c>
      <c r="F61" s="51" t="e">
        <f>[1]!'FIOOF*1.TF-TotalVolume'</f>
        <v>#REF!</v>
      </c>
      <c r="G61" s="51" t="e">
        <f>[1]!'FIOOF*1.TF-Open'</f>
        <v>#REF!</v>
      </c>
      <c r="H61" s="51" t="e">
        <f>[1]!'FIOOF*1.TF-High'</f>
        <v>#REF!</v>
      </c>
      <c r="I61" s="51" t="e">
        <f>[1]!'FIOOF*1.TF-Low'</f>
        <v>#REF!</v>
      </c>
      <c r="J61" s="51" t="e">
        <f>[1]!'FIOOF*1.TF-Amplitude'</f>
        <v>#REF!</v>
      </c>
      <c r="K61" s="2" t="e">
        <f>[1]!'FIOOF*1.TF-PreClose'</f>
        <v>#REF!</v>
      </c>
      <c r="L61" s="51" t="e">
        <f>[1]!'FIOOF*1.TF-Open'</f>
        <v>#REF!</v>
      </c>
      <c r="M61" s="51" t="e">
        <f>[1]!'FIOOF*1.TF-High'</f>
        <v>#REF!</v>
      </c>
      <c r="N61" s="51" t="e">
        <f>[1]!'FIOOF*1.TF-Low'</f>
        <v>#REF!</v>
      </c>
      <c r="O61" s="51" t="e">
        <f>[1]!'FIOOF*1.TF-PreTotalVolume'</f>
        <v>#REF!</v>
      </c>
      <c r="P61" s="2" t="e">
        <f>[1]!'FIOOF*1.TF-Bid'</f>
        <v>#REF!</v>
      </c>
      <c r="Q61" s="2" t="e">
        <f>[1]!'FIOOF*1.TF-Ask'</f>
        <v>#REF!</v>
      </c>
      <c r="R61" s="51" t="e">
        <f>[1]!'FIOOF*1.TF-PriceChange'</f>
        <v>#REF!</v>
      </c>
      <c r="S61" s="51" t="e">
        <f>[1]!'FIOOF*1.TF-PriceChangeRatio'</f>
        <v>#REF!</v>
      </c>
      <c r="T61" s="51" t="e">
        <f>[1]!'FIOOF*1.TF-Volume'</f>
        <v>#REF!</v>
      </c>
      <c r="U61" s="51" t="e">
        <f>[1]!'FIOOF*1.TF-TotalVolume'</f>
        <v>#REF!</v>
      </c>
    </row>
    <row r="62" spans="1:21">
      <c r="A62" s="51" t="e">
        <f>[1]!'FIOOF*2.TF-Name'</f>
        <v>#REF!</v>
      </c>
      <c r="B62" s="51" t="e">
        <f>[1]!'FIOOF*2.TF-ID'</f>
        <v>#REF!</v>
      </c>
      <c r="C62" s="2" t="e">
        <f>[1]!'FIOOF*2.TF-Price'</f>
        <v>#REF!</v>
      </c>
      <c r="D62" s="51" t="e">
        <f>[1]!'FIOOF*2.TF-PriceChangeRatio'</f>
        <v>#REF!</v>
      </c>
      <c r="E62" s="51" t="e">
        <f>[1]!'FIOOF*2.TF-Volume'</f>
        <v>#REF!</v>
      </c>
      <c r="F62" s="51" t="e">
        <f>[1]!'FIOOF*2.TF-TotalVolume'</f>
        <v>#REF!</v>
      </c>
      <c r="G62" s="51" t="e">
        <f>[1]!'FIOOF*2.TF-Open'</f>
        <v>#REF!</v>
      </c>
      <c r="H62" s="51" t="e">
        <f>[1]!'FIOOF*2.TF-High'</f>
        <v>#REF!</v>
      </c>
      <c r="I62" s="51" t="e">
        <f>[1]!'FIOOF*2.TF-Low'</f>
        <v>#REF!</v>
      </c>
      <c r="J62" s="51" t="e">
        <f>[1]!'FIOOF*2.TF-Amplitude'</f>
        <v>#REF!</v>
      </c>
      <c r="K62" s="2" t="e">
        <f>[1]!'FIOOF*2.TF-PreClose'</f>
        <v>#REF!</v>
      </c>
      <c r="L62" s="51" t="e">
        <f>[1]!'FIOOF*2.TF-Open'</f>
        <v>#REF!</v>
      </c>
      <c r="M62" s="51" t="e">
        <f>[1]!'FIOOF*2.TF-High'</f>
        <v>#REF!</v>
      </c>
      <c r="N62" s="51" t="e">
        <f>[1]!'FIOOF*2.TF-Low'</f>
        <v>#REF!</v>
      </c>
      <c r="O62" s="51" t="e">
        <f>[1]!'FIOOF*2.TF-PreTotalVolume'</f>
        <v>#REF!</v>
      </c>
      <c r="P62" s="2" t="e">
        <f>[1]!'FIOOF*2.TF-Bid'</f>
        <v>#REF!</v>
      </c>
      <c r="Q62" s="2" t="e">
        <f>[1]!'FIOOF*2.TF-Ask'</f>
        <v>#REF!</v>
      </c>
      <c r="R62" s="51" t="e">
        <f>[1]!'FIOOF*2.TF-PriceChange'</f>
        <v>#REF!</v>
      </c>
      <c r="S62" s="51" t="e">
        <f>[1]!'FIOOF*2.TF-PriceChangeRatio'</f>
        <v>#REF!</v>
      </c>
      <c r="T62" s="51" t="e">
        <f>[1]!'FIOOF*2.TF-Volume'</f>
        <v>#REF!</v>
      </c>
      <c r="U62" s="51" t="e">
        <f>[1]!'FIOOF*2.TF-TotalVolume'</f>
        <v>#REF!</v>
      </c>
    </row>
    <row r="63" spans="1:21">
      <c r="A63" s="51" t="e">
        <f>[1]!'FIOOF00.TF-Name'</f>
        <v>#REF!</v>
      </c>
      <c r="B63" s="51" t="e">
        <f>[1]!'FIOOF00.TF-ID'</f>
        <v>#REF!</v>
      </c>
      <c r="C63" s="2" t="e">
        <f>[1]!'FIOOF00.TF-Price'</f>
        <v>#REF!</v>
      </c>
      <c r="D63" s="51" t="e">
        <f>[1]!'FIOOF00.TF-PriceChangeRatio'</f>
        <v>#REF!</v>
      </c>
      <c r="E63" s="51" t="e">
        <f>[1]!'FIOOF00.TF-Volume'</f>
        <v>#REF!</v>
      </c>
      <c r="F63" s="51" t="e">
        <f>[1]!'FIOOF00.TF-TotalVolume'</f>
        <v>#REF!</v>
      </c>
      <c r="G63" s="51" t="e">
        <f>[1]!'FIOOF00.TF-Open'</f>
        <v>#REF!</v>
      </c>
      <c r="H63" s="51" t="e">
        <f>[1]!'FIOOF00.TF-High'</f>
        <v>#REF!</v>
      </c>
      <c r="I63" s="51" t="e">
        <f>[1]!'FIOOF00.TF-Low'</f>
        <v>#REF!</v>
      </c>
      <c r="J63" s="51" t="e">
        <f>[1]!'FIOOF00.TF-Amplitude'</f>
        <v>#REF!</v>
      </c>
      <c r="K63" s="2" t="e">
        <f>[1]!'FIOOF00.TF-PreClose'</f>
        <v>#REF!</v>
      </c>
      <c r="L63" s="51" t="e">
        <f>[1]!'FIOOF00.TF-Open'</f>
        <v>#REF!</v>
      </c>
      <c r="M63" s="51" t="e">
        <f>[1]!'FIOOF00.TF-High'</f>
        <v>#REF!</v>
      </c>
      <c r="N63" s="51" t="e">
        <f>[1]!'FIOOF00.TF-Low'</f>
        <v>#REF!</v>
      </c>
      <c r="O63" s="51" t="e">
        <f>[1]!'FIOOF00.TF-PreTotalVolume'</f>
        <v>#REF!</v>
      </c>
      <c r="P63" s="2" t="e">
        <f>[1]!'FIOOF00.TF-Bid'</f>
        <v>#REF!</v>
      </c>
      <c r="Q63" s="2" t="e">
        <f>[1]!'FIOOF00.TF-Ask'</f>
        <v>#REF!</v>
      </c>
      <c r="R63" s="51" t="e">
        <f>[1]!'FIOOF00.TF-PriceChange'</f>
        <v>#REF!</v>
      </c>
      <c r="S63" s="51" t="e">
        <f>[1]!'FIOOF00.TF-PriceChangeRatio'</f>
        <v>#REF!</v>
      </c>
      <c r="T63" s="51" t="e">
        <f>[1]!'FIOOF00.TF-Volume'</f>
        <v>#REF!</v>
      </c>
      <c r="U63" s="51" t="e">
        <f>[1]!'FIOOF00.TF-TotalVolume'</f>
        <v>#REF!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2"/>
  <sheetViews>
    <sheetView workbookViewId="0">
      <selection activeCell="A2" sqref="A2"/>
    </sheetView>
  </sheetViews>
  <sheetFormatPr defaultColWidth="9" defaultRowHeight="16.5"/>
  <cols>
    <col min="1" max="1" width="19.75" style="52" customWidth="1"/>
    <col min="2" max="16384" width="9" style="52"/>
  </cols>
  <sheetData>
    <row r="1" spans="1:16">
      <c r="A1" s="52" t="s">
        <v>147</v>
      </c>
      <c r="B1" s="52" t="s">
        <v>149</v>
      </c>
      <c r="C1" s="52" t="s">
        <v>150</v>
      </c>
      <c r="D1" s="52" t="s">
        <v>148</v>
      </c>
      <c r="E1" s="52" t="s">
        <v>242</v>
      </c>
      <c r="F1" s="52" t="s">
        <v>233</v>
      </c>
      <c r="G1" s="52" t="s">
        <v>234</v>
      </c>
      <c r="H1" s="52" t="s">
        <v>235</v>
      </c>
      <c r="I1" s="52" t="s">
        <v>794</v>
      </c>
      <c r="J1" s="52" t="s">
        <v>795</v>
      </c>
      <c r="K1" s="52" t="s">
        <v>240</v>
      </c>
      <c r="L1" s="52" t="s">
        <v>796</v>
      </c>
      <c r="M1" s="52" t="s">
        <v>797</v>
      </c>
      <c r="N1" s="52" t="s">
        <v>798</v>
      </c>
      <c r="O1" s="52" t="s">
        <v>799</v>
      </c>
      <c r="P1" s="52" t="s">
        <v>230</v>
      </c>
    </row>
    <row r="2" spans="1:16">
      <c r="A2" s="52" t="e">
        <f>[1]!'JPY.FX-Name'</f>
        <v>#REF!</v>
      </c>
      <c r="B2" s="52" t="e">
        <f>[1]!'JPY.FX-Bid'</f>
        <v>#REF!</v>
      </c>
      <c r="C2" s="52" t="e">
        <f>[1]!'JPY.FX-Ask'</f>
        <v>#REF!</v>
      </c>
      <c r="D2" s="52" t="e">
        <f>[1]!'JPY.FX-Price'</f>
        <v>#REF!</v>
      </c>
      <c r="E2" s="52" t="e">
        <f>[1]!'JPY.FX-PriceChange'</f>
        <v>#REF!</v>
      </c>
      <c r="F2" s="52" t="e">
        <f>[1]!'JPY.FX-PriceChangeRatio'</f>
        <v>#REF!</v>
      </c>
      <c r="G2" s="52" t="e">
        <f>[1]!'JPY.FX-Volume'</f>
        <v>#REF!</v>
      </c>
      <c r="H2" s="52" t="e">
        <f>[1]!'JPY.FX-TotalVolume'</f>
        <v>#REF!</v>
      </c>
      <c r="I2" s="52" t="e">
        <f>[1]!'JPY.FX-BestBidSize'</f>
        <v>#REF!</v>
      </c>
      <c r="J2" s="52" t="e">
        <f>[1]!'JPY.FX-BestAskSize'</f>
        <v>#REF!</v>
      </c>
      <c r="K2" s="52" t="e">
        <f>[1]!'JPY.FX-PreClose'</f>
        <v>#REF!</v>
      </c>
      <c r="L2" s="52" t="e">
        <f>[1]!'JPY.FX-InOutRatio'</f>
        <v>#REF!</v>
      </c>
      <c r="M2" s="52" t="e">
        <f>[1]!'JPY.FX-AvgPrice'</f>
        <v>#REF!</v>
      </c>
      <c r="N2" s="52" t="e">
        <f>[1]!'JPY.FX-Capital'</f>
        <v>#REF!</v>
      </c>
      <c r="O2" s="52" t="e">
        <f>[1]!'JPY.FX-Profit'</f>
        <v>#REF!</v>
      </c>
      <c r="P2" s="52" t="e">
        <f>[1]!'JPY.FX-MarketValue'</f>
        <v>#REF!</v>
      </c>
    </row>
    <row r="3" spans="1:16">
      <c r="A3" s="52" t="e">
        <f>[1]!'KRW.FX-Name'</f>
        <v>#REF!</v>
      </c>
      <c r="B3" s="52" t="e">
        <f>[1]!'KRW.FX-Bid'</f>
        <v>#REF!</v>
      </c>
      <c r="C3" s="52" t="e">
        <f>[1]!'KRW.FX-Ask'</f>
        <v>#REF!</v>
      </c>
      <c r="D3" s="52" t="e">
        <f>[1]!'KRW.FX-Price'</f>
        <v>#REF!</v>
      </c>
      <c r="E3" s="52" t="e">
        <f>[1]!'KRW.FX-PriceChange'</f>
        <v>#REF!</v>
      </c>
      <c r="F3" s="52" t="e">
        <f>[1]!'KRW.FX-PriceChangeRatio'</f>
        <v>#REF!</v>
      </c>
      <c r="G3" s="52" t="e">
        <f>[1]!'KRW.FX-Volume'</f>
        <v>#REF!</v>
      </c>
      <c r="H3" s="52" t="e">
        <f>[1]!'KRW.FX-TotalVolume'</f>
        <v>#REF!</v>
      </c>
      <c r="I3" s="52" t="e">
        <f>[1]!'KRW.FX-BestBidSize'</f>
        <v>#REF!</v>
      </c>
      <c r="J3" s="52" t="e">
        <f>[1]!'KRW.FX-BestAskSize'</f>
        <v>#REF!</v>
      </c>
      <c r="K3" s="52" t="e">
        <f>[1]!'KRW.FX-PreClose'</f>
        <v>#REF!</v>
      </c>
      <c r="L3" s="52" t="e">
        <f>[1]!'KRW.FX-InOutRatio'</f>
        <v>#REF!</v>
      </c>
      <c r="M3" s="52" t="e">
        <f>[1]!'KRW.FX-AvgPrice'</f>
        <v>#REF!</v>
      </c>
      <c r="N3" s="52" t="e">
        <f>[1]!'KRW.FX-Capital'</f>
        <v>#REF!</v>
      </c>
      <c r="O3" s="52" t="e">
        <f>[1]!'KRW.FX-Profit'</f>
        <v>#REF!</v>
      </c>
      <c r="P3" s="52" t="e">
        <f>[1]!'KRW.FX-MarketValue'</f>
        <v>#REF!</v>
      </c>
    </row>
    <row r="4" spans="1:16">
      <c r="A4" s="52" t="e">
        <f>[1]!'HKD.FX-Name'</f>
        <v>#REF!</v>
      </c>
      <c r="B4" s="52" t="e">
        <f>[1]!'HKD.FX-Bid'</f>
        <v>#REF!</v>
      </c>
      <c r="C4" s="52" t="e">
        <f>[1]!'HKD.FX-Ask'</f>
        <v>#REF!</v>
      </c>
      <c r="D4" s="52" t="e">
        <f>[1]!'HKD.FX-Price'</f>
        <v>#REF!</v>
      </c>
      <c r="E4" s="52" t="e">
        <f>[1]!'HKD.FX-PriceChange'</f>
        <v>#REF!</v>
      </c>
      <c r="F4" s="52" t="e">
        <f>[1]!'HKD.FX-PriceChangeRatio'</f>
        <v>#REF!</v>
      </c>
      <c r="G4" s="52" t="e">
        <f>[1]!'HKD.FX-Volume'</f>
        <v>#REF!</v>
      </c>
      <c r="H4" s="52" t="e">
        <f>[1]!'HKD.FX-TotalVolume'</f>
        <v>#REF!</v>
      </c>
      <c r="I4" s="52" t="e">
        <f>[1]!'HKD.FX-BestBidSize'</f>
        <v>#REF!</v>
      </c>
      <c r="J4" s="52" t="e">
        <f>[1]!'HKD.FX-BestAskSize'</f>
        <v>#REF!</v>
      </c>
      <c r="K4" s="52" t="e">
        <f>[1]!'HKD.FX-PreClose'</f>
        <v>#REF!</v>
      </c>
      <c r="L4" s="52" t="e">
        <f>[1]!'HKD.FX-InOutRatio'</f>
        <v>#REF!</v>
      </c>
      <c r="M4" s="52" t="e">
        <f>[1]!'HKD.FX-AvgPrice'</f>
        <v>#REF!</v>
      </c>
      <c r="N4" s="52" t="e">
        <f>[1]!'HKD.FX-Capital'</f>
        <v>#REF!</v>
      </c>
      <c r="O4" s="52" t="e">
        <f>[1]!'HKD.FX-Profit'</f>
        <v>#REF!</v>
      </c>
      <c r="P4" s="52" t="e">
        <f>[1]!'HKD.FX-MarketValue'</f>
        <v>#REF!</v>
      </c>
    </row>
    <row r="5" spans="1:16">
      <c r="A5" s="52" t="e">
        <f>[1]!'CNY.FX-Name'</f>
        <v>#REF!</v>
      </c>
      <c r="B5" s="52" t="e">
        <f>[1]!'CNY.FX-Bid'</f>
        <v>#REF!</v>
      </c>
      <c r="C5" s="52" t="e">
        <f>[1]!'CNY.FX-Ask'</f>
        <v>#REF!</v>
      </c>
      <c r="D5" s="52" t="e">
        <f>[1]!'CNY.FX-Price'</f>
        <v>#REF!</v>
      </c>
      <c r="E5" s="52" t="e">
        <f>[1]!'CNY.FX-PriceChange'</f>
        <v>#REF!</v>
      </c>
      <c r="F5" s="52" t="e">
        <f>[1]!'CNY.FX-PriceChangeRatio'</f>
        <v>#REF!</v>
      </c>
      <c r="G5" s="52" t="e">
        <f>[1]!'CNY.FX-Volume'</f>
        <v>#REF!</v>
      </c>
      <c r="H5" s="52" t="e">
        <f>[1]!'CNY.FX-TotalVolume'</f>
        <v>#REF!</v>
      </c>
      <c r="I5" s="52" t="e">
        <f>[1]!'CNY.FX-BestBidSize'</f>
        <v>#REF!</v>
      </c>
      <c r="J5" s="52" t="e">
        <f>[1]!'CNY.FX-BestAskSize'</f>
        <v>#REF!</v>
      </c>
      <c r="K5" s="52" t="e">
        <f>[1]!'CNY.FX-PreClose'</f>
        <v>#REF!</v>
      </c>
      <c r="L5" s="52" t="e">
        <f>[1]!'CNY.FX-InOutRatio'</f>
        <v>#REF!</v>
      </c>
      <c r="M5" s="52" t="e">
        <f>[1]!'CNY.FX-AvgPrice'</f>
        <v>#REF!</v>
      </c>
      <c r="N5" s="52" t="e">
        <f>[1]!'CNY.FX-Capital'</f>
        <v>#REF!</v>
      </c>
      <c r="O5" s="52" t="e">
        <f>[1]!'CNY.FX-Profit'</f>
        <v>#REF!</v>
      </c>
      <c r="P5" s="52" t="e">
        <f>[1]!'CNY.FX-MarketValue'</f>
        <v>#REF!</v>
      </c>
    </row>
    <row r="6" spans="1:16">
      <c r="A6" s="52" t="e">
        <f>[1]!'CNH.FX-Name'</f>
        <v>#REF!</v>
      </c>
      <c r="B6" s="52" t="e">
        <f>[1]!'CNH.FX-Bid'</f>
        <v>#REF!</v>
      </c>
      <c r="C6" s="52" t="e">
        <f>[1]!'CNH.FX-Ask'</f>
        <v>#REF!</v>
      </c>
      <c r="D6" s="52" t="str">
        <f>[1]!'CNH.FX-Price'</f>
        <v>N/A</v>
      </c>
      <c r="E6" s="52" t="e">
        <f>[1]!'CNH.FX-PriceChange'</f>
        <v>#REF!</v>
      </c>
      <c r="F6" s="52" t="e">
        <f>[1]!'CNH.FX-PriceChangeRatio'</f>
        <v>#REF!</v>
      </c>
      <c r="G6" s="52" t="e">
        <f>[1]!'CNH.FX-Volume'</f>
        <v>#REF!</v>
      </c>
      <c r="H6" s="52" t="e">
        <f>[1]!'CNH.FX-TotalVolume'</f>
        <v>#REF!</v>
      </c>
      <c r="I6" s="52" t="e">
        <f>[1]!'CNH.FX-BestBidSize'</f>
        <v>#REF!</v>
      </c>
      <c r="J6" s="52" t="e">
        <f>[1]!'CNH.FX-BestAskSize'</f>
        <v>#REF!</v>
      </c>
      <c r="K6" s="52" t="e">
        <f>[1]!'CNH.FX-PreClose'</f>
        <v>#REF!</v>
      </c>
      <c r="L6" s="52" t="e">
        <f>[1]!'CNH.FX-InOutRatio'</f>
        <v>#REF!</v>
      </c>
      <c r="M6" s="52" t="e">
        <f>[1]!'CNH.FX-AvgPrice'</f>
        <v>#REF!</v>
      </c>
      <c r="N6" s="52" t="e">
        <f>[1]!'CNH.FX-Capital'</f>
        <v>#REF!</v>
      </c>
      <c r="O6" s="52" t="e">
        <f>[1]!'CNH.FX-Profit'</f>
        <v>#REF!</v>
      </c>
      <c r="P6" s="52" t="e">
        <f>[1]!'CNH.FX-MarketValue'</f>
        <v>#REF!</v>
      </c>
    </row>
    <row r="7" spans="1:16">
      <c r="A7" s="52" t="e">
        <f>[1]!'EUR.FX-Name'</f>
        <v>#REF!</v>
      </c>
      <c r="B7" s="52" t="e">
        <f>[1]!'EUR.FX-Bid'</f>
        <v>#REF!</v>
      </c>
      <c r="C7" s="52" t="e">
        <f>[1]!'EUR.FX-Ask'</f>
        <v>#REF!</v>
      </c>
      <c r="D7" s="52" t="e">
        <f>[1]!'EUR.FX-Price'</f>
        <v>#REF!</v>
      </c>
      <c r="E7" s="52" t="e">
        <f>[1]!'EUR.FX-PriceChange'</f>
        <v>#REF!</v>
      </c>
      <c r="F7" s="52" t="e">
        <f>[1]!'EUR.FX-PriceChangeRatio'</f>
        <v>#REF!</v>
      </c>
      <c r="G7" s="52" t="e">
        <f>[1]!'EUR.FX-Volume'</f>
        <v>#REF!</v>
      </c>
      <c r="H7" s="52" t="e">
        <f>[1]!'EUR.FX-TotalVolume'</f>
        <v>#REF!</v>
      </c>
      <c r="I7" s="52" t="e">
        <f>[1]!'EUR.FX-BestBidSize'</f>
        <v>#REF!</v>
      </c>
      <c r="J7" s="52" t="e">
        <f>[1]!'EUR.FX-BestAskSize'</f>
        <v>#REF!</v>
      </c>
      <c r="K7" s="52" t="e">
        <f>[1]!'EUR.FX-PreClose'</f>
        <v>#REF!</v>
      </c>
      <c r="L7" s="52" t="e">
        <f>[1]!'EUR.FX-InOutRatio'</f>
        <v>#REF!</v>
      </c>
      <c r="M7" s="52" t="e">
        <f>[1]!'EUR.FX-AvgPrice'</f>
        <v>#REF!</v>
      </c>
      <c r="N7" s="52" t="e">
        <f>[1]!'EUR.FX-Capital'</f>
        <v>#REF!</v>
      </c>
      <c r="O7" s="52" t="e">
        <f>[1]!'EUR.FX-Profit'</f>
        <v>#REF!</v>
      </c>
      <c r="P7" s="52" t="e">
        <f>[1]!'EUR.FX-MarketValue'</f>
        <v>#REF!</v>
      </c>
    </row>
    <row r="8" spans="1:16">
      <c r="A8" s="52" t="e">
        <f>[1]!'GBP.FX-Name'</f>
        <v>#REF!</v>
      </c>
      <c r="B8" s="52" t="e">
        <f>[1]!'GBP.FX-Bid'</f>
        <v>#REF!</v>
      </c>
      <c r="C8" s="52" t="e">
        <f>[1]!'GBP.FX-Ask'</f>
        <v>#REF!</v>
      </c>
      <c r="D8" s="52" t="e">
        <f>[1]!'GBP.FX-Price'</f>
        <v>#REF!</v>
      </c>
      <c r="E8" s="52" t="e">
        <f>[1]!'GBP.FX-PriceChange'</f>
        <v>#REF!</v>
      </c>
      <c r="F8" s="52" t="e">
        <f>[1]!'GBP.FX-PriceChangeRatio'</f>
        <v>#REF!</v>
      </c>
      <c r="G8" s="52" t="e">
        <f>[1]!'GBP.FX-Volume'</f>
        <v>#REF!</v>
      </c>
      <c r="H8" s="52" t="e">
        <f>[1]!'GBP.FX-TotalVolume'</f>
        <v>#REF!</v>
      </c>
      <c r="I8" s="52" t="e">
        <f>[1]!'GBP.FX-BestBidSize'</f>
        <v>#REF!</v>
      </c>
      <c r="J8" s="52" t="e">
        <f>[1]!'GBP.FX-BestAskSize'</f>
        <v>#REF!</v>
      </c>
      <c r="K8" s="52" t="e">
        <f>[1]!'GBP.FX-PreClose'</f>
        <v>#REF!</v>
      </c>
      <c r="L8" s="52" t="e">
        <f>[1]!'GBP.FX-InOutRatio'</f>
        <v>#REF!</v>
      </c>
      <c r="M8" s="52" t="e">
        <f>[1]!'GBP.FX-AvgPrice'</f>
        <v>#REF!</v>
      </c>
      <c r="N8" s="52" t="e">
        <f>[1]!'GBP.FX-Capital'</f>
        <v>#REF!</v>
      </c>
      <c r="O8" s="52" t="e">
        <f>[1]!'GBP.FX-Profit'</f>
        <v>#REF!</v>
      </c>
      <c r="P8" s="52" t="e">
        <f>[1]!'GBP.FX-MarketValue'</f>
        <v>#REF!</v>
      </c>
    </row>
    <row r="9" spans="1:16">
      <c r="A9" s="52" t="e">
        <f>[1]!'CHF.FX-Name'</f>
        <v>#REF!</v>
      </c>
      <c r="B9" s="52" t="e">
        <f>[1]!'CHF.FX-Bid'</f>
        <v>#REF!</v>
      </c>
      <c r="C9" s="52" t="e">
        <f>[1]!'CHF.FX-Ask'</f>
        <v>#REF!</v>
      </c>
      <c r="D9" s="52" t="e">
        <f>[1]!'CHF.FX-Price'</f>
        <v>#REF!</v>
      </c>
      <c r="E9" s="52" t="e">
        <f>[1]!'CHF.FX-PriceChange'</f>
        <v>#REF!</v>
      </c>
      <c r="F9" s="52" t="e">
        <f>[1]!'CHF.FX-PriceChangeRatio'</f>
        <v>#REF!</v>
      </c>
      <c r="G9" s="52" t="e">
        <f>[1]!'CHF.FX-Volume'</f>
        <v>#REF!</v>
      </c>
      <c r="H9" s="52" t="e">
        <f>[1]!'CHF.FX-TotalVolume'</f>
        <v>#REF!</v>
      </c>
      <c r="I9" s="52" t="e">
        <f>[1]!'CHF.FX-BestBidSize'</f>
        <v>#REF!</v>
      </c>
      <c r="J9" s="52" t="e">
        <f>[1]!'CHF.FX-BestAskSize'</f>
        <v>#REF!</v>
      </c>
      <c r="K9" s="52" t="e">
        <f>[1]!'CHF.FX-PreClose'</f>
        <v>#REF!</v>
      </c>
      <c r="L9" s="52" t="e">
        <f>[1]!'CHF.FX-InOutRatio'</f>
        <v>#REF!</v>
      </c>
      <c r="M9" s="52" t="e">
        <f>[1]!'CHF.FX-AvgPrice'</f>
        <v>#REF!</v>
      </c>
      <c r="N9" s="52" t="e">
        <f>[1]!'CHF.FX-Capital'</f>
        <v>#REF!</v>
      </c>
      <c r="O9" s="52" t="e">
        <f>[1]!'CHF.FX-Profit'</f>
        <v>#REF!</v>
      </c>
      <c r="P9" s="52" t="e">
        <f>[1]!'CHF.FX-MarketValue'</f>
        <v>#REF!</v>
      </c>
    </row>
    <row r="10" spans="1:16">
      <c r="A10" s="52" t="e">
        <f>[1]!'AUD.FX-Name'</f>
        <v>#REF!</v>
      </c>
      <c r="B10" s="52" t="e">
        <f>[1]!'AUD.FX-Bid'</f>
        <v>#REF!</v>
      </c>
      <c r="C10" s="52" t="e">
        <f>[1]!'AUD.FX-Ask'</f>
        <v>#REF!</v>
      </c>
      <c r="D10" s="52" t="e">
        <f>[1]!'AUD.FX-Price'</f>
        <v>#REF!</v>
      </c>
      <c r="E10" s="52" t="e">
        <f>[1]!'AUD.FX-PriceChange'</f>
        <v>#REF!</v>
      </c>
      <c r="F10" s="52" t="e">
        <f>[1]!'AUD.FX-PriceChangeRatio'</f>
        <v>#REF!</v>
      </c>
      <c r="G10" s="52" t="e">
        <f>[1]!'AUD.FX-Volume'</f>
        <v>#REF!</v>
      </c>
      <c r="H10" s="52" t="e">
        <f>[1]!'AUD.FX-TotalVolume'</f>
        <v>#REF!</v>
      </c>
      <c r="I10" s="52" t="e">
        <f>[1]!'AUD.FX-BestBidSize'</f>
        <v>#REF!</v>
      </c>
      <c r="J10" s="52" t="e">
        <f>[1]!'AUD.FX-BestAskSize'</f>
        <v>#REF!</v>
      </c>
      <c r="K10" s="52" t="e">
        <f>[1]!'AUD.FX-PreClose'</f>
        <v>#REF!</v>
      </c>
      <c r="L10" s="52" t="e">
        <f>[1]!'AUD.FX-InOutRatio'</f>
        <v>#REF!</v>
      </c>
      <c r="M10" s="52" t="e">
        <f>[1]!'AUD.FX-AvgPrice'</f>
        <v>#REF!</v>
      </c>
      <c r="N10" s="52" t="e">
        <f>[1]!'AUD.FX-Capital'</f>
        <v>#REF!</v>
      </c>
      <c r="O10" s="52" t="e">
        <f>[1]!'AUD.FX-Profit'</f>
        <v>#REF!</v>
      </c>
      <c r="P10" s="52" t="e">
        <f>[1]!'AUD.FX-MarketValue'</f>
        <v>#REF!</v>
      </c>
    </row>
    <row r="11" spans="1:16">
      <c r="A11" s="52" t="e">
        <f>[1]!'CAD.FX-Name'</f>
        <v>#REF!</v>
      </c>
      <c r="B11" s="52" t="e">
        <f>[1]!'CAD.FX-Bid'</f>
        <v>#REF!</v>
      </c>
      <c r="C11" s="52" t="e">
        <f>[1]!'CAD.FX-Ask'</f>
        <v>#REF!</v>
      </c>
      <c r="D11" s="52" t="e">
        <f>[1]!'CAD.FX-Price'</f>
        <v>#REF!</v>
      </c>
      <c r="E11" s="52" t="e">
        <f>[1]!'CAD.FX-PriceChange'</f>
        <v>#REF!</v>
      </c>
      <c r="F11" s="52" t="e">
        <f>[1]!'CAD.FX-PriceChangeRatio'</f>
        <v>#REF!</v>
      </c>
      <c r="G11" s="52" t="e">
        <f>[1]!'CAD.FX-Volume'</f>
        <v>#REF!</v>
      </c>
      <c r="H11" s="52" t="e">
        <f>[1]!'CAD.FX-TotalVolume'</f>
        <v>#REF!</v>
      </c>
      <c r="I11" s="52" t="e">
        <f>[1]!'CAD.FX-BestBidSize'</f>
        <v>#REF!</v>
      </c>
      <c r="J11" s="52" t="e">
        <f>[1]!'CAD.FX-BestAskSize'</f>
        <v>#REF!</v>
      </c>
      <c r="K11" s="52" t="e">
        <f>[1]!'CAD.FX-PreClose'</f>
        <v>#REF!</v>
      </c>
      <c r="L11" s="52" t="e">
        <f>[1]!'CAD.FX-InOutRatio'</f>
        <v>#REF!</v>
      </c>
      <c r="M11" s="52" t="e">
        <f>[1]!'CAD.FX-AvgPrice'</f>
        <v>#REF!</v>
      </c>
      <c r="N11" s="52" t="e">
        <f>[1]!'CAD.FX-Capital'</f>
        <v>#REF!</v>
      </c>
      <c r="O11" s="52" t="e">
        <f>[1]!'CAD.FX-Profit'</f>
        <v>#REF!</v>
      </c>
      <c r="P11" s="52" t="e">
        <f>[1]!'CAD.FX-MarketValue'</f>
        <v>#REF!</v>
      </c>
    </row>
    <row r="12" spans="1:16">
      <c r="A12" s="52" t="e">
        <f>[1]!'NZD.FX-Name'</f>
        <v>#REF!</v>
      </c>
      <c r="B12" s="52" t="e">
        <f>[1]!'NZD.FX-Bid'</f>
        <v>#REF!</v>
      </c>
      <c r="C12" s="52" t="e">
        <f>[1]!'NZD.FX-Ask'</f>
        <v>#REF!</v>
      </c>
      <c r="D12" s="52" t="e">
        <f>[1]!'NZD.FX-Price'</f>
        <v>#REF!</v>
      </c>
      <c r="E12" s="52" t="e">
        <f>[1]!'NZD.FX-PriceChange'</f>
        <v>#REF!</v>
      </c>
      <c r="F12" s="52" t="e">
        <f>[1]!'NZD.FX-PriceChangeRatio'</f>
        <v>#REF!</v>
      </c>
      <c r="G12" s="52" t="e">
        <f>[1]!'NZD.FX-Volume'</f>
        <v>#REF!</v>
      </c>
      <c r="H12" s="52" t="e">
        <f>[1]!'NZD.FX-TotalVolume'</f>
        <v>#REF!</v>
      </c>
      <c r="I12" s="52" t="e">
        <f>[1]!'NZD.FX-BestBidSize'</f>
        <v>#REF!</v>
      </c>
      <c r="J12" s="52" t="e">
        <f>[1]!'NZD.FX-BestAskSize'</f>
        <v>#REF!</v>
      </c>
      <c r="K12" s="52" t="e">
        <f>[1]!'NZD.FX-PreClose'</f>
        <v>#REF!</v>
      </c>
      <c r="L12" s="52" t="e">
        <f>[1]!'NZD.FX-InOutRatio'</f>
        <v>#REF!</v>
      </c>
      <c r="M12" s="52" t="e">
        <f>[1]!'NZD.FX-AvgPrice'</f>
        <v>#REF!</v>
      </c>
      <c r="N12" s="52" t="e">
        <f>[1]!'NZD.FX-Capital'</f>
        <v>#REF!</v>
      </c>
      <c r="O12" s="52" t="e">
        <f>[1]!'NZD.FX-Profit'</f>
        <v>#REF!</v>
      </c>
      <c r="P12" s="52" t="e">
        <f>[1]!'NZD.FX-MarketValue'</f>
        <v>#REF!</v>
      </c>
    </row>
    <row r="13" spans="1:16">
      <c r="A13" s="52" t="e">
        <f>[1]!'THB.FX-Name'</f>
        <v>#REF!</v>
      </c>
      <c r="B13" s="52" t="e">
        <f>[1]!'THB.FX-Bid'</f>
        <v>#REF!</v>
      </c>
      <c r="C13" s="52" t="e">
        <f>[1]!'THB.FX-Ask'</f>
        <v>#REF!</v>
      </c>
      <c r="D13" s="52" t="e">
        <f>[1]!'THB.FX-Price'</f>
        <v>#REF!</v>
      </c>
      <c r="E13" s="52" t="e">
        <f>[1]!'THB.FX-PriceChange'</f>
        <v>#REF!</v>
      </c>
      <c r="F13" s="52" t="e">
        <f>[1]!'THB.FX-PriceChangeRatio'</f>
        <v>#REF!</v>
      </c>
      <c r="G13" s="52" t="e">
        <f>[1]!'THB.FX-Volume'</f>
        <v>#REF!</v>
      </c>
      <c r="H13" s="52" t="e">
        <f>[1]!'THB.FX-TotalVolume'</f>
        <v>#REF!</v>
      </c>
      <c r="I13" s="52" t="e">
        <f>[1]!'THB.FX-BestBidSize'</f>
        <v>#REF!</v>
      </c>
      <c r="J13" s="52" t="e">
        <f>[1]!'THB.FX-BestAskSize'</f>
        <v>#REF!</v>
      </c>
      <c r="K13" s="52" t="e">
        <f>[1]!'THB.FX-PreClose'</f>
        <v>#REF!</v>
      </c>
      <c r="L13" s="52" t="e">
        <f>[1]!'THB.FX-InOutRatio'</f>
        <v>#REF!</v>
      </c>
      <c r="M13" s="52" t="e">
        <f>[1]!'THB.FX-AvgPrice'</f>
        <v>#REF!</v>
      </c>
      <c r="N13" s="52" t="e">
        <f>[1]!'THB.FX-Capital'</f>
        <v>#REF!</v>
      </c>
      <c r="O13" s="52" t="e">
        <f>[1]!'THB.FX-Profit'</f>
        <v>#REF!</v>
      </c>
      <c r="P13" s="52" t="e">
        <f>[1]!'THB.FX-MarketValue'</f>
        <v>#REF!</v>
      </c>
    </row>
    <row r="14" spans="1:16">
      <c r="A14" s="52" t="e">
        <f>[1]!'INR.FX-Name'</f>
        <v>#REF!</v>
      </c>
      <c r="B14" s="52" t="e">
        <f>[1]!'INR.FX-Bid'</f>
        <v>#REF!</v>
      </c>
      <c r="C14" s="52" t="e">
        <f>[1]!'INR.FX-Ask'</f>
        <v>#REF!</v>
      </c>
      <c r="D14" s="52" t="e">
        <f>[1]!'INR.FX-Price'</f>
        <v>#REF!</v>
      </c>
      <c r="E14" s="52" t="e">
        <f>[1]!'INR.FX-PriceChange'</f>
        <v>#REF!</v>
      </c>
      <c r="F14" s="52" t="e">
        <f>[1]!'INR.FX-PriceChangeRatio'</f>
        <v>#REF!</v>
      </c>
      <c r="G14" s="52" t="e">
        <f>[1]!'INR.FX-Volume'</f>
        <v>#REF!</v>
      </c>
      <c r="H14" s="52" t="e">
        <f>[1]!'INR.FX-TotalVolume'</f>
        <v>#REF!</v>
      </c>
      <c r="I14" s="52" t="e">
        <f>[1]!'INR.FX-BestBidSize'</f>
        <v>#REF!</v>
      </c>
      <c r="J14" s="52" t="e">
        <f>[1]!'INR.FX-BestAskSize'</f>
        <v>#REF!</v>
      </c>
      <c r="K14" s="52" t="e">
        <f>[1]!'INR.FX-PreClose'</f>
        <v>#REF!</v>
      </c>
      <c r="L14" s="52" t="e">
        <f>[1]!'INR.FX-InOutRatio'</f>
        <v>#REF!</v>
      </c>
      <c r="M14" s="52" t="e">
        <f>[1]!'INR.FX-AvgPrice'</f>
        <v>#REF!</v>
      </c>
      <c r="N14" s="52" t="e">
        <f>[1]!'INR.FX-Capital'</f>
        <v>#REF!</v>
      </c>
      <c r="O14" s="52" t="e">
        <f>[1]!'INR.FX-Profit'</f>
        <v>#REF!</v>
      </c>
      <c r="P14" s="52" t="e">
        <f>[1]!'INR.FX-MarketValue'</f>
        <v>#REF!</v>
      </c>
    </row>
    <row r="15" spans="1:16">
      <c r="A15" s="52" t="e">
        <f>[1]!'RUB.FX-Name'</f>
        <v>#REF!</v>
      </c>
      <c r="B15" s="52" t="e">
        <f>[1]!'RUB.FX-Bid'</f>
        <v>#REF!</v>
      </c>
      <c r="C15" s="52" t="e">
        <f>[1]!'RUB.FX-Ask'</f>
        <v>#REF!</v>
      </c>
      <c r="D15" s="52" t="e">
        <f>[1]!'RUB.FX-Price'</f>
        <v>#REF!</v>
      </c>
      <c r="E15" s="52" t="e">
        <f>[1]!'RUB.FX-PriceChange'</f>
        <v>#REF!</v>
      </c>
      <c r="F15" s="52" t="e">
        <f>[1]!'RUB.FX-PriceChangeRatio'</f>
        <v>#REF!</v>
      </c>
      <c r="G15" s="52" t="e">
        <f>[1]!'RUB.FX-Volume'</f>
        <v>#REF!</v>
      </c>
      <c r="H15" s="52" t="e">
        <f>[1]!'RUB.FX-TotalVolume'</f>
        <v>#REF!</v>
      </c>
      <c r="I15" s="52" t="e">
        <f>[1]!'RUB.FX-BestBidSize'</f>
        <v>#REF!</v>
      </c>
      <c r="J15" s="52" t="e">
        <f>[1]!'RUB.FX-BestAskSize'</f>
        <v>#REF!</v>
      </c>
      <c r="K15" s="52" t="e">
        <f>[1]!'RUB.FX-PreClose'</f>
        <v>#REF!</v>
      </c>
      <c r="L15" s="52" t="e">
        <f>[1]!'RUB.FX-InOutRatio'</f>
        <v>#REF!</v>
      </c>
      <c r="M15" s="52" t="e">
        <f>[1]!'RUB.FX-AvgPrice'</f>
        <v>#REF!</v>
      </c>
      <c r="N15" s="52" t="e">
        <f>[1]!'RUB.FX-Capital'</f>
        <v>#REF!</v>
      </c>
      <c r="O15" s="52" t="e">
        <f>[1]!'RUB.FX-Profit'</f>
        <v>#REF!</v>
      </c>
      <c r="P15" s="52" t="e">
        <f>[1]!'RUB.FX-MarketValue'</f>
        <v>#REF!</v>
      </c>
    </row>
    <row r="16" spans="1:16">
      <c r="A16" s="52" t="e">
        <f>[1]!'TWD.FX-Name'</f>
        <v>#REF!</v>
      </c>
      <c r="B16" s="52" t="e">
        <f>[1]!'TWD.FX-Bid'</f>
        <v>#REF!</v>
      </c>
      <c r="C16" s="52" t="e">
        <f>[1]!'TWD.FX-Ask'</f>
        <v>#REF!</v>
      </c>
      <c r="D16" s="52" t="e">
        <f>[1]!'TWD.FX-Price'</f>
        <v>#REF!</v>
      </c>
      <c r="E16" s="52" t="e">
        <f>[1]!'TWD.FX-PriceChange'</f>
        <v>#REF!</v>
      </c>
      <c r="F16" s="52" t="e">
        <f>[1]!'TWD.FX-PriceChangeRatio'</f>
        <v>#REF!</v>
      </c>
      <c r="G16" s="52" t="e">
        <f>[1]!'TWD.FX-Volume'</f>
        <v>#REF!</v>
      </c>
      <c r="H16" s="52" t="e">
        <f>[1]!'TWD.FX-TotalVolume'</f>
        <v>#REF!</v>
      </c>
      <c r="I16" s="52" t="e">
        <f>[1]!'TWD.FX-BestBidSize'</f>
        <v>#REF!</v>
      </c>
      <c r="J16" s="52" t="e">
        <f>[1]!'TWD.FX-BestAskSize'</f>
        <v>#REF!</v>
      </c>
      <c r="K16" s="52" t="e">
        <f>[1]!'TWD.FX-Preclose'</f>
        <v>#REF!</v>
      </c>
      <c r="L16" s="52" t="e">
        <f>[1]!'TWD.FX-InOutRatio'</f>
        <v>#REF!</v>
      </c>
      <c r="M16" s="52" t="e">
        <f>[1]!'TWD.FX-AvgPrice'</f>
        <v>#REF!</v>
      </c>
      <c r="N16" s="52" t="e">
        <f>[1]!'TWD.FX-Capital'</f>
        <v>#REF!</v>
      </c>
      <c r="O16" s="52" t="e">
        <f>[1]!'TWD.FX-Profit'</f>
        <v>#REF!</v>
      </c>
      <c r="P16" s="52" t="e">
        <f>[1]!'TWD.FX-MarketValue'</f>
        <v>#REF!</v>
      </c>
    </row>
    <row r="17" spans="1:16">
      <c r="A17" s="52" t="e">
        <f>[1]!'CNYTW.FX-Name'</f>
        <v>#REF!</v>
      </c>
      <c r="B17" s="52" t="e">
        <f>[1]!'CNYTW.FX-Bid'</f>
        <v>#REF!</v>
      </c>
      <c r="C17" s="52" t="e">
        <f>[1]!'CNYTW.FX-Ask'</f>
        <v>#REF!</v>
      </c>
      <c r="D17" s="52" t="e">
        <f>[1]!'CNYTW.FX-Price'</f>
        <v>#REF!</v>
      </c>
      <c r="E17" s="52" t="e">
        <f>[1]!'CNYTW.FX-PriceChange'</f>
        <v>#REF!</v>
      </c>
      <c r="F17" s="52" t="e">
        <f>[1]!'CNYTW.FX-PriceChangeRatio'</f>
        <v>#REF!</v>
      </c>
      <c r="G17" s="52" t="e">
        <f>[1]!'CNYTW.FX-Volume'</f>
        <v>#REF!</v>
      </c>
      <c r="H17" s="52" t="e">
        <f>[1]!'CNYTW.FX-TotalVolume'</f>
        <v>#REF!</v>
      </c>
      <c r="I17" s="52" t="e">
        <f>[1]!'CNYTW.FX-BestBidSize'</f>
        <v>#REF!</v>
      </c>
      <c r="J17" s="52" t="e">
        <f>[1]!'CNYTW.FX-BestAskSize'</f>
        <v>#REF!</v>
      </c>
      <c r="K17" s="52" t="e">
        <f>[1]!'CNYTW.FX-Preclose'</f>
        <v>#REF!</v>
      </c>
      <c r="L17" s="52" t="e">
        <f>[1]!'CNYTW.FX-InOutRatio'</f>
        <v>#REF!</v>
      </c>
      <c r="M17" s="52" t="e">
        <f>[1]!'CNYTW.FX-AvgPrice'</f>
        <v>#REF!</v>
      </c>
      <c r="N17" s="52" t="e">
        <f>[1]!'CNYTW.FX-Capital'</f>
        <v>#REF!</v>
      </c>
      <c r="O17" s="52" t="e">
        <f>[1]!'CNYTW.FX-Profit'</f>
        <v>#REF!</v>
      </c>
      <c r="P17" s="52" t="e">
        <f>[1]!'CNYTW.FX-MarketValue'</f>
        <v>#REF!</v>
      </c>
    </row>
    <row r="18" spans="1:16">
      <c r="A18" s="52" t="e">
        <f>[1]!'HKDTW.FX-Name'</f>
        <v>#REF!</v>
      </c>
      <c r="B18" s="52" t="e">
        <f>[1]!'HKDTW.FX-Bid'</f>
        <v>#REF!</v>
      </c>
      <c r="C18" s="52" t="e">
        <f>[1]!'HKDTW.FX-Ask'</f>
        <v>#REF!</v>
      </c>
      <c r="D18" s="52" t="e">
        <f>[1]!'HKDTW.FX-Price'</f>
        <v>#REF!</v>
      </c>
      <c r="E18" s="52" t="e">
        <f>[1]!'HKDTW.FX-PriceChange'</f>
        <v>#REF!</v>
      </c>
      <c r="F18" s="52" t="e">
        <f>[1]!'HKDTW.FX-PriceChangeRatio'</f>
        <v>#REF!</v>
      </c>
      <c r="G18" s="52" t="e">
        <f>[1]!'HKDTW.FX-Volume'</f>
        <v>#REF!</v>
      </c>
      <c r="H18" s="52" t="e">
        <f>[1]!'HKDTW.FX-TotalVolume'</f>
        <v>#REF!</v>
      </c>
      <c r="I18" s="52" t="e">
        <f>[1]!'HKDTW.FX-BestBidSize'</f>
        <v>#REF!</v>
      </c>
      <c r="J18" s="52" t="e">
        <f>[1]!'HKDTW.FX-BestAskSize'</f>
        <v>#REF!</v>
      </c>
      <c r="K18" s="52" t="e">
        <f>[1]!'HKDTW.FX-PreClose'</f>
        <v>#REF!</v>
      </c>
      <c r="L18" s="52" t="e">
        <f>[1]!'HKDTW.FX-InOutRatio'</f>
        <v>#REF!</v>
      </c>
      <c r="M18" s="52" t="e">
        <f>[1]!'HKDTW.FX-AvgPrice'</f>
        <v>#REF!</v>
      </c>
      <c r="N18" s="52" t="e">
        <f>[1]!'HKDTW.FX-Capital'</f>
        <v>#REF!</v>
      </c>
      <c r="O18" s="52" t="e">
        <f>[1]!'HKDTW.FX-Profit'</f>
        <v>#REF!</v>
      </c>
      <c r="P18" s="52" t="e">
        <f>[1]!'HKDTW.FX-MarketValue'</f>
        <v>#REF!</v>
      </c>
    </row>
    <row r="19" spans="1:16">
      <c r="A19" s="52" t="e">
        <f>[1]!'INRTW.FX-Name'</f>
        <v>#REF!</v>
      </c>
      <c r="B19" s="52" t="e">
        <f>[1]!'INRTW.FX-Bid'</f>
        <v>#REF!</v>
      </c>
      <c r="C19" s="52" t="e">
        <f>[1]!'INRTW.FX-Ask'</f>
        <v>#REF!</v>
      </c>
      <c r="D19" s="52" t="e">
        <f>[1]!'INRTW.FX-Price'</f>
        <v>#REF!</v>
      </c>
      <c r="E19" s="52" t="e">
        <f>[1]!'INRTW.FX-PriceChange'</f>
        <v>#REF!</v>
      </c>
      <c r="F19" s="52" t="e">
        <f>[1]!'INRTW.FX-PriceChangeRatio'</f>
        <v>#REF!</v>
      </c>
      <c r="G19" s="52" t="e">
        <f>[1]!'INRTW.FX-Volume'</f>
        <v>#REF!</v>
      </c>
      <c r="H19" s="52" t="e">
        <f>[1]!'INRTW.FX-TotalVolume'</f>
        <v>#REF!</v>
      </c>
      <c r="I19" s="52" t="e">
        <f>[1]!'INRTW.FX-BestBidSize'</f>
        <v>#REF!</v>
      </c>
      <c r="J19" s="52" t="e">
        <f>[1]!'INRTW.FX-BestAskSize'</f>
        <v>#REF!</v>
      </c>
      <c r="K19" s="52" t="e">
        <f>[1]!'INRTW.FX-PreClose'</f>
        <v>#REF!</v>
      </c>
      <c r="L19" s="52" t="e">
        <f>[1]!'INRTW.FX-InOutRatio'</f>
        <v>#REF!</v>
      </c>
      <c r="M19" s="52" t="e">
        <f>[1]!'INRTW.FX-AvgPrice'</f>
        <v>#REF!</v>
      </c>
      <c r="N19" s="52" t="e">
        <f>[1]!'INRTW.FX-Capital'</f>
        <v>#REF!</v>
      </c>
      <c r="O19" s="52" t="e">
        <f>[1]!'INRTW.FX-Profit'</f>
        <v>#REF!</v>
      </c>
      <c r="P19" s="52" t="e">
        <f>[1]!'INRTW.FX-MarketValue'</f>
        <v>#REF!</v>
      </c>
    </row>
    <row r="20" spans="1:16">
      <c r="A20" s="52" t="e">
        <f>[1]!'JPYTW.FX-Name'</f>
        <v>#REF!</v>
      </c>
      <c r="B20" s="52" t="e">
        <f>[1]!'JPYTW.FX-Bid'</f>
        <v>#REF!</v>
      </c>
      <c r="C20" s="52" t="e">
        <f>[1]!'JPYTW.FX-Ask'</f>
        <v>#REF!</v>
      </c>
      <c r="D20" s="52" t="e">
        <f>[1]!'JPYTW.FX-Price'</f>
        <v>#REF!</v>
      </c>
      <c r="E20" s="52" t="e">
        <f>[1]!'JPYTW.FX-PriceChange'</f>
        <v>#REF!</v>
      </c>
      <c r="F20" s="52" t="e">
        <f>[1]!'JPYTW.FX-PriceChangeRatio'</f>
        <v>#REF!</v>
      </c>
      <c r="G20" s="52" t="e">
        <f>[1]!'JPYTW.FX-Volume'</f>
        <v>#REF!</v>
      </c>
      <c r="H20" s="52" t="e">
        <f>[1]!'JPYTW.FX-TotalVolume'</f>
        <v>#REF!</v>
      </c>
      <c r="I20" s="52" t="e">
        <f>[1]!'JPYTW.FX-BestBidSize'</f>
        <v>#REF!</v>
      </c>
      <c r="J20" s="52" t="e">
        <f>[1]!'JPYTW.FX-BestAskSize'</f>
        <v>#REF!</v>
      </c>
      <c r="K20" s="52" t="e">
        <f>[1]!'JPYTW.FX-PreClose'</f>
        <v>#REF!</v>
      </c>
      <c r="L20" s="52" t="e">
        <f>[1]!'JPYTW.FX-InOutRatio'</f>
        <v>#REF!</v>
      </c>
      <c r="M20" s="52" t="e">
        <f>[1]!'JPYTW.FX-AvgPrice'</f>
        <v>#REF!</v>
      </c>
      <c r="N20" s="52" t="e">
        <f>[1]!'JPYTW.FX-Capital'</f>
        <v>#REF!</v>
      </c>
      <c r="O20" s="52" t="e">
        <f>[1]!'JPYTW.FX-Profit'</f>
        <v>#REF!</v>
      </c>
      <c r="P20" s="52" t="e">
        <f>[1]!'JPYTW.FX-MarketValue'</f>
        <v>#REF!</v>
      </c>
    </row>
    <row r="21" spans="1:16">
      <c r="A21" s="52" t="e">
        <f>[1]!'KRWTW.FX-Name'</f>
        <v>#REF!</v>
      </c>
      <c r="B21" s="52" t="e">
        <f>[1]!'KRWTW.FX-Bid'</f>
        <v>#REF!</v>
      </c>
      <c r="C21" s="52" t="e">
        <f>[1]!'KRWTW.FX-Ask'</f>
        <v>#REF!</v>
      </c>
      <c r="D21" s="52" t="e">
        <f>[1]!'KRWTW.FX-Price'</f>
        <v>#REF!</v>
      </c>
      <c r="E21" s="52" t="e">
        <f>[1]!'KRWTW.FX-PriceChange'</f>
        <v>#REF!</v>
      </c>
      <c r="F21" s="52" t="e">
        <f>[1]!'KRWTW.FX-PriceChangeRatio'</f>
        <v>#REF!</v>
      </c>
      <c r="G21" s="52" t="e">
        <f>[1]!'KRWTW.FX-Volume'</f>
        <v>#REF!</v>
      </c>
      <c r="H21" s="52" t="e">
        <f>[1]!'KRWTW.FX-TotalVolume'</f>
        <v>#REF!</v>
      </c>
      <c r="I21" s="52" t="e">
        <f>[1]!'KRWTW.FX-BestBidSize'</f>
        <v>#REF!</v>
      </c>
      <c r="J21" s="52" t="e">
        <f>[1]!'KRWTW.FX-BestAskSize'</f>
        <v>#REF!</v>
      </c>
      <c r="K21" s="52" t="e">
        <f>[1]!'KRWTW.FX-PreClose'</f>
        <v>#REF!</v>
      </c>
      <c r="L21" s="52" t="e">
        <f>[1]!'KRWTW.FX-InOutRatio'</f>
        <v>#REF!</v>
      </c>
      <c r="M21" s="52" t="e">
        <f>[1]!'KRWTW.FX-AvgPrice'</f>
        <v>#REF!</v>
      </c>
      <c r="N21" s="52" t="e">
        <f>[1]!'KRWTW.FX-Capital'</f>
        <v>#REF!</v>
      </c>
      <c r="O21" s="52" t="e">
        <f>[1]!'KRWTW.FX-Profit'</f>
        <v>#REF!</v>
      </c>
      <c r="P21" s="52" t="e">
        <f>[1]!'KRWTW.FX-MarketValue'</f>
        <v>#REF!</v>
      </c>
    </row>
    <row r="22" spans="1:16">
      <c r="A22" s="52" t="e">
        <f>[1]!'AUDTW.FX-Name'</f>
        <v>#REF!</v>
      </c>
      <c r="B22" s="52" t="e">
        <f>[1]!'AUDTW.FX-Bid'</f>
        <v>#REF!</v>
      </c>
      <c r="C22" s="52" t="e">
        <f>[1]!'AUDTW.FX-Ask'</f>
        <v>#REF!</v>
      </c>
      <c r="D22" s="52" t="e">
        <f>[1]!'AUDTW.FX-Price'</f>
        <v>#REF!</v>
      </c>
      <c r="E22" s="52" t="e">
        <f>[1]!'AUDTW.FX-PriceChange'</f>
        <v>#REF!</v>
      </c>
      <c r="F22" s="52" t="e">
        <f>[1]!'AUDTW.FX-PriceChangeRatio'</f>
        <v>#REF!</v>
      </c>
      <c r="G22" s="52" t="e">
        <f>[1]!'AUDTW.FX-Volume'</f>
        <v>#REF!</v>
      </c>
      <c r="H22" s="52" t="e">
        <f>[1]!'AUDTW.FX-TotalVolume'</f>
        <v>#REF!</v>
      </c>
      <c r="I22" s="52" t="e">
        <f>[1]!'AUDTW.FX-BestBidSize'</f>
        <v>#REF!</v>
      </c>
      <c r="J22" s="52" t="e">
        <f>[1]!'AUDTW.FX-BestAskSize'</f>
        <v>#REF!</v>
      </c>
      <c r="K22" s="52" t="e">
        <f>[1]!'AUDTW.FX-PreClose'</f>
        <v>#REF!</v>
      </c>
      <c r="L22" s="52" t="e">
        <f>[1]!'AUDTW.FX-InOutRatio'</f>
        <v>#REF!</v>
      </c>
      <c r="M22" s="52" t="e">
        <f>[1]!'AUDTW.FX-AvgPrice'</f>
        <v>#REF!</v>
      </c>
      <c r="N22" s="52" t="e">
        <f>[1]!'AUDTW.FX-Capital'</f>
        <v>#REF!</v>
      </c>
      <c r="O22" s="52" t="e">
        <f>[1]!'AUDTW.FX-Profit'</f>
        <v>#REF!</v>
      </c>
      <c r="P22" s="52" t="e">
        <f>[1]!'AUDTW.FX-MarketValue'</f>
        <v>#REF!</v>
      </c>
    </row>
    <row r="23" spans="1:16">
      <c r="A23" s="52" t="e">
        <f>[1]!'CADTW.FX-Name'</f>
        <v>#REF!</v>
      </c>
      <c r="B23" s="52" t="e">
        <f>[1]!'CADTW.FX-Bid'</f>
        <v>#REF!</v>
      </c>
      <c r="C23" s="52" t="e">
        <f>[1]!'CADTW.FX-Ask'</f>
        <v>#REF!</v>
      </c>
      <c r="D23" s="52" t="e">
        <f>[1]!'CADTW.FX-Price'</f>
        <v>#REF!</v>
      </c>
      <c r="E23" s="52" t="e">
        <f>[1]!'CADTW.FX-PriceChange'</f>
        <v>#REF!</v>
      </c>
      <c r="F23" s="52" t="e">
        <f>[1]!'CADTW.FX-PriceChangeRatio'</f>
        <v>#REF!</v>
      </c>
      <c r="G23" s="52" t="e">
        <f>[1]!'CADTW.FX-Volume'</f>
        <v>#REF!</v>
      </c>
      <c r="H23" s="52" t="e">
        <f>[1]!'CADTW.FX-TotalVolume'</f>
        <v>#REF!</v>
      </c>
      <c r="I23" s="52" t="e">
        <f>[1]!'CADTW.FX-BestBidSize'</f>
        <v>#REF!</v>
      </c>
      <c r="J23" s="52" t="e">
        <f>[1]!'CADTW.FX-BestAskSize'</f>
        <v>#REF!</v>
      </c>
      <c r="K23" s="52" t="e">
        <f>[1]!'CADTW.FX-PreClose'</f>
        <v>#REF!</v>
      </c>
      <c r="L23" s="52" t="e">
        <f>[1]!'CADTW.FX-InOutRatio'</f>
        <v>#REF!</v>
      </c>
      <c r="M23" s="52" t="e">
        <f>[1]!'CADTW.FX-AvgPrice'</f>
        <v>#REF!</v>
      </c>
      <c r="N23" s="52" t="e">
        <f>[1]!'CADTW.FX-Capital'</f>
        <v>#REF!</v>
      </c>
      <c r="O23" s="52" t="e">
        <f>[1]!'CADTW.FX-Profit'</f>
        <v>#REF!</v>
      </c>
      <c r="P23" s="52" t="e">
        <f>[1]!'CADTW.FX-MarketValue'</f>
        <v>#REF!</v>
      </c>
    </row>
    <row r="24" spans="1:16">
      <c r="A24" s="52" t="e">
        <f>[1]!'CHFTW.FX-Name'</f>
        <v>#REF!</v>
      </c>
      <c r="B24" s="52" t="e">
        <f>[1]!'CHFTW.FX-Bid'</f>
        <v>#REF!</v>
      </c>
      <c r="C24" s="52" t="e">
        <f>[1]!'CHFTW.FX-Ask'</f>
        <v>#REF!</v>
      </c>
      <c r="D24" s="52" t="e">
        <f>[1]!'CHFTW.FX-Price'</f>
        <v>#REF!</v>
      </c>
      <c r="E24" s="52" t="e">
        <f>[1]!'CHFTW.FX-PriceChange'</f>
        <v>#REF!</v>
      </c>
      <c r="F24" s="52" t="e">
        <f>[1]!'CHFTW.FX-PriceChangeRatio'</f>
        <v>#REF!</v>
      </c>
      <c r="G24" s="52" t="e">
        <f>[1]!'CHFTW.FX-Volume'</f>
        <v>#REF!</v>
      </c>
      <c r="H24" s="52" t="e">
        <f>[1]!'CHFTW.FX-TotalVolume'</f>
        <v>#REF!</v>
      </c>
      <c r="I24" s="52" t="e">
        <f>[1]!'CHFTW.FX-BestBidSize'</f>
        <v>#REF!</v>
      </c>
      <c r="J24" s="52" t="e">
        <f>[1]!'CHFTW.FX-BestAskSize'</f>
        <v>#REF!</v>
      </c>
      <c r="K24" s="52" t="e">
        <f>[1]!'CHFTW.FX-PreClose'</f>
        <v>#REF!</v>
      </c>
      <c r="L24" s="52" t="e">
        <f>[1]!'CHFTW.FX-InOutRatio'</f>
        <v>#REF!</v>
      </c>
      <c r="M24" s="52" t="e">
        <f>[1]!'CHFTW.FX-AvgPrice'</f>
        <v>#REF!</v>
      </c>
      <c r="N24" s="52" t="e">
        <f>[1]!'CHFTW.FX-Capital'</f>
        <v>#REF!</v>
      </c>
      <c r="O24" s="52" t="e">
        <f>[1]!'CHFTW.FX-Profit'</f>
        <v>#REF!</v>
      </c>
      <c r="P24" s="52" t="e">
        <f>[1]!'CHFTW.FX-MarketValue'</f>
        <v>#REF!</v>
      </c>
    </row>
    <row r="25" spans="1:16">
      <c r="A25" s="52" t="e">
        <f>[1]!'EURTW.FX-Name'</f>
        <v>#REF!</v>
      </c>
      <c r="B25" s="52" t="e">
        <f>[1]!'EURTW.FX-Bid'</f>
        <v>#REF!</v>
      </c>
      <c r="C25" s="52" t="e">
        <f>[1]!'EURTW.FX-Ask'</f>
        <v>#REF!</v>
      </c>
      <c r="D25" s="52" t="e">
        <f>[1]!'EURTW.FX-Price'</f>
        <v>#REF!</v>
      </c>
      <c r="E25" s="52" t="e">
        <f>[1]!'EURTW.FX-PriceChange'</f>
        <v>#REF!</v>
      </c>
      <c r="F25" s="52" t="e">
        <f>[1]!'EURTW.FX-PriceChangeRatio'</f>
        <v>#REF!</v>
      </c>
      <c r="G25" s="52" t="e">
        <f>[1]!'EURTW.FX-Volume'</f>
        <v>#REF!</v>
      </c>
      <c r="H25" s="52" t="e">
        <f>[1]!'EURTW.FX-TotalVolume'</f>
        <v>#REF!</v>
      </c>
      <c r="I25" s="52" t="e">
        <f>[1]!'EURTW.FX-BestBidSize'</f>
        <v>#REF!</v>
      </c>
      <c r="J25" s="52" t="e">
        <f>[1]!'EURTW.FX-BestAskSize'</f>
        <v>#REF!</v>
      </c>
      <c r="K25" s="52" t="e">
        <f>[1]!'EURTW.FX-PreClose'</f>
        <v>#REF!</v>
      </c>
      <c r="L25" s="52" t="e">
        <f>[1]!'EURTW.FX-InOutRatio'</f>
        <v>#REF!</v>
      </c>
      <c r="M25" s="52" t="e">
        <f>[1]!'EURTW.FX-AvgPrice'</f>
        <v>#REF!</v>
      </c>
      <c r="N25" s="52" t="e">
        <f>[1]!'EURTW.FX-Capital'</f>
        <v>#REF!</v>
      </c>
      <c r="O25" s="52" t="e">
        <f>[1]!'EURTW.FX-Profit'</f>
        <v>#REF!</v>
      </c>
      <c r="P25" s="52" t="e">
        <f>[1]!'EURTW.FX-MarketValue'</f>
        <v>#REF!</v>
      </c>
    </row>
    <row r="26" spans="1:16">
      <c r="A26" s="52" t="e">
        <f>[1]!'GBPTW.FX-Name'</f>
        <v>#REF!</v>
      </c>
      <c r="B26" s="52" t="e">
        <f>[1]!'GBPTW.FX-Bid'</f>
        <v>#REF!</v>
      </c>
      <c r="C26" s="52" t="e">
        <f>[1]!'GBPTW.FX-Ask'</f>
        <v>#REF!</v>
      </c>
      <c r="D26" s="52" t="e">
        <f>[1]!'GBPTW.FX-Price'</f>
        <v>#REF!</v>
      </c>
      <c r="E26" s="52" t="e">
        <f>[1]!'GBPTW.FX-PriceChange'</f>
        <v>#REF!</v>
      </c>
      <c r="F26" s="52" t="e">
        <f>[1]!'GBPTW.FX-PriceChangeRatio'</f>
        <v>#REF!</v>
      </c>
      <c r="G26" s="52" t="e">
        <f>[1]!'GBPTW.FX-Volume'</f>
        <v>#REF!</v>
      </c>
      <c r="H26" s="52" t="e">
        <f>[1]!'GBPTW.FX-TotalVolume'</f>
        <v>#REF!</v>
      </c>
      <c r="I26" s="52" t="e">
        <f>[1]!'GBPTW.FX-BestBidSize'</f>
        <v>#REF!</v>
      </c>
      <c r="J26" s="52" t="e">
        <f>[1]!'GBPTW.FX-BestAskSize'</f>
        <v>#REF!</v>
      </c>
      <c r="K26" s="52" t="e">
        <f>[1]!'GBPTW.FX-PreClose'</f>
        <v>#REF!</v>
      </c>
      <c r="L26" s="52" t="e">
        <f>[1]!'GBPTW.FX-InOutRatio'</f>
        <v>#REF!</v>
      </c>
      <c r="M26" s="52" t="e">
        <f>[1]!'GBPTW.FX-AvgPrice'</f>
        <v>#REF!</v>
      </c>
      <c r="N26" s="52" t="e">
        <f>[1]!'GBPTW.FX-Capital'</f>
        <v>#REF!</v>
      </c>
      <c r="O26" s="52" t="e">
        <f>[1]!'GBPTW.FX-Profit'</f>
        <v>#REF!</v>
      </c>
      <c r="P26" s="52" t="e">
        <f>[1]!'GBPTW.FX-MarketValue'</f>
        <v>#REF!</v>
      </c>
    </row>
    <row r="27" spans="1:16">
      <c r="A27" s="52" t="e">
        <f>[1]!'IDRTW.FX-Name'</f>
        <v>#REF!</v>
      </c>
      <c r="B27" s="52" t="e">
        <f>[1]!'IDRTW.FX-Bid'</f>
        <v>#REF!</v>
      </c>
      <c r="C27" s="52" t="e">
        <f>[1]!'IDRTW.FX-Ask'</f>
        <v>#REF!</v>
      </c>
      <c r="D27" s="52" t="e">
        <f>[1]!'IDRTW.FX-Price'</f>
        <v>#REF!</v>
      </c>
      <c r="E27" s="52" t="e">
        <f>[1]!'IDRTW.FX-PriceChange'</f>
        <v>#REF!</v>
      </c>
      <c r="F27" s="52" t="e">
        <f>[1]!'IDRTW.FX-PriceChangeRatio'</f>
        <v>#REF!</v>
      </c>
      <c r="G27" s="52" t="e">
        <f>[1]!'IDRTW.FX-Volume'</f>
        <v>#REF!</v>
      </c>
      <c r="H27" s="52" t="e">
        <f>[1]!'IDRTW.FX-TotalVolume'</f>
        <v>#REF!</v>
      </c>
      <c r="I27" s="52" t="e">
        <f>[1]!'IDRTW.FX-BestBidSize'</f>
        <v>#REF!</v>
      </c>
      <c r="J27" s="52" t="e">
        <f>[1]!'IDRTW.FX-BestAskSize'</f>
        <v>#REF!</v>
      </c>
      <c r="K27" s="52" t="e">
        <f>[1]!'IDRTW.FX-PreClose'</f>
        <v>#REF!</v>
      </c>
      <c r="L27" s="52" t="e">
        <f>[1]!'IDRTW.FX-InOutRatio'</f>
        <v>#REF!</v>
      </c>
      <c r="M27" s="52" t="e">
        <f>[1]!'IDRTW.FX-AvgPrice'</f>
        <v>#REF!</v>
      </c>
      <c r="N27" s="52" t="e">
        <f>[1]!'IDRTW.FX-Capital'</f>
        <v>#REF!</v>
      </c>
      <c r="O27" s="52" t="e">
        <f>[1]!'IDRTW.FX-Profit'</f>
        <v>#REF!</v>
      </c>
      <c r="P27" s="52" t="e">
        <f>[1]!'IDRTW.FX-MarketValue'</f>
        <v>#REF!</v>
      </c>
    </row>
    <row r="28" spans="1:16">
      <c r="A28" s="52" t="e">
        <f>[1]!'MYRTW.FX-Name'</f>
        <v>#REF!</v>
      </c>
      <c r="B28" s="52" t="e">
        <f>[1]!'MYRTW.FX-Bid'</f>
        <v>#REF!</v>
      </c>
      <c r="C28" s="52" t="e">
        <f>[1]!'MYRTW.FX-Ask'</f>
        <v>#REF!</v>
      </c>
      <c r="D28" s="52" t="e">
        <f>[1]!'MYRTW.FX-Price'</f>
        <v>#REF!</v>
      </c>
      <c r="E28" s="52" t="e">
        <f>[1]!'MYRTW.FX-PriceChange'</f>
        <v>#REF!</v>
      </c>
      <c r="F28" s="52" t="e">
        <f>[1]!'MYRTW.FX-PriceChangeRatio'</f>
        <v>#REF!</v>
      </c>
      <c r="G28" s="52" t="e">
        <f>[1]!'MYRTW.FX-Volume'</f>
        <v>#REF!</v>
      </c>
      <c r="H28" s="52" t="e">
        <f>[1]!'MYRTW.FX-TotalVolume'</f>
        <v>#REF!</v>
      </c>
      <c r="I28" s="52" t="e">
        <f>[1]!'MYRTW.FX-BestBidSize'</f>
        <v>#REF!</v>
      </c>
      <c r="J28" s="52" t="e">
        <f>[1]!'MYRTW.FX-BestAskSize'</f>
        <v>#REF!</v>
      </c>
      <c r="K28" s="52" t="e">
        <f>[1]!'MYRTW.FX-PreClose'</f>
        <v>#REF!</v>
      </c>
      <c r="L28" s="52" t="e">
        <f>[1]!'MYRTW.FX-InOutRatio'</f>
        <v>#REF!</v>
      </c>
      <c r="M28" s="52" t="e">
        <f>[1]!'MYRTW.FX-AvgPrice'</f>
        <v>#REF!</v>
      </c>
      <c r="N28" s="52" t="e">
        <f>[1]!'MYRTW.FX-Capital'</f>
        <v>#REF!</v>
      </c>
      <c r="O28" s="52" t="e">
        <f>[1]!'MYRTW.FX-Profit'</f>
        <v>#REF!</v>
      </c>
      <c r="P28" s="52" t="e">
        <f>[1]!'MYRTW.FX-MarketValue'</f>
        <v>#REF!</v>
      </c>
    </row>
    <row r="29" spans="1:16">
      <c r="A29" s="52" t="e">
        <f>[1]!'NZDTW.FX-Name'</f>
        <v>#REF!</v>
      </c>
      <c r="B29" s="52" t="e">
        <f>[1]!'NZDTW.FX-Bid'</f>
        <v>#REF!</v>
      </c>
      <c r="C29" s="52" t="e">
        <f>[1]!'NZDTW.FX-Ask'</f>
        <v>#REF!</v>
      </c>
      <c r="D29" s="52" t="e">
        <f>[1]!'NZDTW.FX-Price'</f>
        <v>#REF!</v>
      </c>
      <c r="E29" s="52" t="e">
        <f>[1]!'NZDTW.FX-PriceChange'</f>
        <v>#REF!</v>
      </c>
      <c r="F29" s="52" t="e">
        <f>[1]!'NZDTW.FX-PriceChangeRatio'</f>
        <v>#REF!</v>
      </c>
      <c r="G29" s="52" t="e">
        <f>[1]!'NZDTW.FX-Volume'</f>
        <v>#REF!</v>
      </c>
      <c r="H29" s="52" t="e">
        <f>[1]!'NZDTW.FX-TotalVolume'</f>
        <v>#REF!</v>
      </c>
      <c r="I29" s="52" t="e">
        <f>[1]!'NZDTW.FX-BestBidSize'</f>
        <v>#REF!</v>
      </c>
      <c r="J29" s="52" t="e">
        <f>[1]!'NZDTW.FX-BestAskSize'</f>
        <v>#REF!</v>
      </c>
      <c r="K29" s="52" t="e">
        <f>[1]!'NZDTW.FX-PreClose'</f>
        <v>#REF!</v>
      </c>
      <c r="L29" s="52" t="e">
        <f>[1]!'NZDTW.FX-InOutRatio'</f>
        <v>#REF!</v>
      </c>
      <c r="M29" s="52" t="e">
        <f>[1]!'NZDTW.FX-AvgPrice'</f>
        <v>#REF!</v>
      </c>
      <c r="N29" s="52" t="e">
        <f>[1]!'NZDTW.FX-Capital'</f>
        <v>#REF!</v>
      </c>
      <c r="O29" s="52" t="e">
        <f>[1]!'NZDTW.FX-Profit'</f>
        <v>#REF!</v>
      </c>
      <c r="P29" s="52" t="e">
        <f>[1]!'NZDTW.FX-MarketValue'</f>
        <v>#REF!</v>
      </c>
    </row>
    <row r="30" spans="1:16">
      <c r="A30" s="52" t="e">
        <f>[1]!'PHPTW.FX-Name'</f>
        <v>#REF!</v>
      </c>
      <c r="B30" s="52" t="e">
        <f>[1]!'PHPTW.FX-Bid'</f>
        <v>#REF!</v>
      </c>
      <c r="C30" s="52" t="e">
        <f>[1]!'PHPTW.FX-Ask'</f>
        <v>#REF!</v>
      </c>
      <c r="D30" s="52" t="e">
        <f>[1]!'PHPTW.FX-Price'</f>
        <v>#REF!</v>
      </c>
      <c r="E30" s="52" t="e">
        <f>[1]!'PHPTW.FX-PriceChange'</f>
        <v>#REF!</v>
      </c>
      <c r="F30" s="52" t="e">
        <f>[1]!'PHPTW.FX-PriceChangeRatio'</f>
        <v>#REF!</v>
      </c>
      <c r="G30" s="52" t="e">
        <f>[1]!'PHPTW.FX-Volume'</f>
        <v>#REF!</v>
      </c>
      <c r="H30" s="52" t="e">
        <f>[1]!'PHPTW.FX-TotalVolume'</f>
        <v>#REF!</v>
      </c>
      <c r="I30" s="52" t="e">
        <f>[1]!'PHPTW.FX-BestBidSize'</f>
        <v>#REF!</v>
      </c>
      <c r="J30" s="52" t="e">
        <f>[1]!'PHPTW.FX-BestAskSize'</f>
        <v>#REF!</v>
      </c>
      <c r="K30" s="52" t="e">
        <f>[1]!'PHPTW.FX-PreClose'</f>
        <v>#REF!</v>
      </c>
      <c r="L30" s="52" t="e">
        <f>[1]!'PHPTW.FX-InOutRatio'</f>
        <v>#REF!</v>
      </c>
      <c r="M30" s="52" t="e">
        <f>[1]!'PHPTW.FX-AvgPrice'</f>
        <v>#REF!</v>
      </c>
      <c r="N30" s="52" t="e">
        <f>[1]!'PHPTW.FX-Capital'</f>
        <v>#REF!</v>
      </c>
      <c r="O30" s="52" t="e">
        <f>[1]!'PHPTW.FX-Profit'</f>
        <v>#REF!</v>
      </c>
      <c r="P30" s="52" t="e">
        <f>[1]!'PHPTW.FX-MarketValue'</f>
        <v>#REF!</v>
      </c>
    </row>
    <row r="31" spans="1:16">
      <c r="A31" s="52" t="e">
        <f>[1]!'SGDTW.FX-Name'</f>
        <v>#REF!</v>
      </c>
      <c r="B31" s="52" t="e">
        <f>[1]!'SGDTW.FX-Bid'</f>
        <v>#REF!</v>
      </c>
      <c r="C31" s="52" t="e">
        <f>[1]!'SGDTW.FX-Ask'</f>
        <v>#REF!</v>
      </c>
      <c r="D31" s="52" t="e">
        <f>[1]!'SGDTW.FX-Price'</f>
        <v>#REF!</v>
      </c>
      <c r="E31" s="52" t="e">
        <f>[1]!'SGDTW.FX-PriceChange'</f>
        <v>#REF!</v>
      </c>
      <c r="F31" s="52" t="e">
        <f>[1]!'SGDTW.FX-PriceChangeRatio'</f>
        <v>#REF!</v>
      </c>
      <c r="G31" s="52" t="e">
        <f>[1]!'SGDTW.FX-Volume'</f>
        <v>#REF!</v>
      </c>
      <c r="H31" s="52" t="e">
        <f>[1]!'SGDTW.FX-TotalVolume'</f>
        <v>#REF!</v>
      </c>
      <c r="I31" s="52" t="e">
        <f>[1]!'SGDTW.FX-BestBidSize'</f>
        <v>#REF!</v>
      </c>
      <c r="J31" s="52" t="e">
        <f>[1]!'SGDTW.FX-BestAskSize'</f>
        <v>#REF!</v>
      </c>
      <c r="K31" s="52" t="e">
        <f>[1]!'SGDTW.FX-PreClose'</f>
        <v>#REF!</v>
      </c>
      <c r="L31" s="52" t="e">
        <f>[1]!'SGDTW.FX-InOutRatio'</f>
        <v>#REF!</v>
      </c>
      <c r="M31" s="52" t="e">
        <f>[1]!'SGDTW.FX-AvgPrice'</f>
        <v>#REF!</v>
      </c>
      <c r="N31" s="52" t="e">
        <f>[1]!'SGDTW.FX-Capital'</f>
        <v>#REF!</v>
      </c>
      <c r="O31" s="52" t="e">
        <f>[1]!'SGDTW.FX-Profit'</f>
        <v>#REF!</v>
      </c>
      <c r="P31" s="52" t="e">
        <f>[1]!'SGDTW.FX-MarketValue'</f>
        <v>#REF!</v>
      </c>
    </row>
    <row r="32" spans="1:16">
      <c r="A32" s="52" t="e">
        <f>[1]!'ZARTW.FX-Name'</f>
        <v>#REF!</v>
      </c>
      <c r="B32" s="52" t="e">
        <f>[1]!'ZARTW.FX-Bid'</f>
        <v>#REF!</v>
      </c>
      <c r="C32" s="52" t="e">
        <f>[1]!'ZARTW.FX-Ask'</f>
        <v>#REF!</v>
      </c>
      <c r="D32" s="52" t="e">
        <f>[1]!'ZARTW.FX-Price'</f>
        <v>#REF!</v>
      </c>
      <c r="E32" s="52" t="e">
        <f>[1]!'ZARTW.FX-PriceChange'</f>
        <v>#REF!</v>
      </c>
      <c r="F32" s="52" t="e">
        <f>[1]!'ZARTW.FX-PriceChangeRatio'</f>
        <v>#REF!</v>
      </c>
      <c r="G32" s="52" t="e">
        <f>[1]!'ZARTW.FX-Volume'</f>
        <v>#REF!</v>
      </c>
      <c r="H32" s="52" t="e">
        <f>[1]!'ZARTW.FX-TotalVolume'</f>
        <v>#REF!</v>
      </c>
      <c r="I32" s="52" t="e">
        <f>[1]!'ZARTW.FX-BestBidSize'</f>
        <v>#REF!</v>
      </c>
      <c r="J32" s="52" t="e">
        <f>[1]!'ZARTW.FX-BestAskSize'</f>
        <v>#REF!</v>
      </c>
      <c r="K32" s="52" t="e">
        <f>[1]!'ZARTW.FX-PreClose'</f>
        <v>#REF!</v>
      </c>
      <c r="L32" s="52" t="e">
        <f>[1]!'ZARTW.FX-InOutRatio'</f>
        <v>#REF!</v>
      </c>
      <c r="M32" s="52" t="e">
        <f>[1]!'ZARTW.FX-AvgPrice'</f>
        <v>#REF!</v>
      </c>
      <c r="N32" s="52" t="e">
        <f>[1]!'ZARTW.FX-Capital'</f>
        <v>#REF!</v>
      </c>
      <c r="O32" s="52" t="e">
        <f>[1]!'ZARTW.FX-Profit'</f>
        <v>#REF!</v>
      </c>
      <c r="P32" s="52" t="e">
        <f>[1]!'ZARTW.FX-MarketValue'</f>
        <v>#REF!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A2" sqref="A2"/>
    </sheetView>
  </sheetViews>
  <sheetFormatPr defaultColWidth="12.875" defaultRowHeight="16.5"/>
  <cols>
    <col min="1" max="16384" width="12.875" style="239"/>
  </cols>
  <sheetData/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138"/>
  <sheetViews>
    <sheetView workbookViewId="0">
      <selection activeCell="A2" sqref="A2:A3"/>
    </sheetView>
  </sheetViews>
  <sheetFormatPr defaultRowHeight="16.5"/>
  <cols>
    <col min="1" max="1" width="9.5" style="337" bestFit="1" customWidth="1"/>
    <col min="2" max="2" width="20.25" style="337" customWidth="1"/>
    <col min="3" max="3" width="8.625" style="337" customWidth="1"/>
    <col min="4" max="4" width="6.75" style="337" customWidth="1"/>
    <col min="5" max="5" width="7.75" style="337" customWidth="1"/>
    <col min="6" max="6" width="7.875" style="337" customWidth="1"/>
    <col min="7" max="7" width="10.125" style="338" customWidth="1"/>
    <col min="8" max="8" width="8.75" style="338" customWidth="1"/>
    <col min="9" max="9" width="10.25" style="339" customWidth="1"/>
    <col min="10" max="10" width="8.125" style="337" customWidth="1"/>
    <col min="11" max="11" width="9.375" style="337" customWidth="1"/>
    <col min="12" max="12" width="7.875" style="337" customWidth="1"/>
    <col min="13" max="13" width="11" style="338" customWidth="1"/>
    <col min="14" max="14" width="11" style="339" customWidth="1"/>
    <col min="15" max="15" width="7" style="337" customWidth="1"/>
    <col min="16" max="16" width="8.375" style="337" customWidth="1"/>
    <col min="17" max="17" width="24" style="311" customWidth="1"/>
    <col min="18" max="18" width="11.625" style="311" customWidth="1"/>
    <col min="19" max="19" width="13.375" style="311" customWidth="1"/>
    <col min="20" max="20" width="11.875" style="311" customWidth="1"/>
    <col min="21" max="21" width="13.625" style="311" bestFit="1" customWidth="1"/>
    <col min="22" max="22" width="8.875" style="311" customWidth="1"/>
    <col min="23" max="23" width="8.625" style="311" customWidth="1"/>
    <col min="24" max="24" width="8.5" style="311" bestFit="1" customWidth="1"/>
    <col min="25" max="25" width="13.25" style="311" bestFit="1" customWidth="1"/>
    <col min="26" max="26" width="11.25" style="311" customWidth="1"/>
    <col min="27" max="27" width="9" style="311"/>
    <col min="28" max="28" width="9.875" style="311" bestFit="1" customWidth="1"/>
    <col min="29" max="32" width="9" style="311"/>
    <col min="33" max="33" width="9.875" style="311" bestFit="1" customWidth="1"/>
    <col min="34" max="16384" width="9" style="311"/>
  </cols>
  <sheetData>
    <row r="1" spans="1:25" ht="26.25" thickBot="1">
      <c r="A1" s="456" t="s">
        <v>2098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8"/>
    </row>
    <row r="2" spans="1:25">
      <c r="A2" s="459" t="s">
        <v>2099</v>
      </c>
      <c r="B2" s="461" t="s">
        <v>2100</v>
      </c>
      <c r="C2" s="463" t="s">
        <v>2101</v>
      </c>
      <c r="D2" s="465" t="s">
        <v>2102</v>
      </c>
      <c r="E2" s="466"/>
      <c r="F2" s="467"/>
      <c r="G2" s="467"/>
      <c r="H2" s="467"/>
      <c r="I2" s="468"/>
      <c r="J2" s="469" t="s">
        <v>2103</v>
      </c>
      <c r="K2" s="470"/>
      <c r="L2" s="471"/>
      <c r="M2" s="471"/>
      <c r="N2" s="472"/>
      <c r="O2" s="311"/>
      <c r="P2" s="311"/>
      <c r="Q2" s="311" t="s">
        <v>2104</v>
      </c>
      <c r="S2" s="379" t="s">
        <v>2105</v>
      </c>
      <c r="X2" s="454" t="s">
        <v>2106</v>
      </c>
      <c r="Y2" s="455"/>
    </row>
    <row r="3" spans="1:25" ht="27.75" thickBot="1">
      <c r="A3" s="460"/>
      <c r="B3" s="462"/>
      <c r="C3" s="464"/>
      <c r="D3" s="313" t="s">
        <v>2102</v>
      </c>
      <c r="E3" s="314" t="s">
        <v>2107</v>
      </c>
      <c r="F3" s="315" t="s">
        <v>2108</v>
      </c>
      <c r="G3" s="314" t="s">
        <v>2109</v>
      </c>
      <c r="H3" s="316" t="s">
        <v>2110</v>
      </c>
      <c r="I3" s="317" t="s">
        <v>2111</v>
      </c>
      <c r="J3" s="313" t="s">
        <v>2103</v>
      </c>
      <c r="K3" s="314" t="s">
        <v>2107</v>
      </c>
      <c r="L3" s="315" t="s">
        <v>2112</v>
      </c>
      <c r="M3" s="314" t="s">
        <v>2113</v>
      </c>
      <c r="N3" s="318" t="s">
        <v>2114</v>
      </c>
      <c r="O3" s="311"/>
      <c r="P3" s="315" t="s">
        <v>2115</v>
      </c>
      <c r="Q3" s="315" t="s">
        <v>2116</v>
      </c>
      <c r="R3" s="315" t="s">
        <v>2117</v>
      </c>
      <c r="S3" s="315" t="s">
        <v>2118</v>
      </c>
      <c r="T3" s="315" t="s">
        <v>2119</v>
      </c>
      <c r="U3" s="315" t="s">
        <v>2120</v>
      </c>
      <c r="V3" s="380" t="s">
        <v>2121</v>
      </c>
      <c r="W3" s="380" t="s">
        <v>2122</v>
      </c>
      <c r="X3" s="381" t="s">
        <v>2123</v>
      </c>
      <c r="Y3" s="382" t="s">
        <v>2124</v>
      </c>
    </row>
    <row r="4" spans="1:25">
      <c r="A4" s="319" t="s">
        <v>2125</v>
      </c>
      <c r="B4" s="320" t="s">
        <v>2126</v>
      </c>
      <c r="C4" s="321">
        <v>15.93</v>
      </c>
      <c r="D4" s="322">
        <v>5000</v>
      </c>
      <c r="E4" s="323">
        <f t="shared" ref="E4:E35" si="0">D4/(C4*1000*500)</f>
        <v>6.2774639045825491E-4</v>
      </c>
      <c r="F4" s="3"/>
      <c r="G4" s="324">
        <v>0</v>
      </c>
      <c r="H4" s="324">
        <v>1E-3</v>
      </c>
      <c r="I4" s="325">
        <f t="shared" ref="I4:I35" si="1">E4+H4+G4</f>
        <v>1.6277463904582549E-3</v>
      </c>
      <c r="J4" s="322">
        <v>5000</v>
      </c>
      <c r="K4" s="323">
        <f>J4/(C4*1000*500)</f>
        <v>6.2774639045825491E-4</v>
      </c>
      <c r="L4" s="3"/>
      <c r="M4" s="324">
        <v>3.0000000000000001E-3</v>
      </c>
      <c r="N4" s="325">
        <f t="shared" ref="N4:N35" si="2">K4+M4</f>
        <v>3.627746390458255E-3</v>
      </c>
      <c r="O4" s="311"/>
      <c r="P4" s="383">
        <v>4.0000000000000001E-3</v>
      </c>
      <c r="Q4" s="384">
        <v>5.9999999999999995E-4</v>
      </c>
      <c r="R4" s="383">
        <v>3.5E-4</v>
      </c>
      <c r="S4" s="383">
        <v>2.9999999999999997E-4</v>
      </c>
      <c r="T4" s="343">
        <f>SUM(P4:S4)</f>
        <v>5.2499999999999995E-3</v>
      </c>
      <c r="U4" s="74">
        <v>1000000</v>
      </c>
      <c r="X4" s="385" t="s">
        <v>2127</v>
      </c>
      <c r="Y4" s="386" t="s">
        <v>2127</v>
      </c>
    </row>
    <row r="5" spans="1:25">
      <c r="A5" s="319" t="s">
        <v>2128</v>
      </c>
      <c r="B5" s="320" t="s">
        <v>2129</v>
      </c>
      <c r="C5" s="321">
        <v>26.11</v>
      </c>
      <c r="D5" s="322">
        <v>5000</v>
      </c>
      <c r="E5" s="323">
        <f t="shared" si="0"/>
        <v>3.8299502106472615E-4</v>
      </c>
      <c r="F5" s="3"/>
      <c r="G5" s="324">
        <v>0</v>
      </c>
      <c r="H5" s="324">
        <v>1E-3</v>
      </c>
      <c r="I5" s="325">
        <f t="shared" si="1"/>
        <v>1.3829950210647261E-3</v>
      </c>
      <c r="J5" s="322">
        <v>5000</v>
      </c>
      <c r="K5" s="323">
        <f>J5/(C5*1000*500)</f>
        <v>3.8299502106472615E-4</v>
      </c>
      <c r="L5" s="3"/>
      <c r="M5" s="324">
        <v>3.0000000000000001E-3</v>
      </c>
      <c r="N5" s="325">
        <f t="shared" si="2"/>
        <v>3.3829950210647261E-3</v>
      </c>
      <c r="O5" s="311"/>
      <c r="P5" s="383">
        <v>4.0000000000000001E-3</v>
      </c>
      <c r="Q5" s="384">
        <v>4.0000000000000002E-4</v>
      </c>
      <c r="R5" s="383">
        <v>3.5E-4</v>
      </c>
      <c r="S5" s="383">
        <v>2.9999999999999997E-4</v>
      </c>
      <c r="T5" s="343">
        <f>SUM(P5:S5)</f>
        <v>5.0499999999999998E-3</v>
      </c>
      <c r="U5" s="74">
        <v>1000000</v>
      </c>
      <c r="V5" s="387"/>
      <c r="W5" s="387"/>
    </row>
    <row r="6" spans="1:25">
      <c r="A6" s="319" t="s">
        <v>2130</v>
      </c>
      <c r="B6" s="320" t="s">
        <v>2131</v>
      </c>
      <c r="C6" s="321">
        <v>81.849999999999994</v>
      </c>
      <c r="D6" s="322">
        <v>5000</v>
      </c>
      <c r="E6" s="323">
        <f t="shared" si="0"/>
        <v>1.2217470983506414E-4</v>
      </c>
      <c r="F6" s="3"/>
      <c r="G6" s="324">
        <v>0</v>
      </c>
      <c r="H6" s="324">
        <v>1E-3</v>
      </c>
      <c r="I6" s="325">
        <f t="shared" si="1"/>
        <v>1.1221747098350641E-3</v>
      </c>
      <c r="J6" s="322">
        <v>5000</v>
      </c>
      <c r="K6" s="323">
        <f>J6/(C6*1000*500)</f>
        <v>1.2217470983506414E-4</v>
      </c>
      <c r="L6" s="3"/>
      <c r="M6" s="324">
        <v>3.0000000000000001E-3</v>
      </c>
      <c r="N6" s="325">
        <f t="shared" si="2"/>
        <v>3.1221747098350641E-3</v>
      </c>
      <c r="O6" s="311"/>
      <c r="P6" s="383">
        <v>3.2000000000000002E-3</v>
      </c>
      <c r="Q6" s="384">
        <v>4.0000000000000002E-4</v>
      </c>
      <c r="R6" s="383">
        <v>3.5E-4</v>
      </c>
      <c r="S6" s="383">
        <v>2.9999999999999997E-4</v>
      </c>
      <c r="T6" s="343">
        <f>SUM(P6:S6)</f>
        <v>4.2500000000000003E-3</v>
      </c>
      <c r="U6" s="74">
        <v>1000000</v>
      </c>
      <c r="V6" s="387"/>
      <c r="W6" s="387"/>
    </row>
    <row r="7" spans="1:25">
      <c r="A7" s="319" t="s">
        <v>2132</v>
      </c>
      <c r="B7" s="326" t="s">
        <v>401</v>
      </c>
      <c r="C7" s="321">
        <v>34.28</v>
      </c>
      <c r="D7" s="322">
        <v>5000</v>
      </c>
      <c r="E7" s="323">
        <f t="shared" si="0"/>
        <v>2.9171528588098014E-4</v>
      </c>
      <c r="F7" s="3"/>
      <c r="G7" s="324">
        <v>1E-3</v>
      </c>
      <c r="H7" s="324">
        <v>1E-3</v>
      </c>
      <c r="I7" s="325">
        <f t="shared" si="1"/>
        <v>2.2917152858809801E-3</v>
      </c>
      <c r="J7" s="322">
        <v>5000</v>
      </c>
      <c r="K7" s="323">
        <f t="shared" ref="K7:K35" si="3">J7/(C7*1000*500)</f>
        <v>2.9171528588098014E-4</v>
      </c>
      <c r="L7" s="3"/>
      <c r="M7" s="324">
        <v>2E-3</v>
      </c>
      <c r="N7" s="325">
        <f t="shared" si="2"/>
        <v>2.2917152858809801E-3</v>
      </c>
      <c r="O7" s="311"/>
      <c r="P7" s="383">
        <v>0.01</v>
      </c>
      <c r="Q7" s="384">
        <v>4.0000000000000002E-4</v>
      </c>
      <c r="R7" s="383">
        <v>4.0000000000000002E-4</v>
      </c>
      <c r="S7" s="383">
        <v>2.9999999999999997E-4</v>
      </c>
      <c r="T7" s="343">
        <f t="shared" ref="T7:T35" si="4">SUM(P7:S7)</f>
        <v>1.1099999999999999E-2</v>
      </c>
      <c r="U7" s="74">
        <v>1000000</v>
      </c>
      <c r="V7" s="387"/>
      <c r="W7" s="387"/>
    </row>
    <row r="8" spans="1:25">
      <c r="A8" s="319" t="s">
        <v>2133</v>
      </c>
      <c r="B8" s="326" t="s">
        <v>402</v>
      </c>
      <c r="C8" s="321">
        <v>13.52</v>
      </c>
      <c r="D8" s="322">
        <v>5000</v>
      </c>
      <c r="E8" s="323">
        <f t="shared" si="0"/>
        <v>7.3964497041420117E-4</v>
      </c>
      <c r="F8" s="3"/>
      <c r="G8" s="324">
        <v>2.0000000000000001E-4</v>
      </c>
      <c r="H8" s="324">
        <v>1E-3</v>
      </c>
      <c r="I8" s="325">
        <f t="shared" si="1"/>
        <v>1.9396449704142012E-3</v>
      </c>
      <c r="J8" s="322">
        <v>5000</v>
      </c>
      <c r="K8" s="323">
        <f t="shared" si="3"/>
        <v>7.3964497041420117E-4</v>
      </c>
      <c r="L8" s="3"/>
      <c r="M8" s="324">
        <v>2.0000000000000001E-4</v>
      </c>
      <c r="N8" s="325">
        <f t="shared" si="2"/>
        <v>9.3964497041420115E-4</v>
      </c>
      <c r="O8" s="311"/>
      <c r="P8" s="383">
        <v>0.01</v>
      </c>
      <c r="Q8" s="384">
        <v>4.0000000000000002E-4</v>
      </c>
      <c r="R8" s="383">
        <v>4.0000000000000002E-4</v>
      </c>
      <c r="S8" s="383">
        <v>2.9999999999999997E-4</v>
      </c>
      <c r="T8" s="343">
        <f t="shared" si="4"/>
        <v>1.1099999999999999E-2</v>
      </c>
      <c r="U8" s="74">
        <v>1000000</v>
      </c>
      <c r="V8" s="387"/>
      <c r="W8" s="387"/>
    </row>
    <row r="9" spans="1:25">
      <c r="A9" s="319" t="s">
        <v>2134</v>
      </c>
      <c r="B9" s="326" t="s">
        <v>398</v>
      </c>
      <c r="C9" s="321">
        <v>18.440000000000001</v>
      </c>
      <c r="D9" s="327">
        <v>5000</v>
      </c>
      <c r="E9" s="323">
        <f t="shared" si="0"/>
        <v>5.4229934924078093E-4</v>
      </c>
      <c r="F9" s="3"/>
      <c r="G9" s="324">
        <v>2E-3</v>
      </c>
      <c r="H9" s="324">
        <v>1E-3</v>
      </c>
      <c r="I9" s="325">
        <f t="shared" si="1"/>
        <v>3.5422993492407809E-3</v>
      </c>
      <c r="J9" s="327">
        <v>5000</v>
      </c>
      <c r="K9" s="323">
        <f t="shared" si="3"/>
        <v>5.4229934924078093E-4</v>
      </c>
      <c r="L9" s="3"/>
      <c r="M9" s="324">
        <v>2E-3</v>
      </c>
      <c r="N9" s="325">
        <f t="shared" si="2"/>
        <v>2.5422993492407809E-3</v>
      </c>
      <c r="O9" s="311"/>
      <c r="P9" s="383">
        <v>3.0000000000000001E-3</v>
      </c>
      <c r="Q9" s="384">
        <v>0</v>
      </c>
      <c r="R9" s="383">
        <v>1E-3</v>
      </c>
      <c r="S9" s="383">
        <v>2.9999999999999997E-4</v>
      </c>
      <c r="T9" s="343">
        <f t="shared" si="4"/>
        <v>4.3E-3</v>
      </c>
      <c r="U9" s="74">
        <v>500000</v>
      </c>
      <c r="V9" s="387"/>
      <c r="W9" s="387"/>
    </row>
    <row r="10" spans="1:25">
      <c r="A10" s="319" t="s">
        <v>2135</v>
      </c>
      <c r="B10" s="326" t="s">
        <v>403</v>
      </c>
      <c r="C10" s="321">
        <v>30.66</v>
      </c>
      <c r="D10" s="327">
        <v>5000</v>
      </c>
      <c r="E10" s="323">
        <f t="shared" si="0"/>
        <v>3.2615786040443573E-4</v>
      </c>
      <c r="F10" s="3"/>
      <c r="G10" s="324">
        <v>2E-3</v>
      </c>
      <c r="H10" s="324">
        <v>1E-3</v>
      </c>
      <c r="I10" s="325">
        <f t="shared" si="1"/>
        <v>3.3261578604044358E-3</v>
      </c>
      <c r="J10" s="327">
        <v>5000</v>
      </c>
      <c r="K10" s="323">
        <f t="shared" si="3"/>
        <v>3.2615786040443573E-4</v>
      </c>
      <c r="L10" s="3"/>
      <c r="M10" s="324">
        <v>4.0000000000000001E-3</v>
      </c>
      <c r="N10" s="325">
        <f t="shared" si="2"/>
        <v>4.3261578604044358E-3</v>
      </c>
      <c r="O10" s="311"/>
      <c r="P10" s="383">
        <v>9.9000000000000008E-3</v>
      </c>
      <c r="Q10" s="384" t="s">
        <v>2136</v>
      </c>
      <c r="R10" s="383">
        <v>1E-3</v>
      </c>
      <c r="S10" s="383">
        <v>2.9999999999999997E-4</v>
      </c>
      <c r="T10" s="343">
        <f t="shared" si="4"/>
        <v>1.12E-2</v>
      </c>
      <c r="U10" s="74">
        <v>1000000</v>
      </c>
      <c r="V10" s="387"/>
      <c r="W10" s="387"/>
    </row>
    <row r="11" spans="1:25">
      <c r="A11" s="328" t="s">
        <v>2137</v>
      </c>
      <c r="B11" s="326" t="s">
        <v>404</v>
      </c>
      <c r="C11" s="321">
        <v>16.64</v>
      </c>
      <c r="D11" s="327">
        <v>5000</v>
      </c>
      <c r="E11" s="323">
        <f t="shared" si="0"/>
        <v>6.0096153846153849E-4</v>
      </c>
      <c r="F11" s="3"/>
      <c r="G11" s="324">
        <v>1E-3</v>
      </c>
      <c r="H11" s="324">
        <v>1E-3</v>
      </c>
      <c r="I11" s="325">
        <f t="shared" si="1"/>
        <v>2.6009615384615385E-3</v>
      </c>
      <c r="J11" s="327">
        <v>5000</v>
      </c>
      <c r="K11" s="323">
        <f t="shared" si="3"/>
        <v>6.0096153846153849E-4</v>
      </c>
      <c r="L11" s="3"/>
      <c r="M11" s="324">
        <v>2E-3</v>
      </c>
      <c r="N11" s="325">
        <f t="shared" si="2"/>
        <v>2.6009615384615385E-3</v>
      </c>
      <c r="O11" s="311"/>
      <c r="P11" s="383">
        <v>9.9000000000000008E-3</v>
      </c>
      <c r="Q11" s="384" t="s">
        <v>2136</v>
      </c>
      <c r="R11" s="383">
        <v>2.3E-3</v>
      </c>
      <c r="S11" s="383">
        <v>2.9999999999999997E-4</v>
      </c>
      <c r="T11" s="343">
        <f t="shared" si="4"/>
        <v>1.2500000000000001E-2</v>
      </c>
      <c r="U11" s="74">
        <v>1000000</v>
      </c>
      <c r="V11" s="387"/>
      <c r="W11" s="387"/>
    </row>
    <row r="12" spans="1:25">
      <c r="A12" s="328" t="s">
        <v>2138</v>
      </c>
      <c r="B12" s="326" t="s">
        <v>405</v>
      </c>
      <c r="C12" s="321">
        <v>15.51</v>
      </c>
      <c r="D12" s="327">
        <v>5000</v>
      </c>
      <c r="E12" s="323">
        <f t="shared" si="0"/>
        <v>6.4474532559638943E-4</v>
      </c>
      <c r="F12" s="3"/>
      <c r="G12" s="324">
        <v>5.0000000000000001E-4</v>
      </c>
      <c r="H12" s="324">
        <v>1E-3</v>
      </c>
      <c r="I12" s="325">
        <f t="shared" si="1"/>
        <v>2.1447453255963892E-3</v>
      </c>
      <c r="J12" s="327">
        <v>5000</v>
      </c>
      <c r="K12" s="323">
        <f t="shared" si="3"/>
        <v>6.4474532559638943E-4</v>
      </c>
      <c r="L12" s="3"/>
      <c r="M12" s="324">
        <v>5.0000000000000001E-4</v>
      </c>
      <c r="N12" s="325">
        <f t="shared" si="2"/>
        <v>1.1447453255963894E-3</v>
      </c>
      <c r="O12" s="311"/>
      <c r="P12" s="383">
        <v>9.9000000000000008E-3</v>
      </c>
      <c r="Q12" s="384" t="s">
        <v>2136</v>
      </c>
      <c r="R12" s="383">
        <v>2.0999999999999999E-3</v>
      </c>
      <c r="S12" s="383">
        <v>2.9999999999999997E-4</v>
      </c>
      <c r="T12" s="343">
        <f t="shared" si="4"/>
        <v>1.23E-2</v>
      </c>
      <c r="U12" s="74">
        <v>1000000</v>
      </c>
      <c r="V12" s="387"/>
      <c r="W12" s="387"/>
    </row>
    <row r="13" spans="1:25">
      <c r="A13" s="319" t="s">
        <v>2139</v>
      </c>
      <c r="B13" s="326" t="s">
        <v>411</v>
      </c>
      <c r="C13" s="321">
        <v>25.44</v>
      </c>
      <c r="D13" s="327">
        <v>5000</v>
      </c>
      <c r="E13" s="323">
        <f t="shared" si="0"/>
        <v>3.9308176100628933E-4</v>
      </c>
      <c r="F13" s="3"/>
      <c r="G13" s="324">
        <v>1.5E-3</v>
      </c>
      <c r="H13" s="324">
        <v>1E-3</v>
      </c>
      <c r="I13" s="325">
        <f t="shared" si="1"/>
        <v>2.8930817610062893E-3</v>
      </c>
      <c r="J13" s="327">
        <v>5000</v>
      </c>
      <c r="K13" s="323">
        <f t="shared" si="3"/>
        <v>3.9308176100628933E-4</v>
      </c>
      <c r="L13" s="3"/>
      <c r="M13" s="324">
        <v>1.5E-3</v>
      </c>
      <c r="N13" s="325">
        <f t="shared" si="2"/>
        <v>1.8930817610062893E-3</v>
      </c>
      <c r="O13" s="311"/>
      <c r="P13" s="383">
        <v>5.0000000000000001E-3</v>
      </c>
      <c r="Q13" s="384" t="s">
        <v>2140</v>
      </c>
      <c r="R13" s="383">
        <v>2.3999999999999998E-3</v>
      </c>
      <c r="S13" s="383">
        <v>2.9999999999999997E-4</v>
      </c>
      <c r="T13" s="343">
        <f t="shared" si="4"/>
        <v>7.7000000000000002E-3</v>
      </c>
      <c r="U13" s="74">
        <v>1000000</v>
      </c>
      <c r="V13" s="387"/>
      <c r="W13" s="387"/>
    </row>
    <row r="14" spans="1:25">
      <c r="A14" s="319" t="s">
        <v>2141</v>
      </c>
      <c r="B14" s="326" t="s">
        <v>412</v>
      </c>
      <c r="C14" s="321">
        <v>25.81</v>
      </c>
      <c r="D14" s="327">
        <v>5000</v>
      </c>
      <c r="E14" s="323">
        <f t="shared" si="0"/>
        <v>3.8744672607516468E-4</v>
      </c>
      <c r="F14" s="3"/>
      <c r="G14" s="324">
        <v>1.6999999999999999E-3</v>
      </c>
      <c r="H14" s="324">
        <v>1E-3</v>
      </c>
      <c r="I14" s="325">
        <f t="shared" si="1"/>
        <v>3.0874467260751646E-3</v>
      </c>
      <c r="J14" s="327">
        <v>5000</v>
      </c>
      <c r="K14" s="323">
        <f t="shared" si="3"/>
        <v>3.8744672607516468E-4</v>
      </c>
      <c r="L14" s="3"/>
      <c r="M14" s="324">
        <v>1.6999999999999999E-3</v>
      </c>
      <c r="N14" s="325">
        <f t="shared" si="2"/>
        <v>2.0874467260751646E-3</v>
      </c>
      <c r="O14" s="311"/>
      <c r="P14" s="383">
        <v>5.0000000000000001E-3</v>
      </c>
      <c r="Q14" s="384">
        <v>5.0000000000000001E-4</v>
      </c>
      <c r="R14" s="383">
        <v>2E-3</v>
      </c>
      <c r="S14" s="383">
        <v>2.9999999999999997E-4</v>
      </c>
      <c r="T14" s="343">
        <f t="shared" si="4"/>
        <v>7.7999999999999996E-3</v>
      </c>
      <c r="U14" s="74">
        <v>1000000</v>
      </c>
      <c r="V14" s="387"/>
      <c r="W14" s="387"/>
    </row>
    <row r="15" spans="1:25">
      <c r="A15" s="319" t="s">
        <v>2142</v>
      </c>
      <c r="B15" s="326" t="s">
        <v>413</v>
      </c>
      <c r="C15" s="321">
        <v>22.82</v>
      </c>
      <c r="D15" s="327">
        <v>5000</v>
      </c>
      <c r="E15" s="323">
        <f t="shared" si="0"/>
        <v>4.3821209465381246E-4</v>
      </c>
      <c r="F15" s="3"/>
      <c r="G15" s="324">
        <v>1.5E-3</v>
      </c>
      <c r="H15" s="324">
        <v>1E-3</v>
      </c>
      <c r="I15" s="325">
        <f t="shared" si="1"/>
        <v>2.9382120946538125E-3</v>
      </c>
      <c r="J15" s="327">
        <v>5000</v>
      </c>
      <c r="K15" s="323">
        <f t="shared" si="3"/>
        <v>4.3821209465381246E-4</v>
      </c>
      <c r="L15" s="3"/>
      <c r="M15" s="324">
        <v>1.5E-3</v>
      </c>
      <c r="N15" s="325">
        <f t="shared" si="2"/>
        <v>1.9382120946538125E-3</v>
      </c>
      <c r="O15" s="311"/>
      <c r="P15" s="383">
        <v>5.0000000000000001E-3</v>
      </c>
      <c r="Q15" s="384" t="s">
        <v>2143</v>
      </c>
      <c r="R15" s="383">
        <v>2E-3</v>
      </c>
      <c r="S15" s="383">
        <v>2.9999999999999997E-4</v>
      </c>
      <c r="T15" s="343">
        <f t="shared" si="4"/>
        <v>7.3000000000000001E-3</v>
      </c>
      <c r="U15" s="74">
        <v>1000000</v>
      </c>
      <c r="V15" s="387"/>
      <c r="W15" s="387"/>
    </row>
    <row r="16" spans="1:25">
      <c r="A16" s="319" t="s">
        <v>2144</v>
      </c>
      <c r="B16" s="326" t="s">
        <v>408</v>
      </c>
      <c r="C16" s="321">
        <v>23.04</v>
      </c>
      <c r="D16" s="327">
        <v>5000</v>
      </c>
      <c r="E16" s="323">
        <f t="shared" si="0"/>
        <v>4.3402777777777775E-4</v>
      </c>
      <c r="F16" s="3"/>
      <c r="G16" s="324">
        <v>1E-3</v>
      </c>
      <c r="H16" s="324">
        <v>1E-3</v>
      </c>
      <c r="I16" s="325">
        <f t="shared" si="1"/>
        <v>2.434027777777778E-3</v>
      </c>
      <c r="J16" s="327">
        <v>5000</v>
      </c>
      <c r="K16" s="323">
        <f t="shared" si="3"/>
        <v>4.3402777777777775E-4</v>
      </c>
      <c r="L16" s="3"/>
      <c r="M16" s="324">
        <v>1E-3</v>
      </c>
      <c r="N16" s="325">
        <f t="shared" si="2"/>
        <v>1.4340277777777778E-3</v>
      </c>
      <c r="O16" s="311"/>
      <c r="P16" s="383">
        <v>5.0000000000000001E-3</v>
      </c>
      <c r="Q16" s="384" t="s">
        <v>2145</v>
      </c>
      <c r="R16" s="383">
        <v>2.0999999999999999E-3</v>
      </c>
      <c r="S16" s="383">
        <v>2.9999999999999997E-4</v>
      </c>
      <c r="T16" s="343">
        <f t="shared" si="4"/>
        <v>7.4000000000000003E-3</v>
      </c>
      <c r="U16" s="74">
        <v>1000000</v>
      </c>
      <c r="V16" s="387"/>
      <c r="W16" s="387"/>
    </row>
    <row r="17" spans="1:23">
      <c r="A17" s="319" t="s">
        <v>2146</v>
      </c>
      <c r="B17" s="326" t="s">
        <v>409</v>
      </c>
      <c r="C17" s="321">
        <v>28.44</v>
      </c>
      <c r="D17" s="327">
        <v>5000</v>
      </c>
      <c r="E17" s="323">
        <f t="shared" si="0"/>
        <v>3.5161744022503517E-4</v>
      </c>
      <c r="F17" s="3"/>
      <c r="G17" s="324">
        <v>8.0000000000000004E-4</v>
      </c>
      <c r="H17" s="324">
        <v>1E-3</v>
      </c>
      <c r="I17" s="325">
        <f t="shared" si="1"/>
        <v>2.151617440225035E-3</v>
      </c>
      <c r="J17" s="327">
        <v>5000</v>
      </c>
      <c r="K17" s="323">
        <f t="shared" si="3"/>
        <v>3.5161744022503517E-4</v>
      </c>
      <c r="L17" s="3"/>
      <c r="M17" s="324">
        <v>8.0000000000000004E-4</v>
      </c>
      <c r="N17" s="325">
        <f t="shared" si="2"/>
        <v>1.1516174402250352E-3</v>
      </c>
      <c r="O17" s="311"/>
      <c r="P17" s="383">
        <v>9.9000000000000008E-3</v>
      </c>
      <c r="Q17" s="384" t="s">
        <v>2145</v>
      </c>
      <c r="R17" s="383">
        <v>2E-3</v>
      </c>
      <c r="S17" s="383">
        <v>2.9999999999999997E-4</v>
      </c>
      <c r="T17" s="343">
        <f t="shared" si="4"/>
        <v>1.2200000000000001E-2</v>
      </c>
      <c r="U17" s="74">
        <v>1000000</v>
      </c>
      <c r="V17" s="387"/>
      <c r="W17" s="387"/>
    </row>
    <row r="18" spans="1:23" ht="21" customHeight="1">
      <c r="A18" s="319" t="s">
        <v>2147</v>
      </c>
      <c r="B18" s="326" t="s">
        <v>410</v>
      </c>
      <c r="C18" s="321">
        <v>14.99</v>
      </c>
      <c r="D18" s="327">
        <v>5000</v>
      </c>
      <c r="E18" s="323">
        <f t="shared" si="0"/>
        <v>6.6711140760506999E-4</v>
      </c>
      <c r="F18" s="3"/>
      <c r="G18" s="324">
        <v>2.0000000000000001E-4</v>
      </c>
      <c r="H18" s="324">
        <v>1E-3</v>
      </c>
      <c r="I18" s="325">
        <f t="shared" si="1"/>
        <v>1.8671114076050702E-3</v>
      </c>
      <c r="J18" s="327">
        <v>5000</v>
      </c>
      <c r="K18" s="323">
        <f t="shared" si="3"/>
        <v>6.6711140760506999E-4</v>
      </c>
      <c r="L18" s="3"/>
      <c r="M18" s="324">
        <v>2.0000000000000001E-4</v>
      </c>
      <c r="N18" s="325">
        <f t="shared" si="2"/>
        <v>8.6711140760506998E-4</v>
      </c>
      <c r="O18" s="311"/>
      <c r="P18" s="383">
        <v>9.9000000000000008E-3</v>
      </c>
      <c r="Q18" s="384" t="s">
        <v>2145</v>
      </c>
      <c r="R18" s="383">
        <v>1.8E-3</v>
      </c>
      <c r="S18" s="383">
        <v>2.9999999999999997E-4</v>
      </c>
      <c r="T18" s="343">
        <f t="shared" si="4"/>
        <v>1.2E-2</v>
      </c>
      <c r="U18" s="74">
        <v>1000000</v>
      </c>
      <c r="V18" s="387"/>
      <c r="W18" s="387"/>
    </row>
    <row r="19" spans="1:23">
      <c r="A19" s="328" t="s">
        <v>2148</v>
      </c>
      <c r="B19" s="326" t="s">
        <v>2091</v>
      </c>
      <c r="C19" s="321">
        <v>16.36</v>
      </c>
      <c r="D19" s="327">
        <v>5000</v>
      </c>
      <c r="E19" s="323">
        <f t="shared" si="0"/>
        <v>6.1124694376528117E-4</v>
      </c>
      <c r="F19" s="3">
        <v>2000</v>
      </c>
      <c r="G19" s="324">
        <f t="shared" ref="G19:G29" si="5">F19/(C19*1000*500)</f>
        <v>2.4449877750611245E-4</v>
      </c>
      <c r="H19" s="324">
        <v>1E-3</v>
      </c>
      <c r="I19" s="325">
        <f t="shared" si="1"/>
        <v>1.8557457212713935E-3</v>
      </c>
      <c r="J19" s="327">
        <v>5000</v>
      </c>
      <c r="K19" s="323">
        <f t="shared" si="3"/>
        <v>6.1124694376528117E-4</v>
      </c>
      <c r="L19" s="3">
        <v>2000</v>
      </c>
      <c r="M19" s="324">
        <f t="shared" ref="M19:M29" si="6">L19/(C19*1000*500)</f>
        <v>2.4449877750611245E-4</v>
      </c>
      <c r="N19" s="325">
        <f t="shared" si="2"/>
        <v>8.5574572127139362E-4</v>
      </c>
      <c r="O19" s="311"/>
      <c r="P19" s="383">
        <v>0.01</v>
      </c>
      <c r="Q19" s="384" t="s">
        <v>2149</v>
      </c>
      <c r="R19" s="383">
        <v>1.5E-3</v>
      </c>
      <c r="S19" s="383">
        <v>2.9999999999999997E-4</v>
      </c>
      <c r="T19" s="343">
        <f t="shared" si="4"/>
        <v>1.18E-2</v>
      </c>
      <c r="U19" s="74">
        <v>1000000</v>
      </c>
      <c r="V19" s="387"/>
      <c r="W19" s="387"/>
    </row>
    <row r="20" spans="1:23">
      <c r="A20" s="328" t="s">
        <v>2150</v>
      </c>
      <c r="B20" s="326" t="s">
        <v>2151</v>
      </c>
      <c r="C20" s="321">
        <v>15.24</v>
      </c>
      <c r="D20" s="327">
        <v>5000</v>
      </c>
      <c r="E20" s="323">
        <f t="shared" si="0"/>
        <v>6.5616797900262466E-4</v>
      </c>
      <c r="F20" s="3">
        <v>5000</v>
      </c>
      <c r="G20" s="324">
        <f t="shared" si="5"/>
        <v>6.5616797900262466E-4</v>
      </c>
      <c r="H20" s="324">
        <v>1E-3</v>
      </c>
      <c r="I20" s="325">
        <f t="shared" si="1"/>
        <v>2.3123359580052493E-3</v>
      </c>
      <c r="J20" s="327">
        <v>5000</v>
      </c>
      <c r="K20" s="323">
        <f t="shared" si="3"/>
        <v>6.5616797900262466E-4</v>
      </c>
      <c r="L20" s="3">
        <v>5000</v>
      </c>
      <c r="M20" s="324">
        <f t="shared" si="6"/>
        <v>6.5616797900262466E-4</v>
      </c>
      <c r="N20" s="325">
        <f t="shared" si="2"/>
        <v>1.3123359580052493E-3</v>
      </c>
      <c r="O20" s="311"/>
      <c r="P20" s="383">
        <v>0.01</v>
      </c>
      <c r="Q20" s="384" t="s">
        <v>2149</v>
      </c>
      <c r="R20" s="383">
        <v>1.5E-3</v>
      </c>
      <c r="S20" s="383">
        <v>2.9999999999999997E-4</v>
      </c>
      <c r="T20" s="343">
        <f t="shared" si="4"/>
        <v>1.18E-2</v>
      </c>
      <c r="U20" s="74">
        <v>1000000</v>
      </c>
      <c r="V20" s="387"/>
      <c r="W20" s="387"/>
    </row>
    <row r="21" spans="1:23">
      <c r="A21" s="328" t="s">
        <v>2152</v>
      </c>
      <c r="B21" s="326" t="s">
        <v>2153</v>
      </c>
      <c r="C21" s="321">
        <v>19.87</v>
      </c>
      <c r="D21" s="327">
        <v>2000</v>
      </c>
      <c r="E21" s="323">
        <f t="shared" si="0"/>
        <v>2.0130850528434828E-4</v>
      </c>
      <c r="F21" s="3">
        <v>2000</v>
      </c>
      <c r="G21" s="324">
        <f t="shared" si="5"/>
        <v>2.0130850528434828E-4</v>
      </c>
      <c r="H21" s="324">
        <v>1E-3</v>
      </c>
      <c r="I21" s="325">
        <f t="shared" si="1"/>
        <v>1.4026170105686966E-3</v>
      </c>
      <c r="J21" s="327">
        <v>2000</v>
      </c>
      <c r="K21" s="323">
        <f t="shared" si="3"/>
        <v>2.0130850528434828E-4</v>
      </c>
      <c r="L21" s="3">
        <v>2000</v>
      </c>
      <c r="M21" s="324">
        <f t="shared" si="6"/>
        <v>2.0130850528434828E-4</v>
      </c>
      <c r="N21" s="325">
        <f t="shared" si="2"/>
        <v>4.0261701056869655E-4</v>
      </c>
      <c r="O21" s="311"/>
      <c r="P21" s="383">
        <v>0.01</v>
      </c>
      <c r="Q21" s="384" t="s">
        <v>2149</v>
      </c>
      <c r="R21" s="383">
        <v>1.5E-3</v>
      </c>
      <c r="S21" s="383">
        <v>2.9999999999999997E-4</v>
      </c>
      <c r="T21" s="343">
        <f t="shared" si="4"/>
        <v>1.18E-2</v>
      </c>
      <c r="U21" s="74">
        <v>1000000</v>
      </c>
      <c r="V21" s="387"/>
      <c r="W21" s="387"/>
    </row>
    <row r="22" spans="1:23">
      <c r="A22" s="328" t="s">
        <v>2154</v>
      </c>
      <c r="B22" s="304" t="s">
        <v>2155</v>
      </c>
      <c r="C22" s="321">
        <v>19.97</v>
      </c>
      <c r="D22" s="327">
        <v>5000</v>
      </c>
      <c r="E22" s="323">
        <f t="shared" si="0"/>
        <v>5.00751126690035E-4</v>
      </c>
      <c r="F22" s="3">
        <v>2000</v>
      </c>
      <c r="G22" s="324">
        <f t="shared" si="5"/>
        <v>2.0030045067601402E-4</v>
      </c>
      <c r="H22" s="324">
        <v>1E-3</v>
      </c>
      <c r="I22" s="325">
        <f t="shared" si="1"/>
        <v>1.7010515773660489E-3</v>
      </c>
      <c r="J22" s="327">
        <v>5000</v>
      </c>
      <c r="K22" s="323">
        <f t="shared" si="3"/>
        <v>5.00751126690035E-4</v>
      </c>
      <c r="L22" s="3">
        <v>2000</v>
      </c>
      <c r="M22" s="324">
        <f t="shared" si="6"/>
        <v>2.0030045067601402E-4</v>
      </c>
      <c r="N22" s="325">
        <f t="shared" si="2"/>
        <v>7.0105157736604902E-4</v>
      </c>
      <c r="O22" s="311"/>
      <c r="P22" s="383">
        <v>0.01</v>
      </c>
      <c r="Q22" s="384" t="s">
        <v>2149</v>
      </c>
      <c r="R22" s="383">
        <v>1.5E-3</v>
      </c>
      <c r="S22" s="383">
        <v>2.9999999999999997E-4</v>
      </c>
      <c r="T22" s="343">
        <f t="shared" si="4"/>
        <v>1.18E-2</v>
      </c>
      <c r="U22" s="74">
        <v>1000000</v>
      </c>
      <c r="V22" s="387"/>
      <c r="W22" s="387"/>
    </row>
    <row r="23" spans="1:23">
      <c r="A23" s="329" t="s">
        <v>2156</v>
      </c>
      <c r="B23" s="326" t="s">
        <v>2157</v>
      </c>
      <c r="C23" s="321">
        <v>19.64</v>
      </c>
      <c r="D23" s="327">
        <v>2000</v>
      </c>
      <c r="E23" s="323">
        <f t="shared" si="0"/>
        <v>2.0366598778004074E-4</v>
      </c>
      <c r="F23" s="3">
        <v>4000</v>
      </c>
      <c r="G23" s="324">
        <f t="shared" si="5"/>
        <v>4.0733197556008148E-4</v>
      </c>
      <c r="H23" s="324">
        <v>1E-3</v>
      </c>
      <c r="I23" s="325">
        <f t="shared" si="1"/>
        <v>1.6109979633401222E-3</v>
      </c>
      <c r="J23" s="327">
        <v>2000</v>
      </c>
      <c r="K23" s="323">
        <f t="shared" si="3"/>
        <v>2.0366598778004074E-4</v>
      </c>
      <c r="L23" s="3">
        <v>4000</v>
      </c>
      <c r="M23" s="324">
        <f t="shared" si="6"/>
        <v>4.0733197556008148E-4</v>
      </c>
      <c r="N23" s="325">
        <f t="shared" si="2"/>
        <v>6.1099796334012225E-4</v>
      </c>
      <c r="O23" s="311"/>
      <c r="P23" s="383">
        <v>0.01</v>
      </c>
      <c r="Q23" s="384" t="s">
        <v>2149</v>
      </c>
      <c r="R23" s="383">
        <v>1.5E-3</v>
      </c>
      <c r="S23" s="383">
        <v>2.9999999999999997E-4</v>
      </c>
      <c r="T23" s="343">
        <f t="shared" si="4"/>
        <v>1.18E-2</v>
      </c>
      <c r="U23" s="74">
        <v>1000000</v>
      </c>
      <c r="V23" s="387"/>
      <c r="W23" s="387"/>
    </row>
    <row r="24" spans="1:23">
      <c r="A24" s="328" t="s">
        <v>2158</v>
      </c>
      <c r="B24" s="326" t="s">
        <v>2159</v>
      </c>
      <c r="C24" s="321">
        <v>18.86</v>
      </c>
      <c r="D24" s="327">
        <v>5000</v>
      </c>
      <c r="E24" s="323">
        <f t="shared" si="0"/>
        <v>5.3022269353128319E-4</v>
      </c>
      <c r="F24" s="3">
        <v>2000</v>
      </c>
      <c r="G24" s="324">
        <f t="shared" si="5"/>
        <v>2.1208907741251324E-4</v>
      </c>
      <c r="H24" s="324">
        <v>1E-3</v>
      </c>
      <c r="I24" s="325">
        <f t="shared" si="1"/>
        <v>1.7423117709437963E-3</v>
      </c>
      <c r="J24" s="327">
        <v>5000</v>
      </c>
      <c r="K24" s="323">
        <f t="shared" si="3"/>
        <v>5.3022269353128319E-4</v>
      </c>
      <c r="L24" s="3">
        <v>2000</v>
      </c>
      <c r="M24" s="324">
        <f t="shared" si="6"/>
        <v>2.1208907741251324E-4</v>
      </c>
      <c r="N24" s="325">
        <f t="shared" si="2"/>
        <v>7.4231177094379649E-4</v>
      </c>
      <c r="O24" s="311"/>
      <c r="P24" s="383">
        <v>0.01</v>
      </c>
      <c r="Q24" s="384" t="s">
        <v>2149</v>
      </c>
      <c r="R24" s="383">
        <v>1.5E-3</v>
      </c>
      <c r="S24" s="383">
        <v>2.9999999999999997E-4</v>
      </c>
      <c r="T24" s="343">
        <f t="shared" si="4"/>
        <v>1.18E-2</v>
      </c>
      <c r="U24" s="74">
        <v>1000000</v>
      </c>
      <c r="V24" s="387"/>
      <c r="W24" s="387"/>
    </row>
    <row r="25" spans="1:23">
      <c r="A25" s="328" t="s">
        <v>2160</v>
      </c>
      <c r="B25" s="326" t="s">
        <v>2161</v>
      </c>
      <c r="C25" s="321">
        <v>18.39</v>
      </c>
      <c r="D25" s="327">
        <v>5000</v>
      </c>
      <c r="E25" s="323">
        <f t="shared" si="0"/>
        <v>5.4377379010331697E-4</v>
      </c>
      <c r="F25" s="3">
        <v>2000</v>
      </c>
      <c r="G25" s="324">
        <f t="shared" si="5"/>
        <v>2.1750951604132681E-4</v>
      </c>
      <c r="H25" s="324">
        <v>1E-3</v>
      </c>
      <c r="I25" s="325">
        <f t="shared" si="1"/>
        <v>1.7612833061446437E-3</v>
      </c>
      <c r="J25" s="327">
        <v>5000</v>
      </c>
      <c r="K25" s="323">
        <f t="shared" si="3"/>
        <v>5.4377379010331697E-4</v>
      </c>
      <c r="L25" s="3">
        <v>2000</v>
      </c>
      <c r="M25" s="324">
        <f t="shared" si="6"/>
        <v>2.1750951604132681E-4</v>
      </c>
      <c r="N25" s="325">
        <f t="shared" si="2"/>
        <v>7.6128330614464378E-4</v>
      </c>
      <c r="O25" s="311"/>
      <c r="P25" s="383">
        <v>5.0000000000000001E-3</v>
      </c>
      <c r="Q25" s="384" t="s">
        <v>2149</v>
      </c>
      <c r="R25" s="383">
        <v>1.5E-3</v>
      </c>
      <c r="S25" s="383">
        <v>2.9999999999999997E-4</v>
      </c>
      <c r="T25" s="343">
        <f t="shared" si="4"/>
        <v>6.8000000000000005E-3</v>
      </c>
      <c r="U25" s="74">
        <v>1000000</v>
      </c>
      <c r="V25" s="387"/>
      <c r="W25" s="387"/>
    </row>
    <row r="26" spans="1:23">
      <c r="A26" s="328" t="s">
        <v>2162</v>
      </c>
      <c r="B26" s="326" t="s">
        <v>2163</v>
      </c>
      <c r="C26" s="321">
        <v>17.02</v>
      </c>
      <c r="D26" s="327">
        <v>5000</v>
      </c>
      <c r="E26" s="323">
        <f t="shared" si="0"/>
        <v>5.8754406580493535E-4</v>
      </c>
      <c r="F26" s="3">
        <v>4000</v>
      </c>
      <c r="G26" s="324">
        <f t="shared" si="5"/>
        <v>4.7003525264394829E-4</v>
      </c>
      <c r="H26" s="324">
        <v>1E-3</v>
      </c>
      <c r="I26" s="325">
        <f t="shared" si="1"/>
        <v>2.0575793184488839E-3</v>
      </c>
      <c r="J26" s="327">
        <v>5000</v>
      </c>
      <c r="K26" s="323">
        <f t="shared" si="3"/>
        <v>5.8754406580493535E-4</v>
      </c>
      <c r="L26" s="3">
        <v>4000</v>
      </c>
      <c r="M26" s="324">
        <f t="shared" si="6"/>
        <v>4.7003525264394829E-4</v>
      </c>
      <c r="N26" s="325">
        <f t="shared" si="2"/>
        <v>1.0575793184488837E-3</v>
      </c>
      <c r="O26" s="311"/>
      <c r="P26" s="383">
        <v>8.0000000000000002E-3</v>
      </c>
      <c r="Q26" s="384" t="s">
        <v>2149</v>
      </c>
      <c r="R26" s="383">
        <v>1.5E-3</v>
      </c>
      <c r="S26" s="383">
        <v>2.9999999999999997E-4</v>
      </c>
      <c r="T26" s="343">
        <f t="shared" si="4"/>
        <v>9.7999999999999997E-3</v>
      </c>
      <c r="U26" s="74">
        <v>1000000</v>
      </c>
      <c r="V26" s="387"/>
      <c r="W26" s="387"/>
    </row>
    <row r="27" spans="1:23">
      <c r="A27" s="328" t="s">
        <v>2164</v>
      </c>
      <c r="B27" s="326" t="s">
        <v>2165</v>
      </c>
      <c r="C27" s="321">
        <v>21.32</v>
      </c>
      <c r="D27" s="327">
        <v>5000</v>
      </c>
      <c r="E27" s="323">
        <f t="shared" si="0"/>
        <v>4.6904315196998124E-4</v>
      </c>
      <c r="F27" s="3">
        <v>2000</v>
      </c>
      <c r="G27" s="324">
        <f t="shared" si="5"/>
        <v>1.876172607879925E-4</v>
      </c>
      <c r="H27" s="324">
        <v>1E-3</v>
      </c>
      <c r="I27" s="325">
        <f t="shared" si="1"/>
        <v>1.6566604127579738E-3</v>
      </c>
      <c r="J27" s="327">
        <v>5000</v>
      </c>
      <c r="K27" s="323">
        <f t="shared" si="3"/>
        <v>4.6904315196998124E-4</v>
      </c>
      <c r="L27" s="3">
        <v>2000</v>
      </c>
      <c r="M27" s="324">
        <f t="shared" si="6"/>
        <v>1.876172607879925E-4</v>
      </c>
      <c r="N27" s="325">
        <f t="shared" si="2"/>
        <v>6.5666041275797373E-4</v>
      </c>
      <c r="O27" s="311"/>
      <c r="P27" s="383">
        <v>8.0000000000000002E-3</v>
      </c>
      <c r="Q27" s="384" t="s">
        <v>2149</v>
      </c>
      <c r="R27" s="383">
        <v>1.5E-3</v>
      </c>
      <c r="S27" s="383">
        <v>2.9999999999999997E-4</v>
      </c>
      <c r="T27" s="343">
        <f t="shared" si="4"/>
        <v>9.7999999999999997E-3</v>
      </c>
      <c r="U27" s="74">
        <v>1000000</v>
      </c>
      <c r="V27" s="387"/>
      <c r="W27" s="387"/>
    </row>
    <row r="28" spans="1:23">
      <c r="A28" s="328" t="s">
        <v>2166</v>
      </c>
      <c r="B28" s="326" t="s">
        <v>2167</v>
      </c>
      <c r="C28" s="321">
        <v>18.91</v>
      </c>
      <c r="D28" s="327">
        <v>2000</v>
      </c>
      <c r="E28" s="323">
        <f t="shared" si="0"/>
        <v>2.1152829190904283E-4</v>
      </c>
      <c r="F28" s="3">
        <v>4000</v>
      </c>
      <c r="G28" s="324">
        <f t="shared" si="5"/>
        <v>4.2305658381808567E-4</v>
      </c>
      <c r="H28" s="324">
        <v>1E-3</v>
      </c>
      <c r="I28" s="325">
        <f t="shared" si="1"/>
        <v>1.6345848757271285E-3</v>
      </c>
      <c r="J28" s="327">
        <v>2000</v>
      </c>
      <c r="K28" s="323">
        <f t="shared" si="3"/>
        <v>2.1152829190904283E-4</v>
      </c>
      <c r="L28" s="3">
        <v>4000</v>
      </c>
      <c r="M28" s="324">
        <f t="shared" si="6"/>
        <v>4.2305658381808567E-4</v>
      </c>
      <c r="N28" s="325">
        <f t="shared" si="2"/>
        <v>6.345848757271285E-4</v>
      </c>
      <c r="O28" s="311"/>
      <c r="P28" s="383">
        <v>8.0000000000000002E-3</v>
      </c>
      <c r="Q28" s="384" t="s">
        <v>2168</v>
      </c>
      <c r="R28" s="383">
        <v>1.5E-3</v>
      </c>
      <c r="S28" s="383">
        <v>2.9999999999999997E-4</v>
      </c>
      <c r="T28" s="343">
        <f t="shared" si="4"/>
        <v>9.7999999999999997E-3</v>
      </c>
      <c r="U28" s="74">
        <v>1000000</v>
      </c>
      <c r="V28" s="387"/>
      <c r="W28" s="387"/>
    </row>
    <row r="29" spans="1:23">
      <c r="A29" s="328" t="s">
        <v>2169</v>
      </c>
      <c r="B29" s="326" t="s">
        <v>2170</v>
      </c>
      <c r="C29" s="321">
        <v>20.5</v>
      </c>
      <c r="D29" s="327">
        <v>2000</v>
      </c>
      <c r="E29" s="323">
        <f t="shared" si="0"/>
        <v>1.9512195121951221E-4</v>
      </c>
      <c r="F29" s="3">
        <v>2000</v>
      </c>
      <c r="G29" s="324">
        <f t="shared" si="5"/>
        <v>1.9512195121951221E-4</v>
      </c>
      <c r="H29" s="324">
        <v>1E-3</v>
      </c>
      <c r="I29" s="325">
        <f t="shared" si="1"/>
        <v>1.3902439024390243E-3</v>
      </c>
      <c r="J29" s="327">
        <v>2000</v>
      </c>
      <c r="K29" s="323">
        <f t="shared" si="3"/>
        <v>1.9512195121951221E-4</v>
      </c>
      <c r="L29" s="3">
        <v>2000</v>
      </c>
      <c r="M29" s="324">
        <f t="shared" si="6"/>
        <v>1.9512195121951221E-4</v>
      </c>
      <c r="N29" s="325">
        <f t="shared" si="2"/>
        <v>3.9024390243902441E-4</v>
      </c>
      <c r="O29" s="311"/>
      <c r="P29" s="383">
        <v>8.0000000000000002E-3</v>
      </c>
      <c r="Q29" s="384" t="s">
        <v>2168</v>
      </c>
      <c r="R29" s="383">
        <v>1.5E-3</v>
      </c>
      <c r="S29" s="383">
        <v>2.9999999999999997E-4</v>
      </c>
      <c r="T29" s="343">
        <f t="shared" si="4"/>
        <v>9.7999999999999997E-3</v>
      </c>
      <c r="U29" s="74">
        <v>1000000</v>
      </c>
      <c r="V29" s="387"/>
      <c r="W29" s="387"/>
    </row>
    <row r="30" spans="1:23">
      <c r="A30" s="329" t="s">
        <v>106</v>
      </c>
      <c r="B30" s="275" t="s">
        <v>2171</v>
      </c>
      <c r="C30" s="321">
        <v>39.145099999999999</v>
      </c>
      <c r="D30" s="327">
        <v>5000</v>
      </c>
      <c r="E30" s="323">
        <f t="shared" si="0"/>
        <v>2.5545981489381815E-4</v>
      </c>
      <c r="F30" s="3"/>
      <c r="G30" s="324">
        <v>2.9999999999999997E-4</v>
      </c>
      <c r="H30" s="324">
        <v>0</v>
      </c>
      <c r="I30" s="325">
        <f t="shared" si="1"/>
        <v>5.5545981489381812E-4</v>
      </c>
      <c r="J30" s="327">
        <v>5000</v>
      </c>
      <c r="K30" s="323">
        <f t="shared" si="3"/>
        <v>2.5545981489381815E-4</v>
      </c>
      <c r="L30" s="3"/>
      <c r="M30" s="324">
        <v>2.9999999999999997E-4</v>
      </c>
      <c r="N30" s="325">
        <f t="shared" si="2"/>
        <v>5.5545981489381812E-4</v>
      </c>
      <c r="O30" s="311"/>
      <c r="P30" s="383">
        <v>1.4E-3</v>
      </c>
      <c r="Q30" s="384" t="s">
        <v>2172</v>
      </c>
      <c r="R30" s="383">
        <v>1E-3</v>
      </c>
      <c r="S30" s="383">
        <v>2.9999999999999997E-4</v>
      </c>
      <c r="T30" s="343">
        <f t="shared" si="4"/>
        <v>2.7000000000000001E-3</v>
      </c>
      <c r="U30" s="74">
        <v>1000000</v>
      </c>
      <c r="V30" s="387"/>
      <c r="W30" s="387"/>
    </row>
    <row r="31" spans="1:23">
      <c r="A31" s="329" t="s">
        <v>107</v>
      </c>
      <c r="B31" s="275" t="s">
        <v>2173</v>
      </c>
      <c r="C31" s="321">
        <v>20.533799999999999</v>
      </c>
      <c r="D31" s="327">
        <v>5000</v>
      </c>
      <c r="E31" s="323">
        <f t="shared" si="0"/>
        <v>4.8700191878756001E-4</v>
      </c>
      <c r="F31" s="3"/>
      <c r="G31" s="324">
        <v>1E-4</v>
      </c>
      <c r="H31" s="324">
        <v>0</v>
      </c>
      <c r="I31" s="325">
        <f t="shared" si="1"/>
        <v>5.8700191878756E-4</v>
      </c>
      <c r="J31" s="327">
        <v>5000</v>
      </c>
      <c r="K31" s="323">
        <f t="shared" si="3"/>
        <v>4.8700191878756001E-4</v>
      </c>
      <c r="L31" s="3"/>
      <c r="M31" s="324">
        <v>1E-4</v>
      </c>
      <c r="N31" s="325">
        <f t="shared" si="2"/>
        <v>5.8700191878756E-4</v>
      </c>
      <c r="P31" s="383">
        <v>7.4999999999999997E-3</v>
      </c>
      <c r="Q31" s="384" t="s">
        <v>2174</v>
      </c>
      <c r="R31" s="383">
        <v>2.0999999999999999E-3</v>
      </c>
      <c r="S31" s="383">
        <v>2.9999999999999997E-4</v>
      </c>
      <c r="T31" s="343">
        <f t="shared" si="4"/>
        <v>9.8999999999999991E-3</v>
      </c>
      <c r="U31" s="74">
        <v>1000000</v>
      </c>
      <c r="V31" s="387"/>
      <c r="W31" s="387"/>
    </row>
    <row r="32" spans="1:23">
      <c r="A32" s="329" t="s">
        <v>108</v>
      </c>
      <c r="B32" s="275" t="s">
        <v>2175</v>
      </c>
      <c r="C32" s="321">
        <v>18.996099999999998</v>
      </c>
      <c r="D32" s="327">
        <v>5000</v>
      </c>
      <c r="E32" s="323">
        <f t="shared" si="0"/>
        <v>5.2642384489447831E-4</v>
      </c>
      <c r="F32" s="3"/>
      <c r="G32" s="324">
        <v>1E-4</v>
      </c>
      <c r="H32" s="324">
        <v>0</v>
      </c>
      <c r="I32" s="325">
        <f t="shared" si="1"/>
        <v>6.2642384489447836E-4</v>
      </c>
      <c r="J32" s="327">
        <v>5000</v>
      </c>
      <c r="K32" s="323">
        <f t="shared" si="3"/>
        <v>5.2642384489447831E-4</v>
      </c>
      <c r="L32" s="3"/>
      <c r="M32" s="324">
        <v>1E-4</v>
      </c>
      <c r="N32" s="325">
        <f t="shared" si="2"/>
        <v>6.2642384489447836E-4</v>
      </c>
      <c r="P32" s="383">
        <v>7.4999999999999997E-3</v>
      </c>
      <c r="Q32" s="384" t="s">
        <v>2174</v>
      </c>
      <c r="R32" s="383">
        <v>1.6000000000000001E-3</v>
      </c>
      <c r="S32" s="383">
        <v>2.9999999999999997E-4</v>
      </c>
      <c r="T32" s="343">
        <f t="shared" si="4"/>
        <v>9.4000000000000004E-3</v>
      </c>
      <c r="U32" s="74">
        <v>1000000</v>
      </c>
      <c r="V32" s="387"/>
      <c r="W32" s="387"/>
    </row>
    <row r="33" spans="1:23">
      <c r="A33" s="329" t="s">
        <v>674</v>
      </c>
      <c r="B33" s="275" t="s">
        <v>2176</v>
      </c>
      <c r="C33" s="321">
        <v>39.6539</v>
      </c>
      <c r="D33" s="327">
        <v>5000</v>
      </c>
      <c r="E33" s="323">
        <f t="shared" si="0"/>
        <v>2.5218200479650173E-4</v>
      </c>
      <c r="F33" s="3"/>
      <c r="G33" s="324">
        <v>1E-4</v>
      </c>
      <c r="H33" s="324">
        <v>0</v>
      </c>
      <c r="I33" s="325">
        <f t="shared" si="1"/>
        <v>3.5218200479650172E-4</v>
      </c>
      <c r="J33" s="327">
        <v>5000</v>
      </c>
      <c r="K33" s="323">
        <f t="shared" si="3"/>
        <v>2.5218200479650173E-4</v>
      </c>
      <c r="L33" s="3"/>
      <c r="M33" s="324">
        <v>1E-4</v>
      </c>
      <c r="N33" s="325">
        <f t="shared" si="2"/>
        <v>3.5218200479650172E-4</v>
      </c>
      <c r="P33" s="383">
        <v>4.0000000000000001E-3</v>
      </c>
      <c r="Q33" s="384" t="s">
        <v>2172</v>
      </c>
      <c r="R33" s="383">
        <v>1.6999999999999999E-3</v>
      </c>
      <c r="S33" s="383">
        <v>2.9999999999999997E-4</v>
      </c>
      <c r="T33" s="343">
        <f t="shared" si="4"/>
        <v>6.0000000000000001E-3</v>
      </c>
      <c r="U33" s="74">
        <v>1000000</v>
      </c>
      <c r="V33" s="387"/>
      <c r="W33" s="387"/>
    </row>
    <row r="34" spans="1:23" ht="16.5" customHeight="1">
      <c r="A34" s="329" t="s">
        <v>675</v>
      </c>
      <c r="B34" s="275" t="s">
        <v>2177</v>
      </c>
      <c r="C34" s="321">
        <v>19.454699999999999</v>
      </c>
      <c r="D34" s="327">
        <v>5000</v>
      </c>
      <c r="E34" s="323">
        <f t="shared" si="0"/>
        <v>5.1401460829516774E-4</v>
      </c>
      <c r="F34" s="3"/>
      <c r="G34" s="324">
        <v>1E-4</v>
      </c>
      <c r="H34" s="324">
        <v>0</v>
      </c>
      <c r="I34" s="325">
        <f t="shared" si="1"/>
        <v>6.1401460829516778E-4</v>
      </c>
      <c r="J34" s="327">
        <v>5000</v>
      </c>
      <c r="K34" s="323">
        <f t="shared" si="3"/>
        <v>5.1401460829516774E-4</v>
      </c>
      <c r="L34" s="3"/>
      <c r="M34" s="324">
        <v>1E-4</v>
      </c>
      <c r="N34" s="325">
        <f t="shared" si="2"/>
        <v>6.1401460829516778E-4</v>
      </c>
      <c r="P34" s="383">
        <v>7.4999999999999997E-3</v>
      </c>
      <c r="Q34" s="384" t="s">
        <v>2174</v>
      </c>
      <c r="R34" s="383">
        <v>2.0999999999999999E-3</v>
      </c>
      <c r="S34" s="383">
        <v>2.9999999999999997E-4</v>
      </c>
      <c r="T34" s="343">
        <f t="shared" si="4"/>
        <v>9.8999999999999991E-3</v>
      </c>
      <c r="U34" s="74">
        <v>1000000</v>
      </c>
      <c r="V34" s="387"/>
      <c r="W34" s="387"/>
    </row>
    <row r="35" spans="1:23" ht="17.25" thickBot="1">
      <c r="A35" s="330" t="s">
        <v>676</v>
      </c>
      <c r="B35" s="331" t="s">
        <v>2178</v>
      </c>
      <c r="C35" s="332">
        <v>20.064499999999999</v>
      </c>
      <c r="D35" s="333">
        <v>5000</v>
      </c>
      <c r="E35" s="334">
        <f t="shared" si="0"/>
        <v>4.9839268359540485E-4</v>
      </c>
      <c r="F35" s="14"/>
      <c r="G35" s="335">
        <v>1E-4</v>
      </c>
      <c r="H35" s="335">
        <v>0</v>
      </c>
      <c r="I35" s="336">
        <f t="shared" si="1"/>
        <v>5.9839268359540489E-4</v>
      </c>
      <c r="J35" s="333">
        <v>5000</v>
      </c>
      <c r="K35" s="334">
        <f t="shared" si="3"/>
        <v>4.9839268359540485E-4</v>
      </c>
      <c r="L35" s="14"/>
      <c r="M35" s="335">
        <v>1E-4</v>
      </c>
      <c r="N35" s="336">
        <f t="shared" si="2"/>
        <v>5.9839268359540489E-4</v>
      </c>
      <c r="P35" s="383">
        <v>7.4999999999999997E-3</v>
      </c>
      <c r="Q35" s="384" t="s">
        <v>2174</v>
      </c>
      <c r="R35" s="383">
        <v>1.2999999999999999E-3</v>
      </c>
      <c r="S35" s="383">
        <v>2.9999999999999997E-4</v>
      </c>
      <c r="T35" s="343">
        <f t="shared" si="4"/>
        <v>9.0999999999999987E-3</v>
      </c>
      <c r="U35" s="74">
        <v>1000000</v>
      </c>
      <c r="V35" s="387"/>
      <c r="W35" s="387"/>
    </row>
    <row r="36" spans="1:23">
      <c r="A36" s="311"/>
      <c r="B36" s="311"/>
      <c r="C36" s="311"/>
      <c r="D36" s="311"/>
      <c r="E36" s="311"/>
      <c r="F36" s="311"/>
      <c r="G36" s="311"/>
      <c r="H36" s="311"/>
      <c r="I36" s="311"/>
      <c r="J36" s="311"/>
      <c r="K36" s="311"/>
      <c r="L36" s="311"/>
      <c r="M36" s="311"/>
      <c r="N36" s="311"/>
    </row>
    <row r="37" spans="1:23" ht="17.25" thickBot="1"/>
    <row r="38" spans="1:23" ht="25.5">
      <c r="A38" s="473" t="s">
        <v>2179</v>
      </c>
      <c r="B38" s="474"/>
      <c r="C38" s="474"/>
      <c r="D38" s="474"/>
      <c r="E38" s="474"/>
      <c r="F38" s="474"/>
      <c r="G38" s="474"/>
      <c r="H38" s="474"/>
      <c r="I38" s="474"/>
      <c r="J38" s="474"/>
      <c r="K38" s="474"/>
      <c r="L38" s="474"/>
      <c r="M38" s="474"/>
      <c r="N38" s="475"/>
      <c r="Q38" s="23"/>
      <c r="R38" s="23"/>
      <c r="S38" s="23"/>
      <c r="T38" s="23"/>
    </row>
    <row r="39" spans="1:23" ht="33" customHeight="1">
      <c r="A39" s="476" t="s">
        <v>2180</v>
      </c>
      <c r="B39" s="476" t="s">
        <v>2100</v>
      </c>
      <c r="C39" s="477" t="s">
        <v>2101</v>
      </c>
      <c r="D39" s="479" t="s">
        <v>2102</v>
      </c>
      <c r="E39" s="479"/>
      <c r="F39" s="480"/>
      <c r="G39" s="480"/>
      <c r="H39" s="480"/>
      <c r="I39" s="480"/>
      <c r="J39" s="481" t="s">
        <v>2103</v>
      </c>
      <c r="K39" s="481"/>
      <c r="L39" s="482"/>
      <c r="M39" s="482"/>
      <c r="N39" s="483"/>
      <c r="O39" s="311"/>
      <c r="P39" s="311"/>
      <c r="Q39" s="379"/>
      <c r="R39" s="23"/>
      <c r="S39" s="379" t="s">
        <v>2105</v>
      </c>
      <c r="T39" s="379"/>
    </row>
    <row r="40" spans="1:23" ht="27">
      <c r="A40" s="462"/>
      <c r="B40" s="462"/>
      <c r="C40" s="478"/>
      <c r="D40" s="314" t="s">
        <v>2102</v>
      </c>
      <c r="E40" s="314" t="s">
        <v>2107</v>
      </c>
      <c r="F40" s="315" t="s">
        <v>2108</v>
      </c>
      <c r="G40" s="314" t="s">
        <v>2109</v>
      </c>
      <c r="H40" s="316" t="s">
        <v>2110</v>
      </c>
      <c r="I40" s="340" t="s">
        <v>2111</v>
      </c>
      <c r="J40" s="314" t="s">
        <v>2103</v>
      </c>
      <c r="K40" s="314" t="s">
        <v>2107</v>
      </c>
      <c r="L40" s="315" t="s">
        <v>2112</v>
      </c>
      <c r="M40" s="314" t="s">
        <v>2113</v>
      </c>
      <c r="N40" s="341" t="s">
        <v>2114</v>
      </c>
      <c r="O40" s="311"/>
      <c r="P40" s="315" t="s">
        <v>2115</v>
      </c>
      <c r="Q40" s="315" t="s">
        <v>2116</v>
      </c>
      <c r="R40" s="315" t="s">
        <v>2117</v>
      </c>
      <c r="S40" s="315" t="s">
        <v>2118</v>
      </c>
      <c r="T40" s="315" t="s">
        <v>2119</v>
      </c>
      <c r="U40" s="315" t="s">
        <v>2120</v>
      </c>
      <c r="V40" s="380"/>
      <c r="W40" s="380"/>
    </row>
    <row r="41" spans="1:23">
      <c r="A41" s="342" t="s">
        <v>2181</v>
      </c>
      <c r="B41" s="326" t="s">
        <v>2032</v>
      </c>
      <c r="C41" s="275">
        <v>7.4</v>
      </c>
      <c r="D41" s="275">
        <v>5000</v>
      </c>
      <c r="E41" s="343">
        <f t="shared" ref="E41:E65" si="7">D41/(C41*1000*500)</f>
        <v>1.3513513513513514E-3</v>
      </c>
      <c r="F41" s="275"/>
      <c r="G41" s="344">
        <v>5.0000000000000001E-4</v>
      </c>
      <c r="H41" s="344">
        <v>1E-3</v>
      </c>
      <c r="I41" s="345">
        <f t="shared" ref="I41:I65" si="8">E41+H41+G41</f>
        <v>2.8513513513513515E-3</v>
      </c>
      <c r="J41" s="275">
        <v>5000</v>
      </c>
      <c r="K41" s="343">
        <f t="shared" ref="K41:K65" si="9">J41/(C41*1000*500)</f>
        <v>1.3513513513513514E-3</v>
      </c>
      <c r="L41" s="275"/>
      <c r="M41" s="344">
        <v>5.0000000000000001E-4</v>
      </c>
      <c r="N41" s="325">
        <f t="shared" ref="N41:N65" si="10">K41+M41</f>
        <v>1.8513513513513514E-3</v>
      </c>
      <c r="O41" s="311"/>
      <c r="P41" s="383">
        <v>9.9000000000000008E-3</v>
      </c>
      <c r="Q41" s="384" t="s">
        <v>2182</v>
      </c>
      <c r="R41" s="383">
        <v>1.5E-3</v>
      </c>
      <c r="S41" s="383">
        <v>2.9999999999999997E-4</v>
      </c>
      <c r="T41" s="343">
        <f>SUM(P41:S41)</f>
        <v>1.17E-2</v>
      </c>
      <c r="U41" s="74">
        <v>1000000</v>
      </c>
      <c r="V41" s="387"/>
      <c r="W41" s="387"/>
    </row>
    <row r="42" spans="1:23">
      <c r="A42" s="319" t="s">
        <v>2183</v>
      </c>
      <c r="B42" s="326" t="s">
        <v>2001</v>
      </c>
      <c r="C42" s="346">
        <v>47.8</v>
      </c>
      <c r="D42" s="275">
        <v>5000</v>
      </c>
      <c r="E42" s="343">
        <f t="shared" si="7"/>
        <v>2.0920502092050208E-4</v>
      </c>
      <c r="F42" s="275"/>
      <c r="G42" s="344">
        <v>1E-3</v>
      </c>
      <c r="H42" s="344">
        <v>1E-3</v>
      </c>
      <c r="I42" s="345">
        <f t="shared" si="8"/>
        <v>2.209205020920502E-3</v>
      </c>
      <c r="J42" s="275">
        <v>5000</v>
      </c>
      <c r="K42" s="343">
        <f t="shared" si="9"/>
        <v>2.0920502092050208E-4</v>
      </c>
      <c r="L42" s="275"/>
      <c r="M42" s="344">
        <v>4.0000000000000001E-3</v>
      </c>
      <c r="N42" s="325">
        <f t="shared" si="10"/>
        <v>4.209205020920502E-3</v>
      </c>
      <c r="O42" s="311"/>
      <c r="P42" s="383">
        <v>1.5E-3</v>
      </c>
      <c r="Q42" s="384">
        <v>4.0000000000000002E-4</v>
      </c>
      <c r="R42" s="383">
        <v>3.5E-4</v>
      </c>
      <c r="S42" s="383">
        <v>2.9999999999999997E-4</v>
      </c>
      <c r="T42" s="343">
        <f>SUM(P42:S42)</f>
        <v>2.5499999999999997E-3</v>
      </c>
      <c r="U42" s="74">
        <v>1000000</v>
      </c>
      <c r="V42" s="387"/>
      <c r="W42" s="387"/>
    </row>
    <row r="43" spans="1:23">
      <c r="A43" s="319" t="s">
        <v>2184</v>
      </c>
      <c r="B43" s="326" t="s">
        <v>2039</v>
      </c>
      <c r="C43" s="346">
        <v>21.54</v>
      </c>
      <c r="D43" s="275">
        <v>5000</v>
      </c>
      <c r="E43" s="343">
        <f t="shared" si="7"/>
        <v>4.6425255338904364E-4</v>
      </c>
      <c r="F43" s="275"/>
      <c r="G43" s="344">
        <v>1E-3</v>
      </c>
      <c r="H43" s="344">
        <v>1E-3</v>
      </c>
      <c r="I43" s="345">
        <f t="shared" si="8"/>
        <v>2.4642525533890439E-3</v>
      </c>
      <c r="J43" s="275">
        <v>5000</v>
      </c>
      <c r="K43" s="343">
        <f t="shared" si="9"/>
        <v>4.6425255338904364E-4</v>
      </c>
      <c r="L43" s="275"/>
      <c r="M43" s="344">
        <v>4.0000000000000001E-3</v>
      </c>
      <c r="N43" s="325">
        <f t="shared" si="10"/>
        <v>4.4642525533890439E-3</v>
      </c>
      <c r="O43" s="311"/>
      <c r="P43" s="383">
        <v>1.5E-3</v>
      </c>
      <c r="Q43" s="384" t="s">
        <v>2185</v>
      </c>
      <c r="R43" s="383">
        <v>3.5E-4</v>
      </c>
      <c r="S43" s="383">
        <v>2.9999999999999997E-4</v>
      </c>
      <c r="T43" s="343">
        <f t="shared" ref="T43:T65" si="11">SUM(P43:S43)</f>
        <v>2.15E-3</v>
      </c>
      <c r="U43" s="74">
        <v>1000000</v>
      </c>
      <c r="V43" s="387"/>
      <c r="W43" s="387"/>
    </row>
    <row r="44" spans="1:23">
      <c r="A44" s="342" t="s">
        <v>2186</v>
      </c>
      <c r="B44" s="326" t="s">
        <v>2030</v>
      </c>
      <c r="C44" s="346">
        <v>13.7</v>
      </c>
      <c r="D44" s="275">
        <v>5000</v>
      </c>
      <c r="E44" s="343">
        <f t="shared" si="7"/>
        <v>7.2992700729927003E-4</v>
      </c>
      <c r="F44" s="275"/>
      <c r="G44" s="344">
        <v>5.0000000000000001E-4</v>
      </c>
      <c r="H44" s="344">
        <v>1E-3</v>
      </c>
      <c r="I44" s="345">
        <f t="shared" si="8"/>
        <v>2.2299270072992702E-3</v>
      </c>
      <c r="J44" s="275">
        <v>5000</v>
      </c>
      <c r="K44" s="343">
        <f t="shared" si="9"/>
        <v>7.2992700729927003E-4</v>
      </c>
      <c r="L44" s="275"/>
      <c r="M44" s="344">
        <v>1.5E-3</v>
      </c>
      <c r="N44" s="325">
        <f t="shared" si="10"/>
        <v>2.2299270072992702E-3</v>
      </c>
      <c r="O44" s="311"/>
      <c r="P44" s="383">
        <v>6.4999999999999997E-3</v>
      </c>
      <c r="Q44" s="384" t="s">
        <v>2185</v>
      </c>
      <c r="R44" s="383">
        <v>4.0000000000000002E-4</v>
      </c>
      <c r="S44" s="383">
        <v>2.9999999999999997E-4</v>
      </c>
      <c r="T44" s="343">
        <f t="shared" si="11"/>
        <v>7.1999999999999998E-3</v>
      </c>
      <c r="U44" s="74">
        <v>1000000</v>
      </c>
      <c r="V44" s="387"/>
      <c r="W44" s="387"/>
    </row>
    <row r="45" spans="1:23">
      <c r="A45" s="342" t="s">
        <v>2187</v>
      </c>
      <c r="B45" s="326" t="s">
        <v>2031</v>
      </c>
      <c r="C45" s="346">
        <v>8.31</v>
      </c>
      <c r="D45" s="275">
        <v>5000</v>
      </c>
      <c r="E45" s="343">
        <f t="shared" si="7"/>
        <v>1.2033694344163659E-3</v>
      </c>
      <c r="F45" s="275"/>
      <c r="G45" s="344">
        <v>2.0000000000000001E-4</v>
      </c>
      <c r="H45" s="344">
        <v>1E-3</v>
      </c>
      <c r="I45" s="345">
        <f t="shared" si="8"/>
        <v>2.403369434416366E-3</v>
      </c>
      <c r="J45" s="275">
        <v>5000</v>
      </c>
      <c r="K45" s="343">
        <f t="shared" si="9"/>
        <v>1.2033694344163659E-3</v>
      </c>
      <c r="L45" s="275"/>
      <c r="M45" s="344">
        <v>2.0000000000000001E-4</v>
      </c>
      <c r="N45" s="325">
        <f t="shared" si="10"/>
        <v>1.403369434416366E-3</v>
      </c>
      <c r="O45" s="311"/>
      <c r="P45" s="383">
        <v>6.4999999999999997E-3</v>
      </c>
      <c r="Q45" s="384" t="s">
        <v>2185</v>
      </c>
      <c r="R45" s="383">
        <v>4.0000000000000002E-4</v>
      </c>
      <c r="S45" s="383">
        <v>2.9999999999999997E-4</v>
      </c>
      <c r="T45" s="343">
        <f t="shared" si="11"/>
        <v>7.1999999999999998E-3</v>
      </c>
      <c r="U45" s="74">
        <v>1000000</v>
      </c>
      <c r="V45" s="387"/>
      <c r="W45" s="387"/>
    </row>
    <row r="46" spans="1:23">
      <c r="A46" s="319" t="s">
        <v>2188</v>
      </c>
      <c r="B46" s="326" t="s">
        <v>2002</v>
      </c>
      <c r="C46" s="346">
        <v>31.29</v>
      </c>
      <c r="D46" s="275">
        <v>5000</v>
      </c>
      <c r="E46" s="343">
        <f t="shared" si="7"/>
        <v>3.1959092361776926E-4</v>
      </c>
      <c r="F46" s="275"/>
      <c r="G46" s="344">
        <v>6.9999999999999999E-4</v>
      </c>
      <c r="H46" s="344">
        <v>1E-3</v>
      </c>
      <c r="I46" s="345">
        <f t="shared" si="8"/>
        <v>2.0195909236177694E-3</v>
      </c>
      <c r="J46" s="275">
        <v>5000</v>
      </c>
      <c r="K46" s="343">
        <f t="shared" si="9"/>
        <v>3.1959092361776926E-4</v>
      </c>
      <c r="L46" s="275"/>
      <c r="M46" s="344">
        <v>5.0000000000000001E-3</v>
      </c>
      <c r="N46" s="325">
        <f t="shared" si="10"/>
        <v>5.319590923617769E-3</v>
      </c>
      <c r="O46" s="311"/>
      <c r="P46" s="383">
        <v>9.9000000000000008E-3</v>
      </c>
      <c r="Q46" s="384" t="s">
        <v>2189</v>
      </c>
      <c r="R46" s="383">
        <v>1E-3</v>
      </c>
      <c r="S46" s="383">
        <v>2.9999999999999997E-4</v>
      </c>
      <c r="T46" s="343">
        <f t="shared" si="11"/>
        <v>1.12E-2</v>
      </c>
      <c r="U46" s="74">
        <v>1000000</v>
      </c>
      <c r="V46" s="387"/>
      <c r="W46" s="387"/>
    </row>
    <row r="47" spans="1:23">
      <c r="A47" s="319" t="s">
        <v>2190</v>
      </c>
      <c r="B47" s="326" t="s">
        <v>2007</v>
      </c>
      <c r="C47" s="346">
        <v>44.26</v>
      </c>
      <c r="D47" s="275">
        <v>5000</v>
      </c>
      <c r="E47" s="343">
        <f t="shared" si="7"/>
        <v>2.2593764121102577E-4</v>
      </c>
      <c r="F47" s="275"/>
      <c r="G47" s="344">
        <v>1E-3</v>
      </c>
      <c r="H47" s="344">
        <v>1E-3</v>
      </c>
      <c r="I47" s="345">
        <f t="shared" si="8"/>
        <v>2.225937641211026E-3</v>
      </c>
      <c r="J47" s="275">
        <v>5000</v>
      </c>
      <c r="K47" s="343">
        <f t="shared" si="9"/>
        <v>2.2593764121102577E-4</v>
      </c>
      <c r="L47" s="275"/>
      <c r="M47" s="344">
        <v>2E-3</v>
      </c>
      <c r="N47" s="325">
        <f t="shared" si="10"/>
        <v>2.225937641211026E-3</v>
      </c>
      <c r="O47" s="311"/>
      <c r="P47" s="383">
        <v>9.9000000000000008E-3</v>
      </c>
      <c r="Q47" s="384" t="s">
        <v>2189</v>
      </c>
      <c r="R47" s="383">
        <v>2.3E-3</v>
      </c>
      <c r="S47" s="383">
        <v>2.9999999999999997E-4</v>
      </c>
      <c r="T47" s="343">
        <f t="shared" si="11"/>
        <v>1.2500000000000001E-2</v>
      </c>
      <c r="U47" s="74">
        <v>1000000</v>
      </c>
      <c r="V47" s="387"/>
      <c r="W47" s="387"/>
    </row>
    <row r="48" spans="1:23">
      <c r="A48" s="319" t="s">
        <v>2191</v>
      </c>
      <c r="B48" s="326" t="s">
        <v>2008</v>
      </c>
      <c r="C48" s="346">
        <v>7.54</v>
      </c>
      <c r="D48" s="275">
        <v>5000</v>
      </c>
      <c r="E48" s="343">
        <f t="shared" si="7"/>
        <v>1.3262599469496021E-3</v>
      </c>
      <c r="F48" s="275"/>
      <c r="G48" s="344">
        <v>5.0000000000000001E-4</v>
      </c>
      <c r="H48" s="344">
        <v>1E-3</v>
      </c>
      <c r="I48" s="345">
        <f t="shared" si="8"/>
        <v>2.8262599469496019E-3</v>
      </c>
      <c r="J48" s="275">
        <v>5000</v>
      </c>
      <c r="K48" s="343">
        <f t="shared" si="9"/>
        <v>1.3262599469496021E-3</v>
      </c>
      <c r="L48" s="275"/>
      <c r="M48" s="344">
        <v>5.0000000000000001E-4</v>
      </c>
      <c r="N48" s="325">
        <f t="shared" si="10"/>
        <v>1.8262599469496021E-3</v>
      </c>
      <c r="O48" s="311"/>
      <c r="P48" s="383">
        <v>9.9000000000000008E-3</v>
      </c>
      <c r="Q48" s="384" t="s">
        <v>2189</v>
      </c>
      <c r="R48" s="383">
        <v>2.3E-3</v>
      </c>
      <c r="S48" s="383">
        <v>2.9999999999999997E-4</v>
      </c>
      <c r="T48" s="343">
        <f t="shared" si="11"/>
        <v>1.2500000000000001E-2</v>
      </c>
      <c r="U48" s="74">
        <v>1000000</v>
      </c>
      <c r="V48" s="387"/>
      <c r="W48" s="387"/>
    </row>
    <row r="49" spans="1:23">
      <c r="A49" s="319" t="s">
        <v>2192</v>
      </c>
      <c r="B49" s="326" t="s">
        <v>2005</v>
      </c>
      <c r="C49" s="346">
        <v>11.24</v>
      </c>
      <c r="D49" s="275">
        <v>5000</v>
      </c>
      <c r="E49" s="343">
        <f t="shared" si="7"/>
        <v>8.8967971530249106E-4</v>
      </c>
      <c r="F49" s="275"/>
      <c r="G49" s="344">
        <v>1E-3</v>
      </c>
      <c r="H49" s="344">
        <v>1E-3</v>
      </c>
      <c r="I49" s="345">
        <f t="shared" si="8"/>
        <v>2.8896797153024909E-3</v>
      </c>
      <c r="J49" s="275">
        <v>5000</v>
      </c>
      <c r="K49" s="343">
        <f t="shared" si="9"/>
        <v>8.8967971530249106E-4</v>
      </c>
      <c r="L49" s="275"/>
      <c r="M49" s="344">
        <v>8.0000000000000002E-3</v>
      </c>
      <c r="N49" s="325">
        <f t="shared" si="10"/>
        <v>8.8896797153024919E-3</v>
      </c>
      <c r="O49" s="311"/>
      <c r="P49" s="383">
        <v>9.9000000000000008E-3</v>
      </c>
      <c r="Q49" s="384" t="s">
        <v>2193</v>
      </c>
      <c r="R49" s="383">
        <v>1E-3</v>
      </c>
      <c r="S49" s="383">
        <v>2.9999999999999997E-4</v>
      </c>
      <c r="T49" s="343">
        <f t="shared" si="11"/>
        <v>1.12E-2</v>
      </c>
      <c r="U49" s="74">
        <v>1000000</v>
      </c>
      <c r="V49" s="387"/>
      <c r="W49" s="387"/>
    </row>
    <row r="50" spans="1:23">
      <c r="A50" s="342" t="s">
        <v>2194</v>
      </c>
      <c r="B50" s="326" t="s">
        <v>2041</v>
      </c>
      <c r="C50" s="346">
        <v>20.32</v>
      </c>
      <c r="D50" s="275">
        <v>5000</v>
      </c>
      <c r="E50" s="343">
        <f t="shared" si="7"/>
        <v>4.921259842519685E-4</v>
      </c>
      <c r="F50" s="275"/>
      <c r="G50" s="344">
        <v>2.5999999999999999E-3</v>
      </c>
      <c r="H50" s="344">
        <v>1E-3</v>
      </c>
      <c r="I50" s="345">
        <f t="shared" si="8"/>
        <v>4.0921259842519684E-3</v>
      </c>
      <c r="J50" s="275">
        <v>5000</v>
      </c>
      <c r="K50" s="343">
        <f t="shared" si="9"/>
        <v>4.921259842519685E-4</v>
      </c>
      <c r="L50" s="275"/>
      <c r="M50" s="344">
        <v>2.5999999999999999E-3</v>
      </c>
      <c r="N50" s="325">
        <f t="shared" si="10"/>
        <v>3.0921259842519684E-3</v>
      </c>
      <c r="O50" s="311"/>
      <c r="P50" s="383">
        <v>5.0000000000000001E-3</v>
      </c>
      <c r="Q50" s="384" t="s">
        <v>2195</v>
      </c>
      <c r="R50" s="383">
        <v>1.8E-3</v>
      </c>
      <c r="S50" s="383">
        <v>2.9999999999999997E-4</v>
      </c>
      <c r="T50" s="343">
        <f t="shared" si="11"/>
        <v>7.1000000000000004E-3</v>
      </c>
      <c r="U50" s="74">
        <v>1000000</v>
      </c>
      <c r="V50" s="387"/>
      <c r="W50" s="387"/>
    </row>
    <row r="51" spans="1:23">
      <c r="A51" s="342" t="s">
        <v>2196</v>
      </c>
      <c r="B51" s="326" t="s">
        <v>2026</v>
      </c>
      <c r="C51" s="346">
        <v>29.67</v>
      </c>
      <c r="D51" s="275">
        <v>5000</v>
      </c>
      <c r="E51" s="343">
        <f t="shared" si="7"/>
        <v>3.370407819346141E-4</v>
      </c>
      <c r="F51" s="275"/>
      <c r="G51" s="344">
        <v>1E-3</v>
      </c>
      <c r="H51" s="344">
        <v>1E-3</v>
      </c>
      <c r="I51" s="345">
        <f t="shared" si="8"/>
        <v>2.3370407819346141E-3</v>
      </c>
      <c r="J51" s="275">
        <v>5000</v>
      </c>
      <c r="K51" s="343">
        <f t="shared" si="9"/>
        <v>3.370407819346141E-4</v>
      </c>
      <c r="L51" s="275"/>
      <c r="M51" s="344">
        <v>2E-3</v>
      </c>
      <c r="N51" s="325">
        <f t="shared" si="10"/>
        <v>2.3370407819346141E-3</v>
      </c>
      <c r="O51" s="311"/>
      <c r="P51" s="383">
        <v>8.5000000000000006E-3</v>
      </c>
      <c r="Q51" s="384" t="s">
        <v>2197</v>
      </c>
      <c r="R51" s="383">
        <v>1.6999999999999999E-3</v>
      </c>
      <c r="S51" s="383">
        <v>2.9999999999999997E-4</v>
      </c>
      <c r="T51" s="343">
        <f t="shared" si="11"/>
        <v>1.0500000000000001E-2</v>
      </c>
      <c r="U51" s="74">
        <v>1000000</v>
      </c>
      <c r="V51" s="387"/>
      <c r="W51" s="387"/>
    </row>
    <row r="52" spans="1:23">
      <c r="A52" s="329" t="s">
        <v>2198</v>
      </c>
      <c r="B52" s="326" t="s">
        <v>2027</v>
      </c>
      <c r="C52" s="346">
        <v>14.84</v>
      </c>
      <c r="D52" s="275">
        <v>5000</v>
      </c>
      <c r="E52" s="343">
        <f t="shared" si="7"/>
        <v>6.7385444743935314E-4</v>
      </c>
      <c r="F52" s="275"/>
      <c r="G52" s="344">
        <v>5.0000000000000001E-4</v>
      </c>
      <c r="H52" s="344">
        <v>1E-3</v>
      </c>
      <c r="I52" s="345">
        <f t="shared" si="8"/>
        <v>2.1738544474393532E-3</v>
      </c>
      <c r="J52" s="275">
        <v>5000</v>
      </c>
      <c r="K52" s="343">
        <f t="shared" si="9"/>
        <v>6.7385444743935314E-4</v>
      </c>
      <c r="L52" s="275"/>
      <c r="M52" s="344">
        <v>5.0000000000000001E-4</v>
      </c>
      <c r="N52" s="325">
        <f t="shared" si="10"/>
        <v>1.1738544474393531E-3</v>
      </c>
      <c r="O52" s="311"/>
      <c r="P52" s="383">
        <v>8.5000000000000006E-3</v>
      </c>
      <c r="Q52" s="384" t="s">
        <v>2199</v>
      </c>
      <c r="R52" s="383">
        <v>1.6999999999999999E-3</v>
      </c>
      <c r="S52" s="383">
        <v>2.9999999999999997E-4</v>
      </c>
      <c r="T52" s="343">
        <f t="shared" si="11"/>
        <v>1.0500000000000001E-2</v>
      </c>
      <c r="U52" s="74">
        <v>1000000</v>
      </c>
      <c r="V52" s="387"/>
      <c r="W52" s="387"/>
    </row>
    <row r="53" spans="1:23">
      <c r="A53" s="319" t="s">
        <v>2200</v>
      </c>
      <c r="B53" s="326" t="s">
        <v>2023</v>
      </c>
      <c r="C53" s="346">
        <v>21.44</v>
      </c>
      <c r="D53" s="275">
        <v>5000</v>
      </c>
      <c r="E53" s="343">
        <f t="shared" si="7"/>
        <v>4.6641791044776119E-4</v>
      </c>
      <c r="F53" s="275"/>
      <c r="G53" s="344">
        <v>1.6999999999999999E-3</v>
      </c>
      <c r="H53" s="344">
        <v>1E-3</v>
      </c>
      <c r="I53" s="345">
        <f t="shared" si="8"/>
        <v>3.1664179104477609E-3</v>
      </c>
      <c r="J53" s="275">
        <v>5000</v>
      </c>
      <c r="K53" s="343">
        <f t="shared" si="9"/>
        <v>4.6641791044776119E-4</v>
      </c>
      <c r="L53" s="275"/>
      <c r="M53" s="344">
        <v>1.6999999999999999E-3</v>
      </c>
      <c r="N53" s="325">
        <f t="shared" si="10"/>
        <v>2.1664179104477609E-3</v>
      </c>
      <c r="O53" s="311"/>
      <c r="P53" s="383">
        <v>5.0000000000000001E-3</v>
      </c>
      <c r="Q53" s="384" t="s">
        <v>2201</v>
      </c>
      <c r="R53" s="383">
        <v>2E-3</v>
      </c>
      <c r="S53" s="383">
        <v>2.9999999999999997E-4</v>
      </c>
      <c r="T53" s="343">
        <f t="shared" si="11"/>
        <v>7.3000000000000001E-3</v>
      </c>
      <c r="U53" s="74">
        <v>1000000</v>
      </c>
      <c r="V53" s="387"/>
      <c r="W53" s="387"/>
    </row>
    <row r="54" spans="1:23">
      <c r="A54" s="328" t="s">
        <v>2202</v>
      </c>
      <c r="B54" s="326" t="s">
        <v>2017</v>
      </c>
      <c r="C54" s="346">
        <v>22.07</v>
      </c>
      <c r="D54" s="275">
        <v>5000</v>
      </c>
      <c r="E54" s="343">
        <f t="shared" si="7"/>
        <v>4.5310376076121433E-4</v>
      </c>
      <c r="F54" s="275"/>
      <c r="G54" s="344">
        <v>6.9999999999999999E-4</v>
      </c>
      <c r="H54" s="344">
        <v>1E-3</v>
      </c>
      <c r="I54" s="345">
        <f t="shared" si="8"/>
        <v>2.1531037607612144E-3</v>
      </c>
      <c r="J54" s="275">
        <v>5000</v>
      </c>
      <c r="K54" s="343">
        <f t="shared" si="9"/>
        <v>4.5310376076121433E-4</v>
      </c>
      <c r="L54" s="275"/>
      <c r="M54" s="344">
        <v>6.9999999999999999E-4</v>
      </c>
      <c r="N54" s="325">
        <f t="shared" si="10"/>
        <v>1.1531037607612144E-3</v>
      </c>
      <c r="O54" s="311"/>
      <c r="P54" s="383">
        <v>9.9000000000000008E-3</v>
      </c>
      <c r="Q54" s="384" t="s">
        <v>2203</v>
      </c>
      <c r="R54" s="383">
        <v>2.0999999999999999E-3</v>
      </c>
      <c r="S54" s="383">
        <v>2.9999999999999997E-4</v>
      </c>
      <c r="T54" s="343">
        <f t="shared" si="11"/>
        <v>1.23E-2</v>
      </c>
      <c r="U54" s="74">
        <v>1000000</v>
      </c>
      <c r="V54" s="387"/>
      <c r="W54" s="387"/>
    </row>
    <row r="55" spans="1:23">
      <c r="A55" s="328" t="s">
        <v>2204</v>
      </c>
      <c r="B55" s="326" t="s">
        <v>2018</v>
      </c>
      <c r="C55" s="346">
        <v>15.7</v>
      </c>
      <c r="D55" s="275">
        <v>5000</v>
      </c>
      <c r="E55" s="343">
        <f t="shared" si="7"/>
        <v>6.3694267515923564E-4</v>
      </c>
      <c r="F55" s="275"/>
      <c r="G55" s="344">
        <v>2.0000000000000001E-4</v>
      </c>
      <c r="H55" s="344">
        <v>1E-3</v>
      </c>
      <c r="I55" s="345">
        <f t="shared" si="8"/>
        <v>1.8369426751592356E-3</v>
      </c>
      <c r="J55" s="275">
        <v>5000</v>
      </c>
      <c r="K55" s="343">
        <f t="shared" si="9"/>
        <v>6.3694267515923564E-4</v>
      </c>
      <c r="L55" s="275"/>
      <c r="M55" s="344">
        <v>2.0000000000000001E-4</v>
      </c>
      <c r="N55" s="325">
        <f t="shared" si="10"/>
        <v>8.3694267515923562E-4</v>
      </c>
      <c r="O55" s="311"/>
      <c r="P55" s="383">
        <v>9.9000000000000008E-3</v>
      </c>
      <c r="Q55" s="384" t="s">
        <v>2203</v>
      </c>
      <c r="R55" s="383">
        <v>1.8E-3</v>
      </c>
      <c r="S55" s="383">
        <v>2.9999999999999997E-4</v>
      </c>
      <c r="T55" s="343">
        <f t="shared" si="11"/>
        <v>1.2E-2</v>
      </c>
      <c r="U55" s="74">
        <v>1000000</v>
      </c>
      <c r="V55" s="387"/>
      <c r="W55" s="387"/>
    </row>
    <row r="56" spans="1:23">
      <c r="A56" s="319" t="s">
        <v>2205</v>
      </c>
      <c r="B56" s="326" t="s">
        <v>2011</v>
      </c>
      <c r="C56" s="346">
        <v>22.14</v>
      </c>
      <c r="D56" s="275">
        <v>5000</v>
      </c>
      <c r="E56" s="343">
        <f t="shared" si="7"/>
        <v>4.5167118337850043E-4</v>
      </c>
      <c r="F56" s="275"/>
      <c r="G56" s="344">
        <v>2E-3</v>
      </c>
      <c r="H56" s="344">
        <v>1E-3</v>
      </c>
      <c r="I56" s="345">
        <f t="shared" si="8"/>
        <v>3.4516711833785007E-3</v>
      </c>
      <c r="J56" s="275">
        <v>10000</v>
      </c>
      <c r="K56" s="343">
        <f t="shared" si="9"/>
        <v>9.0334236675700087E-4</v>
      </c>
      <c r="L56" s="275"/>
      <c r="M56" s="344">
        <v>3.0000000000000001E-3</v>
      </c>
      <c r="N56" s="325">
        <f t="shared" si="10"/>
        <v>3.9033423667570008E-3</v>
      </c>
      <c r="O56" s="311"/>
      <c r="P56" s="383">
        <v>9.9000000000000008E-3</v>
      </c>
      <c r="Q56" s="384" t="s">
        <v>2206</v>
      </c>
      <c r="R56" s="383">
        <v>2.5999999999999999E-3</v>
      </c>
      <c r="S56" s="383">
        <v>2.9999999999999997E-4</v>
      </c>
      <c r="T56" s="343">
        <f t="shared" si="11"/>
        <v>1.2800000000000001E-2</v>
      </c>
      <c r="U56" s="74">
        <v>1000000</v>
      </c>
      <c r="V56" s="387"/>
      <c r="W56" s="387"/>
    </row>
    <row r="57" spans="1:23" ht="17.25" customHeight="1">
      <c r="A57" s="342" t="s">
        <v>2207</v>
      </c>
      <c r="B57" s="326" t="s">
        <v>2012</v>
      </c>
      <c r="C57" s="346">
        <v>26.47</v>
      </c>
      <c r="D57" s="275">
        <v>5000</v>
      </c>
      <c r="E57" s="343">
        <f t="shared" si="7"/>
        <v>3.7778617302606723E-4</v>
      </c>
      <c r="F57" s="275"/>
      <c r="G57" s="344">
        <v>1E-3</v>
      </c>
      <c r="H57" s="344">
        <v>1E-3</v>
      </c>
      <c r="I57" s="345">
        <f t="shared" si="8"/>
        <v>2.3777861730260672E-3</v>
      </c>
      <c r="J57" s="275">
        <v>5000</v>
      </c>
      <c r="K57" s="343">
        <f t="shared" si="9"/>
        <v>3.7778617302606723E-4</v>
      </c>
      <c r="L57" s="275"/>
      <c r="M57" s="344">
        <v>2E-3</v>
      </c>
      <c r="N57" s="325">
        <f t="shared" si="10"/>
        <v>2.3777861730260672E-3</v>
      </c>
      <c r="O57" s="311"/>
      <c r="P57" s="383">
        <v>9.9000000000000008E-3</v>
      </c>
      <c r="Q57" s="384" t="s">
        <v>2206</v>
      </c>
      <c r="R57" s="383">
        <v>2.3E-3</v>
      </c>
      <c r="S57" s="383">
        <v>2.9999999999999997E-4</v>
      </c>
      <c r="T57" s="343">
        <f t="shared" si="11"/>
        <v>1.2500000000000001E-2</v>
      </c>
      <c r="U57" s="74">
        <v>1000000</v>
      </c>
      <c r="V57" s="387"/>
      <c r="W57" s="387"/>
    </row>
    <row r="58" spans="1:23">
      <c r="A58" s="342" t="s">
        <v>2208</v>
      </c>
      <c r="B58" s="326" t="s">
        <v>2013</v>
      </c>
      <c r="C58" s="346">
        <v>16.02</v>
      </c>
      <c r="D58" s="275">
        <v>5000</v>
      </c>
      <c r="E58" s="343">
        <f t="shared" si="7"/>
        <v>6.2421972534332086E-4</v>
      </c>
      <c r="F58" s="275"/>
      <c r="G58" s="344">
        <v>5.0000000000000001E-4</v>
      </c>
      <c r="H58" s="344">
        <v>1E-3</v>
      </c>
      <c r="I58" s="345">
        <f t="shared" si="8"/>
        <v>2.1242197253433211E-3</v>
      </c>
      <c r="J58" s="275">
        <v>5000</v>
      </c>
      <c r="K58" s="343">
        <f t="shared" si="9"/>
        <v>6.2421972534332086E-4</v>
      </c>
      <c r="L58" s="275"/>
      <c r="M58" s="344">
        <v>5.0000000000000001E-4</v>
      </c>
      <c r="N58" s="325">
        <f t="shared" si="10"/>
        <v>1.1242197253433209E-3</v>
      </c>
      <c r="O58" s="311"/>
      <c r="P58" s="383">
        <v>9.9000000000000008E-3</v>
      </c>
      <c r="Q58" s="384" t="s">
        <v>2206</v>
      </c>
      <c r="R58" s="383">
        <v>2.3E-3</v>
      </c>
      <c r="S58" s="383">
        <v>2.9999999999999997E-4</v>
      </c>
      <c r="T58" s="343">
        <f t="shared" si="11"/>
        <v>1.2500000000000001E-2</v>
      </c>
      <c r="U58" s="74">
        <v>1000000</v>
      </c>
      <c r="V58" s="387"/>
      <c r="W58" s="387"/>
    </row>
    <row r="59" spans="1:23">
      <c r="A59" s="319" t="s">
        <v>2209</v>
      </c>
      <c r="B59" s="326" t="s">
        <v>2022</v>
      </c>
      <c r="C59" s="275">
        <v>25.17</v>
      </c>
      <c r="D59" s="275">
        <v>5000</v>
      </c>
      <c r="E59" s="343">
        <f t="shared" si="7"/>
        <v>3.9729837107667858E-4</v>
      </c>
      <c r="F59" s="275"/>
      <c r="G59" s="344">
        <v>1E-3</v>
      </c>
      <c r="H59" s="344">
        <v>1E-3</v>
      </c>
      <c r="I59" s="345">
        <f t="shared" si="8"/>
        <v>2.3972983710766789E-3</v>
      </c>
      <c r="J59" s="275">
        <v>5000</v>
      </c>
      <c r="K59" s="343">
        <f t="shared" si="9"/>
        <v>3.9729837107667858E-4</v>
      </c>
      <c r="L59" s="275"/>
      <c r="M59" s="344">
        <v>1E-3</v>
      </c>
      <c r="N59" s="325">
        <f t="shared" si="10"/>
        <v>1.3972983710766787E-3</v>
      </c>
      <c r="O59" s="311"/>
      <c r="P59" s="383">
        <v>3.0000000000000001E-3</v>
      </c>
      <c r="Q59" s="384" t="s">
        <v>2210</v>
      </c>
      <c r="R59" s="383">
        <v>2.0999999999999999E-3</v>
      </c>
      <c r="S59" s="383">
        <v>2.9999999999999997E-4</v>
      </c>
      <c r="T59" s="343">
        <f t="shared" si="11"/>
        <v>5.4000000000000003E-3</v>
      </c>
      <c r="U59" s="74">
        <v>1000000</v>
      </c>
      <c r="V59" s="387"/>
      <c r="W59" s="387"/>
    </row>
    <row r="60" spans="1:23">
      <c r="A60" s="328" t="s">
        <v>2211</v>
      </c>
      <c r="B60" s="326" t="s">
        <v>2035</v>
      </c>
      <c r="C60" s="275">
        <v>24.79</v>
      </c>
      <c r="D60" s="275">
        <v>5000</v>
      </c>
      <c r="E60" s="343">
        <f t="shared" si="7"/>
        <v>4.0338846308995562E-4</v>
      </c>
      <c r="F60" s="275"/>
      <c r="G60" s="344">
        <v>6.9999999999999999E-4</v>
      </c>
      <c r="H60" s="344">
        <v>1E-3</v>
      </c>
      <c r="I60" s="345">
        <f t="shared" si="8"/>
        <v>2.1033884630899556E-3</v>
      </c>
      <c r="J60" s="275">
        <v>5000</v>
      </c>
      <c r="K60" s="343">
        <f t="shared" si="9"/>
        <v>4.0338846308995562E-4</v>
      </c>
      <c r="L60" s="275"/>
      <c r="M60" s="344">
        <v>6.9999999999999999E-4</v>
      </c>
      <c r="N60" s="325">
        <f t="shared" si="10"/>
        <v>1.1033884630899556E-3</v>
      </c>
      <c r="O60" s="311"/>
      <c r="P60" s="383">
        <v>8.8999999999999999E-3</v>
      </c>
      <c r="Q60" s="384" t="s">
        <v>2212</v>
      </c>
      <c r="R60" s="383">
        <v>2E-3</v>
      </c>
      <c r="S60" s="383">
        <v>2.9999999999999997E-4</v>
      </c>
      <c r="T60" s="343">
        <f t="shared" si="11"/>
        <v>1.12E-2</v>
      </c>
      <c r="U60" s="74">
        <v>1000000</v>
      </c>
      <c r="V60" s="387"/>
      <c r="W60" s="387"/>
    </row>
    <row r="61" spans="1:23">
      <c r="A61" s="328" t="s">
        <v>2213</v>
      </c>
      <c r="B61" s="326" t="s">
        <v>2034</v>
      </c>
      <c r="C61" s="275">
        <v>17.39</v>
      </c>
      <c r="D61" s="275">
        <v>5000</v>
      </c>
      <c r="E61" s="343">
        <f t="shared" si="7"/>
        <v>5.750431282346176E-4</v>
      </c>
      <c r="F61" s="275"/>
      <c r="G61" s="344">
        <v>2.0000000000000001E-4</v>
      </c>
      <c r="H61" s="344">
        <v>1E-3</v>
      </c>
      <c r="I61" s="345">
        <f t="shared" si="8"/>
        <v>1.7750431282346178E-3</v>
      </c>
      <c r="J61" s="275">
        <v>5000</v>
      </c>
      <c r="K61" s="343">
        <f t="shared" si="9"/>
        <v>5.750431282346176E-4</v>
      </c>
      <c r="L61" s="275"/>
      <c r="M61" s="344">
        <v>2.0000000000000001E-4</v>
      </c>
      <c r="N61" s="325">
        <f t="shared" si="10"/>
        <v>7.7504312823461759E-4</v>
      </c>
      <c r="O61" s="311"/>
      <c r="P61" s="383">
        <v>8.8999999999999999E-3</v>
      </c>
      <c r="Q61" s="384" t="s">
        <v>2212</v>
      </c>
      <c r="R61" s="383">
        <v>1.8E-3</v>
      </c>
      <c r="S61" s="383">
        <v>2.9999999999999997E-4</v>
      </c>
      <c r="T61" s="343">
        <f t="shared" si="11"/>
        <v>1.0999999999999999E-2</v>
      </c>
      <c r="U61" s="74">
        <v>1000000</v>
      </c>
      <c r="V61" s="387"/>
      <c r="W61" s="387"/>
    </row>
    <row r="62" spans="1:23">
      <c r="A62" s="328" t="s">
        <v>2214</v>
      </c>
      <c r="B62" s="326" t="s">
        <v>2042</v>
      </c>
      <c r="C62" s="275">
        <v>20.9</v>
      </c>
      <c r="D62" s="275">
        <v>5000</v>
      </c>
      <c r="E62" s="343">
        <f t="shared" si="7"/>
        <v>4.7846889952153111E-4</v>
      </c>
      <c r="F62" s="275"/>
      <c r="G62" s="344">
        <v>1.5E-3</v>
      </c>
      <c r="H62" s="344">
        <v>1E-3</v>
      </c>
      <c r="I62" s="345">
        <f t="shared" si="8"/>
        <v>2.9784688995215312E-3</v>
      </c>
      <c r="J62" s="275">
        <v>5000</v>
      </c>
      <c r="K62" s="343">
        <f t="shared" si="9"/>
        <v>4.7846889952153111E-4</v>
      </c>
      <c r="L62" s="275"/>
      <c r="M62" s="344">
        <v>1.5E-3</v>
      </c>
      <c r="N62" s="325">
        <f t="shared" si="10"/>
        <v>1.9784688995215312E-3</v>
      </c>
      <c r="O62" s="311"/>
      <c r="P62" s="383">
        <v>5.0000000000000001E-3</v>
      </c>
      <c r="Q62" s="384" t="s">
        <v>2215</v>
      </c>
      <c r="R62" s="383">
        <v>2.8999999999999998E-3</v>
      </c>
      <c r="S62" s="383">
        <v>2.9999999999999997E-4</v>
      </c>
      <c r="T62" s="343">
        <f t="shared" si="11"/>
        <v>8.2000000000000007E-3</v>
      </c>
      <c r="U62" s="74">
        <v>1000000</v>
      </c>
      <c r="V62" s="387"/>
      <c r="W62" s="387"/>
    </row>
    <row r="63" spans="1:23">
      <c r="A63" s="342" t="s">
        <v>2216</v>
      </c>
      <c r="B63" s="326" t="s">
        <v>2092</v>
      </c>
      <c r="C63" s="346">
        <v>40.520000000000003</v>
      </c>
      <c r="D63" s="275">
        <v>5000</v>
      </c>
      <c r="E63" s="343">
        <f t="shared" si="7"/>
        <v>2.4679170779861795E-4</v>
      </c>
      <c r="F63" s="275"/>
      <c r="G63" s="344">
        <v>2.9999999999999997E-4</v>
      </c>
      <c r="H63" s="344">
        <v>0</v>
      </c>
      <c r="I63" s="345">
        <f t="shared" si="8"/>
        <v>5.4679170779861792E-4</v>
      </c>
      <c r="J63" s="275">
        <v>5000</v>
      </c>
      <c r="K63" s="343">
        <f t="shared" si="9"/>
        <v>2.4679170779861795E-4</v>
      </c>
      <c r="L63" s="275"/>
      <c r="M63" s="344">
        <v>2.9999999999999997E-4</v>
      </c>
      <c r="N63" s="325">
        <f t="shared" si="10"/>
        <v>5.4679170779861792E-4</v>
      </c>
      <c r="O63" s="311"/>
      <c r="P63" s="383">
        <v>1.5E-3</v>
      </c>
      <c r="Q63" s="384" t="s">
        <v>2217</v>
      </c>
      <c r="R63" s="384" t="s">
        <v>2218</v>
      </c>
      <c r="S63" s="383">
        <v>2.9999999999999997E-4</v>
      </c>
      <c r="T63" s="343">
        <f t="shared" si="11"/>
        <v>1.8E-3</v>
      </c>
      <c r="U63" s="74">
        <v>1000000</v>
      </c>
      <c r="V63" s="387"/>
      <c r="W63" s="387"/>
    </row>
    <row r="64" spans="1:23">
      <c r="A64" s="342" t="s">
        <v>2219</v>
      </c>
      <c r="B64" s="326" t="s">
        <v>2093</v>
      </c>
      <c r="C64" s="346">
        <v>40.14</v>
      </c>
      <c r="D64" s="275">
        <v>5000</v>
      </c>
      <c r="E64" s="343">
        <f t="shared" si="7"/>
        <v>2.4912805181863477E-4</v>
      </c>
      <c r="F64" s="275"/>
      <c r="G64" s="344">
        <v>2.9999999999999997E-4</v>
      </c>
      <c r="H64" s="344">
        <v>0</v>
      </c>
      <c r="I64" s="345">
        <f t="shared" si="8"/>
        <v>5.4912805181863474E-4</v>
      </c>
      <c r="J64" s="275">
        <v>5000</v>
      </c>
      <c r="K64" s="343">
        <f t="shared" si="9"/>
        <v>2.4912805181863477E-4</v>
      </c>
      <c r="L64" s="275"/>
      <c r="M64" s="344">
        <v>2.9999999999999997E-4</v>
      </c>
      <c r="N64" s="325">
        <f t="shared" si="10"/>
        <v>5.4912805181863474E-4</v>
      </c>
      <c r="O64" s="311"/>
      <c r="P64" s="383">
        <v>2E-3</v>
      </c>
      <c r="Q64" s="384" t="s">
        <v>2217</v>
      </c>
      <c r="R64" s="384" t="s">
        <v>2220</v>
      </c>
      <c r="S64" s="383">
        <v>2.9999999999999997E-4</v>
      </c>
      <c r="T64" s="343">
        <f t="shared" si="11"/>
        <v>2.3E-3</v>
      </c>
      <c r="U64" s="74">
        <v>1000000</v>
      </c>
      <c r="V64" s="387"/>
      <c r="W64" s="387"/>
    </row>
    <row r="65" spans="1:23" ht="17.25" thickBot="1">
      <c r="A65" s="330" t="s">
        <v>2221</v>
      </c>
      <c r="B65" s="347" t="s">
        <v>2040</v>
      </c>
      <c r="C65" s="348">
        <v>40.33</v>
      </c>
      <c r="D65" s="331">
        <v>5000</v>
      </c>
      <c r="E65" s="349">
        <f t="shared" si="7"/>
        <v>2.4795437639474338E-4</v>
      </c>
      <c r="F65" s="331"/>
      <c r="G65" s="350">
        <v>2.9999999999999997E-4</v>
      </c>
      <c r="H65" s="350">
        <v>0</v>
      </c>
      <c r="I65" s="351">
        <f t="shared" si="8"/>
        <v>5.479543763947433E-4</v>
      </c>
      <c r="J65" s="331">
        <v>5000</v>
      </c>
      <c r="K65" s="349">
        <f t="shared" si="9"/>
        <v>2.4795437639474338E-4</v>
      </c>
      <c r="L65" s="331"/>
      <c r="M65" s="350">
        <v>2.9999999999999997E-4</v>
      </c>
      <c r="N65" s="336">
        <f t="shared" si="10"/>
        <v>5.479543763947433E-4</v>
      </c>
      <c r="O65" s="311"/>
      <c r="P65" s="383">
        <v>2E-3</v>
      </c>
      <c r="Q65" s="384" t="s">
        <v>2217</v>
      </c>
      <c r="R65" s="384" t="s">
        <v>2222</v>
      </c>
      <c r="S65" s="383">
        <v>2.9999999999999997E-4</v>
      </c>
      <c r="T65" s="343">
        <f t="shared" si="11"/>
        <v>2.3E-3</v>
      </c>
      <c r="U65" s="74">
        <v>1000000</v>
      </c>
      <c r="V65" s="387"/>
      <c r="W65" s="387"/>
    </row>
    <row r="66" spans="1:23">
      <c r="O66" s="311"/>
      <c r="P66" s="311"/>
    </row>
    <row r="67" spans="1:23" ht="17.25" thickBot="1">
      <c r="O67" s="311"/>
      <c r="P67" s="311"/>
    </row>
    <row r="68" spans="1:23" ht="26.25" thickBot="1">
      <c r="A68" s="484" t="s">
        <v>2223</v>
      </c>
      <c r="B68" s="485"/>
      <c r="C68" s="485"/>
      <c r="D68" s="485"/>
      <c r="E68" s="485"/>
      <c r="F68" s="485"/>
      <c r="G68" s="485"/>
      <c r="H68" s="485"/>
      <c r="I68" s="485"/>
      <c r="J68" s="485"/>
      <c r="K68" s="485"/>
      <c r="L68" s="485"/>
      <c r="M68" s="485"/>
      <c r="N68" s="486"/>
      <c r="O68" s="311"/>
      <c r="P68" s="311"/>
    </row>
    <row r="69" spans="1:23">
      <c r="A69" s="487" t="s">
        <v>2180</v>
      </c>
      <c r="B69" s="489" t="s">
        <v>2100</v>
      </c>
      <c r="C69" s="491" t="s">
        <v>2101</v>
      </c>
      <c r="D69" s="493" t="s">
        <v>2102</v>
      </c>
      <c r="E69" s="494"/>
      <c r="F69" s="495"/>
      <c r="G69" s="495"/>
      <c r="H69" s="495"/>
      <c r="I69" s="496"/>
      <c r="J69" s="469" t="s">
        <v>2103</v>
      </c>
      <c r="K69" s="470"/>
      <c r="L69" s="471"/>
      <c r="M69" s="471"/>
      <c r="N69" s="472"/>
      <c r="O69" s="311"/>
      <c r="P69" s="311"/>
      <c r="S69" s="379" t="s">
        <v>2105</v>
      </c>
    </row>
    <row r="70" spans="1:23" ht="27">
      <c r="A70" s="488"/>
      <c r="B70" s="490"/>
      <c r="C70" s="492"/>
      <c r="D70" s="313" t="s">
        <v>2102</v>
      </c>
      <c r="E70" s="314" t="s">
        <v>2107</v>
      </c>
      <c r="F70" s="315" t="s">
        <v>2108</v>
      </c>
      <c r="G70" s="314" t="s">
        <v>2109</v>
      </c>
      <c r="H70" s="316" t="s">
        <v>2110</v>
      </c>
      <c r="I70" s="317" t="s">
        <v>2111</v>
      </c>
      <c r="J70" s="313" t="s">
        <v>2103</v>
      </c>
      <c r="K70" s="314" t="s">
        <v>2107</v>
      </c>
      <c r="L70" s="315" t="s">
        <v>2112</v>
      </c>
      <c r="M70" s="314" t="s">
        <v>2113</v>
      </c>
      <c r="N70" s="318" t="s">
        <v>2114</v>
      </c>
      <c r="O70" s="311"/>
      <c r="P70" s="315" t="s">
        <v>2115</v>
      </c>
      <c r="Q70" s="315" t="s">
        <v>2224</v>
      </c>
      <c r="R70" s="315" t="s">
        <v>2117</v>
      </c>
      <c r="S70" s="315" t="s">
        <v>2118</v>
      </c>
      <c r="T70" s="315" t="s">
        <v>2225</v>
      </c>
      <c r="U70" s="315" t="s">
        <v>2120</v>
      </c>
      <c r="V70" s="380"/>
      <c r="W70" s="380"/>
    </row>
    <row r="71" spans="1:23">
      <c r="A71" s="342" t="s">
        <v>2226</v>
      </c>
      <c r="B71" s="352" t="s">
        <v>2024</v>
      </c>
      <c r="C71" s="321">
        <v>31.61</v>
      </c>
      <c r="D71" s="329">
        <v>2000</v>
      </c>
      <c r="E71" s="343">
        <f t="shared" ref="E71:E83" si="12">D71/(C71*1000*500)</f>
        <v>1.2654223347042075E-4</v>
      </c>
      <c r="F71" s="275"/>
      <c r="G71" s="344">
        <v>5.9999999999999995E-4</v>
      </c>
      <c r="H71" s="344">
        <v>1E-3</v>
      </c>
      <c r="I71" s="325">
        <f>E71+H71+G71</f>
        <v>1.7265422334704207E-3</v>
      </c>
      <c r="J71" s="329">
        <v>2000</v>
      </c>
      <c r="K71" s="343">
        <f t="shared" ref="K71:K83" si="13">J71/(C71*1000*500)</f>
        <v>1.2654223347042075E-4</v>
      </c>
      <c r="L71" s="275"/>
      <c r="M71" s="344">
        <v>8.0000000000000004E-4</v>
      </c>
      <c r="N71" s="325">
        <f t="shared" ref="N71:N83" si="14">K71+M71</f>
        <v>9.2654223347042076E-4</v>
      </c>
      <c r="O71" s="311"/>
      <c r="P71" s="383">
        <v>7.4999999999999997E-3</v>
      </c>
      <c r="Q71" s="384" t="s">
        <v>2227</v>
      </c>
      <c r="R71" s="383">
        <v>4.0000000000000002E-4</v>
      </c>
      <c r="S71" s="383">
        <v>2.9999999999999997E-4</v>
      </c>
      <c r="T71" s="388">
        <f>SUM(P71:S71)</f>
        <v>8.199999999999999E-3</v>
      </c>
      <c r="U71" s="74">
        <v>1000000</v>
      </c>
      <c r="V71" s="387"/>
      <c r="W71" s="387"/>
    </row>
    <row r="72" spans="1:23">
      <c r="A72" s="342" t="s">
        <v>2228</v>
      </c>
      <c r="B72" s="352" t="s">
        <v>2025</v>
      </c>
      <c r="C72" s="321">
        <v>15.3</v>
      </c>
      <c r="D72" s="329">
        <v>2000</v>
      </c>
      <c r="E72" s="343">
        <f t="shared" si="12"/>
        <v>2.6143790849673205E-4</v>
      </c>
      <c r="F72" s="275"/>
      <c r="G72" s="344">
        <v>2.0000000000000001E-4</v>
      </c>
      <c r="H72" s="344">
        <v>1E-3</v>
      </c>
      <c r="I72" s="325">
        <f t="shared" ref="I72:I83" si="15">E72+H72+G72</f>
        <v>1.4614379084967322E-3</v>
      </c>
      <c r="J72" s="329">
        <v>2000</v>
      </c>
      <c r="K72" s="343">
        <f t="shared" si="13"/>
        <v>2.6143790849673205E-4</v>
      </c>
      <c r="L72" s="275"/>
      <c r="M72" s="344">
        <v>2.0000000000000001E-4</v>
      </c>
      <c r="N72" s="325">
        <f t="shared" si="14"/>
        <v>4.6143790849673203E-4</v>
      </c>
      <c r="O72" s="311"/>
      <c r="P72" s="383">
        <v>7.4999999999999997E-3</v>
      </c>
      <c r="Q72" s="384" t="s">
        <v>2227</v>
      </c>
      <c r="R72" s="383">
        <v>4.0000000000000002E-4</v>
      </c>
      <c r="S72" s="383">
        <v>2.9999999999999997E-4</v>
      </c>
      <c r="T72" s="388">
        <f t="shared" ref="T72:T85" si="16">SUM(P72:S72)</f>
        <v>8.199999999999999E-3</v>
      </c>
      <c r="U72" s="74">
        <v>1000000</v>
      </c>
      <c r="V72" s="387"/>
      <c r="W72" s="387"/>
    </row>
    <row r="73" spans="1:23">
      <c r="A73" s="342" t="s">
        <v>2229</v>
      </c>
      <c r="B73" s="352" t="s">
        <v>2004</v>
      </c>
      <c r="C73" s="321">
        <v>19.38</v>
      </c>
      <c r="D73" s="329">
        <v>2000</v>
      </c>
      <c r="E73" s="343">
        <f t="shared" si="12"/>
        <v>2.0639834881320949E-4</v>
      </c>
      <c r="F73" s="275"/>
      <c r="G73" s="344">
        <f>0.2%</f>
        <v>2E-3</v>
      </c>
      <c r="H73" s="344">
        <v>1E-3</v>
      </c>
      <c r="I73" s="325">
        <f t="shared" si="15"/>
        <v>3.2063983488132093E-3</v>
      </c>
      <c r="J73" s="329">
        <v>2000</v>
      </c>
      <c r="K73" s="343">
        <f t="shared" si="13"/>
        <v>2.0639834881320949E-4</v>
      </c>
      <c r="L73" s="275"/>
      <c r="M73" s="344">
        <v>4.0000000000000001E-3</v>
      </c>
      <c r="N73" s="325">
        <f t="shared" si="14"/>
        <v>4.2063983488132093E-3</v>
      </c>
      <c r="O73" s="311"/>
      <c r="P73" s="383">
        <v>9.4999999999999998E-3</v>
      </c>
      <c r="Q73" s="384">
        <f>P73*10%</f>
        <v>9.5E-4</v>
      </c>
      <c r="R73" s="383">
        <v>1E-3</v>
      </c>
      <c r="S73" s="383">
        <v>2.9999999999999997E-4</v>
      </c>
      <c r="T73" s="388">
        <f t="shared" si="16"/>
        <v>1.1749999999999998E-2</v>
      </c>
      <c r="U73" s="74">
        <v>1000000</v>
      </c>
      <c r="V73" s="387"/>
      <c r="W73" s="387"/>
    </row>
    <row r="74" spans="1:23">
      <c r="A74" s="342" t="s">
        <v>2230</v>
      </c>
      <c r="B74" s="352" t="s">
        <v>2009</v>
      </c>
      <c r="C74" s="321">
        <v>32.020000000000003</v>
      </c>
      <c r="D74" s="329">
        <v>2000</v>
      </c>
      <c r="E74" s="343">
        <f t="shared" si="12"/>
        <v>1.2492192379762648E-4</v>
      </c>
      <c r="F74" s="275"/>
      <c r="G74" s="344">
        <v>1E-3</v>
      </c>
      <c r="H74" s="344">
        <v>1E-3</v>
      </c>
      <c r="I74" s="325">
        <f t="shared" si="15"/>
        <v>2.1249219237976266E-3</v>
      </c>
      <c r="J74" s="329">
        <v>2000</v>
      </c>
      <c r="K74" s="343">
        <f t="shared" si="13"/>
        <v>1.2492192379762648E-4</v>
      </c>
      <c r="L74" s="275"/>
      <c r="M74" s="344">
        <v>2E-3</v>
      </c>
      <c r="N74" s="325">
        <f t="shared" si="14"/>
        <v>2.1249219237976266E-3</v>
      </c>
      <c r="O74" s="311"/>
      <c r="P74" s="383">
        <v>9.4999999999999998E-3</v>
      </c>
      <c r="Q74" s="384">
        <f>P74*10%</f>
        <v>9.5E-4</v>
      </c>
      <c r="R74" s="383">
        <v>2.0999999999999999E-3</v>
      </c>
      <c r="S74" s="383">
        <v>2.9999999999999997E-4</v>
      </c>
      <c r="T74" s="388">
        <f t="shared" si="16"/>
        <v>1.2849999999999999E-2</v>
      </c>
      <c r="U74" s="74">
        <v>1000000</v>
      </c>
      <c r="V74" s="387"/>
      <c r="W74" s="387"/>
    </row>
    <row r="75" spans="1:23">
      <c r="A75" s="342" t="s">
        <v>2231</v>
      </c>
      <c r="B75" s="352" t="s">
        <v>2010</v>
      </c>
      <c r="C75" s="321">
        <v>14.3</v>
      </c>
      <c r="D75" s="329">
        <v>2000</v>
      </c>
      <c r="E75" s="343">
        <f t="shared" si="12"/>
        <v>2.7972027972027972E-4</v>
      </c>
      <c r="F75" s="275"/>
      <c r="G75" s="344">
        <v>5.0000000000000001E-4</v>
      </c>
      <c r="H75" s="344">
        <v>1E-3</v>
      </c>
      <c r="I75" s="325">
        <f t="shared" si="15"/>
        <v>1.7797202797202798E-3</v>
      </c>
      <c r="J75" s="329">
        <v>2000</v>
      </c>
      <c r="K75" s="343">
        <f t="shared" si="13"/>
        <v>2.7972027972027972E-4</v>
      </c>
      <c r="L75" s="275"/>
      <c r="M75" s="344">
        <v>5.0000000000000001E-4</v>
      </c>
      <c r="N75" s="325">
        <f t="shared" si="14"/>
        <v>7.7972027972027973E-4</v>
      </c>
      <c r="O75" s="311"/>
      <c r="P75" s="383">
        <v>9.4999999999999998E-3</v>
      </c>
      <c r="Q75" s="384">
        <f>P75*10%</f>
        <v>9.5E-4</v>
      </c>
      <c r="R75" s="383">
        <v>1.8E-3</v>
      </c>
      <c r="S75" s="383">
        <v>2.9999999999999997E-4</v>
      </c>
      <c r="T75" s="388">
        <f t="shared" si="16"/>
        <v>1.2549999999999999E-2</v>
      </c>
      <c r="U75" s="74">
        <v>1000000</v>
      </c>
      <c r="V75" s="387"/>
      <c r="W75" s="387"/>
    </row>
    <row r="76" spans="1:23">
      <c r="A76" s="342" t="s">
        <v>2232</v>
      </c>
      <c r="B76" s="352" t="s">
        <v>2019</v>
      </c>
      <c r="C76" s="321">
        <v>24.88</v>
      </c>
      <c r="D76" s="329">
        <v>2000</v>
      </c>
      <c r="E76" s="343">
        <f t="shared" si="12"/>
        <v>1.6077170418006431E-4</v>
      </c>
      <c r="F76" s="275"/>
      <c r="G76" s="344">
        <v>1.6000000000000001E-3</v>
      </c>
      <c r="H76" s="344">
        <v>1E-3</v>
      </c>
      <c r="I76" s="325">
        <f t="shared" si="15"/>
        <v>2.7607717041800645E-3</v>
      </c>
      <c r="J76" s="329">
        <v>2000</v>
      </c>
      <c r="K76" s="343">
        <f t="shared" si="13"/>
        <v>1.6077170418006431E-4</v>
      </c>
      <c r="L76" s="275"/>
      <c r="M76" s="344">
        <v>1.6000000000000001E-3</v>
      </c>
      <c r="N76" s="325">
        <f t="shared" si="14"/>
        <v>1.7607717041800645E-3</v>
      </c>
      <c r="O76" s="311"/>
      <c r="P76" s="383">
        <v>4.4999999999999997E-3</v>
      </c>
      <c r="Q76" s="384">
        <v>5.0000000000000001E-4</v>
      </c>
      <c r="R76" s="383">
        <v>2E-3</v>
      </c>
      <c r="S76" s="383">
        <v>2.9999999999999997E-4</v>
      </c>
      <c r="T76" s="388">
        <f t="shared" si="16"/>
        <v>7.2999999999999992E-3</v>
      </c>
      <c r="U76" s="74">
        <v>1000000</v>
      </c>
      <c r="V76" s="387"/>
      <c r="W76" s="387"/>
    </row>
    <row r="77" spans="1:23">
      <c r="A77" s="342" t="s">
        <v>2233</v>
      </c>
      <c r="B77" s="352" t="s">
        <v>2020</v>
      </c>
      <c r="C77" s="321">
        <v>30.88</v>
      </c>
      <c r="D77" s="329">
        <v>2000</v>
      </c>
      <c r="E77" s="343">
        <f t="shared" si="12"/>
        <v>1.2953367875647668E-4</v>
      </c>
      <c r="F77" s="275"/>
      <c r="G77" s="344">
        <v>8.0000000000000004E-4</v>
      </c>
      <c r="H77" s="344">
        <v>1E-3</v>
      </c>
      <c r="I77" s="325">
        <f t="shared" si="15"/>
        <v>1.9295336787564766E-3</v>
      </c>
      <c r="J77" s="329">
        <v>2000</v>
      </c>
      <c r="K77" s="343">
        <f t="shared" si="13"/>
        <v>1.2953367875647668E-4</v>
      </c>
      <c r="L77" s="275"/>
      <c r="M77" s="344">
        <v>8.0000000000000004E-4</v>
      </c>
      <c r="N77" s="325">
        <f t="shared" si="14"/>
        <v>9.2953367875647677E-4</v>
      </c>
      <c r="O77" s="311"/>
      <c r="P77" s="383">
        <v>9.4999999999999998E-3</v>
      </c>
      <c r="Q77" s="384">
        <v>4.0000000000000002E-4</v>
      </c>
      <c r="R77" s="383">
        <v>2.0999999999999999E-3</v>
      </c>
      <c r="S77" s="383">
        <v>2.9999999999999997E-4</v>
      </c>
      <c r="T77" s="388">
        <f t="shared" si="16"/>
        <v>1.2299999999999998E-2</v>
      </c>
      <c r="U77" s="74">
        <v>1000000</v>
      </c>
      <c r="V77" s="387"/>
      <c r="W77" s="387"/>
    </row>
    <row r="78" spans="1:23">
      <c r="A78" s="342" t="s">
        <v>2234</v>
      </c>
      <c r="B78" s="352" t="s">
        <v>2021</v>
      </c>
      <c r="C78" s="321">
        <v>14.5</v>
      </c>
      <c r="D78" s="329">
        <v>2000</v>
      </c>
      <c r="E78" s="343">
        <f t="shared" si="12"/>
        <v>2.7586206896551725E-4</v>
      </c>
      <c r="F78" s="275"/>
      <c r="G78" s="344">
        <v>2.0000000000000001E-4</v>
      </c>
      <c r="H78" s="344">
        <v>1E-3</v>
      </c>
      <c r="I78" s="325">
        <f t="shared" si="15"/>
        <v>1.4758620689655174E-3</v>
      </c>
      <c r="J78" s="329">
        <v>2000</v>
      </c>
      <c r="K78" s="343">
        <f t="shared" si="13"/>
        <v>2.7586206896551725E-4</v>
      </c>
      <c r="L78" s="275"/>
      <c r="M78" s="344">
        <v>2.0000000000000001E-4</v>
      </c>
      <c r="N78" s="325">
        <f t="shared" si="14"/>
        <v>4.7586206896551729E-4</v>
      </c>
      <c r="O78" s="311"/>
      <c r="P78" s="383">
        <v>9.4999999999999998E-3</v>
      </c>
      <c r="Q78" s="384">
        <v>4.0000000000000002E-4</v>
      </c>
      <c r="R78" s="383">
        <v>1.8E-3</v>
      </c>
      <c r="S78" s="383">
        <v>2.9999999999999997E-4</v>
      </c>
      <c r="T78" s="388">
        <f t="shared" si="16"/>
        <v>1.1999999999999999E-2</v>
      </c>
      <c r="U78" s="74">
        <v>1000000</v>
      </c>
      <c r="V78" s="387"/>
      <c r="W78" s="387"/>
    </row>
    <row r="79" spans="1:23">
      <c r="A79" s="342" t="s">
        <v>2235</v>
      </c>
      <c r="B79" s="352" t="s">
        <v>2028</v>
      </c>
      <c r="C79" s="321">
        <v>24.08</v>
      </c>
      <c r="D79" s="329">
        <v>2000</v>
      </c>
      <c r="E79" s="343">
        <f t="shared" si="12"/>
        <v>1.6611295681063124E-4</v>
      </c>
      <c r="F79" s="275"/>
      <c r="G79" s="344">
        <v>5.0000000000000001E-4</v>
      </c>
      <c r="H79" s="344">
        <v>1E-3</v>
      </c>
      <c r="I79" s="325">
        <f t="shared" si="15"/>
        <v>1.6661129568106314E-3</v>
      </c>
      <c r="J79" s="329">
        <v>2000</v>
      </c>
      <c r="K79" s="343">
        <f t="shared" si="13"/>
        <v>1.6611295681063124E-4</v>
      </c>
      <c r="L79" s="275"/>
      <c r="M79" s="344">
        <v>5.0000000000000001E-4</v>
      </c>
      <c r="N79" s="325">
        <f t="shared" si="14"/>
        <v>6.6611295681063122E-4</v>
      </c>
      <c r="O79" s="311"/>
      <c r="P79" s="383">
        <v>4.4999999999999997E-3</v>
      </c>
      <c r="Q79" s="384" t="s">
        <v>2236</v>
      </c>
      <c r="R79" s="383">
        <v>1.8E-3</v>
      </c>
      <c r="S79" s="383">
        <v>2.9999999999999997E-4</v>
      </c>
      <c r="T79" s="388">
        <f t="shared" si="16"/>
        <v>6.6E-3</v>
      </c>
      <c r="U79" s="74">
        <v>1000000</v>
      </c>
      <c r="V79" s="387"/>
      <c r="W79" s="387"/>
    </row>
    <row r="80" spans="1:23">
      <c r="A80" s="342" t="s">
        <v>2237</v>
      </c>
      <c r="B80" s="352" t="s">
        <v>2029</v>
      </c>
      <c r="C80" s="321">
        <v>15.56</v>
      </c>
      <c r="D80" s="329">
        <v>2000</v>
      </c>
      <c r="E80" s="343">
        <f t="shared" si="12"/>
        <v>2.5706940874035988E-4</v>
      </c>
      <c r="F80" s="275"/>
      <c r="G80" s="344">
        <v>2.0000000000000001E-4</v>
      </c>
      <c r="H80" s="344">
        <v>1E-3</v>
      </c>
      <c r="I80" s="325">
        <f t="shared" si="15"/>
        <v>1.45706940874036E-3</v>
      </c>
      <c r="J80" s="329">
        <v>2000</v>
      </c>
      <c r="K80" s="343">
        <f t="shared" si="13"/>
        <v>2.5706940874035988E-4</v>
      </c>
      <c r="L80" s="275"/>
      <c r="M80" s="344">
        <v>2.0000000000000001E-4</v>
      </c>
      <c r="N80" s="325">
        <f t="shared" si="14"/>
        <v>4.5706940874035986E-4</v>
      </c>
      <c r="O80" s="311"/>
      <c r="P80" s="383">
        <v>8.5000000000000006E-3</v>
      </c>
      <c r="Q80" s="384" t="s">
        <v>2236</v>
      </c>
      <c r="R80" s="383">
        <v>1.8E-3</v>
      </c>
      <c r="S80" s="383">
        <v>2.9999999999999997E-4</v>
      </c>
      <c r="T80" s="388">
        <f t="shared" si="16"/>
        <v>1.06E-2</v>
      </c>
      <c r="U80" s="74">
        <v>1000000</v>
      </c>
      <c r="V80" s="387"/>
      <c r="W80" s="387"/>
    </row>
    <row r="81" spans="1:23">
      <c r="A81" s="342" t="s">
        <v>2238</v>
      </c>
      <c r="B81" s="352" t="s">
        <v>2239</v>
      </c>
      <c r="C81" s="321">
        <v>40.909999999999997</v>
      </c>
      <c r="D81" s="329">
        <v>2000</v>
      </c>
      <c r="E81" s="343">
        <f t="shared" si="12"/>
        <v>9.7775604986555852E-5</v>
      </c>
      <c r="F81" s="275"/>
      <c r="G81" s="344">
        <v>2.0000000000000001E-4</v>
      </c>
      <c r="H81" s="344">
        <v>0</v>
      </c>
      <c r="I81" s="325">
        <f t="shared" si="15"/>
        <v>2.9777560498655588E-4</v>
      </c>
      <c r="J81" s="329">
        <v>2000</v>
      </c>
      <c r="K81" s="343">
        <f t="shared" si="13"/>
        <v>9.7775604986555852E-5</v>
      </c>
      <c r="L81" s="275"/>
      <c r="M81" s="344">
        <v>2.9999999999999997E-4</v>
      </c>
      <c r="N81" s="325">
        <f t="shared" si="14"/>
        <v>3.9777560498655581E-4</v>
      </c>
      <c r="O81" s="311"/>
      <c r="P81" s="383">
        <v>2E-3</v>
      </c>
      <c r="Q81" s="384" t="s">
        <v>2174</v>
      </c>
      <c r="R81" s="383">
        <v>1.6999999999999999E-3</v>
      </c>
      <c r="S81" s="383">
        <v>2.9999999999999997E-4</v>
      </c>
      <c r="T81" s="388">
        <f t="shared" si="16"/>
        <v>4.0000000000000001E-3</v>
      </c>
      <c r="U81" s="74">
        <v>1000000</v>
      </c>
      <c r="V81" s="387"/>
      <c r="W81" s="387"/>
    </row>
    <row r="82" spans="1:23">
      <c r="A82" s="329" t="s">
        <v>2240</v>
      </c>
      <c r="B82" s="352" t="s">
        <v>2241</v>
      </c>
      <c r="C82" s="321">
        <v>20.86</v>
      </c>
      <c r="D82" s="329">
        <v>2000</v>
      </c>
      <c r="E82" s="343">
        <f t="shared" si="12"/>
        <v>1.9175455417066154E-4</v>
      </c>
      <c r="F82" s="275"/>
      <c r="G82" s="344">
        <v>1E-4</v>
      </c>
      <c r="H82" s="344">
        <v>0</v>
      </c>
      <c r="I82" s="325">
        <f t="shared" si="15"/>
        <v>2.9175455417066153E-4</v>
      </c>
      <c r="J82" s="329">
        <v>2000</v>
      </c>
      <c r="K82" s="343">
        <f t="shared" si="13"/>
        <v>1.9175455417066154E-4</v>
      </c>
      <c r="L82" s="275"/>
      <c r="M82" s="344">
        <v>1E-4</v>
      </c>
      <c r="N82" s="325">
        <f t="shared" si="14"/>
        <v>2.9175455417066153E-4</v>
      </c>
      <c r="O82" s="311"/>
      <c r="P82" s="383">
        <v>6.4999999999999997E-3</v>
      </c>
      <c r="Q82" s="384" t="s">
        <v>2174</v>
      </c>
      <c r="R82" s="383">
        <v>1E-3</v>
      </c>
      <c r="S82" s="383">
        <v>2.9999999999999997E-4</v>
      </c>
      <c r="T82" s="388">
        <f t="shared" si="16"/>
        <v>7.7999999999999996E-3</v>
      </c>
      <c r="U82" s="74">
        <v>1000000</v>
      </c>
      <c r="V82" s="387"/>
      <c r="W82" s="387"/>
    </row>
    <row r="83" spans="1:23">
      <c r="A83" s="329" t="s">
        <v>2242</v>
      </c>
      <c r="B83" s="352" t="s">
        <v>2243</v>
      </c>
      <c r="C83" s="321">
        <v>19.28</v>
      </c>
      <c r="D83" s="329">
        <v>2000</v>
      </c>
      <c r="E83" s="343">
        <f t="shared" si="12"/>
        <v>2.0746887966804979E-4</v>
      </c>
      <c r="F83" s="275"/>
      <c r="G83" s="344">
        <v>1E-4</v>
      </c>
      <c r="H83" s="344">
        <v>0</v>
      </c>
      <c r="I83" s="325">
        <f t="shared" si="15"/>
        <v>3.0746887966804981E-4</v>
      </c>
      <c r="J83" s="329">
        <v>2000</v>
      </c>
      <c r="K83" s="343">
        <f t="shared" si="13"/>
        <v>2.0746887966804979E-4</v>
      </c>
      <c r="L83" s="275"/>
      <c r="M83" s="344">
        <v>1E-4</v>
      </c>
      <c r="N83" s="325">
        <f t="shared" si="14"/>
        <v>3.0746887966804981E-4</v>
      </c>
      <c r="O83" s="311"/>
      <c r="P83" s="383">
        <v>6.4999999999999997E-3</v>
      </c>
      <c r="Q83" s="384" t="s">
        <v>2174</v>
      </c>
      <c r="R83" s="383">
        <v>6.9999999999999999E-4</v>
      </c>
      <c r="S83" s="383">
        <v>2.9999999999999997E-4</v>
      </c>
      <c r="T83" s="388">
        <f t="shared" si="16"/>
        <v>7.4999999999999997E-3</v>
      </c>
      <c r="U83" s="74">
        <v>1000000</v>
      </c>
      <c r="V83" s="387"/>
      <c r="W83" s="387"/>
    </row>
    <row r="84" spans="1:23">
      <c r="A84" s="342" t="s">
        <v>2244</v>
      </c>
      <c r="B84" s="352" t="s">
        <v>2245</v>
      </c>
      <c r="C84" s="321">
        <v>19.78</v>
      </c>
      <c r="D84" s="329">
        <v>2000</v>
      </c>
      <c r="E84" s="343">
        <f>D84/(C84*1000*500)</f>
        <v>2.0222446916076846E-4</v>
      </c>
      <c r="F84" s="275"/>
      <c r="G84" s="344">
        <v>1E-3</v>
      </c>
      <c r="H84" s="344">
        <v>1E-3</v>
      </c>
      <c r="I84" s="325">
        <f>E84+H84+G84</f>
        <v>2.2022244691607684E-3</v>
      </c>
      <c r="J84" s="329">
        <v>2000</v>
      </c>
      <c r="K84" s="343">
        <f>J84/(C84*1000*500)</f>
        <v>2.0222446916076846E-4</v>
      </c>
      <c r="L84" s="275"/>
      <c r="M84" s="344">
        <v>4.0000000000000001E-3</v>
      </c>
      <c r="N84" s="325">
        <f>K84+M84</f>
        <v>4.2022244691607685E-3</v>
      </c>
      <c r="O84" s="311"/>
      <c r="P84" s="383">
        <v>3.0000000000000001E-3</v>
      </c>
      <c r="Q84" s="384" t="s">
        <v>2246</v>
      </c>
      <c r="R84" s="383">
        <v>3.5E-4</v>
      </c>
      <c r="S84" s="383">
        <v>2.9999999999999997E-4</v>
      </c>
      <c r="T84" s="388">
        <f t="shared" si="16"/>
        <v>3.65E-3</v>
      </c>
      <c r="U84" s="74">
        <v>1000000</v>
      </c>
      <c r="V84" s="387"/>
      <c r="W84" s="387"/>
    </row>
    <row r="85" spans="1:23" ht="17.25" thickBot="1">
      <c r="A85" s="353" t="s">
        <v>2247</v>
      </c>
      <c r="B85" s="354" t="s">
        <v>2248</v>
      </c>
      <c r="C85" s="332">
        <v>20.57</v>
      </c>
      <c r="D85" s="330">
        <v>2000</v>
      </c>
      <c r="E85" s="349">
        <f>D85/(C85*1000*500)</f>
        <v>1.9445794846864364E-4</v>
      </c>
      <c r="F85" s="331"/>
      <c r="G85" s="350">
        <v>1E-3</v>
      </c>
      <c r="H85" s="350">
        <v>1E-3</v>
      </c>
      <c r="I85" s="336">
        <f>E85+H85+G85</f>
        <v>2.1944579484686434E-3</v>
      </c>
      <c r="J85" s="330">
        <v>2000</v>
      </c>
      <c r="K85" s="349">
        <f>J85/(C85*1000*500)</f>
        <v>1.9445794846864364E-4</v>
      </c>
      <c r="L85" s="331"/>
      <c r="M85" s="350">
        <v>1E-3</v>
      </c>
      <c r="N85" s="336">
        <f>K85+M85</f>
        <v>1.1944579484686436E-3</v>
      </c>
      <c r="O85" s="311"/>
      <c r="P85" s="383">
        <v>3.5000000000000001E-3</v>
      </c>
      <c r="Q85" s="384" t="s">
        <v>2249</v>
      </c>
      <c r="R85" s="383">
        <v>1.5E-3</v>
      </c>
      <c r="S85" s="383">
        <v>2.9999999999999997E-4</v>
      </c>
      <c r="T85" s="388">
        <f t="shared" si="16"/>
        <v>5.3E-3</v>
      </c>
      <c r="U85" s="74">
        <v>1000000</v>
      </c>
      <c r="V85" s="387"/>
      <c r="W85" s="387"/>
    </row>
    <row r="86" spans="1:23">
      <c r="O86" s="311"/>
      <c r="P86" s="311"/>
    </row>
    <row r="87" spans="1:23">
      <c r="O87" s="311"/>
      <c r="P87" s="311"/>
    </row>
    <row r="88" spans="1:23" ht="26.25" thickBot="1">
      <c r="A88" s="497" t="s">
        <v>2250</v>
      </c>
      <c r="B88" s="497"/>
      <c r="C88" s="497"/>
      <c r="D88" s="497"/>
      <c r="E88" s="497"/>
      <c r="F88" s="497"/>
      <c r="G88" s="497"/>
      <c r="H88" s="497"/>
      <c r="I88" s="497"/>
      <c r="J88" s="497"/>
      <c r="K88" s="497"/>
      <c r="L88" s="497"/>
      <c r="M88" s="497"/>
      <c r="N88" s="497"/>
      <c r="O88" s="311"/>
    </row>
    <row r="89" spans="1:23">
      <c r="A89" s="498" t="s">
        <v>2180</v>
      </c>
      <c r="B89" s="500" t="s">
        <v>2100</v>
      </c>
      <c r="C89" s="502" t="s">
        <v>2101</v>
      </c>
      <c r="D89" s="493" t="s">
        <v>2102</v>
      </c>
      <c r="E89" s="494"/>
      <c r="F89" s="495"/>
      <c r="G89" s="495"/>
      <c r="H89" s="495"/>
      <c r="I89" s="496"/>
      <c r="J89" s="469" t="s">
        <v>2103</v>
      </c>
      <c r="K89" s="470"/>
      <c r="L89" s="471"/>
      <c r="M89" s="471"/>
      <c r="N89" s="472"/>
    </row>
    <row r="90" spans="1:23" ht="27">
      <c r="A90" s="499"/>
      <c r="B90" s="501"/>
      <c r="C90" s="503"/>
      <c r="D90" s="313" t="s">
        <v>2102</v>
      </c>
      <c r="E90" s="314" t="s">
        <v>2107</v>
      </c>
      <c r="F90" s="315" t="s">
        <v>2108</v>
      </c>
      <c r="G90" s="314" t="s">
        <v>2109</v>
      </c>
      <c r="H90" s="316" t="s">
        <v>2110</v>
      </c>
      <c r="I90" s="317" t="s">
        <v>2111</v>
      </c>
      <c r="J90" s="313" t="s">
        <v>2103</v>
      </c>
      <c r="K90" s="314" t="s">
        <v>2107</v>
      </c>
      <c r="L90" s="315" t="s">
        <v>2112</v>
      </c>
      <c r="M90" s="314" t="s">
        <v>2113</v>
      </c>
      <c r="N90" s="318" t="s">
        <v>2114</v>
      </c>
      <c r="P90" s="315" t="s">
        <v>2115</v>
      </c>
      <c r="Q90" s="315" t="s">
        <v>2224</v>
      </c>
      <c r="R90" s="315" t="s">
        <v>2117</v>
      </c>
      <c r="S90" s="315" t="s">
        <v>2118</v>
      </c>
      <c r="T90" s="315" t="s">
        <v>2225</v>
      </c>
      <c r="U90" s="315" t="s">
        <v>2120</v>
      </c>
      <c r="V90" s="380"/>
      <c r="W90" s="380"/>
    </row>
    <row r="91" spans="1:23">
      <c r="A91" s="328" t="s">
        <v>43</v>
      </c>
      <c r="B91" s="6" t="s">
        <v>2003</v>
      </c>
      <c r="C91" s="355">
        <v>23.57</v>
      </c>
      <c r="D91" s="328">
        <v>10000</v>
      </c>
      <c r="E91" s="244">
        <f>D91/(C91*1000*500)</f>
        <v>8.4853627492575306E-4</v>
      </c>
      <c r="F91" s="6"/>
      <c r="G91" s="244">
        <v>7.4999999999999997E-3</v>
      </c>
      <c r="H91" s="244">
        <v>1E-3</v>
      </c>
      <c r="I91" s="325">
        <f>E91+G91+H91</f>
        <v>9.3485362749257533E-3</v>
      </c>
      <c r="J91" s="328">
        <v>10000</v>
      </c>
      <c r="K91" s="244">
        <f>J91/(C91*1000*500)</f>
        <v>8.4853627492575306E-4</v>
      </c>
      <c r="L91" s="6"/>
      <c r="M91" s="244">
        <v>8.9999999999999993E-3</v>
      </c>
      <c r="N91" s="325">
        <f>M91+K91</f>
        <v>9.8485362749257521E-3</v>
      </c>
      <c r="P91" s="383">
        <v>7.4999999999999997E-3</v>
      </c>
      <c r="Q91" s="384" t="s">
        <v>2251</v>
      </c>
      <c r="R91" s="383">
        <v>1E-3</v>
      </c>
      <c r="S91" s="383">
        <v>2.9999999999999997E-4</v>
      </c>
      <c r="T91" s="388">
        <f>SUM(P91:S91)</f>
        <v>8.8000000000000005E-3</v>
      </c>
      <c r="U91" s="74">
        <v>1000000</v>
      </c>
      <c r="V91" s="387"/>
      <c r="W91" s="387"/>
    </row>
    <row r="92" spans="1:23">
      <c r="A92" s="328" t="s">
        <v>83</v>
      </c>
      <c r="B92" s="6" t="s">
        <v>2014</v>
      </c>
      <c r="C92" s="355">
        <v>20.43</v>
      </c>
      <c r="D92" s="328">
        <v>5000</v>
      </c>
      <c r="E92" s="244">
        <f t="shared" ref="E92:E97" si="17">D92/(C92*1000*500)</f>
        <v>4.8947626040137058E-4</v>
      </c>
      <c r="F92" s="6"/>
      <c r="G92" s="244">
        <v>3.0000000000000001E-3</v>
      </c>
      <c r="H92" s="244">
        <v>1E-3</v>
      </c>
      <c r="I92" s="325">
        <f t="shared" ref="I92:I97" si="18">E92+G92+H92</f>
        <v>4.4894762604013707E-3</v>
      </c>
      <c r="J92" s="328">
        <v>5000</v>
      </c>
      <c r="K92" s="244">
        <f t="shared" ref="K92:K97" si="19">J92/(C92*1000*500)</f>
        <v>4.8947626040137058E-4</v>
      </c>
      <c r="L92" s="6"/>
      <c r="M92" s="244">
        <v>3.0000000000000001E-3</v>
      </c>
      <c r="N92" s="325">
        <f t="shared" ref="N92:N97" si="20">M92+K92</f>
        <v>3.4894762604013706E-3</v>
      </c>
      <c r="P92" s="383">
        <v>9.4999999999999998E-3</v>
      </c>
      <c r="Q92" s="384" t="s">
        <v>2252</v>
      </c>
      <c r="R92" s="383">
        <v>1.8E-3</v>
      </c>
      <c r="S92" s="383">
        <v>2.9999999999999997E-4</v>
      </c>
      <c r="T92" s="388">
        <f t="shared" ref="T92:T97" si="21">SUM(P92:S92)</f>
        <v>1.1599999999999999E-2</v>
      </c>
      <c r="U92" s="74">
        <v>1000000</v>
      </c>
      <c r="V92" s="387"/>
      <c r="W92" s="387"/>
    </row>
    <row r="93" spans="1:23">
      <c r="A93" s="328" t="s">
        <v>84</v>
      </c>
      <c r="B93" s="6" t="s">
        <v>2015</v>
      </c>
      <c r="C93" s="355">
        <v>30.8</v>
      </c>
      <c r="D93" s="328">
        <v>5000</v>
      </c>
      <c r="E93" s="244">
        <f t="shared" si="17"/>
        <v>3.2467532467532468E-4</v>
      </c>
      <c r="F93" s="6"/>
      <c r="G93" s="244">
        <v>1E-3</v>
      </c>
      <c r="H93" s="244">
        <v>1E-3</v>
      </c>
      <c r="I93" s="325">
        <f t="shared" si="18"/>
        <v>2.3246753246753248E-3</v>
      </c>
      <c r="J93" s="328">
        <v>5000</v>
      </c>
      <c r="K93" s="244">
        <f t="shared" si="19"/>
        <v>3.2467532467532468E-4</v>
      </c>
      <c r="L93" s="6"/>
      <c r="M93" s="244">
        <v>2E-3</v>
      </c>
      <c r="N93" s="325">
        <f t="shared" si="20"/>
        <v>2.3246753246753248E-3</v>
      </c>
      <c r="P93" s="383">
        <v>9.4999999999999998E-3</v>
      </c>
      <c r="Q93" s="384" t="s">
        <v>2252</v>
      </c>
      <c r="R93" s="383">
        <v>1.6999999999999999E-3</v>
      </c>
      <c r="S93" s="383">
        <v>2.9999999999999997E-4</v>
      </c>
      <c r="T93" s="388">
        <f t="shared" si="21"/>
        <v>1.15E-2</v>
      </c>
      <c r="U93" s="74">
        <v>1000000</v>
      </c>
      <c r="V93" s="387"/>
      <c r="W93" s="387"/>
    </row>
    <row r="94" spans="1:23">
      <c r="A94" s="328" t="s">
        <v>85</v>
      </c>
      <c r="B94" s="6" t="s">
        <v>2016</v>
      </c>
      <c r="C94" s="355">
        <v>9.3800000000000008</v>
      </c>
      <c r="D94" s="328">
        <v>5000</v>
      </c>
      <c r="E94" s="244">
        <f t="shared" si="17"/>
        <v>1.0660980810234541E-3</v>
      </c>
      <c r="F94" s="6"/>
      <c r="G94" s="244">
        <v>5.0000000000000001E-4</v>
      </c>
      <c r="H94" s="244">
        <v>1E-3</v>
      </c>
      <c r="I94" s="325">
        <f t="shared" si="18"/>
        <v>2.5660980810234542E-3</v>
      </c>
      <c r="J94" s="328">
        <v>5000</v>
      </c>
      <c r="K94" s="244">
        <f t="shared" si="19"/>
        <v>1.0660980810234541E-3</v>
      </c>
      <c r="L94" s="6"/>
      <c r="M94" s="244">
        <v>5.0000000000000001E-4</v>
      </c>
      <c r="N94" s="325">
        <f t="shared" si="20"/>
        <v>1.5660980810234541E-3</v>
      </c>
      <c r="O94" s="337" t="s">
        <v>2253</v>
      </c>
      <c r="P94" s="383">
        <v>9.4999999999999998E-3</v>
      </c>
      <c r="Q94" s="384" t="s">
        <v>2252</v>
      </c>
      <c r="R94" s="383">
        <v>1.6999999999999999E-3</v>
      </c>
      <c r="S94" s="383">
        <v>2.9999999999999997E-4</v>
      </c>
      <c r="T94" s="388">
        <f t="shared" si="21"/>
        <v>1.15E-2</v>
      </c>
      <c r="U94" s="74">
        <v>1000000</v>
      </c>
      <c r="V94" s="387"/>
      <c r="W94" s="387"/>
    </row>
    <row r="95" spans="1:23">
      <c r="A95" s="356" t="s">
        <v>2254</v>
      </c>
      <c r="B95" s="6" t="s">
        <v>2255</v>
      </c>
      <c r="C95" s="355">
        <v>20.21</v>
      </c>
      <c r="D95" s="328">
        <v>50000</v>
      </c>
      <c r="E95" s="244">
        <f>D95/(C95*1000*5000)</f>
        <v>4.9480455220188031E-4</v>
      </c>
      <c r="F95" s="6"/>
      <c r="G95" s="357">
        <v>1E-3</v>
      </c>
      <c r="H95" s="244">
        <v>0</v>
      </c>
      <c r="I95" s="325">
        <f t="shared" si="18"/>
        <v>1.4948045522018803E-3</v>
      </c>
      <c r="J95" s="328">
        <v>50000</v>
      </c>
      <c r="K95" s="244">
        <f>J95/(C95*1000*5000)</f>
        <v>4.9480455220188031E-4</v>
      </c>
      <c r="L95" s="6"/>
      <c r="M95" s="357">
        <v>1E-3</v>
      </c>
      <c r="N95" s="325">
        <f t="shared" si="20"/>
        <v>1.4948045522018803E-3</v>
      </c>
      <c r="O95" s="337" t="s">
        <v>2256</v>
      </c>
      <c r="P95" s="383">
        <v>4.5999999999999999E-3</v>
      </c>
      <c r="Q95" s="384" t="s">
        <v>2257</v>
      </c>
      <c r="R95" s="383">
        <v>1.6000000000000001E-3</v>
      </c>
      <c r="S95" s="383">
        <v>2.9999999999999997E-4</v>
      </c>
      <c r="T95" s="388">
        <f t="shared" si="21"/>
        <v>6.4999999999999997E-3</v>
      </c>
      <c r="U95" s="74">
        <v>1000000</v>
      </c>
      <c r="V95" s="387"/>
      <c r="W95" s="387"/>
    </row>
    <row r="96" spans="1:23">
      <c r="A96" s="356" t="s">
        <v>2258</v>
      </c>
      <c r="B96" s="6" t="s">
        <v>2259</v>
      </c>
      <c r="C96" s="355">
        <v>20.32</v>
      </c>
      <c r="D96" s="328">
        <v>50000</v>
      </c>
      <c r="E96" s="244">
        <f>D96/(C96*1000*5000)</f>
        <v>4.921259842519685E-4</v>
      </c>
      <c r="F96" s="6"/>
      <c r="G96" s="357">
        <v>1E-3</v>
      </c>
      <c r="H96" s="244">
        <v>0</v>
      </c>
      <c r="I96" s="325">
        <f t="shared" si="18"/>
        <v>1.4921259842519685E-3</v>
      </c>
      <c r="J96" s="328">
        <v>50000</v>
      </c>
      <c r="K96" s="244">
        <f>J96/(C96*1000*5000)</f>
        <v>4.921259842519685E-4</v>
      </c>
      <c r="L96" s="6"/>
      <c r="M96" s="357">
        <v>1E-3</v>
      </c>
      <c r="N96" s="325">
        <f t="shared" si="20"/>
        <v>1.4921259842519685E-3</v>
      </c>
      <c r="O96" s="337" t="s">
        <v>2256</v>
      </c>
      <c r="P96" s="383">
        <v>5.0000000000000001E-3</v>
      </c>
      <c r="Q96" s="384" t="s">
        <v>2257</v>
      </c>
      <c r="R96" s="383">
        <v>1.6000000000000001E-3</v>
      </c>
      <c r="S96" s="383">
        <v>2.9999999999999997E-4</v>
      </c>
      <c r="T96" s="388">
        <f t="shared" si="21"/>
        <v>6.8999999999999999E-3</v>
      </c>
      <c r="U96" s="74">
        <v>1000000</v>
      </c>
      <c r="V96" s="387"/>
      <c r="W96" s="387"/>
    </row>
    <row r="97" spans="1:23" ht="17.25" thickBot="1">
      <c r="A97" s="358" t="s">
        <v>2260</v>
      </c>
      <c r="B97" s="359" t="s">
        <v>2261</v>
      </c>
      <c r="C97" s="360">
        <v>20.43</v>
      </c>
      <c r="D97" s="361">
        <v>5000</v>
      </c>
      <c r="E97" s="362">
        <f t="shared" si="17"/>
        <v>4.8947626040137058E-4</v>
      </c>
      <c r="F97" s="359"/>
      <c r="G97" s="362">
        <v>1E-3</v>
      </c>
      <c r="H97" s="362">
        <v>0</v>
      </c>
      <c r="I97" s="336">
        <f t="shared" si="18"/>
        <v>1.4894762604013706E-3</v>
      </c>
      <c r="J97" s="361">
        <v>5000</v>
      </c>
      <c r="K97" s="362">
        <f t="shared" si="19"/>
        <v>4.8947626040137058E-4</v>
      </c>
      <c r="L97" s="359"/>
      <c r="M97" s="362">
        <v>1E-3</v>
      </c>
      <c r="N97" s="336">
        <f t="shared" si="20"/>
        <v>1.4894762604013706E-3</v>
      </c>
      <c r="P97" s="383">
        <v>3.5000000000000001E-3</v>
      </c>
      <c r="Q97" s="383">
        <v>4.0000000000000002E-4</v>
      </c>
      <c r="R97" s="383">
        <v>1.6000000000000001E-3</v>
      </c>
      <c r="S97" s="383">
        <v>2.9999999999999997E-4</v>
      </c>
      <c r="T97" s="388">
        <f t="shared" si="21"/>
        <v>5.8000000000000005E-3</v>
      </c>
      <c r="U97" s="74">
        <v>1000000</v>
      </c>
      <c r="V97" s="387"/>
      <c r="W97" s="387"/>
    </row>
    <row r="98" spans="1:23">
      <c r="O98" s="311"/>
      <c r="P98" s="311"/>
    </row>
    <row r="99" spans="1:23">
      <c r="O99" s="311"/>
      <c r="P99" s="311"/>
    </row>
    <row r="100" spans="1:23" ht="26.25" thickBot="1">
      <c r="A100" s="504" t="s">
        <v>2262</v>
      </c>
      <c r="B100" s="505"/>
      <c r="C100" s="505"/>
      <c r="D100" s="506"/>
      <c r="E100" s="506"/>
      <c r="F100" s="506"/>
      <c r="G100" s="506"/>
      <c r="H100" s="506"/>
      <c r="I100" s="506"/>
      <c r="J100" s="506"/>
      <c r="K100" s="506"/>
      <c r="L100" s="506"/>
      <c r="M100" s="506"/>
      <c r="N100" s="507"/>
      <c r="P100" s="311"/>
    </row>
    <row r="101" spans="1:23" ht="16.5" customHeight="1">
      <c r="A101" s="487" t="s">
        <v>2180</v>
      </c>
      <c r="B101" s="489" t="s">
        <v>2100</v>
      </c>
      <c r="C101" s="491" t="s">
        <v>2101</v>
      </c>
      <c r="D101" s="493" t="s">
        <v>2102</v>
      </c>
      <c r="E101" s="494"/>
      <c r="F101" s="495"/>
      <c r="G101" s="495"/>
      <c r="H101" s="495"/>
      <c r="I101" s="496"/>
      <c r="J101" s="469" t="s">
        <v>2103</v>
      </c>
      <c r="K101" s="470"/>
      <c r="L101" s="471"/>
      <c r="M101" s="471"/>
      <c r="N101" s="472"/>
    </row>
    <row r="102" spans="1:23" ht="27.75" thickBot="1">
      <c r="A102" s="508"/>
      <c r="B102" s="509"/>
      <c r="C102" s="510"/>
      <c r="D102" s="363" t="s">
        <v>2102</v>
      </c>
      <c r="E102" s="364" t="s">
        <v>2107</v>
      </c>
      <c r="F102" s="365" t="s">
        <v>2108</v>
      </c>
      <c r="G102" s="364" t="s">
        <v>2109</v>
      </c>
      <c r="H102" s="366" t="s">
        <v>2110</v>
      </c>
      <c r="I102" s="367" t="s">
        <v>2111</v>
      </c>
      <c r="J102" s="363" t="s">
        <v>2103</v>
      </c>
      <c r="K102" s="364" t="s">
        <v>2107</v>
      </c>
      <c r="L102" s="365" t="s">
        <v>2112</v>
      </c>
      <c r="M102" s="364" t="s">
        <v>2113</v>
      </c>
      <c r="N102" s="368" t="s">
        <v>2114</v>
      </c>
      <c r="P102" s="315" t="s">
        <v>2115</v>
      </c>
      <c r="Q102" s="315" t="s">
        <v>2224</v>
      </c>
      <c r="R102" s="315" t="s">
        <v>2117</v>
      </c>
      <c r="S102" s="315" t="s">
        <v>2118</v>
      </c>
      <c r="T102" s="315" t="s">
        <v>2225</v>
      </c>
      <c r="U102" s="315" t="s">
        <v>2120</v>
      </c>
      <c r="V102" s="380"/>
      <c r="W102" s="380"/>
    </row>
    <row r="103" spans="1:23">
      <c r="A103" s="369" t="s">
        <v>59</v>
      </c>
      <c r="B103" s="370" t="s">
        <v>2006</v>
      </c>
      <c r="C103" s="371">
        <v>15.97</v>
      </c>
      <c r="D103" s="389">
        <v>5000</v>
      </c>
      <c r="E103" s="372">
        <f>D103/(C103*1000*500)</f>
        <v>6.2617407639323729E-4</v>
      </c>
      <c r="F103" s="370"/>
      <c r="G103" s="372">
        <v>2E-3</v>
      </c>
      <c r="H103" s="372">
        <v>1E-3</v>
      </c>
      <c r="I103" s="373">
        <f>E103+G103+H103</f>
        <v>3.6261740763932375E-3</v>
      </c>
      <c r="J103" s="389">
        <v>5000</v>
      </c>
      <c r="K103" s="372">
        <f>J103/(C103*1000*500)</f>
        <v>6.2617407639323729E-4</v>
      </c>
      <c r="L103" s="372"/>
      <c r="M103" s="372">
        <v>4.0000000000000001E-3</v>
      </c>
      <c r="N103" s="374">
        <f>K103+M103</f>
        <v>4.6261740763932375E-3</v>
      </c>
      <c r="P103" s="383">
        <v>9.4999999999999998E-3</v>
      </c>
      <c r="Q103" s="384" t="s">
        <v>2263</v>
      </c>
      <c r="R103" s="383">
        <v>1.2999999999999999E-3</v>
      </c>
      <c r="S103" s="383">
        <v>2.9999999999999997E-4</v>
      </c>
      <c r="T103" s="388">
        <f>SUM(P103:S103)</f>
        <v>1.11E-2</v>
      </c>
      <c r="U103" s="74">
        <v>1000000</v>
      </c>
      <c r="V103" s="387"/>
      <c r="W103" s="387"/>
    </row>
    <row r="104" spans="1:23">
      <c r="A104" s="328" t="s">
        <v>105</v>
      </c>
      <c r="B104" s="6" t="s">
        <v>2033</v>
      </c>
      <c r="C104" s="375">
        <v>23.03</v>
      </c>
      <c r="D104" s="329">
        <v>5000</v>
      </c>
      <c r="E104" s="244">
        <f>D104/(C104*1000*500)</f>
        <v>4.3421623968736432E-4</v>
      </c>
      <c r="F104" s="6"/>
      <c r="G104" s="244">
        <v>1.1999999999999999E-3</v>
      </c>
      <c r="H104" s="244">
        <v>1E-3</v>
      </c>
      <c r="I104" s="345">
        <f>E104+G104+H104</f>
        <v>2.6342162396873641E-3</v>
      </c>
      <c r="J104" s="329">
        <v>5000</v>
      </c>
      <c r="K104" s="244">
        <f>J104/(C104*1000*500)</f>
        <v>4.3421623968736432E-4</v>
      </c>
      <c r="L104" s="6"/>
      <c r="M104" s="244">
        <v>1.1999999999999999E-3</v>
      </c>
      <c r="N104" s="325">
        <f>K104+M104</f>
        <v>1.6342162396873641E-3</v>
      </c>
      <c r="P104" s="383">
        <v>8.5000000000000006E-3</v>
      </c>
      <c r="Q104" s="384" t="s">
        <v>2264</v>
      </c>
      <c r="R104" s="383">
        <v>1.6000000000000001E-3</v>
      </c>
      <c r="S104" s="383">
        <v>2.9999999999999997E-4</v>
      </c>
      <c r="T104" s="388">
        <f>SUM(P104:S104)</f>
        <v>1.0400000000000001E-2</v>
      </c>
      <c r="U104" s="74">
        <v>1000000</v>
      </c>
      <c r="V104" s="387"/>
      <c r="W104" s="387"/>
    </row>
    <row r="105" spans="1:23">
      <c r="A105" s="328" t="s">
        <v>111</v>
      </c>
      <c r="B105" s="6" t="s">
        <v>2036</v>
      </c>
      <c r="C105" s="375">
        <v>12.01</v>
      </c>
      <c r="D105" s="329">
        <v>2000</v>
      </c>
      <c r="E105" s="244">
        <f>D105/(C105*1000*500)</f>
        <v>3.3305578684429644E-4</v>
      </c>
      <c r="F105" s="6"/>
      <c r="G105" s="244">
        <v>2.0000000000000001E-4</v>
      </c>
      <c r="H105" s="244">
        <v>1E-3</v>
      </c>
      <c r="I105" s="345">
        <f>E105+G105+H105</f>
        <v>1.5330557868442965E-3</v>
      </c>
      <c r="J105" s="329">
        <v>2000</v>
      </c>
      <c r="K105" s="244">
        <f>J105/(C105*1000*500)</f>
        <v>3.3305578684429644E-4</v>
      </c>
      <c r="L105" s="6"/>
      <c r="M105" s="244">
        <v>2.0000000000000001E-4</v>
      </c>
      <c r="N105" s="325">
        <f>K105+M105</f>
        <v>5.3305578684429648E-4</v>
      </c>
      <c r="P105" s="383">
        <v>3.0000000000000001E-3</v>
      </c>
      <c r="Q105" s="384" t="s">
        <v>2185</v>
      </c>
      <c r="R105" s="383">
        <v>4.0000000000000002E-4</v>
      </c>
      <c r="S105" s="383">
        <v>2.9999999999999997E-4</v>
      </c>
      <c r="T105" s="388">
        <f>SUM(P105:S105)</f>
        <v>3.7000000000000002E-3</v>
      </c>
      <c r="U105" s="74">
        <v>1000000</v>
      </c>
      <c r="V105" s="387"/>
      <c r="W105" s="387"/>
    </row>
    <row r="106" spans="1:23" ht="17.25" thickBot="1">
      <c r="A106" s="361" t="s">
        <v>112</v>
      </c>
      <c r="B106" s="359" t="s">
        <v>2037</v>
      </c>
      <c r="C106" s="376">
        <v>9.0399999999999991</v>
      </c>
      <c r="D106" s="330">
        <v>2000</v>
      </c>
      <c r="E106" s="362">
        <f>D106/(C106*1000*500)</f>
        <v>4.4247787610619468E-4</v>
      </c>
      <c r="F106" s="359"/>
      <c r="G106" s="362">
        <v>1E-4</v>
      </c>
      <c r="H106" s="362">
        <v>1E-3</v>
      </c>
      <c r="I106" s="351">
        <f>E106+G106+H106</f>
        <v>1.5424778761061948E-3</v>
      </c>
      <c r="J106" s="330">
        <v>2000</v>
      </c>
      <c r="K106" s="362">
        <f>J106/(C106*1000*500)</f>
        <v>4.4247787610619468E-4</v>
      </c>
      <c r="L106" s="359"/>
      <c r="M106" s="362">
        <v>1E-4</v>
      </c>
      <c r="N106" s="336">
        <f>K106+M106</f>
        <v>5.4247787610619473E-4</v>
      </c>
      <c r="P106" s="383">
        <v>3.0000000000000001E-3</v>
      </c>
      <c r="Q106" s="384" t="s">
        <v>2185</v>
      </c>
      <c r="R106" s="383">
        <v>4.0000000000000002E-4</v>
      </c>
      <c r="S106" s="383">
        <v>2.9999999999999997E-4</v>
      </c>
      <c r="T106" s="388">
        <f>SUM(P106:S106)</f>
        <v>3.7000000000000002E-3</v>
      </c>
      <c r="U106" s="74">
        <v>1000000</v>
      </c>
      <c r="V106" s="387"/>
      <c r="W106" s="387"/>
    </row>
    <row r="107" spans="1:23">
      <c r="O107" s="311"/>
      <c r="P107" s="311"/>
    </row>
    <row r="108" spans="1:23">
      <c r="O108" s="311"/>
      <c r="P108" s="311"/>
    </row>
    <row r="109" spans="1:23">
      <c r="P109" s="311"/>
    </row>
    <row r="110" spans="1:23" ht="26.25" thickBot="1">
      <c r="A110" s="504" t="s">
        <v>2265</v>
      </c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11"/>
      <c r="P110" s="311"/>
    </row>
    <row r="111" spans="1:23" ht="16.5" customHeight="1">
      <c r="A111" s="487" t="s">
        <v>2180</v>
      </c>
      <c r="B111" s="489" t="s">
        <v>2100</v>
      </c>
      <c r="C111" s="491" t="s">
        <v>2101</v>
      </c>
      <c r="D111" s="493" t="s">
        <v>2102</v>
      </c>
      <c r="E111" s="494"/>
      <c r="F111" s="495"/>
      <c r="G111" s="495"/>
      <c r="H111" s="495"/>
      <c r="I111" s="496"/>
      <c r="J111" s="469" t="s">
        <v>2103</v>
      </c>
      <c r="K111" s="470"/>
      <c r="L111" s="471"/>
      <c r="M111" s="471"/>
      <c r="N111" s="472"/>
      <c r="P111" s="311"/>
      <c r="V111" s="38"/>
      <c r="W111" s="38"/>
    </row>
    <row r="112" spans="1:23" ht="27">
      <c r="A112" s="488"/>
      <c r="B112" s="490"/>
      <c r="C112" s="492"/>
      <c r="D112" s="313" t="s">
        <v>2102</v>
      </c>
      <c r="E112" s="314" t="s">
        <v>2107</v>
      </c>
      <c r="F112" s="315" t="s">
        <v>2108</v>
      </c>
      <c r="G112" s="314" t="s">
        <v>2109</v>
      </c>
      <c r="H112" s="316" t="s">
        <v>2110</v>
      </c>
      <c r="I112" s="317" t="s">
        <v>2111</v>
      </c>
      <c r="J112" s="313" t="s">
        <v>2103</v>
      </c>
      <c r="K112" s="314" t="s">
        <v>2107</v>
      </c>
      <c r="L112" s="315" t="s">
        <v>2112</v>
      </c>
      <c r="M112" s="314" t="s">
        <v>2113</v>
      </c>
      <c r="N112" s="318" t="s">
        <v>2114</v>
      </c>
      <c r="P112" s="315" t="s">
        <v>2115</v>
      </c>
      <c r="Q112" s="315" t="s">
        <v>2224</v>
      </c>
      <c r="R112" s="315" t="s">
        <v>2117</v>
      </c>
      <c r="S112" s="315" t="s">
        <v>2118</v>
      </c>
      <c r="T112" s="315" t="s">
        <v>2225</v>
      </c>
      <c r="U112" s="315" t="s">
        <v>2120</v>
      </c>
      <c r="V112" s="380"/>
      <c r="W112" s="380"/>
    </row>
    <row r="113" spans="1:23" ht="17.25" thickBot="1">
      <c r="A113" s="361" t="s">
        <v>2266</v>
      </c>
      <c r="B113" s="359" t="s">
        <v>2094</v>
      </c>
      <c r="C113" s="377">
        <v>19.600000000000001</v>
      </c>
      <c r="D113" s="361">
        <v>5000</v>
      </c>
      <c r="E113" s="362">
        <f>D113/(C113*1000*500)</f>
        <v>5.1020408163265311E-4</v>
      </c>
      <c r="F113" s="359">
        <v>2000</v>
      </c>
      <c r="G113" s="362">
        <f>F113/(C113*1000*500)</f>
        <v>2.0408163265306123E-4</v>
      </c>
      <c r="H113" s="362">
        <v>1E-3</v>
      </c>
      <c r="I113" s="336">
        <f>E113+G113+H113</f>
        <v>1.7142857142857144E-3</v>
      </c>
      <c r="J113" s="361">
        <v>5000</v>
      </c>
      <c r="K113" s="362">
        <f>J113/(C113*1000*500)</f>
        <v>5.1020408163265311E-4</v>
      </c>
      <c r="L113" s="359">
        <v>2000</v>
      </c>
      <c r="M113" s="362">
        <f>L113/(C113*1000*500)</f>
        <v>2.0408163265306123E-4</v>
      </c>
      <c r="N113" s="336">
        <f>K113+M113</f>
        <v>7.1428571428571439E-4</v>
      </c>
      <c r="P113" s="383">
        <v>0.01</v>
      </c>
      <c r="Q113" s="384" t="s">
        <v>2149</v>
      </c>
      <c r="R113" s="383">
        <v>1.5E-3</v>
      </c>
      <c r="S113" s="383">
        <v>2.9999999999999997E-4</v>
      </c>
      <c r="T113" s="383">
        <f>SUM(P113:S113)</f>
        <v>1.18E-2</v>
      </c>
      <c r="U113" s="74">
        <v>1000000</v>
      </c>
      <c r="V113" s="387"/>
      <c r="W113" s="387"/>
    </row>
    <row r="114" spans="1:23">
      <c r="P114" s="38"/>
      <c r="Q114" s="38"/>
      <c r="R114" s="38"/>
      <c r="S114" s="38"/>
      <c r="T114" s="38"/>
      <c r="U114" s="38"/>
      <c r="V114" s="38"/>
      <c r="W114" s="38"/>
    </row>
    <row r="115" spans="1:23">
      <c r="P115" s="38"/>
      <c r="Q115" s="38"/>
      <c r="R115" s="38"/>
      <c r="S115" s="38"/>
      <c r="T115" s="38"/>
      <c r="U115" s="38"/>
      <c r="V115" s="38"/>
      <c r="W115" s="38"/>
    </row>
    <row r="116" spans="1:23" ht="26.25" thickBot="1">
      <c r="A116" s="512" t="s">
        <v>2267</v>
      </c>
      <c r="B116" s="512"/>
      <c r="C116" s="512"/>
      <c r="D116" s="512"/>
      <c r="E116" s="512"/>
      <c r="F116" s="512"/>
      <c r="G116" s="512"/>
      <c r="H116" s="512"/>
      <c r="I116" s="512"/>
      <c r="J116" s="512"/>
      <c r="K116" s="512"/>
      <c r="L116" s="512"/>
      <c r="M116" s="512"/>
      <c r="N116" s="512"/>
      <c r="P116" s="38"/>
      <c r="Q116" s="38"/>
      <c r="R116" s="38"/>
      <c r="S116" s="38"/>
      <c r="T116" s="38"/>
      <c r="U116" s="38"/>
      <c r="V116" s="38"/>
      <c r="W116" s="38"/>
    </row>
    <row r="117" spans="1:23" ht="16.5" customHeight="1">
      <c r="A117" s="487" t="s">
        <v>2180</v>
      </c>
      <c r="B117" s="489" t="s">
        <v>2100</v>
      </c>
      <c r="C117" s="491" t="s">
        <v>2101</v>
      </c>
      <c r="D117" s="493" t="s">
        <v>2102</v>
      </c>
      <c r="E117" s="494"/>
      <c r="F117" s="495"/>
      <c r="G117" s="495"/>
      <c r="H117" s="495"/>
      <c r="I117" s="496"/>
      <c r="J117" s="469" t="s">
        <v>2103</v>
      </c>
      <c r="K117" s="470"/>
      <c r="L117" s="471"/>
      <c r="M117" s="471"/>
      <c r="N117" s="472"/>
      <c r="Q117" s="38"/>
      <c r="R117" s="38"/>
      <c r="S117" s="38"/>
      <c r="T117" s="38"/>
      <c r="U117" s="38"/>
      <c r="V117" s="38"/>
      <c r="W117" s="38"/>
    </row>
    <row r="118" spans="1:23" ht="27">
      <c r="A118" s="488"/>
      <c r="B118" s="490"/>
      <c r="C118" s="492"/>
      <c r="D118" s="313" t="s">
        <v>2102</v>
      </c>
      <c r="E118" s="314" t="s">
        <v>2107</v>
      </c>
      <c r="F118" s="315" t="s">
        <v>2108</v>
      </c>
      <c r="G118" s="314" t="s">
        <v>2109</v>
      </c>
      <c r="H118" s="316" t="s">
        <v>2110</v>
      </c>
      <c r="I118" s="317" t="s">
        <v>2111</v>
      </c>
      <c r="J118" s="313" t="s">
        <v>2103</v>
      </c>
      <c r="K118" s="314" t="s">
        <v>2107</v>
      </c>
      <c r="L118" s="315" t="s">
        <v>2112</v>
      </c>
      <c r="M118" s="314" t="s">
        <v>2113</v>
      </c>
      <c r="N118" s="318" t="s">
        <v>2114</v>
      </c>
      <c r="P118" s="315" t="s">
        <v>2115</v>
      </c>
      <c r="Q118" s="315" t="s">
        <v>2224</v>
      </c>
      <c r="R118" s="315" t="s">
        <v>2117</v>
      </c>
      <c r="S118" s="315" t="s">
        <v>2118</v>
      </c>
      <c r="T118" s="315" t="s">
        <v>2225</v>
      </c>
      <c r="U118" s="315" t="s">
        <v>2120</v>
      </c>
      <c r="V118" s="380"/>
      <c r="W118" s="380"/>
    </row>
    <row r="119" spans="1:23">
      <c r="A119" s="328" t="s">
        <v>114</v>
      </c>
      <c r="B119" s="6" t="s">
        <v>2038</v>
      </c>
      <c r="C119" s="378">
        <v>21.44</v>
      </c>
      <c r="D119" s="328">
        <v>2000</v>
      </c>
      <c r="E119" s="244">
        <f>D119/(C119*1000*500)</f>
        <v>1.8656716417910448E-4</v>
      </c>
      <c r="F119" s="6"/>
      <c r="G119" s="244">
        <v>1E-3</v>
      </c>
      <c r="H119" s="244">
        <v>1E-3</v>
      </c>
      <c r="I119" s="325">
        <f>E119+G119+H119</f>
        <v>2.1865671641791047E-3</v>
      </c>
      <c r="J119" s="328">
        <v>2000</v>
      </c>
      <c r="K119" s="244">
        <f>J119/(C119*1000*500)</f>
        <v>1.8656716417910448E-4</v>
      </c>
      <c r="L119" s="6"/>
      <c r="M119" s="244">
        <v>4.0000000000000001E-3</v>
      </c>
      <c r="N119" s="325">
        <f>K119+M119</f>
        <v>4.1865671641791048E-3</v>
      </c>
      <c r="P119" s="383">
        <v>3.2000000000000002E-3</v>
      </c>
      <c r="Q119" s="384" t="s">
        <v>2268</v>
      </c>
      <c r="R119" s="383">
        <v>3.5E-4</v>
      </c>
      <c r="S119" s="383">
        <v>2.9999999999999997E-4</v>
      </c>
      <c r="T119" s="383">
        <f>SUM(P119:S119)</f>
        <v>3.8500000000000001E-3</v>
      </c>
      <c r="U119" s="74">
        <v>1000000</v>
      </c>
      <c r="V119" s="387"/>
      <c r="W119" s="387"/>
    </row>
    <row r="120" spans="1:23" ht="17.25" thickBot="1">
      <c r="A120" s="361" t="s">
        <v>113</v>
      </c>
      <c r="B120" s="359" t="s">
        <v>2095</v>
      </c>
      <c r="C120" s="377">
        <v>18.149999999999999</v>
      </c>
      <c r="D120" s="361">
        <v>2000</v>
      </c>
      <c r="E120" s="362">
        <f>D120/(C120*1000*500)</f>
        <v>2.2038567493112948E-4</v>
      </c>
      <c r="F120" s="359"/>
      <c r="G120" s="362">
        <v>2.0000000000000001E-4</v>
      </c>
      <c r="H120" s="362">
        <v>1E-3</v>
      </c>
      <c r="I120" s="336">
        <f>E120+G120+H120</f>
        <v>1.4203856749311296E-3</v>
      </c>
      <c r="J120" s="361">
        <v>2000</v>
      </c>
      <c r="K120" s="362">
        <f>J120/(C120*1000*500)</f>
        <v>2.2038567493112948E-4</v>
      </c>
      <c r="L120" s="359"/>
      <c r="M120" s="362">
        <v>2.0000000000000001E-4</v>
      </c>
      <c r="N120" s="336">
        <f>K120+M120</f>
        <v>4.2038567493112949E-4</v>
      </c>
      <c r="P120" s="383">
        <v>6.4999999999999997E-3</v>
      </c>
      <c r="Q120" s="384" t="s">
        <v>2269</v>
      </c>
      <c r="R120" s="383">
        <v>4.0000000000000002E-4</v>
      </c>
      <c r="S120" s="383">
        <v>2.9999999999999997E-4</v>
      </c>
      <c r="T120" s="383">
        <f>SUM(P120:S120)</f>
        <v>7.1999999999999998E-3</v>
      </c>
      <c r="U120" s="74">
        <v>1000000</v>
      </c>
      <c r="V120" s="387"/>
      <c r="W120" s="387"/>
    </row>
    <row r="121" spans="1:23">
      <c r="P121" s="311"/>
    </row>
    <row r="122" spans="1:23">
      <c r="P122" s="311"/>
    </row>
    <row r="123" spans="1:23" ht="26.25" thickBot="1">
      <c r="A123" s="504" t="s">
        <v>2270</v>
      </c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11"/>
      <c r="P123" s="311"/>
    </row>
    <row r="124" spans="1:23" ht="16.5" customHeight="1">
      <c r="A124" s="487" t="s">
        <v>2180</v>
      </c>
      <c r="B124" s="489" t="s">
        <v>2100</v>
      </c>
      <c r="C124" s="491" t="s">
        <v>2101</v>
      </c>
      <c r="D124" s="493" t="s">
        <v>2102</v>
      </c>
      <c r="E124" s="494"/>
      <c r="F124" s="495"/>
      <c r="G124" s="495"/>
      <c r="H124" s="495"/>
      <c r="I124" s="496"/>
      <c r="J124" s="469" t="s">
        <v>2103</v>
      </c>
      <c r="K124" s="470"/>
      <c r="L124" s="471"/>
      <c r="M124" s="471"/>
      <c r="N124" s="472"/>
    </row>
    <row r="125" spans="1:23" ht="27">
      <c r="A125" s="488"/>
      <c r="B125" s="490"/>
      <c r="C125" s="492"/>
      <c r="D125" s="313" t="s">
        <v>2102</v>
      </c>
      <c r="E125" s="314" t="s">
        <v>2107</v>
      </c>
      <c r="F125" s="315" t="s">
        <v>2108</v>
      </c>
      <c r="G125" s="314" t="s">
        <v>2109</v>
      </c>
      <c r="H125" s="316" t="s">
        <v>2110</v>
      </c>
      <c r="I125" s="317" t="s">
        <v>2111</v>
      </c>
      <c r="J125" s="313" t="s">
        <v>2103</v>
      </c>
      <c r="K125" s="314" t="s">
        <v>2107</v>
      </c>
      <c r="L125" s="315" t="s">
        <v>2112</v>
      </c>
      <c r="M125" s="314" t="s">
        <v>2113</v>
      </c>
      <c r="N125" s="318" t="s">
        <v>2114</v>
      </c>
      <c r="P125" s="315" t="s">
        <v>2115</v>
      </c>
      <c r="Q125" s="315" t="s">
        <v>2224</v>
      </c>
      <c r="R125" s="315" t="s">
        <v>2117</v>
      </c>
      <c r="S125" s="315" t="s">
        <v>2118</v>
      </c>
      <c r="T125" s="315" t="s">
        <v>2225</v>
      </c>
      <c r="U125" s="315" t="s">
        <v>2120</v>
      </c>
      <c r="V125" s="380"/>
      <c r="W125" s="380"/>
    </row>
    <row r="126" spans="1:23">
      <c r="A126" s="328" t="s">
        <v>367</v>
      </c>
      <c r="B126" s="6" t="s">
        <v>2096</v>
      </c>
      <c r="C126" s="378">
        <v>21</v>
      </c>
      <c r="D126" s="329">
        <v>2000</v>
      </c>
      <c r="E126" s="244">
        <f>D126/(C126*1000*500)</f>
        <v>1.9047619047619048E-4</v>
      </c>
      <c r="F126" s="6"/>
      <c r="G126" s="244">
        <v>3.5000000000000001E-3</v>
      </c>
      <c r="H126" s="244">
        <v>1E-3</v>
      </c>
      <c r="I126" s="325">
        <f>E126+G126+H126</f>
        <v>4.6904761904761911E-3</v>
      </c>
      <c r="J126" s="329">
        <v>2000</v>
      </c>
      <c r="K126" s="244">
        <f>J126/(C126*1000*500)</f>
        <v>1.9047619047619048E-4</v>
      </c>
      <c r="L126" s="6"/>
      <c r="M126" s="244">
        <v>3.5000000000000001E-3</v>
      </c>
      <c r="N126" s="325">
        <f>K126+M126</f>
        <v>3.6904761904761906E-3</v>
      </c>
      <c r="P126" s="383">
        <v>8.9999999999999993E-3</v>
      </c>
      <c r="Q126" s="384" t="s">
        <v>2271</v>
      </c>
      <c r="R126" s="383">
        <v>2E-3</v>
      </c>
      <c r="S126" s="383">
        <v>2.9999999999999997E-4</v>
      </c>
      <c r="T126" s="383">
        <f>SUM(P126:S126)</f>
        <v>1.1299999999999999E-2</v>
      </c>
      <c r="U126" s="74">
        <v>1000000</v>
      </c>
      <c r="V126" s="387"/>
      <c r="W126" s="387"/>
    </row>
    <row r="127" spans="1:23">
      <c r="A127" s="328" t="s">
        <v>368</v>
      </c>
      <c r="B127" s="6" t="s">
        <v>2097</v>
      </c>
      <c r="C127" s="378">
        <v>20.21</v>
      </c>
      <c r="D127" s="329">
        <v>2000</v>
      </c>
      <c r="E127" s="244">
        <f>D127/(C127*1000*500)</f>
        <v>1.9792182088075209E-4</v>
      </c>
      <c r="F127" s="6"/>
      <c r="G127" s="244">
        <v>2.5000000000000001E-3</v>
      </c>
      <c r="H127" s="244">
        <v>1E-3</v>
      </c>
      <c r="I127" s="325">
        <f>E127+G127+H127</f>
        <v>3.6979218208807521E-3</v>
      </c>
      <c r="J127" s="329">
        <v>2000</v>
      </c>
      <c r="K127" s="244">
        <f>J127/(C127*1000*500)</f>
        <v>1.9792182088075209E-4</v>
      </c>
      <c r="L127" s="6"/>
      <c r="M127" s="244">
        <v>2.5000000000000001E-3</v>
      </c>
      <c r="N127" s="325">
        <f>K127+M127</f>
        <v>2.6979218208807521E-3</v>
      </c>
      <c r="P127" s="383">
        <v>7.4999999999999997E-3</v>
      </c>
      <c r="Q127" s="384" t="s">
        <v>2272</v>
      </c>
      <c r="R127" s="383">
        <v>4.0000000000000002E-4</v>
      </c>
      <c r="S127" s="383">
        <v>2.9999999999999997E-4</v>
      </c>
      <c r="T127" s="383">
        <f>SUM(P127:S127)</f>
        <v>8.199999999999999E-3</v>
      </c>
      <c r="U127" s="74">
        <v>1000000</v>
      </c>
      <c r="V127" s="387"/>
      <c r="W127" s="387"/>
    </row>
    <row r="128" spans="1:23" ht="17.25" thickBot="1">
      <c r="A128" s="361" t="s">
        <v>369</v>
      </c>
      <c r="B128" s="359" t="s">
        <v>2097</v>
      </c>
      <c r="C128" s="377">
        <v>19.97</v>
      </c>
      <c r="D128" s="330">
        <v>2000</v>
      </c>
      <c r="E128" s="362">
        <f>D128/(C128*1000*500)</f>
        <v>2.0030045067601402E-4</v>
      </c>
      <c r="F128" s="359"/>
      <c r="G128" s="362">
        <v>2.5000000000000001E-3</v>
      </c>
      <c r="H128" s="362">
        <v>1E-3</v>
      </c>
      <c r="I128" s="336">
        <f>E128+G128+H128</f>
        <v>3.700300450676014E-3</v>
      </c>
      <c r="J128" s="330">
        <v>2000</v>
      </c>
      <c r="K128" s="362">
        <f>J128/(C128*1000*500)</f>
        <v>2.0030045067601402E-4</v>
      </c>
      <c r="L128" s="359"/>
      <c r="M128" s="362">
        <v>2.5000000000000001E-3</v>
      </c>
      <c r="N128" s="336">
        <f>K128+M128</f>
        <v>2.700300450676014E-3</v>
      </c>
      <c r="P128" s="383">
        <v>7.4999999999999997E-3</v>
      </c>
      <c r="Q128" s="384" t="s">
        <v>2272</v>
      </c>
      <c r="R128" s="383">
        <v>4.0000000000000002E-4</v>
      </c>
      <c r="S128" s="383">
        <v>2.9999999999999997E-4</v>
      </c>
      <c r="T128" s="383">
        <f>SUM(P128:S128)</f>
        <v>8.199999999999999E-3</v>
      </c>
      <c r="U128" s="74">
        <v>1000000</v>
      </c>
      <c r="V128" s="387"/>
      <c r="W128" s="387"/>
    </row>
    <row r="129" s="311" customFormat="1"/>
    <row r="130" s="311" customFormat="1"/>
    <row r="131" s="311" customFormat="1"/>
    <row r="132" s="311" customFormat="1"/>
    <row r="133" s="311" customFormat="1"/>
    <row r="134" s="311" customFormat="1"/>
    <row r="135" s="311" customFormat="1"/>
    <row r="136" s="311" customFormat="1"/>
    <row r="137" s="311" customFormat="1"/>
    <row r="138" s="311" customFormat="1"/>
  </sheetData>
  <sortState ref="A1:A102">
    <sortCondition ref="A1"/>
  </sortState>
  <mergeCells count="49">
    <mergeCell ref="A123:N123"/>
    <mergeCell ref="A124:A125"/>
    <mergeCell ref="B124:B125"/>
    <mergeCell ref="C124:C125"/>
    <mergeCell ref="D124:I124"/>
    <mergeCell ref="J124:N124"/>
    <mergeCell ref="A116:N116"/>
    <mergeCell ref="A117:A118"/>
    <mergeCell ref="B117:B118"/>
    <mergeCell ref="C117:C118"/>
    <mergeCell ref="D117:I117"/>
    <mergeCell ref="J117:N117"/>
    <mergeCell ref="A110:N110"/>
    <mergeCell ref="A111:A112"/>
    <mergeCell ref="B111:B112"/>
    <mergeCell ref="C111:C112"/>
    <mergeCell ref="D111:I111"/>
    <mergeCell ref="J111:N111"/>
    <mergeCell ref="A100:N100"/>
    <mergeCell ref="A101:A102"/>
    <mergeCell ref="B101:B102"/>
    <mergeCell ref="C101:C102"/>
    <mergeCell ref="D101:I101"/>
    <mergeCell ref="J101:N101"/>
    <mergeCell ref="A88:N88"/>
    <mergeCell ref="A89:A90"/>
    <mergeCell ref="B89:B90"/>
    <mergeCell ref="C89:C90"/>
    <mergeCell ref="D89:I89"/>
    <mergeCell ref="J89:N89"/>
    <mergeCell ref="A68:N68"/>
    <mergeCell ref="A69:A70"/>
    <mergeCell ref="B69:B70"/>
    <mergeCell ref="C69:C70"/>
    <mergeCell ref="D69:I69"/>
    <mergeCell ref="J69:N69"/>
    <mergeCell ref="A38:N38"/>
    <mergeCell ref="A39:A40"/>
    <mergeCell ref="B39:B40"/>
    <mergeCell ref="C39:C40"/>
    <mergeCell ref="D39:I39"/>
    <mergeCell ref="J39:N39"/>
    <mergeCell ref="X2:Y2"/>
    <mergeCell ref="A1:N1"/>
    <mergeCell ref="A2:A3"/>
    <mergeCell ref="B2:B3"/>
    <mergeCell ref="C2:C3"/>
    <mergeCell ref="D2:I2"/>
    <mergeCell ref="J2:N2"/>
  </mergeCells>
  <phoneticPr fontId="5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F58"/>
  <sheetViews>
    <sheetView workbookViewId="0">
      <selection activeCell="A2" sqref="A2"/>
    </sheetView>
  </sheetViews>
  <sheetFormatPr defaultRowHeight="16.5"/>
  <cols>
    <col min="1" max="16384" width="9" style="310"/>
  </cols>
  <sheetData>
    <row r="1" spans="1:1">
      <c r="A1" s="310" t="s">
        <v>2045</v>
      </c>
    </row>
    <row r="2" spans="1:1">
      <c r="A2" s="310" t="s">
        <v>2086</v>
      </c>
    </row>
    <row r="3" spans="1:1">
      <c r="A3" s="310" t="s">
        <v>2046</v>
      </c>
    </row>
    <row r="5" spans="1:1">
      <c r="A5" s="310" t="s">
        <v>2047</v>
      </c>
    </row>
    <row r="6" spans="1:1">
      <c r="A6" s="310" t="s">
        <v>2048</v>
      </c>
    </row>
    <row r="7" spans="1:1">
      <c r="A7" s="310" t="s">
        <v>2049</v>
      </c>
    </row>
    <row r="9" spans="1:1">
      <c r="A9" s="310" t="s">
        <v>2050</v>
      </c>
    </row>
    <row r="10" spans="1:1">
      <c r="A10" s="310" t="s">
        <v>2051</v>
      </c>
    </row>
    <row r="12" spans="1:1">
      <c r="A12" s="310" t="s">
        <v>2052</v>
      </c>
    </row>
    <row r="13" spans="1:1">
      <c r="A13" s="310" t="s">
        <v>2053</v>
      </c>
    </row>
    <row r="15" spans="1:1">
      <c r="A15" s="310" t="s">
        <v>2054</v>
      </c>
    </row>
    <row r="16" spans="1:1">
      <c r="A16" s="310" t="s">
        <v>2055</v>
      </c>
    </row>
    <row r="18" spans="1:2">
      <c r="A18" s="310" t="s">
        <v>2056</v>
      </c>
    </row>
    <row r="19" spans="1:2">
      <c r="A19" s="310" t="s">
        <v>2057</v>
      </c>
    </row>
    <row r="21" spans="1:2">
      <c r="A21" s="310" t="s">
        <v>2058</v>
      </c>
    </row>
    <row r="22" spans="1:2">
      <c r="A22" s="310" t="s">
        <v>2059</v>
      </c>
    </row>
    <row r="23" spans="1:2">
      <c r="A23" s="310" t="s">
        <v>2060</v>
      </c>
    </row>
    <row r="24" spans="1:2">
      <c r="B24" s="310" t="s">
        <v>1770</v>
      </c>
    </row>
    <row r="26" spans="1:2">
      <c r="A26" s="310" t="s">
        <v>2061</v>
      </c>
    </row>
    <row r="27" spans="1:2">
      <c r="A27" s="310" t="s">
        <v>2062</v>
      </c>
    </row>
    <row r="28" spans="1:2">
      <c r="B28" s="310" t="s">
        <v>2063</v>
      </c>
    </row>
    <row r="30" spans="1:2">
      <c r="A30" s="310" t="s">
        <v>2064</v>
      </c>
    </row>
    <row r="31" spans="1:2">
      <c r="A31" s="310" t="s">
        <v>2065</v>
      </c>
    </row>
    <row r="32" spans="1:2">
      <c r="A32" s="310" t="s">
        <v>2066</v>
      </c>
      <c r="B32" s="312" t="s">
        <v>2088</v>
      </c>
    </row>
    <row r="33" spans="1:6">
      <c r="A33" s="310" t="s">
        <v>2067</v>
      </c>
      <c r="B33" s="310" t="s">
        <v>2068</v>
      </c>
    </row>
    <row r="34" spans="1:6">
      <c r="A34" s="310" t="s">
        <v>2067</v>
      </c>
      <c r="B34" s="310" t="s">
        <v>2069</v>
      </c>
    </row>
    <row r="35" spans="1:6">
      <c r="B35" s="310" t="s">
        <v>2070</v>
      </c>
    </row>
    <row r="36" spans="1:6">
      <c r="B36" s="312" t="s">
        <v>2089</v>
      </c>
      <c r="F36" s="310" t="s">
        <v>2090</v>
      </c>
    </row>
    <row r="37" spans="1:6">
      <c r="A37" s="310" t="s">
        <v>2071</v>
      </c>
    </row>
    <row r="38" spans="1:6">
      <c r="A38" s="310" t="s">
        <v>2072</v>
      </c>
      <c r="B38" s="312" t="s">
        <v>2087</v>
      </c>
    </row>
    <row r="39" spans="1:6">
      <c r="B39" s="310" t="s">
        <v>2073</v>
      </c>
    </row>
    <row r="41" spans="1:6">
      <c r="A41" s="310" t="s">
        <v>2074</v>
      </c>
    </row>
    <row r="42" spans="1:6">
      <c r="A42" s="310" t="s">
        <v>2075</v>
      </c>
    </row>
    <row r="43" spans="1:6">
      <c r="B43" s="310" t="s">
        <v>2076</v>
      </c>
    </row>
    <row r="45" spans="1:6">
      <c r="A45" s="310" t="s">
        <v>2077</v>
      </c>
    </row>
    <row r="46" spans="1:6">
      <c r="A46" s="310" t="s">
        <v>2066</v>
      </c>
      <c r="B46" s="310" t="s">
        <v>2078</v>
      </c>
    </row>
    <row r="47" spans="1:6">
      <c r="A47" s="310" t="s">
        <v>2067</v>
      </c>
      <c r="B47" s="310" t="s">
        <v>2079</v>
      </c>
    </row>
    <row r="48" spans="1:6">
      <c r="A48" s="310" t="s">
        <v>2067</v>
      </c>
      <c r="B48" s="310" t="s">
        <v>2080</v>
      </c>
    </row>
    <row r="50" spans="1:2">
      <c r="A50" s="310" t="s">
        <v>2081</v>
      </c>
    </row>
    <row r="51" spans="1:2">
      <c r="A51" s="310" t="s">
        <v>2075</v>
      </c>
    </row>
    <row r="52" spans="1:2">
      <c r="B52" s="310" t="s">
        <v>2082</v>
      </c>
    </row>
    <row r="53" spans="1:2">
      <c r="A53" s="310" t="s">
        <v>2072</v>
      </c>
    </row>
    <row r="54" spans="1:2">
      <c r="A54" s="310" t="s">
        <v>2083</v>
      </c>
    </row>
    <row r="55" spans="1:2">
      <c r="A55" s="310" t="s">
        <v>2072</v>
      </c>
    </row>
    <row r="56" spans="1:2">
      <c r="A56" s="310" t="s">
        <v>2072</v>
      </c>
    </row>
    <row r="57" spans="1:2">
      <c r="A57" s="310" t="s">
        <v>2084</v>
      </c>
    </row>
    <row r="58" spans="1:2">
      <c r="A58" s="310" t="s">
        <v>2085</v>
      </c>
    </row>
  </sheetData>
  <phoneticPr fontId="5" type="noConversion"/>
  <hyperlinks>
    <hyperlink ref="B32" r:id="rId1"/>
    <hyperlink ref="B38" r:id="rId2"/>
    <hyperlink ref="B36" r:id="rId3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136"/>
  <sheetViews>
    <sheetView workbookViewId="0">
      <selection activeCell="A2" sqref="A2"/>
    </sheetView>
  </sheetViews>
  <sheetFormatPr defaultRowHeight="16.5"/>
  <cols>
    <col min="1" max="1" width="19.375" style="75" customWidth="1"/>
    <col min="2" max="2" width="98.25" style="303" customWidth="1"/>
    <col min="3" max="3" width="29.375" style="23" customWidth="1"/>
    <col min="4" max="6" width="9" style="303"/>
    <col min="7" max="7" width="19.875" style="310" customWidth="1"/>
    <col min="8" max="8" width="16.5" style="310" customWidth="1"/>
    <col min="9" max="9" width="36.5" style="310" customWidth="1"/>
    <col min="10" max="16384" width="9" style="303"/>
  </cols>
  <sheetData>
    <row r="1" spans="1:9" s="310" customFormat="1" ht="21">
      <c r="A1" s="513" t="s">
        <v>2043</v>
      </c>
      <c r="B1" s="513"/>
      <c r="C1" s="513"/>
      <c r="G1" s="513" t="s">
        <v>2044</v>
      </c>
      <c r="H1" s="513"/>
      <c r="I1" s="513"/>
    </row>
    <row r="2" spans="1:9" s="310" customFormat="1">
      <c r="A2" s="304" t="s">
        <v>1711</v>
      </c>
      <c r="B2" s="6" t="s">
        <v>1712</v>
      </c>
      <c r="C2" s="26" t="s">
        <v>1713</v>
      </c>
      <c r="G2" s="6" t="s">
        <v>1711</v>
      </c>
      <c r="H2" s="6" t="s">
        <v>1712</v>
      </c>
      <c r="I2" s="6" t="s">
        <v>1713</v>
      </c>
    </row>
    <row r="3" spans="1:9">
      <c r="A3" s="304" t="s">
        <v>68</v>
      </c>
      <c r="B3" s="305" t="s">
        <v>1876</v>
      </c>
      <c r="C3" s="26" t="s">
        <v>1714</v>
      </c>
      <c r="G3" s="6">
        <v>53</v>
      </c>
      <c r="H3" s="6" t="s">
        <v>1778</v>
      </c>
      <c r="I3" s="6" t="s">
        <v>1716</v>
      </c>
    </row>
    <row r="4" spans="1:9">
      <c r="A4" s="304" t="s">
        <v>69</v>
      </c>
      <c r="B4" s="6" t="s">
        <v>1715</v>
      </c>
      <c r="C4" s="26" t="s">
        <v>1714</v>
      </c>
      <c r="G4" s="6">
        <v>61</v>
      </c>
      <c r="H4" s="6" t="s">
        <v>1779</v>
      </c>
      <c r="I4" s="6" t="s">
        <v>1716</v>
      </c>
    </row>
    <row r="5" spans="1:9">
      <c r="A5" s="304">
        <v>50</v>
      </c>
      <c r="B5" s="305" t="s">
        <v>1877</v>
      </c>
      <c r="C5" s="26" t="s">
        <v>1716</v>
      </c>
      <c r="G5" s="6">
        <v>61</v>
      </c>
      <c r="H5" s="6" t="s">
        <v>1780</v>
      </c>
      <c r="I5" s="6" t="s">
        <v>1716</v>
      </c>
    </row>
    <row r="6" spans="1:9">
      <c r="A6" s="304">
        <v>643</v>
      </c>
      <c r="B6" s="305" t="s">
        <v>1878</v>
      </c>
      <c r="C6" s="26" t="s">
        <v>1717</v>
      </c>
      <c r="G6" s="6">
        <v>61</v>
      </c>
      <c r="H6" s="6" t="s">
        <v>1781</v>
      </c>
      <c r="I6" s="6" t="s">
        <v>1716</v>
      </c>
    </row>
    <row r="7" spans="1:9">
      <c r="A7" s="304">
        <v>6208</v>
      </c>
      <c r="B7" s="305" t="s">
        <v>1879</v>
      </c>
      <c r="C7" s="26" t="s">
        <v>1714</v>
      </c>
      <c r="G7" s="6">
        <v>6201</v>
      </c>
      <c r="H7" s="6" t="s">
        <v>1782</v>
      </c>
      <c r="I7" s="6" t="s">
        <v>1716</v>
      </c>
    </row>
    <row r="8" spans="1:9">
      <c r="A8" s="304">
        <v>6205</v>
      </c>
      <c r="B8" s="305" t="s">
        <v>1880</v>
      </c>
      <c r="C8" s="26" t="s">
        <v>1714</v>
      </c>
      <c r="G8" s="6">
        <v>6203</v>
      </c>
      <c r="H8" s="6" t="s">
        <v>1783</v>
      </c>
      <c r="I8" s="6" t="s">
        <v>1716</v>
      </c>
    </row>
    <row r="9" spans="1:9">
      <c r="A9" s="304" t="s">
        <v>91</v>
      </c>
      <c r="B9" s="305" t="s">
        <v>1881</v>
      </c>
      <c r="C9" s="26" t="s">
        <v>1714</v>
      </c>
      <c r="G9" s="6">
        <v>6206</v>
      </c>
      <c r="H9" s="6" t="s">
        <v>1784</v>
      </c>
      <c r="I9" s="6" t="s">
        <v>1716</v>
      </c>
    </row>
    <row r="10" spans="1:9">
      <c r="A10" s="304">
        <v>639</v>
      </c>
      <c r="B10" s="305" t="s">
        <v>1882</v>
      </c>
      <c r="C10" s="26" t="s">
        <v>1714</v>
      </c>
      <c r="G10" s="6">
        <v>6206</v>
      </c>
      <c r="H10" s="6" t="s">
        <v>1785</v>
      </c>
      <c r="I10" s="6" t="s">
        <v>1716</v>
      </c>
    </row>
    <row r="11" spans="1:9">
      <c r="A11" s="304" t="s">
        <v>50</v>
      </c>
      <c r="B11" s="6" t="s">
        <v>1721</v>
      </c>
      <c r="C11" s="26" t="s">
        <v>1714</v>
      </c>
      <c r="G11" s="6">
        <v>6206</v>
      </c>
      <c r="H11" s="6" t="s">
        <v>1786</v>
      </c>
      <c r="I11" s="6" t="s">
        <v>1716</v>
      </c>
    </row>
    <row r="12" spans="1:9">
      <c r="A12" s="304" t="s">
        <v>51</v>
      </c>
      <c r="B12" s="6" t="s">
        <v>1722</v>
      </c>
      <c r="C12" s="26" t="s">
        <v>1714</v>
      </c>
      <c r="G12" s="6" t="s">
        <v>45</v>
      </c>
      <c r="H12" s="6" t="s">
        <v>1787</v>
      </c>
      <c r="I12" s="6" t="s">
        <v>1716</v>
      </c>
    </row>
    <row r="13" spans="1:9">
      <c r="A13" s="304" t="s">
        <v>94</v>
      </c>
      <c r="B13" s="6" t="s">
        <v>1723</v>
      </c>
      <c r="C13" s="26" t="s">
        <v>1714</v>
      </c>
      <c r="G13" s="6" t="s">
        <v>45</v>
      </c>
      <c r="H13" s="6" t="s">
        <v>1788</v>
      </c>
      <c r="I13" s="6" t="s">
        <v>1716</v>
      </c>
    </row>
    <row r="14" spans="1:9">
      <c r="A14" s="304" t="s">
        <v>95</v>
      </c>
      <c r="B14" s="6" t="s">
        <v>1724</v>
      </c>
      <c r="C14" s="26" t="s">
        <v>1714</v>
      </c>
      <c r="G14" s="6" t="s">
        <v>45</v>
      </c>
      <c r="H14" s="6" t="s">
        <v>1789</v>
      </c>
      <c r="I14" s="6" t="s">
        <v>1716</v>
      </c>
    </row>
    <row r="15" spans="1:9">
      <c r="A15" s="304">
        <v>652</v>
      </c>
      <c r="B15" s="6" t="s">
        <v>1725</v>
      </c>
      <c r="C15" s="26" t="s">
        <v>1714</v>
      </c>
      <c r="G15" s="6" t="s">
        <v>25</v>
      </c>
      <c r="H15" s="6" t="s">
        <v>1790</v>
      </c>
      <c r="I15" s="6" t="s">
        <v>1716</v>
      </c>
    </row>
    <row r="16" spans="1:9">
      <c r="A16" s="304">
        <v>636</v>
      </c>
      <c r="B16" s="305" t="s">
        <v>1883</v>
      </c>
      <c r="C16" s="26" t="s">
        <v>1726</v>
      </c>
      <c r="G16" s="6" t="s">
        <v>25</v>
      </c>
      <c r="H16" s="6" t="s">
        <v>1791</v>
      </c>
      <c r="I16" s="6" t="s">
        <v>1716</v>
      </c>
    </row>
    <row r="17" spans="1:9">
      <c r="A17" s="304" t="s">
        <v>1884</v>
      </c>
      <c r="B17" s="305" t="s">
        <v>1885</v>
      </c>
      <c r="C17" s="26" t="s">
        <v>1726</v>
      </c>
      <c r="G17" s="6" t="s">
        <v>25</v>
      </c>
      <c r="H17" s="6" t="s">
        <v>1792</v>
      </c>
      <c r="I17" s="6" t="s">
        <v>1716</v>
      </c>
    </row>
    <row r="18" spans="1:9">
      <c r="A18" s="304" t="s">
        <v>1886</v>
      </c>
      <c r="B18" s="305" t="s">
        <v>1887</v>
      </c>
      <c r="C18" s="26" t="s">
        <v>1726</v>
      </c>
      <c r="G18" s="6" t="s">
        <v>60</v>
      </c>
      <c r="H18" s="6" t="s">
        <v>1793</v>
      </c>
      <c r="I18" s="6" t="s">
        <v>1716</v>
      </c>
    </row>
    <row r="19" spans="1:9">
      <c r="A19" s="304">
        <v>645</v>
      </c>
      <c r="B19" s="305" t="s">
        <v>1888</v>
      </c>
      <c r="C19" s="26" t="s">
        <v>1714</v>
      </c>
      <c r="G19" s="6" t="s">
        <v>60</v>
      </c>
      <c r="H19" s="6" t="s">
        <v>1794</v>
      </c>
      <c r="I19" s="6" t="s">
        <v>1716</v>
      </c>
    </row>
    <row r="20" spans="1:9">
      <c r="A20" s="304" t="s">
        <v>77</v>
      </c>
      <c r="B20" s="305" t="s">
        <v>1889</v>
      </c>
      <c r="C20" s="26" t="s">
        <v>1714</v>
      </c>
      <c r="G20" s="6" t="s">
        <v>60</v>
      </c>
      <c r="H20" s="6" t="s">
        <v>1795</v>
      </c>
      <c r="I20" s="6" t="s">
        <v>1716</v>
      </c>
    </row>
    <row r="21" spans="1:9">
      <c r="A21" s="304" t="s">
        <v>78</v>
      </c>
      <c r="B21" s="6" t="s">
        <v>1730</v>
      </c>
      <c r="C21" s="26" t="s">
        <v>1714</v>
      </c>
      <c r="G21" s="6" t="s">
        <v>61</v>
      </c>
      <c r="H21" s="6" t="s">
        <v>1796</v>
      </c>
      <c r="I21" s="6" t="s">
        <v>1716</v>
      </c>
    </row>
    <row r="22" spans="1:9">
      <c r="A22" s="304">
        <v>662</v>
      </c>
      <c r="B22" s="6" t="s">
        <v>1731</v>
      </c>
      <c r="C22" s="26" t="s">
        <v>1714</v>
      </c>
      <c r="G22" s="6" t="s">
        <v>61</v>
      </c>
      <c r="H22" s="6" t="s">
        <v>1797</v>
      </c>
      <c r="I22" s="6" t="s">
        <v>1716</v>
      </c>
    </row>
    <row r="23" spans="1:9">
      <c r="A23" s="304" t="s">
        <v>82</v>
      </c>
      <c r="B23" s="6" t="s">
        <v>1732</v>
      </c>
      <c r="C23" s="26" t="s">
        <v>1726</v>
      </c>
      <c r="G23" s="6" t="s">
        <v>61</v>
      </c>
      <c r="H23" s="6" t="s">
        <v>1798</v>
      </c>
      <c r="I23" s="6" t="s">
        <v>1716</v>
      </c>
    </row>
    <row r="24" spans="1:9">
      <c r="A24" s="304">
        <v>657</v>
      </c>
      <c r="B24" s="6" t="s">
        <v>1733</v>
      </c>
      <c r="C24" s="26" t="s">
        <v>1726</v>
      </c>
      <c r="G24" s="6">
        <v>646</v>
      </c>
      <c r="H24" s="6" t="s">
        <v>1799</v>
      </c>
      <c r="I24" s="6" t="s">
        <v>1716</v>
      </c>
    </row>
    <row r="25" spans="1:9">
      <c r="A25" s="304" t="s">
        <v>79</v>
      </c>
      <c r="B25" s="6" t="s">
        <v>1734</v>
      </c>
      <c r="C25" s="26" t="s">
        <v>1726</v>
      </c>
      <c r="G25" s="6">
        <v>646</v>
      </c>
      <c r="H25" s="6" t="s">
        <v>1800</v>
      </c>
      <c r="I25" s="6" t="s">
        <v>1716</v>
      </c>
    </row>
    <row r="26" spans="1:9">
      <c r="A26" s="304">
        <v>52</v>
      </c>
      <c r="B26" s="6" t="s">
        <v>1735</v>
      </c>
      <c r="C26" s="26" t="s">
        <v>1714</v>
      </c>
      <c r="G26" s="6">
        <v>646</v>
      </c>
      <c r="H26" s="6" t="s">
        <v>1801</v>
      </c>
      <c r="I26" s="6" t="s">
        <v>1716</v>
      </c>
    </row>
    <row r="27" spans="1:9">
      <c r="A27" s="304">
        <v>57</v>
      </c>
      <c r="B27" s="6" t="s">
        <v>1736</v>
      </c>
      <c r="C27" s="26" t="s">
        <v>1714</v>
      </c>
      <c r="G27" s="6" t="s">
        <v>65</v>
      </c>
      <c r="H27" s="6" t="s">
        <v>1802</v>
      </c>
      <c r="I27" s="6" t="s">
        <v>1716</v>
      </c>
    </row>
    <row r="28" spans="1:9">
      <c r="A28" s="304">
        <v>58</v>
      </c>
      <c r="B28" s="6" t="s">
        <v>1737</v>
      </c>
      <c r="C28" s="26" t="s">
        <v>1714</v>
      </c>
      <c r="G28" s="6" t="s">
        <v>65</v>
      </c>
      <c r="H28" s="6" t="s">
        <v>1803</v>
      </c>
      <c r="I28" s="6" t="s">
        <v>1716</v>
      </c>
    </row>
    <row r="29" spans="1:9">
      <c r="A29" s="304">
        <v>59</v>
      </c>
      <c r="B29" s="6" t="s">
        <v>1738</v>
      </c>
      <c r="C29" s="26" t="s">
        <v>1714</v>
      </c>
      <c r="G29" s="6" t="s">
        <v>65</v>
      </c>
      <c r="H29" s="6" t="s">
        <v>1804</v>
      </c>
      <c r="I29" s="6" t="s">
        <v>1716</v>
      </c>
    </row>
    <row r="30" spans="1:9">
      <c r="A30" s="304" t="s">
        <v>80</v>
      </c>
      <c r="B30" s="6" t="s">
        <v>1739</v>
      </c>
      <c r="C30" s="26" t="s">
        <v>1726</v>
      </c>
      <c r="G30" s="6" t="s">
        <v>66</v>
      </c>
      <c r="H30" s="6" t="s">
        <v>1805</v>
      </c>
      <c r="I30" s="6" t="s">
        <v>1716</v>
      </c>
    </row>
    <row r="31" spans="1:9">
      <c r="A31" s="304" t="s">
        <v>92</v>
      </c>
      <c r="B31" s="6" t="s">
        <v>1740</v>
      </c>
      <c r="C31" s="26" t="s">
        <v>1726</v>
      </c>
      <c r="G31" s="6" t="s">
        <v>66</v>
      </c>
      <c r="H31" s="6" t="s">
        <v>1806</v>
      </c>
      <c r="I31" s="6" t="s">
        <v>1716</v>
      </c>
    </row>
    <row r="32" spans="1:9">
      <c r="A32" s="304" t="s">
        <v>93</v>
      </c>
      <c r="B32" s="6" t="s">
        <v>1741</v>
      </c>
      <c r="C32" s="26" t="s">
        <v>1726</v>
      </c>
      <c r="G32" s="6" t="s">
        <v>66</v>
      </c>
      <c r="H32" s="6" t="s">
        <v>1807</v>
      </c>
      <c r="I32" s="6" t="s">
        <v>1716</v>
      </c>
    </row>
    <row r="33" spans="1:9">
      <c r="A33" s="304">
        <v>51</v>
      </c>
      <c r="B33" s="305" t="s">
        <v>1890</v>
      </c>
      <c r="C33" s="26" t="s">
        <v>1716</v>
      </c>
      <c r="G33" s="6">
        <v>660</v>
      </c>
      <c r="H33" s="6" t="s">
        <v>1808</v>
      </c>
      <c r="I33" s="6" t="s">
        <v>1716</v>
      </c>
    </row>
    <row r="34" spans="1:9">
      <c r="A34" s="304">
        <v>6207</v>
      </c>
      <c r="B34" s="305" t="s">
        <v>1891</v>
      </c>
      <c r="C34" s="26" t="s">
        <v>1742</v>
      </c>
      <c r="G34" s="6">
        <v>660</v>
      </c>
      <c r="H34" s="6" t="s">
        <v>1809</v>
      </c>
      <c r="I34" s="6" t="s">
        <v>1716</v>
      </c>
    </row>
    <row r="35" spans="1:9">
      <c r="A35" s="304">
        <v>649</v>
      </c>
      <c r="B35" s="305" t="s">
        <v>1892</v>
      </c>
      <c r="C35" s="26" t="s">
        <v>1742</v>
      </c>
      <c r="G35" s="6">
        <v>660</v>
      </c>
      <c r="H35" s="6" t="s">
        <v>1810</v>
      </c>
      <c r="I35" s="6" t="s">
        <v>1716</v>
      </c>
    </row>
    <row r="36" spans="1:9">
      <c r="A36" s="304" t="s">
        <v>84</v>
      </c>
      <c r="B36" s="6" t="s">
        <v>1743</v>
      </c>
      <c r="C36" s="26" t="s">
        <v>1742</v>
      </c>
      <c r="G36" s="6">
        <v>661</v>
      </c>
      <c r="H36" s="6" t="s">
        <v>1811</v>
      </c>
      <c r="I36" s="6" t="s">
        <v>1716</v>
      </c>
    </row>
    <row r="37" spans="1:9">
      <c r="A37" s="304" t="s">
        <v>85</v>
      </c>
      <c r="B37" s="6" t="s">
        <v>1744</v>
      </c>
      <c r="C37" s="26" t="s">
        <v>1742</v>
      </c>
      <c r="G37" s="6">
        <v>661</v>
      </c>
      <c r="H37" s="6" t="s">
        <v>1812</v>
      </c>
      <c r="I37" s="6" t="s">
        <v>1716</v>
      </c>
    </row>
    <row r="38" spans="1:9">
      <c r="A38" s="304">
        <v>53</v>
      </c>
      <c r="B38" s="305" t="s">
        <v>1893</v>
      </c>
      <c r="C38" s="26" t="s">
        <v>1716</v>
      </c>
      <c r="G38" s="6">
        <v>661</v>
      </c>
      <c r="H38" s="6" t="s">
        <v>1813</v>
      </c>
      <c r="I38" s="6" t="s">
        <v>1716</v>
      </c>
    </row>
    <row r="39" spans="1:9">
      <c r="A39" s="304">
        <v>54</v>
      </c>
      <c r="B39" s="6" t="s">
        <v>1745</v>
      </c>
      <c r="C39" s="26" t="s">
        <v>1716</v>
      </c>
      <c r="G39" s="6" t="s">
        <v>62</v>
      </c>
      <c r="H39" s="6" t="s">
        <v>1814</v>
      </c>
      <c r="I39" s="6" t="s">
        <v>1716</v>
      </c>
    </row>
    <row r="40" spans="1:9">
      <c r="A40" s="304">
        <v>55</v>
      </c>
      <c r="B40" s="6" t="s">
        <v>1746</v>
      </c>
      <c r="C40" s="26" t="s">
        <v>1716</v>
      </c>
      <c r="G40" s="6" t="s">
        <v>62</v>
      </c>
      <c r="H40" s="6" t="s">
        <v>1815</v>
      </c>
      <c r="I40" s="6" t="s">
        <v>1716</v>
      </c>
    </row>
    <row r="41" spans="1:9">
      <c r="A41" s="304">
        <v>56</v>
      </c>
      <c r="B41" s="6" t="s">
        <v>1747</v>
      </c>
      <c r="C41" s="26" t="s">
        <v>1716</v>
      </c>
      <c r="G41" s="6" t="s">
        <v>62</v>
      </c>
      <c r="H41" s="6" t="s">
        <v>1816</v>
      </c>
      <c r="I41" s="6" t="s">
        <v>1716</v>
      </c>
    </row>
    <row r="42" spans="1:9">
      <c r="A42" s="304">
        <v>61</v>
      </c>
      <c r="B42" s="6" t="s">
        <v>1748</v>
      </c>
      <c r="C42" s="26" t="s">
        <v>1716</v>
      </c>
      <c r="G42" s="6" t="s">
        <v>63</v>
      </c>
      <c r="H42" s="6" t="s">
        <v>1817</v>
      </c>
      <c r="I42" s="6" t="s">
        <v>1716</v>
      </c>
    </row>
    <row r="43" spans="1:9">
      <c r="A43" s="304">
        <v>6201</v>
      </c>
      <c r="B43" s="6" t="s">
        <v>1749</v>
      </c>
      <c r="C43" s="26" t="s">
        <v>1716</v>
      </c>
      <c r="G43" s="6" t="s">
        <v>63</v>
      </c>
      <c r="H43" s="6" t="s">
        <v>1818</v>
      </c>
      <c r="I43" s="6" t="s">
        <v>1716</v>
      </c>
    </row>
    <row r="44" spans="1:9">
      <c r="A44" s="304">
        <v>6203</v>
      </c>
      <c r="B44" s="6" t="s">
        <v>1750</v>
      </c>
      <c r="C44" s="26" t="s">
        <v>1716</v>
      </c>
      <c r="G44" s="6" t="s">
        <v>63</v>
      </c>
      <c r="H44" s="6" t="s">
        <v>1819</v>
      </c>
      <c r="I44" s="6" t="s">
        <v>1716</v>
      </c>
    </row>
    <row r="45" spans="1:9">
      <c r="A45" s="304">
        <v>6206</v>
      </c>
      <c r="B45" s="6" t="s">
        <v>1751</v>
      </c>
      <c r="C45" s="26" t="s">
        <v>1716</v>
      </c>
      <c r="G45" s="6">
        <v>636</v>
      </c>
      <c r="H45" s="6" t="s">
        <v>1820</v>
      </c>
      <c r="I45" s="6"/>
    </row>
    <row r="46" spans="1:9">
      <c r="A46" s="304" t="s">
        <v>45</v>
      </c>
      <c r="B46" s="6" t="s">
        <v>1752</v>
      </c>
      <c r="C46" s="26" t="s">
        <v>1716</v>
      </c>
      <c r="G46" s="6"/>
      <c r="H46" s="6" t="s">
        <v>1726</v>
      </c>
      <c r="I46" s="6"/>
    </row>
    <row r="47" spans="1:9">
      <c r="A47" s="304" t="s">
        <v>25</v>
      </c>
      <c r="B47" s="6" t="s">
        <v>1753</v>
      </c>
      <c r="C47" s="26" t="s">
        <v>1716</v>
      </c>
      <c r="G47" s="6" t="s">
        <v>81</v>
      </c>
      <c r="H47" s="6"/>
      <c r="I47" s="6"/>
    </row>
    <row r="48" spans="1:9">
      <c r="A48" s="304" t="s">
        <v>60</v>
      </c>
      <c r="B48" s="6" t="s">
        <v>1754</v>
      </c>
      <c r="C48" s="26" t="s">
        <v>1716</v>
      </c>
      <c r="G48" s="6" t="s">
        <v>1727</v>
      </c>
      <c r="H48" s="6" t="s">
        <v>1726</v>
      </c>
      <c r="I48" s="6"/>
    </row>
    <row r="49" spans="1:9">
      <c r="A49" s="304" t="s">
        <v>61</v>
      </c>
      <c r="B49" s="6" t="s">
        <v>1755</v>
      </c>
      <c r="C49" s="26" t="s">
        <v>1716</v>
      </c>
      <c r="G49" s="6" t="s">
        <v>82</v>
      </c>
      <c r="H49" s="6" t="s">
        <v>1732</v>
      </c>
      <c r="I49" s="6" t="s">
        <v>1726</v>
      </c>
    </row>
    <row r="50" spans="1:9">
      <c r="A50" s="304">
        <v>646</v>
      </c>
      <c r="B50" s="6" t="s">
        <v>1756</v>
      </c>
      <c r="C50" s="26" t="s">
        <v>1716</v>
      </c>
      <c r="G50" s="6">
        <v>657</v>
      </c>
      <c r="H50" s="6" t="s">
        <v>1733</v>
      </c>
      <c r="I50" s="6" t="s">
        <v>1726</v>
      </c>
    </row>
    <row r="51" spans="1:9">
      <c r="A51" s="304" t="s">
        <v>65</v>
      </c>
      <c r="B51" s="6" t="s">
        <v>1757</v>
      </c>
      <c r="C51" s="26" t="s">
        <v>1716</v>
      </c>
      <c r="G51" s="6" t="s">
        <v>79</v>
      </c>
      <c r="H51" s="6" t="s">
        <v>1734</v>
      </c>
      <c r="I51" s="6" t="s">
        <v>1726</v>
      </c>
    </row>
    <row r="52" spans="1:9">
      <c r="A52" s="304" t="s">
        <v>66</v>
      </c>
      <c r="B52" s="6" t="s">
        <v>1758</v>
      </c>
      <c r="C52" s="26" t="s">
        <v>1716</v>
      </c>
      <c r="G52" s="6" t="s">
        <v>80</v>
      </c>
      <c r="H52" s="6" t="s">
        <v>1739</v>
      </c>
      <c r="I52" s="6" t="s">
        <v>1726</v>
      </c>
    </row>
    <row r="53" spans="1:9">
      <c r="A53" s="304">
        <v>660</v>
      </c>
      <c r="B53" s="6" t="s">
        <v>1759</v>
      </c>
      <c r="C53" s="26" t="s">
        <v>1716</v>
      </c>
      <c r="G53" s="6" t="s">
        <v>92</v>
      </c>
      <c r="H53" s="6" t="s">
        <v>1740</v>
      </c>
      <c r="I53" s="6" t="s">
        <v>1726</v>
      </c>
    </row>
    <row r="54" spans="1:9">
      <c r="A54" s="304">
        <v>661</v>
      </c>
      <c r="B54" s="6" t="s">
        <v>1760</v>
      </c>
      <c r="C54" s="26" t="s">
        <v>1716</v>
      </c>
      <c r="G54" s="6" t="s">
        <v>93</v>
      </c>
      <c r="H54" s="6" t="s">
        <v>1741</v>
      </c>
      <c r="I54" s="6" t="s">
        <v>1726</v>
      </c>
    </row>
    <row r="55" spans="1:9">
      <c r="A55" s="304" t="s">
        <v>62</v>
      </c>
      <c r="B55" s="6" t="s">
        <v>1761</v>
      </c>
      <c r="C55" s="26" t="s">
        <v>1716</v>
      </c>
      <c r="G55" s="6">
        <v>6205</v>
      </c>
      <c r="H55" s="6" t="s">
        <v>1718</v>
      </c>
      <c r="I55" s="6" t="s">
        <v>1714</v>
      </c>
    </row>
    <row r="56" spans="1:9">
      <c r="A56" s="304" t="s">
        <v>63</v>
      </c>
      <c r="B56" s="6" t="s">
        <v>1762</v>
      </c>
      <c r="C56" s="26" t="s">
        <v>1716</v>
      </c>
      <c r="G56" s="6" t="s">
        <v>91</v>
      </c>
      <c r="H56" s="6" t="s">
        <v>1719</v>
      </c>
      <c r="I56" s="6" t="s">
        <v>1714</v>
      </c>
    </row>
    <row r="57" spans="1:9">
      <c r="A57" s="304">
        <v>668</v>
      </c>
      <c r="B57" s="305" t="s">
        <v>1894</v>
      </c>
      <c r="C57" s="26" t="s">
        <v>1726</v>
      </c>
      <c r="G57" s="6">
        <v>639</v>
      </c>
      <c r="H57" s="6" t="s">
        <v>1720</v>
      </c>
      <c r="I57" s="6" t="s">
        <v>1714</v>
      </c>
    </row>
    <row r="58" spans="1:9">
      <c r="A58" s="304" t="s">
        <v>101</v>
      </c>
      <c r="B58" s="305" t="s">
        <v>1895</v>
      </c>
      <c r="C58" s="26" t="s">
        <v>1726</v>
      </c>
      <c r="G58" s="6" t="s">
        <v>50</v>
      </c>
      <c r="H58" s="6" t="s">
        <v>1721</v>
      </c>
      <c r="I58" s="6" t="s">
        <v>1714</v>
      </c>
    </row>
    <row r="59" spans="1:9">
      <c r="A59" s="304">
        <v>667</v>
      </c>
      <c r="B59" s="6" t="s">
        <v>1765</v>
      </c>
      <c r="C59" s="26" t="s">
        <v>1716</v>
      </c>
      <c r="G59" s="6" t="s">
        <v>51</v>
      </c>
      <c r="H59" s="6" t="s">
        <v>1722</v>
      </c>
      <c r="I59" s="6" t="s">
        <v>1714</v>
      </c>
    </row>
    <row r="60" spans="1:9">
      <c r="A60" s="304" t="s">
        <v>97</v>
      </c>
      <c r="B60" s="305" t="s">
        <v>1896</v>
      </c>
      <c r="C60" s="26" t="s">
        <v>1716</v>
      </c>
      <c r="G60" s="6" t="s">
        <v>94</v>
      </c>
      <c r="H60" s="6" t="s">
        <v>1723</v>
      </c>
      <c r="I60" s="6" t="s">
        <v>1714</v>
      </c>
    </row>
    <row r="61" spans="1:9">
      <c r="A61" s="304" t="s">
        <v>98</v>
      </c>
      <c r="B61" s="6" t="s">
        <v>1766</v>
      </c>
      <c r="C61" s="26" t="s">
        <v>1716</v>
      </c>
      <c r="G61" s="6" t="s">
        <v>95</v>
      </c>
      <c r="H61" s="6" t="s">
        <v>1724</v>
      </c>
      <c r="I61" s="6" t="s">
        <v>1714</v>
      </c>
    </row>
    <row r="62" spans="1:9">
      <c r="A62" s="304" t="s">
        <v>99</v>
      </c>
      <c r="B62" s="6" t="s">
        <v>1767</v>
      </c>
      <c r="C62" s="26" t="s">
        <v>1716</v>
      </c>
      <c r="G62" s="6">
        <v>652</v>
      </c>
      <c r="H62" s="6" t="s">
        <v>1725</v>
      </c>
      <c r="I62" s="6" t="s">
        <v>1714</v>
      </c>
    </row>
    <row r="63" spans="1:9">
      <c r="A63" s="304" t="s">
        <v>102</v>
      </c>
      <c r="B63" s="305" t="s">
        <v>1897</v>
      </c>
      <c r="C63" s="26" t="s">
        <v>1714</v>
      </c>
      <c r="G63" s="6" t="s">
        <v>68</v>
      </c>
      <c r="H63" s="6" t="s">
        <v>1821</v>
      </c>
      <c r="I63" s="6" t="s">
        <v>1714</v>
      </c>
    </row>
    <row r="64" spans="1:9">
      <c r="A64" s="304" t="s">
        <v>103</v>
      </c>
      <c r="B64" s="305" t="s">
        <v>1898</v>
      </c>
      <c r="C64" s="26" t="s">
        <v>1714</v>
      </c>
      <c r="G64" s="6" t="s">
        <v>69</v>
      </c>
      <c r="H64" s="6" t="s">
        <v>1715</v>
      </c>
      <c r="I64" s="6" t="s">
        <v>1714</v>
      </c>
    </row>
    <row r="65" spans="1:9">
      <c r="A65" s="304" t="s">
        <v>104</v>
      </c>
      <c r="B65" s="305" t="s">
        <v>1899</v>
      </c>
      <c r="C65" s="26" t="s">
        <v>1714</v>
      </c>
      <c r="G65" s="6">
        <v>645</v>
      </c>
      <c r="H65" s="6" t="s">
        <v>1728</v>
      </c>
      <c r="I65" s="6" t="s">
        <v>1714</v>
      </c>
    </row>
    <row r="66" spans="1:9">
      <c r="A66" s="304">
        <v>690</v>
      </c>
      <c r="B66" s="305" t="s">
        <v>1900</v>
      </c>
      <c r="C66" s="26" t="s">
        <v>1771</v>
      </c>
      <c r="G66" s="6" t="s">
        <v>77</v>
      </c>
      <c r="H66" s="6" t="s">
        <v>1729</v>
      </c>
      <c r="I66" s="6" t="s">
        <v>1714</v>
      </c>
    </row>
    <row r="67" spans="1:9">
      <c r="A67" s="304" t="s">
        <v>1901</v>
      </c>
      <c r="B67" s="305" t="s">
        <v>1772</v>
      </c>
      <c r="C67" s="26" t="s">
        <v>1771</v>
      </c>
      <c r="G67" s="6" t="s">
        <v>78</v>
      </c>
      <c r="H67" s="6" t="s">
        <v>1730</v>
      </c>
      <c r="I67" s="6" t="s">
        <v>1714</v>
      </c>
    </row>
    <row r="68" spans="1:9">
      <c r="A68" s="304" t="s">
        <v>111</v>
      </c>
      <c r="B68" s="305" t="s">
        <v>1902</v>
      </c>
      <c r="C68" s="26" t="s">
        <v>1717</v>
      </c>
      <c r="G68" s="6">
        <v>662</v>
      </c>
      <c r="H68" s="6" t="s">
        <v>1731</v>
      </c>
      <c r="I68" s="6" t="s">
        <v>1714</v>
      </c>
    </row>
    <row r="69" spans="1:9">
      <c r="A69" s="304" t="s">
        <v>112</v>
      </c>
      <c r="B69" s="305" t="s">
        <v>1903</v>
      </c>
      <c r="C69" s="26" t="s">
        <v>1717</v>
      </c>
      <c r="G69" s="6">
        <v>52</v>
      </c>
      <c r="H69" s="6" t="s">
        <v>1735</v>
      </c>
      <c r="I69" s="6" t="s">
        <v>1714</v>
      </c>
    </row>
    <row r="70" spans="1:9">
      <c r="A70" s="304" t="s">
        <v>113</v>
      </c>
      <c r="B70" s="305" t="s">
        <v>1904</v>
      </c>
      <c r="C70" s="26" t="s">
        <v>1771</v>
      </c>
      <c r="G70" s="6">
        <v>57</v>
      </c>
      <c r="H70" s="6" t="s">
        <v>1736</v>
      </c>
      <c r="I70" s="6" t="s">
        <v>1714</v>
      </c>
    </row>
    <row r="71" spans="1:9">
      <c r="A71" s="304" t="s">
        <v>363</v>
      </c>
      <c r="B71" s="305" t="s">
        <v>1905</v>
      </c>
      <c r="C71" s="26" t="s">
        <v>1726</v>
      </c>
      <c r="G71" s="6">
        <v>58</v>
      </c>
      <c r="H71" s="6" t="s">
        <v>1737</v>
      </c>
      <c r="I71" s="6" t="s">
        <v>1714</v>
      </c>
    </row>
    <row r="72" spans="1:9">
      <c r="A72" s="304" t="s">
        <v>364</v>
      </c>
      <c r="B72" s="305" t="s">
        <v>1906</v>
      </c>
      <c r="C72" s="26" t="s">
        <v>1726</v>
      </c>
      <c r="G72" s="6">
        <v>59</v>
      </c>
      <c r="H72" s="6" t="s">
        <v>1738</v>
      </c>
      <c r="I72" s="6" t="s">
        <v>1714</v>
      </c>
    </row>
    <row r="73" spans="1:9">
      <c r="A73" s="304" t="s">
        <v>365</v>
      </c>
      <c r="B73" s="305" t="s">
        <v>1907</v>
      </c>
      <c r="C73" s="26" t="s">
        <v>1726</v>
      </c>
      <c r="G73" s="6">
        <v>6208</v>
      </c>
      <c r="H73" s="6" t="s">
        <v>1822</v>
      </c>
      <c r="I73" s="6" t="s">
        <v>1714</v>
      </c>
    </row>
    <row r="74" spans="1:9">
      <c r="A74" s="304">
        <v>692</v>
      </c>
      <c r="B74" s="305" t="s">
        <v>1908</v>
      </c>
      <c r="C74" s="26" t="s">
        <v>1714</v>
      </c>
      <c r="G74" s="6">
        <v>6207</v>
      </c>
      <c r="H74" s="6" t="s">
        <v>1823</v>
      </c>
      <c r="I74" s="6" t="s">
        <v>1742</v>
      </c>
    </row>
    <row r="75" spans="1:9">
      <c r="A75" s="304">
        <v>703</v>
      </c>
      <c r="B75" s="305" t="s">
        <v>1909</v>
      </c>
      <c r="C75" s="26" t="s">
        <v>1777</v>
      </c>
      <c r="G75" s="6">
        <v>667</v>
      </c>
      <c r="H75" s="6" t="s">
        <v>1824</v>
      </c>
      <c r="I75" s="6" t="s">
        <v>1716</v>
      </c>
    </row>
    <row r="76" spans="1:9">
      <c r="A76" s="304" t="s">
        <v>368</v>
      </c>
      <c r="B76" s="305" t="s">
        <v>1910</v>
      </c>
      <c r="C76" s="26" t="s">
        <v>1777</v>
      </c>
      <c r="G76" s="6">
        <v>643</v>
      </c>
      <c r="H76" s="6" t="s">
        <v>1825</v>
      </c>
      <c r="I76" s="6" t="s">
        <v>1717</v>
      </c>
    </row>
    <row r="77" spans="1:9">
      <c r="A77" s="304" t="s">
        <v>369</v>
      </c>
      <c r="B77" s="305" t="s">
        <v>1911</v>
      </c>
      <c r="C77" s="26" t="s">
        <v>1777</v>
      </c>
      <c r="G77" s="6">
        <v>643</v>
      </c>
      <c r="H77" s="6" t="s">
        <v>1826</v>
      </c>
      <c r="I77" s="6" t="s">
        <v>1717</v>
      </c>
    </row>
    <row r="78" spans="1:9">
      <c r="A78" s="304" t="s">
        <v>1912</v>
      </c>
      <c r="B78" s="305" t="s">
        <v>1913</v>
      </c>
      <c r="C78" s="26" t="s">
        <v>1914</v>
      </c>
      <c r="G78" s="6">
        <v>649</v>
      </c>
      <c r="H78" s="6" t="s">
        <v>1827</v>
      </c>
      <c r="I78" s="6" t="s">
        <v>1742</v>
      </c>
    </row>
    <row r="79" spans="1:9">
      <c r="A79" s="405" t="s">
        <v>2387</v>
      </c>
      <c r="B79" s="305" t="s">
        <v>2389</v>
      </c>
      <c r="C79" s="26" t="s">
        <v>2388</v>
      </c>
      <c r="G79" s="6" t="s">
        <v>84</v>
      </c>
      <c r="H79" s="6" t="s">
        <v>1828</v>
      </c>
      <c r="I79" s="6" t="s">
        <v>1742</v>
      </c>
    </row>
    <row r="80" spans="1:9">
      <c r="G80" s="6" t="s">
        <v>85</v>
      </c>
      <c r="H80" s="6" t="s">
        <v>1829</v>
      </c>
      <c r="I80" s="6" t="s">
        <v>1742</v>
      </c>
    </row>
    <row r="81" spans="7:9">
      <c r="G81" s="6">
        <v>50</v>
      </c>
      <c r="H81" s="6" t="s">
        <v>1830</v>
      </c>
      <c r="I81" s="6" t="s">
        <v>1716</v>
      </c>
    </row>
    <row r="82" spans="7:9">
      <c r="G82" s="6">
        <v>50</v>
      </c>
      <c r="H82" s="6" t="s">
        <v>1831</v>
      </c>
      <c r="I82" s="6" t="s">
        <v>1716</v>
      </c>
    </row>
    <row r="83" spans="7:9">
      <c r="G83" s="6">
        <v>50</v>
      </c>
      <c r="H83" s="6" t="s">
        <v>1832</v>
      </c>
      <c r="I83" s="6" t="s">
        <v>1716</v>
      </c>
    </row>
    <row r="84" spans="7:9">
      <c r="G84" s="6">
        <v>51</v>
      </c>
      <c r="H84" s="6" t="s">
        <v>1833</v>
      </c>
      <c r="I84" s="6" t="s">
        <v>1716</v>
      </c>
    </row>
    <row r="85" spans="7:9">
      <c r="G85" s="6">
        <v>51</v>
      </c>
      <c r="H85" s="6"/>
      <c r="I85" s="6"/>
    </row>
    <row r="86" spans="7:9">
      <c r="G86" s="6" t="s">
        <v>1834</v>
      </c>
      <c r="H86" s="6" t="s">
        <v>1716</v>
      </c>
      <c r="I86" s="6"/>
    </row>
    <row r="87" spans="7:9">
      <c r="G87" s="6">
        <v>51</v>
      </c>
      <c r="H87" s="6" t="s">
        <v>1835</v>
      </c>
      <c r="I87" s="6" t="s">
        <v>1716</v>
      </c>
    </row>
    <row r="88" spans="7:9">
      <c r="G88" s="6">
        <v>53</v>
      </c>
      <c r="H88" s="6" t="s">
        <v>1836</v>
      </c>
      <c r="I88" s="6" t="s">
        <v>1716</v>
      </c>
    </row>
    <row r="89" spans="7:9">
      <c r="G89" s="6">
        <v>53</v>
      </c>
      <c r="H89" s="6" t="s">
        <v>1837</v>
      </c>
      <c r="I89" s="6" t="s">
        <v>1716</v>
      </c>
    </row>
    <row r="90" spans="7:9">
      <c r="G90" s="6">
        <v>54</v>
      </c>
      <c r="H90" s="6" t="s">
        <v>1838</v>
      </c>
      <c r="I90" s="6" t="s">
        <v>1716</v>
      </c>
    </row>
    <row r="91" spans="7:9">
      <c r="G91" s="6">
        <v>54</v>
      </c>
      <c r="H91" s="6" t="s">
        <v>1839</v>
      </c>
      <c r="I91" s="6" t="s">
        <v>1716</v>
      </c>
    </row>
    <row r="92" spans="7:9">
      <c r="G92" s="6">
        <v>54</v>
      </c>
      <c r="H92" s="6" t="s">
        <v>1840</v>
      </c>
      <c r="I92" s="6" t="s">
        <v>1716</v>
      </c>
    </row>
    <row r="93" spans="7:9">
      <c r="G93" s="6">
        <v>55</v>
      </c>
      <c r="H93" s="6" t="s">
        <v>1841</v>
      </c>
      <c r="I93" s="6" t="s">
        <v>1716</v>
      </c>
    </row>
    <row r="94" spans="7:9">
      <c r="G94" s="6">
        <v>55</v>
      </c>
      <c r="H94" s="6" t="s">
        <v>1842</v>
      </c>
      <c r="I94" s="6" t="s">
        <v>1716</v>
      </c>
    </row>
    <row r="95" spans="7:9">
      <c r="G95" s="6">
        <v>55</v>
      </c>
      <c r="H95" s="6" t="s">
        <v>1843</v>
      </c>
      <c r="I95" s="6" t="s">
        <v>1716</v>
      </c>
    </row>
    <row r="96" spans="7:9">
      <c r="G96" s="6">
        <v>56</v>
      </c>
      <c r="H96" s="6" t="s">
        <v>1844</v>
      </c>
      <c r="I96" s="6" t="s">
        <v>1716</v>
      </c>
    </row>
    <row r="97" spans="7:9">
      <c r="G97" s="6">
        <v>56</v>
      </c>
      <c r="H97" s="6" t="s">
        <v>1845</v>
      </c>
      <c r="I97" s="6" t="s">
        <v>1716</v>
      </c>
    </row>
    <row r="98" spans="7:9">
      <c r="G98" s="6">
        <v>56</v>
      </c>
      <c r="H98" s="6" t="s">
        <v>1846</v>
      </c>
      <c r="I98" s="6" t="s">
        <v>1716</v>
      </c>
    </row>
    <row r="99" spans="7:9">
      <c r="G99" s="6">
        <v>667</v>
      </c>
      <c r="H99" s="6" t="s">
        <v>1847</v>
      </c>
      <c r="I99" s="6" t="s">
        <v>1716</v>
      </c>
    </row>
    <row r="100" spans="7:9">
      <c r="G100" s="6">
        <v>667</v>
      </c>
      <c r="H100" s="6" t="s">
        <v>1848</v>
      </c>
      <c r="I100" s="6" t="s">
        <v>1716</v>
      </c>
    </row>
    <row r="101" spans="7:9">
      <c r="G101" s="6" t="s">
        <v>97</v>
      </c>
      <c r="H101" s="6" t="s">
        <v>1849</v>
      </c>
      <c r="I101" s="6" t="s">
        <v>1716</v>
      </c>
    </row>
    <row r="102" spans="7:9">
      <c r="G102" s="6" t="s">
        <v>97</v>
      </c>
      <c r="H102" s="6" t="s">
        <v>1850</v>
      </c>
      <c r="I102" s="6" t="s">
        <v>1716</v>
      </c>
    </row>
    <row r="103" spans="7:9">
      <c r="G103" s="6" t="s">
        <v>97</v>
      </c>
      <c r="H103" s="6" t="s">
        <v>1851</v>
      </c>
      <c r="I103" s="6" t="s">
        <v>1716</v>
      </c>
    </row>
    <row r="104" spans="7:9">
      <c r="G104" s="6" t="s">
        <v>98</v>
      </c>
      <c r="H104" s="6" t="s">
        <v>1852</v>
      </c>
      <c r="I104" s="6" t="s">
        <v>1716</v>
      </c>
    </row>
    <row r="105" spans="7:9">
      <c r="G105" s="6" t="s">
        <v>98</v>
      </c>
      <c r="H105" s="6" t="s">
        <v>1853</v>
      </c>
      <c r="I105" s="6" t="s">
        <v>1716</v>
      </c>
    </row>
    <row r="106" spans="7:9">
      <c r="G106" s="6" t="s">
        <v>98</v>
      </c>
      <c r="H106" s="6" t="s">
        <v>1854</v>
      </c>
      <c r="I106" s="6" t="s">
        <v>1716</v>
      </c>
    </row>
    <row r="107" spans="7:9">
      <c r="G107" s="6" t="s">
        <v>99</v>
      </c>
      <c r="H107" s="6" t="s">
        <v>1855</v>
      </c>
      <c r="I107" s="6" t="s">
        <v>1716</v>
      </c>
    </row>
    <row r="108" spans="7:9">
      <c r="G108" s="6" t="s">
        <v>99</v>
      </c>
      <c r="H108" s="6" t="s">
        <v>1856</v>
      </c>
      <c r="I108" s="6" t="s">
        <v>1716</v>
      </c>
    </row>
    <row r="109" spans="7:9">
      <c r="G109" s="6" t="s">
        <v>99</v>
      </c>
      <c r="H109" s="6" t="s">
        <v>1857</v>
      </c>
      <c r="I109" s="6" t="s">
        <v>1716</v>
      </c>
    </row>
    <row r="110" spans="7:9">
      <c r="G110" s="6">
        <v>668</v>
      </c>
      <c r="H110" s="6" t="s">
        <v>1763</v>
      </c>
      <c r="I110" s="6" t="s">
        <v>1726</v>
      </c>
    </row>
    <row r="111" spans="7:9">
      <c r="G111" s="6" t="s">
        <v>101</v>
      </c>
      <c r="H111" s="6" t="s">
        <v>1764</v>
      </c>
      <c r="I111" s="6" t="s">
        <v>1726</v>
      </c>
    </row>
    <row r="112" spans="7:9">
      <c r="G112" s="6" t="s">
        <v>102</v>
      </c>
      <c r="H112" s="6" t="s">
        <v>1768</v>
      </c>
      <c r="I112" s="6" t="s">
        <v>1714</v>
      </c>
    </row>
    <row r="113" spans="7:9">
      <c r="G113" s="6" t="s">
        <v>103</v>
      </c>
      <c r="H113" s="6" t="s">
        <v>1769</v>
      </c>
      <c r="I113" s="6" t="s">
        <v>1714</v>
      </c>
    </row>
    <row r="114" spans="7:9">
      <c r="G114" s="6" t="s">
        <v>104</v>
      </c>
      <c r="H114" s="6" t="s">
        <v>1770</v>
      </c>
      <c r="I114" s="6" t="s">
        <v>1714</v>
      </c>
    </row>
    <row r="115" spans="7:9">
      <c r="G115" s="6">
        <v>678</v>
      </c>
      <c r="H115" s="6" t="s">
        <v>1858</v>
      </c>
      <c r="I115" s="6" t="s">
        <v>1717</v>
      </c>
    </row>
    <row r="116" spans="7:9">
      <c r="G116" s="6">
        <v>678</v>
      </c>
      <c r="H116" s="6" t="s">
        <v>1859</v>
      </c>
      <c r="I116" s="6" t="s">
        <v>1717</v>
      </c>
    </row>
    <row r="117" spans="7:9">
      <c r="G117" s="6" t="s">
        <v>111</v>
      </c>
      <c r="H117" s="6" t="s">
        <v>1860</v>
      </c>
      <c r="I117" s="6" t="s">
        <v>1717</v>
      </c>
    </row>
    <row r="118" spans="7:9">
      <c r="G118" s="6" t="s">
        <v>111</v>
      </c>
      <c r="H118" s="6" t="s">
        <v>1861</v>
      </c>
      <c r="I118" s="6" t="s">
        <v>1717</v>
      </c>
    </row>
    <row r="119" spans="7:9">
      <c r="G119" s="6" t="s">
        <v>112</v>
      </c>
      <c r="H119" s="6" t="s">
        <v>1862</v>
      </c>
      <c r="I119" s="6" t="s">
        <v>1717</v>
      </c>
    </row>
    <row r="120" spans="7:9">
      <c r="G120" s="6" t="s">
        <v>112</v>
      </c>
      <c r="H120" s="6" t="s">
        <v>1863</v>
      </c>
      <c r="I120" s="6" t="s">
        <v>1717</v>
      </c>
    </row>
    <row r="121" spans="7:9">
      <c r="G121" s="6">
        <v>690</v>
      </c>
      <c r="H121" s="6" t="s">
        <v>1864</v>
      </c>
      <c r="I121" s="6" t="s">
        <v>1771</v>
      </c>
    </row>
    <row r="122" spans="7:9">
      <c r="G122" s="6">
        <v>690</v>
      </c>
      <c r="H122" s="6" t="s">
        <v>1865</v>
      </c>
      <c r="I122" s="6" t="s">
        <v>1771</v>
      </c>
    </row>
    <row r="123" spans="7:9">
      <c r="G123" s="6" t="s">
        <v>113</v>
      </c>
      <c r="H123" s="6" t="s">
        <v>1866</v>
      </c>
      <c r="I123" s="6" t="s">
        <v>1771</v>
      </c>
    </row>
    <row r="124" spans="7:9">
      <c r="G124" s="6" t="s">
        <v>113</v>
      </c>
      <c r="H124" s="6" t="s">
        <v>1867</v>
      </c>
      <c r="I124" s="6" t="s">
        <v>1771</v>
      </c>
    </row>
    <row r="125" spans="7:9">
      <c r="G125" s="6" t="s">
        <v>363</v>
      </c>
      <c r="H125" s="6" t="s">
        <v>1773</v>
      </c>
      <c r="I125" s="6" t="s">
        <v>1726</v>
      </c>
    </row>
    <row r="126" spans="7:9">
      <c r="G126" s="6" t="s">
        <v>364</v>
      </c>
      <c r="H126" s="6" t="s">
        <v>1774</v>
      </c>
      <c r="I126" s="6" t="s">
        <v>1726</v>
      </c>
    </row>
    <row r="127" spans="7:9">
      <c r="G127" s="6" t="s">
        <v>365</v>
      </c>
      <c r="H127" s="6" t="s">
        <v>1775</v>
      </c>
      <c r="I127" s="6" t="s">
        <v>1726</v>
      </c>
    </row>
    <row r="128" spans="7:9">
      <c r="G128" s="6">
        <v>692</v>
      </c>
      <c r="H128" s="6" t="s">
        <v>1776</v>
      </c>
      <c r="I128" s="6" t="s">
        <v>1714</v>
      </c>
    </row>
    <row r="129" spans="7:9">
      <c r="G129" s="6" t="s">
        <v>62</v>
      </c>
      <c r="H129" s="6" t="s">
        <v>1868</v>
      </c>
      <c r="I129" s="6" t="s">
        <v>1716</v>
      </c>
    </row>
    <row r="130" spans="7:9">
      <c r="G130" s="6" t="s">
        <v>369</v>
      </c>
      <c r="H130" s="6" t="s">
        <v>1869</v>
      </c>
      <c r="I130" s="6" t="s">
        <v>1777</v>
      </c>
    </row>
    <row r="131" spans="7:9">
      <c r="G131" s="6">
        <v>703</v>
      </c>
      <c r="H131" s="6" t="s">
        <v>1870</v>
      </c>
      <c r="I131" s="6" t="s">
        <v>1777</v>
      </c>
    </row>
    <row r="132" spans="7:9">
      <c r="G132" s="6" t="s">
        <v>97</v>
      </c>
      <c r="H132" s="6" t="s">
        <v>1871</v>
      </c>
      <c r="I132" s="6" t="s">
        <v>1716</v>
      </c>
    </row>
    <row r="133" spans="7:9">
      <c r="G133" s="6" t="s">
        <v>98</v>
      </c>
      <c r="H133" s="6" t="s">
        <v>1872</v>
      </c>
      <c r="I133" s="6" t="s">
        <v>1716</v>
      </c>
    </row>
    <row r="134" spans="7:9">
      <c r="G134" s="6" t="s">
        <v>99</v>
      </c>
      <c r="H134" s="6" t="s">
        <v>1873</v>
      </c>
      <c r="I134" s="6" t="s">
        <v>1716</v>
      </c>
    </row>
    <row r="135" spans="7:9">
      <c r="G135" s="6" t="s">
        <v>63</v>
      </c>
      <c r="H135" s="6" t="s">
        <v>1874</v>
      </c>
      <c r="I135" s="6" t="s">
        <v>1716</v>
      </c>
    </row>
    <row r="136" spans="7:9">
      <c r="G136" s="6" t="s">
        <v>368</v>
      </c>
      <c r="H136" s="6" t="s">
        <v>1875</v>
      </c>
      <c r="I136" s="6" t="s">
        <v>1777</v>
      </c>
    </row>
  </sheetData>
  <mergeCells count="2">
    <mergeCell ref="A1:C1"/>
    <mergeCell ref="G1:I1"/>
  </mergeCells>
  <phoneticPr fontId="5" type="noConversion"/>
  <hyperlinks>
    <hyperlink ref="B3" r:id="rId1"/>
    <hyperlink ref="B5" r:id="rId2"/>
    <hyperlink ref="B7" r:id="rId3"/>
    <hyperlink ref="B16" r:id="rId4"/>
    <hyperlink ref="B69" r:id="rId5"/>
    <hyperlink ref="B60" r:id="rId6"/>
    <hyperlink ref="B6" r:id="rId7"/>
    <hyperlink ref="B8" r:id="rId8"/>
    <hyperlink ref="B38" r:id="rId9"/>
    <hyperlink ref="B76" r:id="rId10"/>
    <hyperlink ref="B77" r:id="rId11"/>
    <hyperlink ref="B75" r:id="rId12"/>
    <hyperlink ref="B68" r:id="rId13"/>
    <hyperlink ref="B70" r:id="rId14"/>
    <hyperlink ref="B71" r:id="rId15"/>
    <hyperlink ref="B72" r:id="rId16"/>
    <hyperlink ref="B73" r:id="rId17"/>
    <hyperlink ref="B74" r:id="rId18"/>
    <hyperlink ref="B9" r:id="rId19"/>
    <hyperlink ref="B10" r:id="rId20"/>
    <hyperlink ref="B17" r:id="rId21"/>
    <hyperlink ref="B18" r:id="rId22"/>
    <hyperlink ref="B20" r:id="rId23"/>
    <hyperlink ref="B19" r:id="rId24"/>
    <hyperlink ref="B33" r:id="rId25"/>
    <hyperlink ref="B34" r:id="rId26"/>
    <hyperlink ref="B35" r:id="rId27"/>
    <hyperlink ref="B63" r:id="rId28"/>
    <hyperlink ref="B64" r:id="rId29"/>
    <hyperlink ref="B65" r:id="rId30"/>
    <hyperlink ref="B66" r:id="rId31"/>
    <hyperlink ref="B67" r:id="rId32" display="http://www.megafunds.com.tw/ETF/api/Orders/X001"/>
    <hyperlink ref="B58" r:id="rId33"/>
    <hyperlink ref="B57" r:id="rId34"/>
    <hyperlink ref="B78" r:id="rId35"/>
    <hyperlink ref="B79" r:id="rId36" display="http://sitc.sinopac.com/newweb/sitcFundUnitPurchase/getTradeinfo.do?stock_id=37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618"/>
  <sheetViews>
    <sheetView workbookViewId="0">
      <selection activeCell="A2" sqref="A2"/>
    </sheetView>
  </sheetViews>
  <sheetFormatPr defaultColWidth="12.875" defaultRowHeight="16.5"/>
  <cols>
    <col min="1" max="1" width="12.875" style="157"/>
    <col min="2" max="2" width="30.375" style="157" customWidth="1"/>
    <col min="3" max="3" width="19.875" style="157" customWidth="1"/>
    <col min="4" max="4" width="20.25" style="157" customWidth="1"/>
    <col min="5" max="5" width="19.125" style="157" customWidth="1"/>
    <col min="6" max="6" width="15" style="157" customWidth="1"/>
    <col min="7" max="7" width="15.375" style="157" customWidth="1"/>
    <col min="8" max="8" width="15.875" style="157" customWidth="1"/>
    <col min="9" max="9" width="14.25" style="157" customWidth="1"/>
    <col min="10" max="10" width="23.75" style="157" customWidth="1"/>
    <col min="11" max="11" width="14.625" style="157" customWidth="1"/>
    <col min="12" max="12" width="15.5" style="157" customWidth="1"/>
    <col min="13" max="16384" width="12.875" style="157"/>
  </cols>
  <sheetData>
    <row r="1" spans="1:13">
      <c r="A1" s="156" t="s">
        <v>115</v>
      </c>
      <c r="B1" s="156" t="s">
        <v>116</v>
      </c>
      <c r="C1" s="156" t="s">
        <v>117</v>
      </c>
      <c r="D1" s="156" t="s">
        <v>118</v>
      </c>
      <c r="E1" s="156" t="s">
        <v>119</v>
      </c>
      <c r="F1" s="156" t="s">
        <v>120</v>
      </c>
      <c r="G1" s="156" t="s">
        <v>121</v>
      </c>
      <c r="H1" s="156" t="s">
        <v>122</v>
      </c>
      <c r="I1" s="156" t="s">
        <v>123</v>
      </c>
      <c r="J1" s="156" t="s">
        <v>124</v>
      </c>
      <c r="K1" s="156" t="s">
        <v>125</v>
      </c>
      <c r="L1" s="156" t="s">
        <v>126</v>
      </c>
      <c r="M1" s="307" t="s">
        <v>1917</v>
      </c>
    </row>
    <row r="2" spans="1:13">
      <c r="A2" s="156" t="s">
        <v>127</v>
      </c>
      <c r="B2" s="156" t="s">
        <v>128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</row>
    <row r="3" spans="1:13">
      <c r="A3" s="156" t="s">
        <v>129</v>
      </c>
      <c r="B3" s="156" t="s">
        <v>130</v>
      </c>
      <c r="C3" s="156" t="s">
        <v>2586</v>
      </c>
      <c r="D3" s="156" t="s">
        <v>2588</v>
      </c>
      <c r="E3" s="156" t="s">
        <v>2589</v>
      </c>
      <c r="F3" s="156" t="s">
        <v>2590</v>
      </c>
      <c r="G3" s="156" t="s">
        <v>2591</v>
      </c>
      <c r="H3" s="156" t="s">
        <v>2592</v>
      </c>
      <c r="I3" s="156" t="s">
        <v>2594</v>
      </c>
      <c r="J3" s="156" t="s">
        <v>2595</v>
      </c>
      <c r="K3" s="156" t="s">
        <v>2597</v>
      </c>
      <c r="L3" s="156" t="s">
        <v>2598</v>
      </c>
      <c r="M3" s="307" t="s">
        <v>2599</v>
      </c>
    </row>
    <row r="5" spans="1:13">
      <c r="A5" s="158" t="s">
        <v>57</v>
      </c>
      <c r="B5" s="158" t="s">
        <v>55</v>
      </c>
      <c r="C5" s="158" t="s">
        <v>2587</v>
      </c>
      <c r="D5" s="158" t="s">
        <v>2588</v>
      </c>
      <c r="E5" s="158" t="s">
        <v>2589</v>
      </c>
      <c r="F5" s="158" t="s">
        <v>2590</v>
      </c>
      <c r="G5" s="158" t="s">
        <v>2591</v>
      </c>
      <c r="H5" s="158" t="s">
        <v>2593</v>
      </c>
      <c r="I5" s="158" t="s">
        <v>2594</v>
      </c>
      <c r="J5" s="158" t="s">
        <v>2596</v>
      </c>
      <c r="K5" s="158" t="s">
        <v>2597</v>
      </c>
      <c r="L5" s="158" t="s">
        <v>2598</v>
      </c>
      <c r="M5" s="157" t="s">
        <v>2600</v>
      </c>
    </row>
    <row r="6" spans="1:13">
      <c r="A6" s="159" t="s">
        <v>27</v>
      </c>
      <c r="B6" s="160" t="s">
        <v>2487</v>
      </c>
      <c r="C6" s="158">
        <v>81.95</v>
      </c>
      <c r="D6" s="158">
        <v>139065525</v>
      </c>
      <c r="E6" s="158">
        <v>1697000</v>
      </c>
      <c r="F6" s="158">
        <v>500</v>
      </c>
      <c r="G6" s="158">
        <v>40973932</v>
      </c>
      <c r="H6" s="161"/>
      <c r="I6" s="158">
        <v>0</v>
      </c>
      <c r="J6" s="158" t="s">
        <v>131</v>
      </c>
      <c r="K6" s="158">
        <v>0.32</v>
      </c>
      <c r="L6" s="158">
        <v>3.5000000000000003E-2</v>
      </c>
      <c r="M6" s="157" t="s">
        <v>1918</v>
      </c>
    </row>
    <row r="7" spans="1:13">
      <c r="A7" s="159" t="s">
        <v>28</v>
      </c>
      <c r="B7" s="160" t="s">
        <v>2488</v>
      </c>
      <c r="C7" s="158">
        <v>32.81</v>
      </c>
      <c r="D7" s="158"/>
      <c r="E7" s="158"/>
      <c r="F7" s="158">
        <v>500</v>
      </c>
      <c r="G7" s="158">
        <v>16476610</v>
      </c>
      <c r="H7" s="161"/>
      <c r="I7" s="158">
        <v>0</v>
      </c>
      <c r="J7" s="158" t="s">
        <v>131</v>
      </c>
      <c r="K7" s="158">
        <v>0.4</v>
      </c>
      <c r="L7" s="158">
        <v>3.5000000000000003E-2</v>
      </c>
      <c r="M7" s="157" t="s">
        <v>1919</v>
      </c>
    </row>
    <row r="8" spans="1:13">
      <c r="A8" s="159" t="s">
        <v>29</v>
      </c>
      <c r="B8" s="160" t="s">
        <v>2489</v>
      </c>
      <c r="C8" s="158">
        <v>53.78</v>
      </c>
      <c r="D8" s="158">
        <v>1021756</v>
      </c>
      <c r="E8" s="158">
        <v>19000</v>
      </c>
      <c r="F8" s="158">
        <v>500</v>
      </c>
      <c r="G8" s="158">
        <v>26888306</v>
      </c>
      <c r="H8" s="158"/>
      <c r="I8" s="161">
        <v>26920194</v>
      </c>
      <c r="J8" s="158" t="s">
        <v>131</v>
      </c>
      <c r="K8" s="158">
        <v>0.15</v>
      </c>
      <c r="L8" s="158">
        <v>3.5000000000000003E-2</v>
      </c>
      <c r="M8" s="157" t="s">
        <v>1920</v>
      </c>
    </row>
    <row r="9" spans="1:13">
      <c r="A9" s="159" t="s">
        <v>30</v>
      </c>
      <c r="B9" s="160" t="s">
        <v>2490</v>
      </c>
      <c r="C9" s="158">
        <v>35.17</v>
      </c>
      <c r="D9" s="158">
        <v>228183</v>
      </c>
      <c r="E9" s="158">
        <v>6488</v>
      </c>
      <c r="F9" s="158">
        <v>500</v>
      </c>
      <c r="G9" s="158">
        <v>17585033</v>
      </c>
      <c r="H9" s="161"/>
      <c r="I9" s="158">
        <v>0</v>
      </c>
      <c r="J9" s="158" t="s">
        <v>131</v>
      </c>
      <c r="K9" s="158">
        <v>0.4</v>
      </c>
      <c r="L9" s="158">
        <v>0.04</v>
      </c>
      <c r="M9" s="157" t="s">
        <v>1921</v>
      </c>
    </row>
    <row r="10" spans="1:13">
      <c r="A10" s="159" t="s">
        <v>31</v>
      </c>
      <c r="B10" s="160" t="s">
        <v>2491</v>
      </c>
      <c r="C10" s="158">
        <v>22.78</v>
      </c>
      <c r="D10" s="158"/>
      <c r="E10" s="158"/>
      <c r="F10" s="158">
        <v>500</v>
      </c>
      <c r="G10" s="158">
        <v>11417560</v>
      </c>
      <c r="H10" s="161"/>
      <c r="I10" s="158">
        <v>0</v>
      </c>
      <c r="J10" s="158" t="s">
        <v>131</v>
      </c>
      <c r="K10" s="158">
        <v>0.4</v>
      </c>
      <c r="L10" s="158">
        <v>3.5000000000000003E-2</v>
      </c>
      <c r="M10" s="157" t="s">
        <v>1922</v>
      </c>
    </row>
    <row r="11" spans="1:13">
      <c r="A11" s="159" t="s">
        <v>32</v>
      </c>
      <c r="B11" s="160" t="s">
        <v>2492</v>
      </c>
      <c r="C11" s="158">
        <v>18.46</v>
      </c>
      <c r="D11" s="158">
        <v>695096</v>
      </c>
      <c r="E11" s="158">
        <v>37654</v>
      </c>
      <c r="F11" s="158">
        <v>500</v>
      </c>
      <c r="G11" s="158">
        <v>9230048</v>
      </c>
      <c r="H11" s="161"/>
      <c r="I11" s="158">
        <v>0</v>
      </c>
      <c r="J11" s="158" t="s">
        <v>131</v>
      </c>
      <c r="K11" s="158">
        <v>0.4</v>
      </c>
      <c r="L11" s="158">
        <v>3.5000000000000003E-2</v>
      </c>
      <c r="M11" s="157" t="s">
        <v>1923</v>
      </c>
    </row>
    <row r="12" spans="1:13">
      <c r="A12" s="159" t="s">
        <v>33</v>
      </c>
      <c r="B12" s="160" t="s">
        <v>2493</v>
      </c>
      <c r="C12" s="158">
        <v>27</v>
      </c>
      <c r="D12" s="158"/>
      <c r="E12" s="158"/>
      <c r="F12" s="158">
        <v>500</v>
      </c>
      <c r="G12" s="158">
        <v>13562890</v>
      </c>
      <c r="H12" s="161"/>
      <c r="I12" s="158">
        <v>0</v>
      </c>
      <c r="J12" s="158" t="s">
        <v>131</v>
      </c>
      <c r="K12" s="158">
        <v>0.4</v>
      </c>
      <c r="L12" s="158">
        <v>3.5000000000000003E-2</v>
      </c>
      <c r="M12" s="157" t="s">
        <v>1924</v>
      </c>
    </row>
    <row r="13" spans="1:13">
      <c r="A13" s="159" t="s">
        <v>34</v>
      </c>
      <c r="B13" s="160" t="s">
        <v>2494</v>
      </c>
      <c r="C13" s="158">
        <v>52.08</v>
      </c>
      <c r="D13" s="158"/>
      <c r="E13" s="158"/>
      <c r="F13" s="158">
        <v>500</v>
      </c>
      <c r="G13" s="158">
        <v>26069756</v>
      </c>
      <c r="H13" s="158">
        <v>5425</v>
      </c>
      <c r="I13" s="161"/>
      <c r="J13" s="158" t="s">
        <v>131</v>
      </c>
      <c r="K13" s="158">
        <v>0.15</v>
      </c>
      <c r="L13" s="158">
        <v>3.5000000000000003E-2</v>
      </c>
      <c r="M13" s="157" t="s">
        <v>1925</v>
      </c>
    </row>
    <row r="14" spans="1:13">
      <c r="A14" s="159" t="s">
        <v>35</v>
      </c>
      <c r="B14" s="160" t="s">
        <v>2495</v>
      </c>
      <c r="C14" s="158">
        <v>47.18</v>
      </c>
      <c r="D14" s="158"/>
      <c r="E14" s="162"/>
      <c r="F14" s="158">
        <v>500</v>
      </c>
      <c r="G14" s="158">
        <v>23586416</v>
      </c>
      <c r="H14" s="158">
        <v>5232</v>
      </c>
      <c r="I14" s="161"/>
      <c r="J14" s="158" t="s">
        <v>131</v>
      </c>
      <c r="K14" s="158">
        <v>0.15</v>
      </c>
      <c r="L14" s="158">
        <v>3.5000000000000003E-2</v>
      </c>
      <c r="M14" s="157" t="s">
        <v>1926</v>
      </c>
    </row>
    <row r="15" spans="1:13">
      <c r="A15" s="159" t="s">
        <v>36</v>
      </c>
      <c r="B15" s="160" t="s">
        <v>2496</v>
      </c>
      <c r="C15" s="158">
        <v>46.95</v>
      </c>
      <c r="D15" s="158"/>
      <c r="E15" s="162"/>
      <c r="F15" s="158">
        <v>500</v>
      </c>
      <c r="G15" s="158">
        <v>23502678</v>
      </c>
      <c r="H15" s="158">
        <v>5745</v>
      </c>
      <c r="I15" s="161"/>
      <c r="J15" s="158" t="s">
        <v>131</v>
      </c>
      <c r="K15" s="158">
        <v>0.15</v>
      </c>
      <c r="L15" s="158">
        <v>3.5000000000000003E-2</v>
      </c>
      <c r="M15" s="157" t="s">
        <v>1927</v>
      </c>
    </row>
    <row r="16" spans="1:13">
      <c r="A16" s="159" t="s">
        <v>37</v>
      </c>
      <c r="B16" s="160" t="s">
        <v>2497</v>
      </c>
      <c r="C16" s="158">
        <v>18.690000000000001</v>
      </c>
      <c r="D16" s="158">
        <v>6189982</v>
      </c>
      <c r="E16" s="158">
        <v>331116</v>
      </c>
      <c r="F16" s="158">
        <v>500</v>
      </c>
      <c r="G16" s="158">
        <v>9347150</v>
      </c>
      <c r="H16" s="161"/>
      <c r="I16" s="158">
        <v>9361510</v>
      </c>
      <c r="J16" s="158" t="s">
        <v>131</v>
      </c>
      <c r="K16" s="158">
        <v>0.3</v>
      </c>
      <c r="L16" s="158">
        <v>0.1</v>
      </c>
      <c r="M16" s="157" t="s">
        <v>1928</v>
      </c>
    </row>
    <row r="17" spans="1:13">
      <c r="A17" s="159" t="s">
        <v>38</v>
      </c>
      <c r="B17" s="160" t="s">
        <v>2498</v>
      </c>
      <c r="C17" s="158">
        <v>12.79</v>
      </c>
      <c r="D17" s="158">
        <v>543041</v>
      </c>
      <c r="E17" s="158">
        <v>42446</v>
      </c>
      <c r="F17" s="158">
        <v>500</v>
      </c>
      <c r="G17" s="158">
        <v>6396844</v>
      </c>
      <c r="H17" s="161"/>
      <c r="I17" s="158">
        <v>6408247</v>
      </c>
      <c r="J17" s="158" t="s">
        <v>132</v>
      </c>
      <c r="K17" s="158">
        <v>0.4</v>
      </c>
      <c r="L17" s="158">
        <v>3.5000000000000003E-2</v>
      </c>
      <c r="M17" s="157" t="s">
        <v>1929</v>
      </c>
    </row>
    <row r="18" spans="1:13">
      <c r="A18" s="159" t="s">
        <v>39</v>
      </c>
      <c r="B18" s="160" t="s">
        <v>2499</v>
      </c>
      <c r="C18" s="158">
        <v>38.380000000000003</v>
      </c>
      <c r="D18" s="158"/>
      <c r="E18" s="158"/>
      <c r="F18" s="158">
        <v>500</v>
      </c>
      <c r="G18" s="158">
        <v>19214544</v>
      </c>
      <c r="H18" s="161"/>
      <c r="I18" s="158">
        <v>0</v>
      </c>
      <c r="J18" s="158" t="s">
        <v>131</v>
      </c>
      <c r="K18" s="158">
        <v>0.3</v>
      </c>
      <c r="L18" s="158">
        <v>3.5000000000000003E-2</v>
      </c>
      <c r="M18" s="157" t="s">
        <v>1925</v>
      </c>
    </row>
    <row r="19" spans="1:13">
      <c r="A19" s="159" t="s">
        <v>40</v>
      </c>
      <c r="B19" s="160" t="s">
        <v>2500</v>
      </c>
      <c r="C19" s="158">
        <v>54.03</v>
      </c>
      <c r="D19" s="158"/>
      <c r="E19" s="158"/>
      <c r="F19" s="158">
        <v>1000</v>
      </c>
      <c r="G19" s="158">
        <v>54137768</v>
      </c>
      <c r="H19" s="158"/>
      <c r="I19" s="161"/>
      <c r="J19" s="158" t="s">
        <v>131</v>
      </c>
      <c r="K19" s="158">
        <v>0.32</v>
      </c>
      <c r="L19" s="158">
        <v>3.5000000000000003E-2</v>
      </c>
      <c r="M19" s="157" t="s">
        <v>1930</v>
      </c>
    </row>
    <row r="20" spans="1:13">
      <c r="A20" s="159" t="s">
        <v>44</v>
      </c>
      <c r="B20" s="160" t="s">
        <v>2501</v>
      </c>
      <c r="C20" s="158">
        <v>46.56</v>
      </c>
      <c r="D20" s="158">
        <v>1561669</v>
      </c>
      <c r="E20" s="158">
        <v>33540</v>
      </c>
      <c r="F20" s="158">
        <v>500</v>
      </c>
      <c r="G20" s="158">
        <v>23280693</v>
      </c>
      <c r="H20" s="161"/>
      <c r="I20" s="158">
        <v>23308974</v>
      </c>
      <c r="J20" s="158" t="s">
        <v>131</v>
      </c>
      <c r="K20" s="158">
        <v>0.15</v>
      </c>
      <c r="L20" s="158">
        <v>3.5000000000000003E-2</v>
      </c>
      <c r="M20" s="157" t="s">
        <v>1918</v>
      </c>
    </row>
    <row r="21" spans="1:13">
      <c r="A21" s="159" t="s">
        <v>45</v>
      </c>
      <c r="B21" s="160" t="s">
        <v>2502</v>
      </c>
      <c r="C21" s="158">
        <v>39.44</v>
      </c>
      <c r="D21" s="162">
        <v>930108</v>
      </c>
      <c r="E21" s="158">
        <v>23584</v>
      </c>
      <c r="F21" s="158">
        <v>500</v>
      </c>
      <c r="G21" s="158">
        <v>19719056</v>
      </c>
      <c r="H21" s="161"/>
      <c r="I21" s="158">
        <v>19743842</v>
      </c>
      <c r="J21" s="158" t="s">
        <v>133</v>
      </c>
      <c r="K21" s="158">
        <v>1</v>
      </c>
      <c r="L21" s="158">
        <v>0.04</v>
      </c>
      <c r="M21" s="157" t="s">
        <v>1918</v>
      </c>
    </row>
    <row r="22" spans="1:13">
      <c r="A22" s="159" t="s">
        <v>25</v>
      </c>
      <c r="B22" s="160" t="s">
        <v>2503</v>
      </c>
      <c r="C22" s="158">
        <v>11.65</v>
      </c>
      <c r="D22" s="162">
        <v>53986482</v>
      </c>
      <c r="E22" s="158">
        <v>4632649</v>
      </c>
      <c r="F22" s="158">
        <v>500</v>
      </c>
      <c r="G22" s="158">
        <v>5826740</v>
      </c>
      <c r="H22" s="161"/>
      <c r="I22" s="158">
        <v>5832925</v>
      </c>
      <c r="J22" s="158" t="s">
        <v>133</v>
      </c>
      <c r="K22" s="158">
        <v>1</v>
      </c>
      <c r="L22" s="158">
        <v>0.04</v>
      </c>
      <c r="M22" s="157" t="s">
        <v>1918</v>
      </c>
    </row>
    <row r="23" spans="1:13">
      <c r="A23" s="159" t="s">
        <v>41</v>
      </c>
      <c r="B23" s="160" t="s">
        <v>2504</v>
      </c>
      <c r="C23" s="158">
        <v>32.520000000000003</v>
      </c>
      <c r="D23" s="158">
        <v>11048989</v>
      </c>
      <c r="E23" s="158">
        <v>339236</v>
      </c>
      <c r="F23" s="158">
        <v>500</v>
      </c>
      <c r="G23" s="158">
        <v>16259417</v>
      </c>
      <c r="H23" s="161"/>
      <c r="I23" s="158">
        <v>16275799</v>
      </c>
      <c r="J23" s="158" t="s">
        <v>133</v>
      </c>
      <c r="K23" s="158">
        <v>0.99</v>
      </c>
      <c r="L23" s="158">
        <v>0.1</v>
      </c>
      <c r="M23" s="157" t="s">
        <v>1931</v>
      </c>
    </row>
    <row r="24" spans="1:13">
      <c r="A24" s="159" t="s">
        <v>42</v>
      </c>
      <c r="B24" s="160" t="s">
        <v>2505</v>
      </c>
      <c r="C24" s="158">
        <v>34.18</v>
      </c>
      <c r="D24" s="158">
        <v>4282268</v>
      </c>
      <c r="E24" s="158">
        <v>125278</v>
      </c>
      <c r="F24" s="158">
        <v>500</v>
      </c>
      <c r="G24" s="158">
        <v>17091062</v>
      </c>
      <c r="H24" s="161"/>
      <c r="I24" s="158">
        <v>17116589</v>
      </c>
      <c r="J24" s="158" t="s">
        <v>133</v>
      </c>
      <c r="K24" s="158">
        <v>0.99</v>
      </c>
      <c r="L24" s="158">
        <v>0.1</v>
      </c>
      <c r="M24" s="157" t="s">
        <v>1932</v>
      </c>
    </row>
    <row r="25" spans="1:13">
      <c r="A25" s="159" t="s">
        <v>43</v>
      </c>
      <c r="B25" s="160" t="s">
        <v>2506</v>
      </c>
      <c r="C25" s="158">
        <v>24.3</v>
      </c>
      <c r="D25" s="162">
        <v>2354844</v>
      </c>
      <c r="E25" s="158">
        <v>96892</v>
      </c>
      <c r="F25" s="158">
        <v>500</v>
      </c>
      <c r="G25" s="158">
        <v>12134195</v>
      </c>
      <c r="H25" s="158">
        <v>17708</v>
      </c>
      <c r="I25" s="161">
        <v>12169055</v>
      </c>
      <c r="J25" s="158" t="s">
        <v>133</v>
      </c>
      <c r="K25" s="158">
        <v>0.75</v>
      </c>
      <c r="L25" s="158">
        <v>0.1</v>
      </c>
      <c r="M25" s="157" t="s">
        <v>1928</v>
      </c>
    </row>
    <row r="26" spans="1:13">
      <c r="A26" s="159" t="s">
        <v>56</v>
      </c>
      <c r="B26" s="160" t="s">
        <v>2507</v>
      </c>
      <c r="C26" s="158">
        <v>22.49</v>
      </c>
      <c r="D26" s="162">
        <v>8544552</v>
      </c>
      <c r="E26" s="158">
        <v>378684</v>
      </c>
      <c r="F26" s="158">
        <v>500</v>
      </c>
      <c r="G26" s="158">
        <v>10781828</v>
      </c>
      <c r="H26" s="158">
        <v>463172</v>
      </c>
      <c r="I26" s="161"/>
      <c r="J26" s="158" t="s">
        <v>133</v>
      </c>
      <c r="K26" s="158">
        <v>0.95</v>
      </c>
      <c r="L26" s="158">
        <v>0.1</v>
      </c>
      <c r="M26" s="157" t="s">
        <v>1933</v>
      </c>
    </row>
    <row r="27" spans="1:13">
      <c r="A27" s="159" t="s">
        <v>46</v>
      </c>
      <c r="B27" s="160" t="s">
        <v>2508</v>
      </c>
      <c r="C27" s="158">
        <v>109.6284</v>
      </c>
      <c r="D27" s="161"/>
      <c r="E27" s="158">
        <v>1549</v>
      </c>
      <c r="F27" s="161"/>
      <c r="G27" s="161"/>
      <c r="H27" s="161"/>
      <c r="I27" s="161"/>
      <c r="J27" s="158" t="s">
        <v>131</v>
      </c>
      <c r="K27" s="158" t="s">
        <v>134</v>
      </c>
      <c r="L27" s="158" t="s">
        <v>135</v>
      </c>
      <c r="M27" s="157" t="s">
        <v>1932</v>
      </c>
    </row>
    <row r="28" spans="1:13">
      <c r="A28" s="159" t="s">
        <v>58</v>
      </c>
      <c r="B28" s="160" t="s">
        <v>2509</v>
      </c>
      <c r="C28" s="158">
        <v>10.65</v>
      </c>
      <c r="D28" s="158">
        <v>2577442</v>
      </c>
      <c r="E28" s="158">
        <v>241903</v>
      </c>
      <c r="F28" s="158">
        <v>500</v>
      </c>
      <c r="G28" s="158">
        <v>5327429</v>
      </c>
      <c r="H28" s="161"/>
      <c r="I28" s="158">
        <v>5337756</v>
      </c>
      <c r="J28" s="158" t="s">
        <v>133</v>
      </c>
      <c r="K28" s="158">
        <v>0.99</v>
      </c>
      <c r="L28" s="158">
        <v>0.1</v>
      </c>
      <c r="M28" s="157" t="s">
        <v>1934</v>
      </c>
    </row>
    <row r="29" spans="1:13">
      <c r="A29" s="159" t="s">
        <v>59</v>
      </c>
      <c r="B29" s="160" t="s">
        <v>2510</v>
      </c>
      <c r="C29" s="158">
        <v>12.02</v>
      </c>
      <c r="D29" s="158">
        <v>3091704</v>
      </c>
      <c r="E29" s="158">
        <v>257089</v>
      </c>
      <c r="F29" s="158">
        <v>500</v>
      </c>
      <c r="G29" s="158">
        <v>6010311</v>
      </c>
      <c r="H29" s="161"/>
      <c r="I29" s="158">
        <v>6027332</v>
      </c>
      <c r="J29" s="158" t="s">
        <v>133</v>
      </c>
      <c r="K29" s="158">
        <v>0.95</v>
      </c>
      <c r="L29" s="158">
        <v>0.13</v>
      </c>
      <c r="M29" s="157" t="s">
        <v>1935</v>
      </c>
    </row>
    <row r="30" spans="1:13">
      <c r="A30" s="159" t="s">
        <v>50</v>
      </c>
      <c r="B30" s="160" t="s">
        <v>2511</v>
      </c>
      <c r="C30" s="158">
        <v>48.38</v>
      </c>
      <c r="D30" s="158">
        <v>21550343</v>
      </c>
      <c r="E30" s="158">
        <v>445458</v>
      </c>
      <c r="F30" s="158">
        <v>500</v>
      </c>
      <c r="G30" s="158">
        <v>24188972</v>
      </c>
      <c r="H30" s="161"/>
      <c r="I30" s="158">
        <v>24206066</v>
      </c>
      <c r="J30" s="158" t="s">
        <v>133</v>
      </c>
      <c r="K30" s="158">
        <v>0.99</v>
      </c>
      <c r="L30" s="158">
        <v>0.23</v>
      </c>
      <c r="M30" s="157" t="s">
        <v>1936</v>
      </c>
    </row>
    <row r="31" spans="1:13">
      <c r="A31" s="159" t="s">
        <v>51</v>
      </c>
      <c r="B31" s="160" t="s">
        <v>2512</v>
      </c>
      <c r="C31" s="158">
        <v>6.03</v>
      </c>
      <c r="D31" s="158">
        <v>767202</v>
      </c>
      <c r="E31" s="158">
        <v>127256</v>
      </c>
      <c r="F31" s="158">
        <v>500</v>
      </c>
      <c r="G31" s="158">
        <v>3014403</v>
      </c>
      <c r="H31" s="161"/>
      <c r="I31" s="158">
        <v>3020157</v>
      </c>
      <c r="J31" s="158" t="s">
        <v>133</v>
      </c>
      <c r="K31" s="158">
        <v>0.99</v>
      </c>
      <c r="L31" s="158">
        <v>0.23</v>
      </c>
      <c r="M31" s="157" t="s">
        <v>1937</v>
      </c>
    </row>
    <row r="32" spans="1:13">
      <c r="A32" s="160" t="s">
        <v>60</v>
      </c>
      <c r="B32" s="160" t="s">
        <v>2513</v>
      </c>
      <c r="C32" s="158">
        <v>18.5</v>
      </c>
      <c r="D32" s="158">
        <v>34144749</v>
      </c>
      <c r="E32" s="158">
        <v>1845606</v>
      </c>
      <c r="F32" s="158">
        <v>500</v>
      </c>
      <c r="G32" s="158">
        <v>9250281</v>
      </c>
      <c r="H32" s="161"/>
      <c r="I32" s="158">
        <v>9259917</v>
      </c>
      <c r="J32" s="158" t="s">
        <v>133</v>
      </c>
      <c r="K32" s="158">
        <v>0.99</v>
      </c>
      <c r="L32" s="158">
        <v>0.23</v>
      </c>
      <c r="M32" s="157" t="s">
        <v>1938</v>
      </c>
    </row>
    <row r="33" spans="1:14">
      <c r="A33" s="160" t="s">
        <v>61</v>
      </c>
      <c r="B33" s="160" t="s">
        <v>2514</v>
      </c>
      <c r="C33" s="158">
        <v>12.17</v>
      </c>
      <c r="D33" s="163">
        <v>723774</v>
      </c>
      <c r="E33" s="158">
        <v>59448</v>
      </c>
      <c r="F33" s="158">
        <v>500</v>
      </c>
      <c r="G33" s="158">
        <v>6087456</v>
      </c>
      <c r="H33" s="161"/>
      <c r="I33" s="158">
        <v>6093985</v>
      </c>
      <c r="J33" s="158" t="s">
        <v>133</v>
      </c>
      <c r="K33" s="158">
        <v>0.99</v>
      </c>
      <c r="L33" s="158">
        <v>0.21</v>
      </c>
      <c r="M33" s="161" t="s">
        <v>1939</v>
      </c>
      <c r="N33" s="161"/>
    </row>
    <row r="34" spans="1:14">
      <c r="A34" s="160" t="s">
        <v>81</v>
      </c>
      <c r="B34" s="160" t="s">
        <v>2515</v>
      </c>
      <c r="C34" s="158">
        <v>34.659999999999997</v>
      </c>
      <c r="D34" s="162">
        <v>9131604</v>
      </c>
      <c r="E34" s="158">
        <v>263458</v>
      </c>
      <c r="F34" s="158">
        <v>500</v>
      </c>
      <c r="G34" s="158">
        <v>17330000</v>
      </c>
      <c r="H34" s="161"/>
      <c r="I34" s="158">
        <v>17339216</v>
      </c>
      <c r="J34" s="158" t="s">
        <v>133</v>
      </c>
      <c r="K34" s="158">
        <v>0.95</v>
      </c>
      <c r="L34" s="158">
        <v>0.21</v>
      </c>
      <c r="M34" s="161" t="s">
        <v>1940</v>
      </c>
      <c r="N34" s="161"/>
    </row>
    <row r="35" spans="1:14" ht="17.25" thickBot="1">
      <c r="A35" s="183" t="s">
        <v>82</v>
      </c>
      <c r="B35" s="183" t="s">
        <v>2516</v>
      </c>
      <c r="C35" s="158">
        <v>11.08</v>
      </c>
      <c r="D35" s="171">
        <v>308552</v>
      </c>
      <c r="E35" s="172">
        <v>27857</v>
      </c>
      <c r="F35" s="158">
        <v>500</v>
      </c>
      <c r="G35" s="158">
        <v>5540000</v>
      </c>
      <c r="H35" s="161"/>
      <c r="I35" s="158">
        <v>5541244</v>
      </c>
      <c r="J35" s="158" t="s">
        <v>133</v>
      </c>
      <c r="K35" s="158">
        <v>0.95</v>
      </c>
      <c r="L35" s="158">
        <v>0.18</v>
      </c>
      <c r="M35" s="161" t="s">
        <v>1941</v>
      </c>
      <c r="N35" s="161"/>
    </row>
    <row r="36" spans="1:14">
      <c r="A36" s="185" t="s">
        <v>62</v>
      </c>
      <c r="B36" s="186" t="s">
        <v>2517</v>
      </c>
      <c r="C36" s="182">
        <v>20.48</v>
      </c>
      <c r="D36" s="174">
        <v>1085791</v>
      </c>
      <c r="E36" s="175">
        <v>53014</v>
      </c>
      <c r="F36" s="169">
        <v>500</v>
      </c>
      <c r="G36" s="158">
        <v>10240609</v>
      </c>
      <c r="H36" s="161"/>
      <c r="I36" s="158">
        <v>10247624</v>
      </c>
      <c r="J36" s="158" t="s">
        <v>133</v>
      </c>
      <c r="K36" s="158">
        <v>1</v>
      </c>
      <c r="L36" s="158">
        <v>0.15</v>
      </c>
      <c r="M36" s="161" t="s">
        <v>1942</v>
      </c>
      <c r="N36" s="161"/>
    </row>
    <row r="37" spans="1:14">
      <c r="A37" s="187" t="s">
        <v>63</v>
      </c>
      <c r="B37" s="188" t="s">
        <v>2518</v>
      </c>
      <c r="C37" s="182">
        <v>16.989999999999998</v>
      </c>
      <c r="D37" s="176">
        <v>1789402</v>
      </c>
      <c r="E37" s="177">
        <v>105321</v>
      </c>
      <c r="F37" s="170">
        <v>500</v>
      </c>
      <c r="G37" s="158">
        <v>8494990</v>
      </c>
      <c r="H37" s="161"/>
      <c r="I37" s="158">
        <v>8502002</v>
      </c>
      <c r="J37" s="158" t="s">
        <v>133</v>
      </c>
      <c r="K37" s="158">
        <v>1</v>
      </c>
      <c r="L37" s="158">
        <v>0.15</v>
      </c>
      <c r="M37" s="161" t="s">
        <v>1943</v>
      </c>
      <c r="N37" s="161"/>
    </row>
    <row r="38" spans="1:14">
      <c r="A38" s="189" t="s">
        <v>64</v>
      </c>
      <c r="B38" s="188" t="s">
        <v>2519</v>
      </c>
      <c r="C38" s="182">
        <v>28.23</v>
      </c>
      <c r="D38" s="178">
        <v>4375378</v>
      </c>
      <c r="E38" s="179">
        <v>154985</v>
      </c>
      <c r="F38" s="169">
        <v>500</v>
      </c>
      <c r="G38" s="158">
        <v>14115489</v>
      </c>
      <c r="H38" s="161"/>
      <c r="I38" s="158">
        <v>14134646</v>
      </c>
      <c r="J38" s="158" t="s">
        <v>133</v>
      </c>
      <c r="K38" s="158">
        <v>0.5</v>
      </c>
      <c r="L38" s="158">
        <v>0.21</v>
      </c>
      <c r="M38" s="161" t="s">
        <v>1944</v>
      </c>
      <c r="N38" s="161"/>
    </row>
    <row r="39" spans="1:14">
      <c r="A39" s="187" t="s">
        <v>65</v>
      </c>
      <c r="B39" s="188" t="s">
        <v>2520</v>
      </c>
      <c r="C39" s="182">
        <v>37.36</v>
      </c>
      <c r="D39" s="176">
        <v>165000</v>
      </c>
      <c r="E39" s="179">
        <v>4416</v>
      </c>
      <c r="F39" s="169">
        <v>500</v>
      </c>
      <c r="G39" s="158">
        <v>18682069</v>
      </c>
      <c r="H39" s="161"/>
      <c r="I39" s="158">
        <v>18702068</v>
      </c>
      <c r="J39" s="158" t="s">
        <v>133</v>
      </c>
      <c r="K39" s="158">
        <v>0.99</v>
      </c>
      <c r="L39" s="158">
        <v>0.2</v>
      </c>
      <c r="M39" s="161" t="s">
        <v>1945</v>
      </c>
      <c r="N39" s="161"/>
    </row>
    <row r="40" spans="1:14">
      <c r="A40" s="187" t="s">
        <v>66</v>
      </c>
      <c r="B40" s="188" t="s">
        <v>2521</v>
      </c>
      <c r="C40" s="182">
        <v>12.1</v>
      </c>
      <c r="D40" s="176"/>
      <c r="E40" s="179"/>
      <c r="F40" s="169">
        <v>500</v>
      </c>
      <c r="G40" s="158">
        <v>6029411</v>
      </c>
      <c r="H40" s="161"/>
      <c r="I40" s="158">
        <v>6035626</v>
      </c>
      <c r="J40" s="158" t="s">
        <v>133</v>
      </c>
      <c r="K40" s="158">
        <v>0.99</v>
      </c>
      <c r="L40" s="158">
        <v>0.18</v>
      </c>
      <c r="M40" s="161" t="s">
        <v>1946</v>
      </c>
      <c r="N40" s="161"/>
    </row>
    <row r="41" spans="1:14">
      <c r="A41" s="190" t="s">
        <v>67</v>
      </c>
      <c r="B41" s="191" t="s">
        <v>2522</v>
      </c>
      <c r="C41" s="182">
        <v>25.23</v>
      </c>
      <c r="D41" s="178">
        <v>316208</v>
      </c>
      <c r="E41" s="177">
        <v>12535</v>
      </c>
      <c r="F41" s="170">
        <v>500</v>
      </c>
      <c r="G41" s="158">
        <v>12612990</v>
      </c>
      <c r="H41" s="161"/>
      <c r="I41" s="158">
        <v>12643216</v>
      </c>
      <c r="J41" s="158" t="s">
        <v>133</v>
      </c>
      <c r="K41" s="158">
        <v>0.99</v>
      </c>
      <c r="L41" s="158">
        <v>0.26</v>
      </c>
      <c r="M41" s="161" t="s">
        <v>1947</v>
      </c>
      <c r="N41" s="161"/>
    </row>
    <row r="42" spans="1:14">
      <c r="A42" s="190" t="s">
        <v>68</v>
      </c>
      <c r="B42" s="191" t="s">
        <v>2523</v>
      </c>
      <c r="C42" s="182">
        <v>31.08</v>
      </c>
      <c r="D42" s="178">
        <v>214552</v>
      </c>
      <c r="E42" s="177">
        <v>6903</v>
      </c>
      <c r="F42" s="170">
        <v>500</v>
      </c>
      <c r="G42" s="158">
        <v>15540510</v>
      </c>
      <c r="H42" s="161"/>
      <c r="I42" s="158">
        <v>15561051</v>
      </c>
      <c r="J42" s="158" t="s">
        <v>133</v>
      </c>
      <c r="K42" s="158">
        <v>0.99</v>
      </c>
      <c r="L42" s="158">
        <v>0.23</v>
      </c>
      <c r="M42" s="161" t="s">
        <v>1948</v>
      </c>
      <c r="N42" s="163"/>
    </row>
    <row r="43" spans="1:14" ht="17.25" thickBot="1">
      <c r="A43" s="192" t="s">
        <v>69</v>
      </c>
      <c r="B43" s="193" t="s">
        <v>2524</v>
      </c>
      <c r="C43" s="182">
        <v>13.72</v>
      </c>
      <c r="D43" s="180">
        <v>109329</v>
      </c>
      <c r="E43" s="181">
        <v>7966</v>
      </c>
      <c r="F43" s="169">
        <v>500</v>
      </c>
      <c r="G43" s="158">
        <v>6862254</v>
      </c>
      <c r="H43" s="161"/>
      <c r="I43" s="158">
        <v>6870685</v>
      </c>
      <c r="J43" s="158" t="s">
        <v>133</v>
      </c>
      <c r="K43" s="158">
        <v>0.99</v>
      </c>
      <c r="L43" s="158">
        <v>0.23</v>
      </c>
      <c r="M43" s="161" t="s">
        <v>1949</v>
      </c>
      <c r="N43" s="163"/>
    </row>
    <row r="44" spans="1:14">
      <c r="A44" s="184" t="s">
        <v>83</v>
      </c>
      <c r="B44" s="173" t="s">
        <v>2525</v>
      </c>
      <c r="C44" s="158">
        <v>22.33</v>
      </c>
      <c r="D44" s="173">
        <v>117704</v>
      </c>
      <c r="E44" s="173">
        <v>5272</v>
      </c>
      <c r="F44" s="158">
        <v>500</v>
      </c>
      <c r="G44" s="158">
        <v>11163088</v>
      </c>
      <c r="H44" s="158">
        <v>0</v>
      </c>
      <c r="I44" s="161">
        <v>11201577</v>
      </c>
      <c r="J44" s="158" t="s">
        <v>133</v>
      </c>
      <c r="K44" s="158">
        <v>0.95</v>
      </c>
      <c r="L44" s="158">
        <v>0.18</v>
      </c>
      <c r="M44" s="161" t="s">
        <v>1950</v>
      </c>
      <c r="N44" s="161"/>
    </row>
    <row r="45" spans="1:14">
      <c r="A45" s="166" t="s">
        <v>84</v>
      </c>
      <c r="B45" s="158" t="s">
        <v>2526</v>
      </c>
      <c r="C45" s="158">
        <v>33.049999999999997</v>
      </c>
      <c r="D45" s="162">
        <v>143375</v>
      </c>
      <c r="E45" s="158">
        <v>4338</v>
      </c>
      <c r="F45" s="158">
        <v>500</v>
      </c>
      <c r="G45" s="158">
        <v>16525467</v>
      </c>
      <c r="H45" s="158">
        <v>0</v>
      </c>
      <c r="I45" s="161">
        <v>16546993</v>
      </c>
      <c r="J45" s="158" t="s">
        <v>133</v>
      </c>
      <c r="K45" s="158">
        <v>0.95</v>
      </c>
      <c r="L45" s="158">
        <v>0.17</v>
      </c>
      <c r="M45" s="161" t="s">
        <v>1951</v>
      </c>
      <c r="N45" s="161"/>
    </row>
    <row r="46" spans="1:14">
      <c r="A46" s="166" t="s">
        <v>85</v>
      </c>
      <c r="B46" s="158" t="s">
        <v>2527</v>
      </c>
      <c r="C46" s="158">
        <v>8.02</v>
      </c>
      <c r="D46" s="162">
        <v>161906</v>
      </c>
      <c r="E46" s="158">
        <v>20192</v>
      </c>
      <c r="F46" s="158">
        <v>500</v>
      </c>
      <c r="G46" s="158">
        <v>4009157</v>
      </c>
      <c r="H46" s="158">
        <v>0</v>
      </c>
      <c r="I46" s="161">
        <v>4016162</v>
      </c>
      <c r="J46" s="158" t="s">
        <v>133</v>
      </c>
      <c r="K46" s="158">
        <v>0.95</v>
      </c>
      <c r="L46" s="162">
        <v>0.17</v>
      </c>
      <c r="M46" s="161" t="s">
        <v>1952</v>
      </c>
      <c r="N46" s="161"/>
    </row>
    <row r="47" spans="1:14">
      <c r="A47" s="166" t="s">
        <v>77</v>
      </c>
      <c r="B47" s="158" t="s">
        <v>2528</v>
      </c>
      <c r="C47" s="158">
        <v>19.04</v>
      </c>
      <c r="D47" s="162">
        <v>236470</v>
      </c>
      <c r="E47" s="158">
        <v>12419</v>
      </c>
      <c r="F47" s="158">
        <v>500</v>
      </c>
      <c r="G47" s="158">
        <v>9520477</v>
      </c>
      <c r="H47" s="161"/>
      <c r="I47" s="158">
        <v>9532141</v>
      </c>
      <c r="J47" s="158" t="s">
        <v>133</v>
      </c>
      <c r="K47" s="158">
        <v>0.99</v>
      </c>
      <c r="L47" s="162">
        <v>0.21</v>
      </c>
      <c r="M47" s="161" t="s">
        <v>1953</v>
      </c>
      <c r="N47" s="161"/>
    </row>
    <row r="48" spans="1:14">
      <c r="A48" s="166" t="s">
        <v>78</v>
      </c>
      <c r="B48" s="158" t="s">
        <v>2529</v>
      </c>
      <c r="C48" s="158">
        <v>15.14</v>
      </c>
      <c r="D48" s="162">
        <v>321776</v>
      </c>
      <c r="E48" s="158">
        <v>21258</v>
      </c>
      <c r="F48" s="158">
        <v>500</v>
      </c>
      <c r="G48" s="158">
        <v>7568355</v>
      </c>
      <c r="H48" s="161"/>
      <c r="I48" s="158">
        <v>7574869</v>
      </c>
      <c r="J48" s="158" t="s">
        <v>133</v>
      </c>
      <c r="K48" s="158">
        <v>0.99</v>
      </c>
      <c r="L48" s="158">
        <v>0.18</v>
      </c>
      <c r="M48" s="161" t="s">
        <v>1954</v>
      </c>
      <c r="N48" s="161"/>
    </row>
    <row r="49" spans="1:13">
      <c r="A49" s="166" t="s">
        <v>86</v>
      </c>
      <c r="B49" s="158" t="s">
        <v>2530</v>
      </c>
      <c r="C49" s="158">
        <v>26.98</v>
      </c>
      <c r="D49" s="158">
        <v>151423</v>
      </c>
      <c r="E49" s="158">
        <v>5314</v>
      </c>
      <c r="F49" s="158">
        <v>500</v>
      </c>
      <c r="G49" s="158">
        <v>13408596</v>
      </c>
      <c r="H49" s="158">
        <v>81404</v>
      </c>
      <c r="I49" s="161"/>
      <c r="J49" s="158" t="s">
        <v>133</v>
      </c>
      <c r="K49" s="158">
        <v>0.95</v>
      </c>
      <c r="L49" s="158">
        <v>0.2</v>
      </c>
      <c r="M49" s="157" t="s">
        <v>1955</v>
      </c>
    </row>
    <row r="50" spans="1:13">
      <c r="A50" s="166" t="s">
        <v>79</v>
      </c>
      <c r="B50" s="158" t="s">
        <v>2531</v>
      </c>
      <c r="C50" s="158">
        <v>33.11</v>
      </c>
      <c r="D50" s="163">
        <v>160407</v>
      </c>
      <c r="E50" s="158">
        <v>4845</v>
      </c>
      <c r="F50" s="158">
        <v>500</v>
      </c>
      <c r="G50" s="158">
        <v>16555000</v>
      </c>
      <c r="H50" s="161"/>
      <c r="I50" s="158">
        <v>16569139</v>
      </c>
      <c r="J50" s="158" t="s">
        <v>133</v>
      </c>
      <c r="K50" s="158">
        <v>0.95</v>
      </c>
      <c r="L50" s="158">
        <v>0.21</v>
      </c>
      <c r="M50" s="157" t="s">
        <v>1956</v>
      </c>
    </row>
    <row r="51" spans="1:13" ht="17.25" thickBot="1">
      <c r="A51" s="166" t="s">
        <v>80</v>
      </c>
      <c r="B51" s="158" t="s">
        <v>2532</v>
      </c>
      <c r="C51" s="158">
        <v>12.3</v>
      </c>
      <c r="D51" s="171">
        <v>173144</v>
      </c>
      <c r="E51" s="172">
        <v>14080</v>
      </c>
      <c r="F51" s="158">
        <v>500</v>
      </c>
      <c r="G51" s="158">
        <v>6150000</v>
      </c>
      <c r="H51" s="161"/>
      <c r="I51" s="158">
        <v>6151804</v>
      </c>
      <c r="J51" s="158" t="s">
        <v>133</v>
      </c>
      <c r="K51" s="158">
        <v>0.95</v>
      </c>
      <c r="L51" s="163">
        <v>0.18</v>
      </c>
      <c r="M51" s="157" t="s">
        <v>1957</v>
      </c>
    </row>
    <row r="52" spans="1:13" ht="17.25" thickBot="1">
      <c r="A52" s="166" t="s">
        <v>87</v>
      </c>
      <c r="B52" s="158" t="s">
        <v>2533</v>
      </c>
      <c r="C52" s="168">
        <v>25.79</v>
      </c>
      <c r="D52" s="195">
        <v>168464</v>
      </c>
      <c r="E52" s="196">
        <v>6531</v>
      </c>
      <c r="F52" s="194">
        <v>500</v>
      </c>
      <c r="G52" s="158">
        <v>12897279</v>
      </c>
      <c r="H52" s="161"/>
      <c r="I52" s="158">
        <v>12921643</v>
      </c>
      <c r="J52" s="158" t="s">
        <v>133</v>
      </c>
      <c r="K52" s="158">
        <v>0.5</v>
      </c>
      <c r="L52" s="162">
        <v>0.24</v>
      </c>
      <c r="M52" s="157" t="s">
        <v>1958</v>
      </c>
    </row>
    <row r="53" spans="1:13">
      <c r="A53" s="166" t="s">
        <v>88</v>
      </c>
      <c r="B53" s="158" t="s">
        <v>2534</v>
      </c>
      <c r="C53" s="158">
        <v>27.63</v>
      </c>
      <c r="D53" s="173">
        <v>108454</v>
      </c>
      <c r="E53" s="173">
        <v>3925</v>
      </c>
      <c r="F53" s="158">
        <v>500</v>
      </c>
      <c r="G53" s="158">
        <v>13815740</v>
      </c>
      <c r="H53" s="161"/>
      <c r="I53" s="158">
        <v>13844247</v>
      </c>
      <c r="J53" s="158" t="s">
        <v>133</v>
      </c>
      <c r="K53" s="158">
        <v>0.5</v>
      </c>
      <c r="L53" s="158">
        <v>0.2</v>
      </c>
      <c r="M53" s="157" t="s">
        <v>1959</v>
      </c>
    </row>
    <row r="54" spans="1:13">
      <c r="A54" s="166" t="s">
        <v>89</v>
      </c>
      <c r="B54" s="158" t="s">
        <v>2535</v>
      </c>
      <c r="C54" s="158">
        <v>33.119999999999997</v>
      </c>
      <c r="D54" s="158">
        <v>2219816</v>
      </c>
      <c r="E54" s="158">
        <v>67029</v>
      </c>
      <c r="F54" s="158">
        <v>500</v>
      </c>
      <c r="G54" s="158">
        <v>16558626</v>
      </c>
      <c r="H54" s="161"/>
      <c r="I54" s="158">
        <v>16580185</v>
      </c>
      <c r="J54" s="158" t="s">
        <v>133</v>
      </c>
      <c r="K54" s="158">
        <v>0.3</v>
      </c>
      <c r="L54" s="158">
        <v>0.21</v>
      </c>
      <c r="M54" s="157" t="s">
        <v>1960</v>
      </c>
    </row>
    <row r="55" spans="1:13">
      <c r="A55" s="166" t="s">
        <v>90</v>
      </c>
      <c r="B55" s="158" t="s">
        <v>2536</v>
      </c>
      <c r="C55" s="158">
        <v>20.52</v>
      </c>
      <c r="D55" s="158">
        <v>369353</v>
      </c>
      <c r="E55" s="158">
        <v>17997</v>
      </c>
      <c r="F55" s="158">
        <v>500</v>
      </c>
      <c r="G55" s="158">
        <v>10261514</v>
      </c>
      <c r="H55" s="161"/>
      <c r="I55" s="158">
        <v>10283959</v>
      </c>
      <c r="J55" s="158" t="s">
        <v>133</v>
      </c>
      <c r="K55" s="158">
        <v>0.5</v>
      </c>
      <c r="L55" s="158">
        <v>0.2</v>
      </c>
      <c r="M55" s="157" t="s">
        <v>1961</v>
      </c>
    </row>
    <row r="56" spans="1:13">
      <c r="A56" s="166" t="s">
        <v>91</v>
      </c>
      <c r="B56" s="158" t="s">
        <v>2537</v>
      </c>
      <c r="C56" s="158">
        <v>7.2</v>
      </c>
      <c r="D56" s="161"/>
      <c r="E56" s="158">
        <v>536</v>
      </c>
      <c r="F56" s="161"/>
      <c r="G56" s="161"/>
      <c r="H56" s="161"/>
      <c r="I56" s="161"/>
      <c r="J56" s="158" t="s">
        <v>133</v>
      </c>
      <c r="K56" s="158">
        <v>0.99</v>
      </c>
      <c r="L56" s="158">
        <v>0.1</v>
      </c>
      <c r="M56" s="157" t="s">
        <v>1931</v>
      </c>
    </row>
    <row r="57" spans="1:13">
      <c r="A57" s="166" t="s">
        <v>92</v>
      </c>
      <c r="B57" s="158" t="s">
        <v>2538</v>
      </c>
      <c r="C57" s="158">
        <v>36.83</v>
      </c>
      <c r="D57" s="158">
        <v>324463</v>
      </c>
      <c r="E57" s="158">
        <v>8809</v>
      </c>
      <c r="F57" s="158">
        <v>500</v>
      </c>
      <c r="G57" s="158">
        <v>18415000</v>
      </c>
      <c r="H57" s="161"/>
      <c r="I57" s="158">
        <v>18429623</v>
      </c>
      <c r="J57" s="158" t="s">
        <v>133</v>
      </c>
      <c r="K57" s="158">
        <v>0.75</v>
      </c>
      <c r="L57" s="158">
        <v>0.04</v>
      </c>
      <c r="M57" s="157" t="s">
        <v>1962</v>
      </c>
    </row>
    <row r="58" spans="1:13">
      <c r="A58" s="166" t="s">
        <v>93</v>
      </c>
      <c r="B58" s="158" t="s">
        <v>2539</v>
      </c>
      <c r="C58" s="158">
        <v>13.22</v>
      </c>
      <c r="D58" s="158"/>
      <c r="E58" s="158"/>
      <c r="F58" s="158">
        <v>500</v>
      </c>
      <c r="G58" s="158">
        <v>6575000</v>
      </c>
      <c r="H58" s="161"/>
      <c r="I58" s="158">
        <v>6580002</v>
      </c>
      <c r="J58" s="158" t="s">
        <v>133</v>
      </c>
      <c r="K58" s="158">
        <v>0.75</v>
      </c>
      <c r="L58" s="158">
        <v>0.04</v>
      </c>
      <c r="M58" s="157" t="s">
        <v>1963</v>
      </c>
    </row>
    <row r="59" spans="1:13">
      <c r="A59" s="166" t="s">
        <v>94</v>
      </c>
      <c r="B59" s="158" t="s">
        <v>2540</v>
      </c>
      <c r="C59" s="158">
        <v>28.51</v>
      </c>
      <c r="D59" s="158">
        <v>455232</v>
      </c>
      <c r="E59" s="158">
        <v>15965</v>
      </c>
      <c r="F59" s="158">
        <v>500</v>
      </c>
      <c r="G59" s="158">
        <v>14257188</v>
      </c>
      <c r="H59" s="161"/>
      <c r="I59" s="158">
        <v>14276445</v>
      </c>
      <c r="J59" s="158" t="s">
        <v>133</v>
      </c>
      <c r="K59" s="158">
        <v>0.85</v>
      </c>
      <c r="L59" s="158">
        <v>0.17</v>
      </c>
      <c r="M59" s="157" t="s">
        <v>2480</v>
      </c>
    </row>
    <row r="60" spans="1:13">
      <c r="A60" s="166" t="s">
        <v>95</v>
      </c>
      <c r="B60" s="158" t="s">
        <v>2541</v>
      </c>
      <c r="C60" s="158">
        <v>13.32</v>
      </c>
      <c r="D60" s="158">
        <v>108222</v>
      </c>
      <c r="E60" s="158">
        <v>8124</v>
      </c>
      <c r="F60" s="158">
        <v>500</v>
      </c>
      <c r="G60" s="158">
        <v>6660621</v>
      </c>
      <c r="H60" s="161"/>
      <c r="I60" s="158">
        <v>6668951</v>
      </c>
      <c r="J60" s="158" t="s">
        <v>133</v>
      </c>
      <c r="K60" s="158">
        <v>0.85</v>
      </c>
      <c r="L60" s="158">
        <v>0.17</v>
      </c>
      <c r="M60" s="157" t="s">
        <v>2481</v>
      </c>
    </row>
    <row r="61" spans="1:13" ht="17.25" thickBot="1">
      <c r="A61" s="166" t="s">
        <v>96</v>
      </c>
      <c r="B61" s="158"/>
      <c r="C61" s="158"/>
      <c r="D61" s="172"/>
      <c r="E61" s="172"/>
      <c r="F61" s="158"/>
      <c r="G61" s="158"/>
      <c r="H61" s="161"/>
      <c r="I61" s="158"/>
      <c r="J61" s="158"/>
      <c r="K61" s="158"/>
      <c r="L61" s="158"/>
    </row>
    <row r="62" spans="1:13">
      <c r="A62" s="164" t="s">
        <v>97</v>
      </c>
      <c r="B62" s="165" t="s">
        <v>2542</v>
      </c>
      <c r="C62" s="168">
        <v>16.12</v>
      </c>
      <c r="D62" s="197">
        <v>7480916</v>
      </c>
      <c r="E62" s="175">
        <v>464187</v>
      </c>
      <c r="F62" s="194">
        <v>500</v>
      </c>
      <c r="G62" s="158">
        <v>8058085</v>
      </c>
      <c r="H62" s="161"/>
      <c r="I62" s="158">
        <v>8068108</v>
      </c>
      <c r="J62" s="158" t="s">
        <v>133</v>
      </c>
      <c r="K62" s="158">
        <v>1</v>
      </c>
      <c r="L62" s="158">
        <v>0.15</v>
      </c>
      <c r="M62" s="157" t="s">
        <v>1964</v>
      </c>
    </row>
    <row r="63" spans="1:13">
      <c r="A63" s="164" t="s">
        <v>98</v>
      </c>
      <c r="B63" s="165" t="s">
        <v>2543</v>
      </c>
      <c r="C63" s="168">
        <v>15.11</v>
      </c>
      <c r="D63" s="178">
        <v>841803</v>
      </c>
      <c r="E63" s="179">
        <v>55703</v>
      </c>
      <c r="F63" s="194">
        <v>500</v>
      </c>
      <c r="G63" s="158">
        <v>7556168</v>
      </c>
      <c r="H63" s="161"/>
      <c r="I63" s="158">
        <v>7563190</v>
      </c>
      <c r="J63" s="158" t="s">
        <v>133</v>
      </c>
      <c r="K63" s="158">
        <v>1</v>
      </c>
      <c r="L63" s="158">
        <v>0.15</v>
      </c>
      <c r="M63" s="157" t="s">
        <v>1965</v>
      </c>
    </row>
    <row r="64" spans="1:13">
      <c r="A64" s="164" t="s">
        <v>99</v>
      </c>
      <c r="B64" s="165" t="s">
        <v>2544</v>
      </c>
      <c r="C64" s="168">
        <v>18.05</v>
      </c>
      <c r="D64" s="178">
        <v>92093</v>
      </c>
      <c r="E64" s="179">
        <v>5103</v>
      </c>
      <c r="F64" s="194">
        <v>500</v>
      </c>
      <c r="G64" s="158">
        <v>9023388</v>
      </c>
      <c r="H64" s="161"/>
      <c r="I64" s="158">
        <v>9030414</v>
      </c>
      <c r="J64" s="158" t="s">
        <v>133</v>
      </c>
      <c r="K64" s="158">
        <v>1</v>
      </c>
      <c r="L64" s="158">
        <v>0.15</v>
      </c>
      <c r="M64" s="157" t="s">
        <v>1966</v>
      </c>
    </row>
    <row r="65" spans="1:13">
      <c r="A65" s="164" t="s">
        <v>100</v>
      </c>
      <c r="B65" s="165" t="s">
        <v>2545</v>
      </c>
      <c r="C65" s="168">
        <v>29.67</v>
      </c>
      <c r="D65" s="178">
        <v>2049176</v>
      </c>
      <c r="E65" s="179">
        <v>69058</v>
      </c>
      <c r="F65" s="194">
        <v>500</v>
      </c>
      <c r="G65" s="158">
        <v>14689017</v>
      </c>
      <c r="H65" s="158">
        <v>145983</v>
      </c>
      <c r="I65" s="161"/>
      <c r="J65" s="158" t="s">
        <v>133</v>
      </c>
      <c r="K65" s="158">
        <v>0.45</v>
      </c>
      <c r="L65" s="158">
        <v>0.18</v>
      </c>
      <c r="M65" s="157" t="s">
        <v>1967</v>
      </c>
    </row>
    <row r="66" spans="1:13" ht="17.25" thickBot="1">
      <c r="A66" s="164" t="s">
        <v>101</v>
      </c>
      <c r="B66" s="165" t="s">
        <v>2546</v>
      </c>
      <c r="C66" s="168">
        <v>12.32</v>
      </c>
      <c r="D66" s="180">
        <v>1491717</v>
      </c>
      <c r="E66" s="181">
        <v>121117</v>
      </c>
      <c r="F66" s="194">
        <v>500</v>
      </c>
      <c r="G66" s="158">
        <v>6160000</v>
      </c>
      <c r="H66" s="161"/>
      <c r="I66" s="158">
        <v>6161396</v>
      </c>
      <c r="J66" s="158" t="s">
        <v>133</v>
      </c>
      <c r="K66" s="158">
        <v>0.85</v>
      </c>
      <c r="L66" s="158">
        <v>0.18</v>
      </c>
      <c r="M66" s="157" t="s">
        <v>1968</v>
      </c>
    </row>
    <row r="67" spans="1:13">
      <c r="A67" s="166" t="s">
        <v>102</v>
      </c>
      <c r="B67" s="158" t="s">
        <v>2547</v>
      </c>
      <c r="C67" s="158">
        <v>15.81</v>
      </c>
      <c r="D67" s="173">
        <v>289052</v>
      </c>
      <c r="E67" s="173">
        <v>18286</v>
      </c>
      <c r="F67" s="158">
        <v>500</v>
      </c>
      <c r="G67" s="158">
        <v>7903638</v>
      </c>
      <c r="H67" s="161"/>
      <c r="I67" s="158">
        <v>7912590</v>
      </c>
      <c r="J67" s="158" t="s">
        <v>133</v>
      </c>
      <c r="K67" s="158">
        <v>0.65</v>
      </c>
      <c r="L67" s="158">
        <v>0.04</v>
      </c>
      <c r="M67" s="157" t="s">
        <v>1969</v>
      </c>
    </row>
    <row r="68" spans="1:13" ht="17.25" thickBot="1">
      <c r="A68" s="166" t="s">
        <v>103</v>
      </c>
      <c r="B68" s="158" t="s">
        <v>2548</v>
      </c>
      <c r="C68" s="158">
        <v>7.16</v>
      </c>
      <c r="D68" s="172">
        <v>977899</v>
      </c>
      <c r="E68" s="172">
        <v>136511</v>
      </c>
      <c r="F68" s="158">
        <v>500</v>
      </c>
      <c r="G68" s="158">
        <v>3581758</v>
      </c>
      <c r="H68" s="161"/>
      <c r="I68" s="158">
        <v>3587474</v>
      </c>
      <c r="J68" s="158" t="s">
        <v>133</v>
      </c>
      <c r="K68" s="158">
        <v>0.65</v>
      </c>
      <c r="L68" s="158">
        <v>0.04</v>
      </c>
      <c r="M68" s="157" t="s">
        <v>1963</v>
      </c>
    </row>
    <row r="69" spans="1:13">
      <c r="A69" s="164" t="s">
        <v>104</v>
      </c>
      <c r="B69" s="165" t="s">
        <v>2549</v>
      </c>
      <c r="C69" s="168">
        <v>4.49</v>
      </c>
      <c r="D69" s="197">
        <v>17960737</v>
      </c>
      <c r="E69" s="175">
        <v>3999708</v>
      </c>
      <c r="F69" s="194">
        <v>500</v>
      </c>
      <c r="G69" s="158">
        <v>2245256</v>
      </c>
      <c r="H69" s="161"/>
      <c r="I69" s="158">
        <v>2251379</v>
      </c>
      <c r="J69" s="158" t="s">
        <v>133</v>
      </c>
      <c r="K69" s="158">
        <v>0.99</v>
      </c>
      <c r="L69" s="158">
        <v>0.15</v>
      </c>
      <c r="M69" s="157" t="s">
        <v>1970</v>
      </c>
    </row>
    <row r="70" spans="1:13">
      <c r="A70" s="164" t="s">
        <v>105</v>
      </c>
      <c r="B70" s="165" t="s">
        <v>2550</v>
      </c>
      <c r="C70" s="168">
        <v>22.43</v>
      </c>
      <c r="D70" s="178">
        <v>223107</v>
      </c>
      <c r="E70" s="179">
        <v>9948</v>
      </c>
      <c r="F70" s="194">
        <v>500</v>
      </c>
      <c r="G70" s="158">
        <v>11213649</v>
      </c>
      <c r="H70" s="161"/>
      <c r="I70" s="158">
        <v>11232105</v>
      </c>
      <c r="J70" s="158" t="s">
        <v>133</v>
      </c>
      <c r="K70" s="158">
        <v>0.85</v>
      </c>
      <c r="L70" s="158">
        <v>0.12</v>
      </c>
      <c r="M70" s="157" t="s">
        <v>1971</v>
      </c>
    </row>
    <row r="71" spans="1:13">
      <c r="A71" s="167" t="s">
        <v>106</v>
      </c>
      <c r="B71" s="165" t="s">
        <v>2551</v>
      </c>
      <c r="C71" s="168">
        <v>42.374099999999999</v>
      </c>
      <c r="D71" s="178">
        <v>26385993</v>
      </c>
      <c r="E71" s="179">
        <v>622692</v>
      </c>
      <c r="F71" s="194">
        <v>500</v>
      </c>
      <c r="G71" s="158">
        <v>21187034</v>
      </c>
      <c r="H71" s="161"/>
      <c r="I71" s="158">
        <v>21198439</v>
      </c>
      <c r="J71" s="158" t="s">
        <v>136</v>
      </c>
      <c r="K71" s="158" t="s">
        <v>2482</v>
      </c>
      <c r="L71" s="158" t="s">
        <v>154</v>
      </c>
      <c r="M71" s="157" t="s">
        <v>1972</v>
      </c>
    </row>
    <row r="72" spans="1:13">
      <c r="A72" s="167" t="s">
        <v>107</v>
      </c>
      <c r="B72" s="165" t="s">
        <v>2552</v>
      </c>
      <c r="C72" s="168">
        <v>22.6496</v>
      </c>
      <c r="D72" s="178"/>
      <c r="E72" s="179"/>
      <c r="F72" s="194">
        <v>500</v>
      </c>
      <c r="G72" s="158">
        <v>11658807</v>
      </c>
      <c r="H72" s="161"/>
      <c r="I72" s="158">
        <v>11664989</v>
      </c>
      <c r="J72" s="158" t="s">
        <v>133</v>
      </c>
      <c r="K72" s="158">
        <v>0.75</v>
      </c>
      <c r="L72" s="158">
        <v>0.21</v>
      </c>
      <c r="M72" s="157" t="s">
        <v>1973</v>
      </c>
    </row>
    <row r="73" spans="1:13">
      <c r="A73" s="167" t="s">
        <v>108</v>
      </c>
      <c r="B73" s="165" t="s">
        <v>2553</v>
      </c>
      <c r="C73" s="168">
        <v>16.938700000000001</v>
      </c>
      <c r="D73" s="178">
        <v>103225</v>
      </c>
      <c r="E73" s="179">
        <v>6094</v>
      </c>
      <c r="F73" s="194">
        <v>500</v>
      </c>
      <c r="G73" s="158">
        <v>8469362</v>
      </c>
      <c r="H73" s="161"/>
      <c r="I73" s="158">
        <v>8475233</v>
      </c>
      <c r="J73" s="158" t="s">
        <v>133</v>
      </c>
      <c r="K73" s="158">
        <v>0.75</v>
      </c>
      <c r="L73" s="158">
        <v>0.16</v>
      </c>
      <c r="M73" s="157" t="s">
        <v>1974</v>
      </c>
    </row>
    <row r="74" spans="1:13">
      <c r="A74" s="164" t="s">
        <v>109</v>
      </c>
      <c r="B74" s="165" t="s">
        <v>2554</v>
      </c>
      <c r="C74" s="168">
        <v>12.34</v>
      </c>
      <c r="D74" s="178">
        <v>1245010</v>
      </c>
      <c r="E74" s="179">
        <v>100884</v>
      </c>
      <c r="F74" s="194">
        <v>500</v>
      </c>
      <c r="G74" s="158">
        <v>6170505</v>
      </c>
      <c r="H74" s="161"/>
      <c r="I74" s="158">
        <v>6176739</v>
      </c>
      <c r="J74" s="158" t="s">
        <v>133</v>
      </c>
      <c r="K74" s="158">
        <v>0.89</v>
      </c>
      <c r="L74" s="158">
        <v>0.18</v>
      </c>
      <c r="M74" s="157" t="s">
        <v>1975</v>
      </c>
    </row>
    <row r="75" spans="1:13" ht="17.25" thickBot="1">
      <c r="A75" s="164" t="s">
        <v>110</v>
      </c>
      <c r="B75" s="165" t="s">
        <v>2555</v>
      </c>
      <c r="C75" s="168">
        <v>36.619999999999997</v>
      </c>
      <c r="D75" s="180">
        <v>444795</v>
      </c>
      <c r="E75" s="181">
        <v>12145</v>
      </c>
      <c r="F75" s="194">
        <v>500</v>
      </c>
      <c r="G75" s="158">
        <v>18311858</v>
      </c>
      <c r="H75" s="161"/>
      <c r="I75" s="158">
        <v>18329676</v>
      </c>
      <c r="J75" s="158" t="s">
        <v>133</v>
      </c>
      <c r="K75" s="158">
        <v>0.89</v>
      </c>
      <c r="L75" s="158">
        <v>0.2</v>
      </c>
      <c r="M75" s="157" t="s">
        <v>1976</v>
      </c>
    </row>
    <row r="76" spans="1:13">
      <c r="A76" s="166" t="s">
        <v>111</v>
      </c>
      <c r="B76" s="158" t="s">
        <v>2556</v>
      </c>
      <c r="C76" s="158">
        <v>14.03</v>
      </c>
      <c r="D76" s="173">
        <v>128240</v>
      </c>
      <c r="E76" s="173">
        <v>9139</v>
      </c>
      <c r="F76" s="158">
        <v>500</v>
      </c>
      <c r="G76" s="158">
        <v>7016100</v>
      </c>
      <c r="H76" s="161"/>
      <c r="I76" s="158">
        <v>7022503</v>
      </c>
      <c r="J76" s="158" t="s">
        <v>131</v>
      </c>
      <c r="K76" s="158">
        <v>0.3</v>
      </c>
      <c r="L76" s="158">
        <v>0.04</v>
      </c>
      <c r="M76" s="157" t="s">
        <v>1969</v>
      </c>
    </row>
    <row r="77" spans="1:13">
      <c r="A77" s="166" t="s">
        <v>112</v>
      </c>
      <c r="B77" s="158" t="s">
        <v>2557</v>
      </c>
      <c r="C77" s="158">
        <v>7.78</v>
      </c>
      <c r="D77" s="158">
        <v>126608</v>
      </c>
      <c r="E77" s="158">
        <v>16276</v>
      </c>
      <c r="F77" s="158">
        <v>500</v>
      </c>
      <c r="G77" s="158">
        <v>3889410</v>
      </c>
      <c r="H77" s="161"/>
      <c r="I77" s="158">
        <v>3894799</v>
      </c>
      <c r="J77" s="158" t="s">
        <v>131</v>
      </c>
      <c r="K77" s="158">
        <v>0.3</v>
      </c>
      <c r="L77" s="158">
        <v>0.04</v>
      </c>
      <c r="M77" s="157" t="s">
        <v>1963</v>
      </c>
    </row>
    <row r="78" spans="1:13">
      <c r="A78" s="166" t="s">
        <v>113</v>
      </c>
      <c r="B78" s="158" t="s">
        <v>2558</v>
      </c>
      <c r="C78" s="158">
        <v>15.7</v>
      </c>
      <c r="D78" s="158"/>
      <c r="E78" s="158"/>
      <c r="F78" s="158">
        <v>500</v>
      </c>
      <c r="G78" s="158">
        <v>7814581</v>
      </c>
      <c r="H78" s="161"/>
      <c r="I78" s="158">
        <v>7818144</v>
      </c>
      <c r="J78" s="158" t="s">
        <v>131</v>
      </c>
      <c r="K78" s="158">
        <v>0.65</v>
      </c>
      <c r="L78" s="158">
        <v>0.04</v>
      </c>
      <c r="M78" s="157" t="s">
        <v>1977</v>
      </c>
    </row>
    <row r="79" spans="1:13" ht="17.25" thickBot="1">
      <c r="A79" s="166" t="s">
        <v>114</v>
      </c>
      <c r="B79" s="158" t="s">
        <v>2559</v>
      </c>
      <c r="C79" s="158">
        <v>22.16</v>
      </c>
      <c r="D79" s="172">
        <v>439468</v>
      </c>
      <c r="E79" s="172">
        <v>19830</v>
      </c>
      <c r="F79" s="158">
        <v>500</v>
      </c>
      <c r="G79" s="158">
        <v>11080884</v>
      </c>
      <c r="H79" s="161"/>
      <c r="I79" s="158">
        <v>11093965</v>
      </c>
      <c r="J79" s="158" t="s">
        <v>131</v>
      </c>
      <c r="K79" s="158">
        <v>0.32</v>
      </c>
      <c r="L79" s="158">
        <v>3.5000000000000003E-2</v>
      </c>
      <c r="M79" s="157" t="s">
        <v>1978</v>
      </c>
    </row>
    <row r="80" spans="1:13">
      <c r="A80" s="164" t="s">
        <v>363</v>
      </c>
      <c r="B80" s="165" t="s">
        <v>2560</v>
      </c>
      <c r="C80" s="168">
        <v>44.167700000000004</v>
      </c>
      <c r="D80" s="197">
        <v>18938552</v>
      </c>
      <c r="E80" s="175">
        <v>428787</v>
      </c>
      <c r="F80" s="194">
        <v>500</v>
      </c>
      <c r="G80" s="158">
        <v>22083850</v>
      </c>
      <c r="H80" s="161"/>
      <c r="I80" s="158">
        <v>22090286</v>
      </c>
      <c r="J80" s="158" t="s">
        <v>370</v>
      </c>
      <c r="K80" s="158">
        <v>0.2</v>
      </c>
      <c r="L80" s="158" t="s">
        <v>371</v>
      </c>
      <c r="M80" s="157" t="s">
        <v>1979</v>
      </c>
    </row>
    <row r="81" spans="1:13">
      <c r="A81" s="164" t="s">
        <v>364</v>
      </c>
      <c r="B81" s="165" t="s">
        <v>2561</v>
      </c>
      <c r="C81" s="168">
        <v>23.143999999999998</v>
      </c>
      <c r="D81" s="178">
        <v>48950</v>
      </c>
      <c r="E81" s="179">
        <v>2115</v>
      </c>
      <c r="F81" s="194">
        <v>500</v>
      </c>
      <c r="G81" s="158">
        <v>11572000</v>
      </c>
      <c r="H81" s="161"/>
      <c r="I81" s="158">
        <v>11575176</v>
      </c>
      <c r="J81" s="158" t="s">
        <v>133</v>
      </c>
      <c r="K81" s="158">
        <v>0.65</v>
      </c>
      <c r="L81" s="158">
        <v>0.21</v>
      </c>
      <c r="M81" s="157" t="s">
        <v>1980</v>
      </c>
    </row>
    <row r="82" spans="1:13">
      <c r="A82" s="164" t="s">
        <v>365</v>
      </c>
      <c r="B82" s="165" t="s">
        <v>2562</v>
      </c>
      <c r="C82" s="168">
        <v>17.331399999999999</v>
      </c>
      <c r="D82" s="178">
        <v>102064</v>
      </c>
      <c r="E82" s="179">
        <v>5889</v>
      </c>
      <c r="F82" s="194">
        <v>500</v>
      </c>
      <c r="G82" s="158">
        <v>8665700</v>
      </c>
      <c r="H82" s="161"/>
      <c r="I82" s="158">
        <v>8668557</v>
      </c>
      <c r="J82" s="158" t="s">
        <v>133</v>
      </c>
      <c r="K82" s="158">
        <v>0.65</v>
      </c>
      <c r="L82" s="158">
        <v>0.16</v>
      </c>
      <c r="M82" s="157" t="s">
        <v>1981</v>
      </c>
    </row>
    <row r="83" spans="1:13" ht="17.25" thickBot="1">
      <c r="A83" s="164" t="s">
        <v>366</v>
      </c>
      <c r="B83" s="165" t="s">
        <v>2563</v>
      </c>
      <c r="C83" s="168">
        <v>15.33</v>
      </c>
      <c r="D83" s="180"/>
      <c r="E83" s="181"/>
      <c r="F83" s="194">
        <v>500</v>
      </c>
      <c r="G83" s="158">
        <v>7789623</v>
      </c>
      <c r="H83" s="161"/>
      <c r="I83" s="158">
        <v>7796623</v>
      </c>
      <c r="J83" s="158" t="s">
        <v>133</v>
      </c>
      <c r="K83" s="158">
        <v>1</v>
      </c>
      <c r="L83" s="158">
        <v>0.15</v>
      </c>
      <c r="M83" s="157" t="s">
        <v>1982</v>
      </c>
    </row>
    <row r="84" spans="1:13" ht="17.25" thickBot="1">
      <c r="A84" s="166" t="s">
        <v>362</v>
      </c>
      <c r="B84" s="158" t="s">
        <v>2564</v>
      </c>
      <c r="C84" s="158">
        <v>21.51</v>
      </c>
      <c r="D84" s="206">
        <v>3414630</v>
      </c>
      <c r="E84" s="206">
        <v>158780</v>
      </c>
      <c r="F84" s="158">
        <v>500</v>
      </c>
      <c r="G84" s="158">
        <v>10752707</v>
      </c>
      <c r="H84" s="161"/>
      <c r="I84" s="158">
        <v>10768460</v>
      </c>
      <c r="J84" s="158" t="s">
        <v>133</v>
      </c>
      <c r="K84" s="158">
        <v>0.15</v>
      </c>
      <c r="L84" s="158">
        <v>3.5000000000000003E-2</v>
      </c>
      <c r="M84" s="157" t="s">
        <v>1983</v>
      </c>
    </row>
    <row r="85" spans="1:13">
      <c r="A85" s="164" t="s">
        <v>367</v>
      </c>
      <c r="B85" s="165" t="s">
        <v>2565</v>
      </c>
      <c r="C85" s="168">
        <v>20.63</v>
      </c>
      <c r="D85" s="197">
        <v>1094197</v>
      </c>
      <c r="E85" s="175">
        <v>53050</v>
      </c>
      <c r="F85" s="194">
        <v>500</v>
      </c>
      <c r="G85" s="158">
        <v>10312885</v>
      </c>
      <c r="H85" s="161"/>
      <c r="I85" s="158">
        <v>10335511</v>
      </c>
      <c r="J85" s="158" t="s">
        <v>133</v>
      </c>
      <c r="K85" s="158">
        <v>0.9</v>
      </c>
      <c r="L85" s="158">
        <v>0.2</v>
      </c>
      <c r="M85" s="157" t="s">
        <v>1984</v>
      </c>
    </row>
    <row r="86" spans="1:13" ht="17.25" thickBot="1">
      <c r="A86" s="166" t="s">
        <v>368</v>
      </c>
      <c r="B86" s="158"/>
      <c r="C86" s="168"/>
      <c r="D86" s="180"/>
      <c r="E86" s="181"/>
      <c r="F86" s="194"/>
      <c r="G86" s="158"/>
      <c r="H86" s="161"/>
      <c r="I86" s="158"/>
      <c r="J86" s="158"/>
      <c r="K86" s="158"/>
      <c r="L86" s="158"/>
    </row>
    <row r="87" spans="1:13" ht="17.25" thickBot="1">
      <c r="A87" s="166" t="s">
        <v>369</v>
      </c>
      <c r="B87" s="158"/>
      <c r="C87" s="158"/>
      <c r="D87" s="206"/>
      <c r="E87" s="206"/>
      <c r="F87" s="158"/>
      <c r="G87" s="158"/>
      <c r="H87" s="161"/>
      <c r="I87" s="158"/>
      <c r="J87" s="158"/>
      <c r="K87" s="158"/>
      <c r="L87" s="158"/>
    </row>
    <row r="88" spans="1:13">
      <c r="A88" s="164" t="s">
        <v>665</v>
      </c>
      <c r="B88" s="165" t="s">
        <v>2566</v>
      </c>
      <c r="C88" s="168">
        <v>18.239999999999998</v>
      </c>
      <c r="D88" s="197"/>
      <c r="E88" s="175"/>
      <c r="F88" s="194">
        <v>500</v>
      </c>
      <c r="G88" s="158">
        <v>9248273</v>
      </c>
      <c r="H88" s="161"/>
      <c r="I88" s="158">
        <v>9257294</v>
      </c>
      <c r="J88" s="158" t="s">
        <v>133</v>
      </c>
      <c r="K88" s="158">
        <v>0.8</v>
      </c>
      <c r="L88" s="158">
        <v>0.15</v>
      </c>
      <c r="M88" s="157" t="s">
        <v>1985</v>
      </c>
    </row>
    <row r="89" spans="1:13">
      <c r="A89" s="164" t="s">
        <v>666</v>
      </c>
      <c r="B89" s="165" t="s">
        <v>2567</v>
      </c>
      <c r="C89" s="168">
        <v>20</v>
      </c>
      <c r="D89" s="178">
        <v>87105</v>
      </c>
      <c r="E89" s="179">
        <v>4355</v>
      </c>
      <c r="F89" s="194">
        <v>500</v>
      </c>
      <c r="G89" s="158">
        <v>10000597</v>
      </c>
      <c r="H89" s="161"/>
      <c r="I89" s="158">
        <v>10007643</v>
      </c>
      <c r="J89" s="158" t="s">
        <v>133</v>
      </c>
      <c r="K89" s="158">
        <v>0.8</v>
      </c>
      <c r="L89" s="158">
        <v>0.15</v>
      </c>
      <c r="M89" s="157" t="s">
        <v>1986</v>
      </c>
    </row>
    <row r="90" spans="1:13">
      <c r="A90" s="164" t="s">
        <v>667</v>
      </c>
      <c r="B90" s="165" t="s">
        <v>2568</v>
      </c>
      <c r="C90" s="168">
        <v>19.920000000000002</v>
      </c>
      <c r="D90" s="178">
        <v>1246694</v>
      </c>
      <c r="E90" s="179">
        <v>62573</v>
      </c>
      <c r="F90" s="194">
        <v>500</v>
      </c>
      <c r="G90" s="158">
        <v>9961915</v>
      </c>
      <c r="H90" s="161"/>
      <c r="I90" s="158">
        <v>9970943</v>
      </c>
      <c r="J90" s="158" t="s">
        <v>133</v>
      </c>
      <c r="K90" s="158">
        <v>1</v>
      </c>
      <c r="L90" s="158">
        <v>0.15</v>
      </c>
      <c r="M90" s="157" t="s">
        <v>1987</v>
      </c>
    </row>
    <row r="91" spans="1:13">
      <c r="A91" s="164" t="s">
        <v>671</v>
      </c>
      <c r="B91" s="205" t="s">
        <v>2569</v>
      </c>
      <c r="C91" s="198">
        <v>19.48</v>
      </c>
      <c r="D91" s="201">
        <v>80731</v>
      </c>
      <c r="E91" s="202">
        <v>4144</v>
      </c>
      <c r="F91" s="199">
        <v>500</v>
      </c>
      <c r="G91" s="157">
        <v>9740750</v>
      </c>
      <c r="I91" s="157">
        <v>9747794</v>
      </c>
      <c r="J91" s="157" t="s">
        <v>133</v>
      </c>
      <c r="K91" s="157">
        <v>0.5</v>
      </c>
      <c r="L91" s="157">
        <v>0.15</v>
      </c>
      <c r="M91" s="157" t="s">
        <v>1988</v>
      </c>
    </row>
    <row r="92" spans="1:13">
      <c r="A92" s="164" t="s">
        <v>672</v>
      </c>
      <c r="B92" s="205" t="s">
        <v>2570</v>
      </c>
      <c r="C92" s="198">
        <v>19.329999999999998</v>
      </c>
      <c r="D92" s="201">
        <v>124361</v>
      </c>
      <c r="E92" s="202">
        <v>6434</v>
      </c>
      <c r="F92" s="199">
        <v>500</v>
      </c>
      <c r="G92" s="157">
        <v>9664376</v>
      </c>
      <c r="I92" s="157">
        <v>9673422</v>
      </c>
      <c r="J92" s="157" t="s">
        <v>133</v>
      </c>
      <c r="K92" s="157">
        <v>0.8</v>
      </c>
      <c r="L92" s="157">
        <v>0.15</v>
      </c>
      <c r="M92" s="157" t="s">
        <v>1989</v>
      </c>
    </row>
    <row r="93" spans="1:13">
      <c r="A93" s="164" t="s">
        <v>673</v>
      </c>
      <c r="B93" s="205" t="s">
        <v>2571</v>
      </c>
      <c r="C93" s="198">
        <v>19.16</v>
      </c>
      <c r="D93" s="201">
        <v>61085</v>
      </c>
      <c r="E93" s="202">
        <v>3188</v>
      </c>
      <c r="F93" s="199">
        <v>500</v>
      </c>
      <c r="G93" s="157">
        <v>9580508</v>
      </c>
      <c r="I93" s="157">
        <v>9587552</v>
      </c>
      <c r="J93" s="157" t="s">
        <v>133</v>
      </c>
      <c r="K93" s="157">
        <v>0.8</v>
      </c>
      <c r="L93" s="157">
        <v>0.15</v>
      </c>
      <c r="M93" s="157" t="s">
        <v>1990</v>
      </c>
    </row>
    <row r="94" spans="1:13">
      <c r="A94" s="164" t="s">
        <v>366</v>
      </c>
      <c r="B94" s="205" t="s">
        <v>2563</v>
      </c>
      <c r="C94" s="157">
        <v>15.33</v>
      </c>
      <c r="D94" s="201"/>
      <c r="E94" s="202"/>
      <c r="F94" s="157">
        <v>500</v>
      </c>
      <c r="G94" s="157">
        <v>7789623</v>
      </c>
      <c r="I94" s="157">
        <v>7796623</v>
      </c>
      <c r="J94" s="157" t="s">
        <v>133</v>
      </c>
      <c r="K94" s="157">
        <v>1</v>
      </c>
      <c r="L94" s="157">
        <v>0.15</v>
      </c>
      <c r="M94" s="157" t="s">
        <v>1982</v>
      </c>
    </row>
    <row r="95" spans="1:13">
      <c r="A95" s="164" t="s">
        <v>677</v>
      </c>
      <c r="B95" s="205" t="s">
        <v>2572</v>
      </c>
      <c r="C95" s="157">
        <v>41.388800000000003</v>
      </c>
      <c r="D95" s="201">
        <v>2610641</v>
      </c>
      <c r="E95" s="202">
        <v>63076</v>
      </c>
      <c r="F95" s="157">
        <v>500</v>
      </c>
      <c r="G95" s="157">
        <v>20694412</v>
      </c>
      <c r="I95" s="157">
        <v>20701481</v>
      </c>
      <c r="J95" s="157" t="s">
        <v>132</v>
      </c>
      <c r="K95" s="157" t="s">
        <v>2424</v>
      </c>
      <c r="L95" s="157" t="s">
        <v>2425</v>
      </c>
      <c r="M95" s="157" t="s">
        <v>2483</v>
      </c>
    </row>
    <row r="96" spans="1:13">
      <c r="A96" s="164" t="s">
        <v>678</v>
      </c>
      <c r="B96" s="205" t="s">
        <v>2573</v>
      </c>
      <c r="C96" s="157">
        <v>40.024500000000003</v>
      </c>
      <c r="D96" s="201">
        <v>547775</v>
      </c>
      <c r="E96" s="202">
        <v>13686</v>
      </c>
      <c r="F96" s="157">
        <v>500</v>
      </c>
      <c r="G96" s="157">
        <v>20012255</v>
      </c>
      <c r="I96" s="157">
        <v>20019256</v>
      </c>
      <c r="J96" s="157" t="s">
        <v>132</v>
      </c>
      <c r="K96" s="157">
        <v>0.2</v>
      </c>
      <c r="L96" s="157" t="s">
        <v>371</v>
      </c>
      <c r="M96" s="157" t="s">
        <v>2484</v>
      </c>
    </row>
    <row r="97" spans="1:13">
      <c r="A97" s="164" t="s">
        <v>679</v>
      </c>
      <c r="B97" s="205" t="s">
        <v>2574</v>
      </c>
      <c r="C97" s="157">
        <v>44.537599999999998</v>
      </c>
      <c r="D97" s="201">
        <v>18780672</v>
      </c>
      <c r="E97" s="202">
        <v>421681</v>
      </c>
      <c r="F97" s="157">
        <v>500</v>
      </c>
      <c r="G97" s="157">
        <v>22268814</v>
      </c>
      <c r="I97" s="157">
        <v>22276041</v>
      </c>
      <c r="J97" s="157" t="s">
        <v>132</v>
      </c>
      <c r="K97" s="157" t="s">
        <v>2426</v>
      </c>
      <c r="L97" s="157" t="s">
        <v>2427</v>
      </c>
      <c r="M97" s="157" t="s">
        <v>2485</v>
      </c>
    </row>
    <row r="98" spans="1:13">
      <c r="A98" s="164" t="s">
        <v>674</v>
      </c>
      <c r="B98" s="205" t="s">
        <v>2575</v>
      </c>
      <c r="C98" s="157">
        <v>42.127299999999998</v>
      </c>
      <c r="D98" s="201">
        <v>472332</v>
      </c>
      <c r="E98" s="202">
        <v>11212</v>
      </c>
      <c r="F98" s="157">
        <v>500</v>
      </c>
      <c r="G98" s="157">
        <v>21063673</v>
      </c>
      <c r="I98" s="157">
        <v>21070898</v>
      </c>
      <c r="J98" s="157" t="s">
        <v>132</v>
      </c>
      <c r="K98" s="157">
        <v>0.2</v>
      </c>
      <c r="L98" s="157" t="s">
        <v>371</v>
      </c>
      <c r="M98" s="157" t="s">
        <v>1991</v>
      </c>
    </row>
    <row r="99" spans="1:13">
      <c r="A99" s="164" t="s">
        <v>675</v>
      </c>
      <c r="B99" s="205"/>
      <c r="D99" s="201"/>
      <c r="E99" s="202"/>
    </row>
    <row r="100" spans="1:13" ht="17.25" thickBot="1">
      <c r="A100" s="164" t="s">
        <v>676</v>
      </c>
      <c r="B100" s="205"/>
      <c r="D100" s="203"/>
      <c r="E100" s="204"/>
    </row>
    <row r="101" spans="1:13">
      <c r="A101" s="166" t="s">
        <v>680</v>
      </c>
      <c r="B101" s="157" t="s">
        <v>2576</v>
      </c>
      <c r="C101" s="157">
        <v>21.3</v>
      </c>
      <c r="D101" s="200">
        <v>138108</v>
      </c>
      <c r="E101" s="200">
        <v>6483</v>
      </c>
      <c r="F101" s="157">
        <v>500</v>
      </c>
      <c r="G101" s="157">
        <v>10651518</v>
      </c>
      <c r="I101" s="157">
        <v>10684212</v>
      </c>
      <c r="J101" s="157" t="s">
        <v>133</v>
      </c>
      <c r="K101" s="157">
        <v>0.5</v>
      </c>
      <c r="L101" s="157">
        <v>0.18</v>
      </c>
      <c r="M101" s="157" t="s">
        <v>1992</v>
      </c>
    </row>
    <row r="102" spans="1:13">
      <c r="A102" s="166" t="s">
        <v>682</v>
      </c>
      <c r="B102" s="157" t="s">
        <v>2577</v>
      </c>
      <c r="C102" s="157">
        <v>22.5</v>
      </c>
      <c r="D102" s="157">
        <v>335092</v>
      </c>
      <c r="E102" s="157">
        <v>14891</v>
      </c>
      <c r="F102" s="157">
        <v>500</v>
      </c>
      <c r="G102" s="157">
        <v>11202797</v>
      </c>
      <c r="H102" s="157">
        <v>47203</v>
      </c>
      <c r="J102" s="157" t="s">
        <v>133</v>
      </c>
      <c r="K102" s="157">
        <v>0.3</v>
      </c>
      <c r="L102" s="157">
        <v>3.5000000000000003E-2</v>
      </c>
      <c r="M102" s="157" t="s">
        <v>2486</v>
      </c>
    </row>
    <row r="103" spans="1:13" ht="17.25" thickBot="1">
      <c r="A103" s="166" t="s">
        <v>683</v>
      </c>
      <c r="B103" s="157" t="s">
        <v>2578</v>
      </c>
      <c r="C103" s="157">
        <v>21.66</v>
      </c>
      <c r="D103" s="207">
        <v>112353</v>
      </c>
      <c r="E103" s="207">
        <v>5188</v>
      </c>
      <c r="F103" s="157">
        <v>500</v>
      </c>
      <c r="G103" s="157">
        <v>10575577</v>
      </c>
      <c r="H103" s="157">
        <v>254423</v>
      </c>
      <c r="J103" s="157" t="s">
        <v>133</v>
      </c>
      <c r="K103" s="157">
        <v>0.35</v>
      </c>
      <c r="L103" s="157">
        <v>0.15</v>
      </c>
      <c r="M103" s="157" t="s">
        <v>1993</v>
      </c>
    </row>
    <row r="104" spans="1:13" ht="17.25" thickBot="1">
      <c r="A104" s="164" t="s">
        <v>681</v>
      </c>
      <c r="B104" s="205" t="s">
        <v>2579</v>
      </c>
      <c r="C104" s="157">
        <v>21.27</v>
      </c>
      <c r="D104" s="208">
        <v>126771</v>
      </c>
      <c r="E104" s="209">
        <v>5960</v>
      </c>
      <c r="F104" s="157">
        <v>500</v>
      </c>
      <c r="G104" s="157">
        <v>10635142</v>
      </c>
      <c r="I104" s="157">
        <v>10656095</v>
      </c>
      <c r="J104" s="157" t="s">
        <v>133</v>
      </c>
      <c r="K104" s="157" t="s">
        <v>2428</v>
      </c>
      <c r="L104" s="157">
        <v>0.28999999999999998</v>
      </c>
      <c r="M104" s="157" t="s">
        <v>1994</v>
      </c>
    </row>
    <row r="105" spans="1:13">
      <c r="A105" s="166" t="s">
        <v>684</v>
      </c>
      <c r="B105" s="157" t="s">
        <v>2580</v>
      </c>
      <c r="C105" s="157">
        <v>20.75</v>
      </c>
      <c r="D105" s="157">
        <v>10485516</v>
      </c>
      <c r="E105" s="157">
        <v>505261</v>
      </c>
      <c r="F105" s="157">
        <v>1500</v>
      </c>
      <c r="G105" s="157">
        <v>31129008</v>
      </c>
      <c r="H105" s="157">
        <v>0</v>
      </c>
      <c r="I105" s="157">
        <v>31254360</v>
      </c>
      <c r="J105" s="157" t="s">
        <v>133</v>
      </c>
      <c r="K105" s="157" t="s">
        <v>687</v>
      </c>
      <c r="L105" s="157" t="s">
        <v>688</v>
      </c>
      <c r="M105" s="157" t="s">
        <v>1995</v>
      </c>
    </row>
    <row r="106" spans="1:13">
      <c r="A106" s="166" t="s">
        <v>685</v>
      </c>
      <c r="B106" s="157" t="s">
        <v>2581</v>
      </c>
      <c r="C106" s="157">
        <v>21.76</v>
      </c>
      <c r="D106" s="157">
        <v>10602161</v>
      </c>
      <c r="E106" s="157">
        <v>487261</v>
      </c>
      <c r="F106" s="157">
        <v>1500</v>
      </c>
      <c r="G106" s="157">
        <v>32638036</v>
      </c>
      <c r="H106" s="157">
        <v>0</v>
      </c>
      <c r="I106" s="157">
        <v>32764334</v>
      </c>
      <c r="J106" s="157" t="s">
        <v>133</v>
      </c>
      <c r="K106" s="157" t="s">
        <v>689</v>
      </c>
      <c r="L106" s="157" t="s">
        <v>690</v>
      </c>
      <c r="M106" s="157" t="s">
        <v>1996</v>
      </c>
    </row>
    <row r="107" spans="1:13">
      <c r="A107" s="166" t="s">
        <v>686</v>
      </c>
      <c r="B107" s="157" t="s">
        <v>2582</v>
      </c>
      <c r="C107" s="157">
        <v>18.190000000000001</v>
      </c>
      <c r="D107" s="157">
        <v>3301797</v>
      </c>
      <c r="E107" s="157">
        <v>181511</v>
      </c>
      <c r="F107" s="157">
        <v>500</v>
      </c>
      <c r="G107" s="157">
        <v>9095307</v>
      </c>
      <c r="H107" s="157">
        <v>0</v>
      </c>
      <c r="I107" s="157">
        <v>9109402</v>
      </c>
      <c r="J107" s="157" t="s">
        <v>133</v>
      </c>
      <c r="K107" s="157" t="s">
        <v>691</v>
      </c>
      <c r="L107" s="157" t="s">
        <v>688</v>
      </c>
      <c r="M107" s="157" t="s">
        <v>1997</v>
      </c>
    </row>
    <row r="108" spans="1:13">
      <c r="A108" s="306" t="s">
        <v>1915</v>
      </c>
      <c r="B108" s="157" t="s">
        <v>2583</v>
      </c>
      <c r="C108" s="157">
        <v>31.85</v>
      </c>
      <c r="F108" s="157">
        <v>500</v>
      </c>
      <c r="G108" s="157">
        <v>15966715</v>
      </c>
      <c r="I108" s="157">
        <v>15987697</v>
      </c>
      <c r="J108" s="157" t="s">
        <v>133</v>
      </c>
      <c r="K108" s="157" t="s">
        <v>1916</v>
      </c>
      <c r="L108" s="157">
        <v>3.5000000000000003E-2</v>
      </c>
      <c r="M108" s="157" t="s">
        <v>1998</v>
      </c>
    </row>
    <row r="109" spans="1:13">
      <c r="A109" s="306" t="s">
        <v>1999</v>
      </c>
      <c r="B109" s="308" t="s">
        <v>2584</v>
      </c>
      <c r="C109" s="157">
        <v>21.72</v>
      </c>
      <c r="F109" s="157">
        <v>500</v>
      </c>
      <c r="G109" s="157">
        <v>10726622</v>
      </c>
      <c r="I109" s="157">
        <v>10736985</v>
      </c>
      <c r="J109" s="157" t="s">
        <v>133</v>
      </c>
      <c r="K109" s="157">
        <v>1</v>
      </c>
      <c r="L109" s="157">
        <v>0.15</v>
      </c>
      <c r="M109" s="157" t="s">
        <v>2422</v>
      </c>
    </row>
    <row r="110" spans="1:13">
      <c r="A110" s="306" t="s">
        <v>2000</v>
      </c>
      <c r="B110" s="308" t="s">
        <v>2585</v>
      </c>
      <c r="C110" s="157">
        <v>15.67</v>
      </c>
      <c r="F110" s="157">
        <v>500</v>
      </c>
      <c r="G110" s="157">
        <v>7861965</v>
      </c>
      <c r="I110" s="157">
        <v>7868537</v>
      </c>
      <c r="J110" s="157" t="s">
        <v>133</v>
      </c>
      <c r="K110" s="157">
        <v>1</v>
      </c>
      <c r="L110" s="157">
        <v>0.15</v>
      </c>
      <c r="M110" s="157" t="s">
        <v>2423</v>
      </c>
    </row>
    <row r="111" spans="1:13">
      <c r="A111" s="166"/>
    </row>
    <row r="112" spans="1:13">
      <c r="A112" s="166"/>
    </row>
    <row r="113" spans="1:1">
      <c r="A113" s="166"/>
    </row>
    <row r="114" spans="1:1">
      <c r="A114" s="166"/>
    </row>
    <row r="115" spans="1:1">
      <c r="A115" s="166"/>
    </row>
    <row r="116" spans="1:1">
      <c r="A116" s="166"/>
    </row>
    <row r="117" spans="1:1">
      <c r="A117" s="166"/>
    </row>
    <row r="118" spans="1:1">
      <c r="A118" s="166"/>
    </row>
    <row r="119" spans="1:1">
      <c r="A119" s="166"/>
    </row>
    <row r="120" spans="1:1">
      <c r="A120" s="166"/>
    </row>
    <row r="121" spans="1:1">
      <c r="A121" s="166"/>
    </row>
    <row r="122" spans="1:1">
      <c r="A122" s="166"/>
    </row>
    <row r="123" spans="1:1">
      <c r="A123" s="166"/>
    </row>
    <row r="124" spans="1:1">
      <c r="A124" s="166"/>
    </row>
    <row r="125" spans="1:1">
      <c r="A125" s="166"/>
    </row>
    <row r="126" spans="1:1">
      <c r="A126" s="166"/>
    </row>
    <row r="127" spans="1:1">
      <c r="A127" s="166"/>
    </row>
    <row r="128" spans="1:1">
      <c r="A128" s="166"/>
    </row>
    <row r="129" spans="1:1">
      <c r="A129" s="166"/>
    </row>
    <row r="130" spans="1:1">
      <c r="A130" s="166"/>
    </row>
    <row r="131" spans="1:1">
      <c r="A131" s="166"/>
    </row>
    <row r="132" spans="1:1">
      <c r="A132" s="166"/>
    </row>
    <row r="133" spans="1:1">
      <c r="A133" s="166"/>
    </row>
    <row r="134" spans="1:1">
      <c r="A134" s="166"/>
    </row>
    <row r="135" spans="1:1">
      <c r="A135" s="166"/>
    </row>
    <row r="136" spans="1:1">
      <c r="A136" s="166"/>
    </row>
    <row r="137" spans="1:1">
      <c r="A137" s="166"/>
    </row>
    <row r="138" spans="1:1">
      <c r="A138" s="166"/>
    </row>
    <row r="139" spans="1:1">
      <c r="A139" s="166"/>
    </row>
    <row r="140" spans="1:1">
      <c r="A140" s="166"/>
    </row>
    <row r="141" spans="1:1">
      <c r="A141" s="166"/>
    </row>
    <row r="142" spans="1:1">
      <c r="A142" s="166"/>
    </row>
    <row r="143" spans="1:1">
      <c r="A143" s="166"/>
    </row>
    <row r="144" spans="1:1">
      <c r="A144" s="166"/>
    </row>
    <row r="145" spans="1:1">
      <c r="A145" s="166"/>
    </row>
    <row r="146" spans="1:1">
      <c r="A146" s="166"/>
    </row>
    <row r="147" spans="1:1">
      <c r="A147" s="166"/>
    </row>
    <row r="148" spans="1:1">
      <c r="A148" s="166"/>
    </row>
    <row r="149" spans="1:1">
      <c r="A149" s="166"/>
    </row>
    <row r="150" spans="1:1">
      <c r="A150" s="166"/>
    </row>
    <row r="151" spans="1:1">
      <c r="A151" s="166"/>
    </row>
    <row r="152" spans="1:1">
      <c r="A152" s="166"/>
    </row>
    <row r="153" spans="1:1">
      <c r="A153" s="166"/>
    </row>
    <row r="154" spans="1:1">
      <c r="A154" s="166"/>
    </row>
    <row r="155" spans="1:1">
      <c r="A155" s="166"/>
    </row>
    <row r="156" spans="1:1">
      <c r="A156" s="166"/>
    </row>
    <row r="157" spans="1:1">
      <c r="A157" s="166"/>
    </row>
    <row r="158" spans="1:1">
      <c r="A158" s="166"/>
    </row>
    <row r="159" spans="1:1">
      <c r="A159" s="166"/>
    </row>
    <row r="160" spans="1:1">
      <c r="A160" s="166"/>
    </row>
    <row r="161" spans="1:1">
      <c r="A161" s="166"/>
    </row>
    <row r="162" spans="1:1">
      <c r="A162" s="166"/>
    </row>
    <row r="163" spans="1:1">
      <c r="A163" s="166"/>
    </row>
    <row r="164" spans="1:1">
      <c r="A164" s="166"/>
    </row>
    <row r="165" spans="1:1">
      <c r="A165" s="166"/>
    </row>
    <row r="166" spans="1:1">
      <c r="A166" s="166"/>
    </row>
    <row r="167" spans="1:1">
      <c r="A167" s="166"/>
    </row>
    <row r="168" spans="1:1">
      <c r="A168" s="166"/>
    </row>
    <row r="169" spans="1:1">
      <c r="A169" s="166"/>
    </row>
    <row r="170" spans="1:1">
      <c r="A170" s="166"/>
    </row>
    <row r="171" spans="1:1">
      <c r="A171" s="166"/>
    </row>
    <row r="172" spans="1:1">
      <c r="A172" s="166"/>
    </row>
    <row r="173" spans="1:1">
      <c r="A173" s="166"/>
    </row>
    <row r="174" spans="1:1">
      <c r="A174" s="166"/>
    </row>
    <row r="175" spans="1:1">
      <c r="A175" s="166"/>
    </row>
    <row r="176" spans="1:1">
      <c r="A176" s="166"/>
    </row>
    <row r="177" spans="1:1">
      <c r="A177" s="166"/>
    </row>
    <row r="178" spans="1:1">
      <c r="A178" s="166"/>
    </row>
    <row r="179" spans="1:1">
      <c r="A179" s="166"/>
    </row>
    <row r="180" spans="1:1">
      <c r="A180" s="166"/>
    </row>
    <row r="181" spans="1:1">
      <c r="A181" s="166"/>
    </row>
    <row r="182" spans="1:1">
      <c r="A182" s="166"/>
    </row>
    <row r="183" spans="1:1">
      <c r="A183" s="166"/>
    </row>
    <row r="184" spans="1:1">
      <c r="A184" s="166"/>
    </row>
    <row r="185" spans="1:1">
      <c r="A185" s="166"/>
    </row>
    <row r="186" spans="1:1">
      <c r="A186" s="166"/>
    </row>
    <row r="187" spans="1:1">
      <c r="A187" s="166"/>
    </row>
    <row r="188" spans="1:1">
      <c r="A188" s="166"/>
    </row>
    <row r="189" spans="1:1">
      <c r="A189" s="166"/>
    </row>
    <row r="190" spans="1:1">
      <c r="A190" s="166"/>
    </row>
    <row r="191" spans="1:1">
      <c r="A191" s="166"/>
    </row>
    <row r="192" spans="1:1">
      <c r="A192" s="166"/>
    </row>
    <row r="193" spans="1:1">
      <c r="A193" s="166"/>
    </row>
    <row r="194" spans="1:1">
      <c r="A194" s="166"/>
    </row>
    <row r="195" spans="1:1">
      <c r="A195" s="166"/>
    </row>
    <row r="196" spans="1:1">
      <c r="A196" s="166"/>
    </row>
    <row r="197" spans="1:1">
      <c r="A197" s="166"/>
    </row>
    <row r="198" spans="1:1">
      <c r="A198" s="166"/>
    </row>
    <row r="199" spans="1:1">
      <c r="A199" s="166"/>
    </row>
    <row r="200" spans="1:1">
      <c r="A200" s="166"/>
    </row>
    <row r="201" spans="1:1">
      <c r="A201" s="166"/>
    </row>
    <row r="202" spans="1:1">
      <c r="A202" s="166"/>
    </row>
    <row r="203" spans="1:1">
      <c r="A203" s="166"/>
    </row>
    <row r="204" spans="1:1">
      <c r="A204" s="166"/>
    </row>
    <row r="205" spans="1:1">
      <c r="A205" s="166"/>
    </row>
    <row r="206" spans="1:1">
      <c r="A206" s="166"/>
    </row>
    <row r="207" spans="1:1">
      <c r="A207" s="166"/>
    </row>
    <row r="208" spans="1:1">
      <c r="A208" s="166"/>
    </row>
    <row r="209" spans="1:1">
      <c r="A209" s="166"/>
    </row>
    <row r="210" spans="1:1">
      <c r="A210" s="166"/>
    </row>
    <row r="211" spans="1:1">
      <c r="A211" s="166"/>
    </row>
    <row r="212" spans="1:1">
      <c r="A212" s="166"/>
    </row>
    <row r="213" spans="1:1">
      <c r="A213" s="166"/>
    </row>
    <row r="214" spans="1:1">
      <c r="A214" s="166"/>
    </row>
    <row r="215" spans="1:1">
      <c r="A215" s="166"/>
    </row>
    <row r="216" spans="1:1">
      <c r="A216" s="166"/>
    </row>
    <row r="217" spans="1:1">
      <c r="A217" s="166"/>
    </row>
    <row r="218" spans="1:1">
      <c r="A218" s="166"/>
    </row>
    <row r="219" spans="1:1">
      <c r="A219" s="166"/>
    </row>
    <row r="220" spans="1:1">
      <c r="A220" s="166"/>
    </row>
    <row r="221" spans="1:1">
      <c r="A221" s="166"/>
    </row>
    <row r="222" spans="1:1">
      <c r="A222" s="166"/>
    </row>
    <row r="223" spans="1:1">
      <c r="A223" s="166"/>
    </row>
    <row r="224" spans="1:1">
      <c r="A224" s="166"/>
    </row>
    <row r="225" spans="1:1">
      <c r="A225" s="166"/>
    </row>
    <row r="226" spans="1:1">
      <c r="A226" s="166"/>
    </row>
    <row r="227" spans="1:1">
      <c r="A227" s="166"/>
    </row>
    <row r="228" spans="1:1">
      <c r="A228" s="166"/>
    </row>
    <row r="229" spans="1:1">
      <c r="A229" s="166"/>
    </row>
    <row r="230" spans="1:1">
      <c r="A230" s="166"/>
    </row>
    <row r="231" spans="1:1">
      <c r="A231" s="166"/>
    </row>
    <row r="232" spans="1:1">
      <c r="A232" s="166"/>
    </row>
    <row r="233" spans="1:1">
      <c r="A233" s="166"/>
    </row>
    <row r="234" spans="1:1">
      <c r="A234" s="166"/>
    </row>
    <row r="235" spans="1:1">
      <c r="A235" s="166"/>
    </row>
    <row r="236" spans="1:1">
      <c r="A236" s="166"/>
    </row>
    <row r="237" spans="1:1">
      <c r="A237" s="166"/>
    </row>
    <row r="238" spans="1:1">
      <c r="A238" s="166"/>
    </row>
    <row r="239" spans="1:1">
      <c r="A239" s="166"/>
    </row>
    <row r="240" spans="1:1">
      <c r="A240" s="166"/>
    </row>
    <row r="241" spans="1:1">
      <c r="A241" s="166"/>
    </row>
    <row r="242" spans="1:1">
      <c r="A242" s="166"/>
    </row>
    <row r="243" spans="1:1">
      <c r="A243" s="166"/>
    </row>
    <row r="244" spans="1:1">
      <c r="A244" s="166"/>
    </row>
    <row r="245" spans="1:1">
      <c r="A245" s="166"/>
    </row>
    <row r="246" spans="1:1">
      <c r="A246" s="166"/>
    </row>
    <row r="247" spans="1:1">
      <c r="A247" s="166"/>
    </row>
    <row r="248" spans="1:1">
      <c r="A248" s="166"/>
    </row>
    <row r="249" spans="1:1">
      <c r="A249" s="166"/>
    </row>
    <row r="250" spans="1:1">
      <c r="A250" s="166"/>
    </row>
    <row r="251" spans="1:1">
      <c r="A251" s="166"/>
    </row>
    <row r="252" spans="1:1">
      <c r="A252" s="166"/>
    </row>
    <row r="253" spans="1:1">
      <c r="A253" s="166"/>
    </row>
    <row r="254" spans="1:1">
      <c r="A254" s="166"/>
    </row>
    <row r="255" spans="1:1">
      <c r="A255" s="166"/>
    </row>
    <row r="256" spans="1:1">
      <c r="A256" s="166"/>
    </row>
    <row r="257" spans="1:1">
      <c r="A257" s="166"/>
    </row>
    <row r="258" spans="1:1">
      <c r="A258" s="166"/>
    </row>
    <row r="259" spans="1:1">
      <c r="A259" s="166"/>
    </row>
    <row r="260" spans="1:1">
      <c r="A260" s="166"/>
    </row>
    <row r="261" spans="1:1">
      <c r="A261" s="166"/>
    </row>
    <row r="262" spans="1:1">
      <c r="A262" s="166"/>
    </row>
    <row r="263" spans="1:1">
      <c r="A263" s="166"/>
    </row>
    <row r="264" spans="1:1">
      <c r="A264" s="166"/>
    </row>
    <row r="265" spans="1:1">
      <c r="A265" s="166"/>
    </row>
    <row r="266" spans="1:1">
      <c r="A266" s="166"/>
    </row>
    <row r="267" spans="1:1">
      <c r="A267" s="166"/>
    </row>
    <row r="268" spans="1:1">
      <c r="A268" s="166"/>
    </row>
    <row r="269" spans="1:1">
      <c r="A269" s="166"/>
    </row>
    <row r="270" spans="1:1">
      <c r="A270" s="166"/>
    </row>
    <row r="271" spans="1:1">
      <c r="A271" s="166"/>
    </row>
    <row r="272" spans="1:1">
      <c r="A272" s="166"/>
    </row>
    <row r="273" spans="1:1">
      <c r="A273" s="166"/>
    </row>
    <row r="274" spans="1:1">
      <c r="A274" s="166"/>
    </row>
    <row r="275" spans="1:1">
      <c r="A275" s="166"/>
    </row>
    <row r="276" spans="1:1">
      <c r="A276" s="166"/>
    </row>
    <row r="277" spans="1:1">
      <c r="A277" s="166"/>
    </row>
    <row r="278" spans="1:1">
      <c r="A278" s="166"/>
    </row>
    <row r="279" spans="1:1">
      <c r="A279" s="166"/>
    </row>
    <row r="280" spans="1:1">
      <c r="A280" s="166"/>
    </row>
    <row r="281" spans="1:1">
      <c r="A281" s="166"/>
    </row>
    <row r="282" spans="1:1">
      <c r="A282" s="166"/>
    </row>
    <row r="283" spans="1:1">
      <c r="A283" s="166"/>
    </row>
    <row r="284" spans="1:1">
      <c r="A284" s="166"/>
    </row>
    <row r="285" spans="1:1">
      <c r="A285" s="166"/>
    </row>
    <row r="286" spans="1:1">
      <c r="A286" s="166"/>
    </row>
    <row r="287" spans="1:1">
      <c r="A287" s="166"/>
    </row>
    <row r="288" spans="1:1">
      <c r="A288" s="166"/>
    </row>
    <row r="289" spans="1:1">
      <c r="A289" s="166"/>
    </row>
    <row r="290" spans="1:1">
      <c r="A290" s="166"/>
    </row>
    <row r="291" spans="1:1">
      <c r="A291" s="166"/>
    </row>
    <row r="292" spans="1:1">
      <c r="A292" s="166"/>
    </row>
    <row r="293" spans="1:1">
      <c r="A293" s="166"/>
    </row>
    <row r="294" spans="1:1">
      <c r="A294" s="166"/>
    </row>
    <row r="295" spans="1:1">
      <c r="A295" s="166"/>
    </row>
    <row r="296" spans="1:1">
      <c r="A296" s="166"/>
    </row>
    <row r="297" spans="1:1">
      <c r="A297" s="166"/>
    </row>
    <row r="298" spans="1:1">
      <c r="A298" s="166"/>
    </row>
    <row r="299" spans="1:1">
      <c r="A299" s="166"/>
    </row>
    <row r="300" spans="1:1">
      <c r="A300" s="166"/>
    </row>
    <row r="301" spans="1:1">
      <c r="A301" s="166"/>
    </row>
    <row r="302" spans="1:1">
      <c r="A302" s="166"/>
    </row>
    <row r="303" spans="1:1">
      <c r="A303" s="166"/>
    </row>
    <row r="304" spans="1:1">
      <c r="A304" s="166"/>
    </row>
    <row r="305" spans="1:1">
      <c r="A305" s="166"/>
    </row>
    <row r="306" spans="1:1">
      <c r="A306" s="166"/>
    </row>
    <row r="307" spans="1:1">
      <c r="A307" s="166"/>
    </row>
    <row r="308" spans="1:1">
      <c r="A308" s="166"/>
    </row>
    <row r="309" spans="1:1">
      <c r="A309" s="166"/>
    </row>
    <row r="310" spans="1:1">
      <c r="A310" s="166"/>
    </row>
    <row r="311" spans="1:1">
      <c r="A311" s="166"/>
    </row>
    <row r="312" spans="1:1">
      <c r="A312" s="166"/>
    </row>
    <row r="313" spans="1:1">
      <c r="A313" s="166"/>
    </row>
    <row r="314" spans="1:1">
      <c r="A314" s="166"/>
    </row>
    <row r="315" spans="1:1">
      <c r="A315" s="166"/>
    </row>
    <row r="316" spans="1:1">
      <c r="A316" s="166"/>
    </row>
    <row r="317" spans="1:1">
      <c r="A317" s="166"/>
    </row>
    <row r="318" spans="1:1">
      <c r="A318" s="166"/>
    </row>
    <row r="319" spans="1:1">
      <c r="A319" s="166"/>
    </row>
    <row r="320" spans="1:1">
      <c r="A320" s="166"/>
    </row>
    <row r="321" spans="1:1">
      <c r="A321" s="166"/>
    </row>
    <row r="322" spans="1:1">
      <c r="A322" s="166"/>
    </row>
    <row r="323" spans="1:1">
      <c r="A323" s="166"/>
    </row>
    <row r="324" spans="1:1">
      <c r="A324" s="166"/>
    </row>
    <row r="325" spans="1:1">
      <c r="A325" s="166"/>
    </row>
    <row r="326" spans="1:1">
      <c r="A326" s="166"/>
    </row>
    <row r="327" spans="1:1">
      <c r="A327" s="166"/>
    </row>
    <row r="328" spans="1:1">
      <c r="A328" s="166"/>
    </row>
    <row r="329" spans="1:1">
      <c r="A329" s="166"/>
    </row>
    <row r="330" spans="1:1">
      <c r="A330" s="166"/>
    </row>
    <row r="331" spans="1:1">
      <c r="A331" s="166"/>
    </row>
    <row r="332" spans="1:1">
      <c r="A332" s="166"/>
    </row>
    <row r="333" spans="1:1">
      <c r="A333" s="166"/>
    </row>
    <row r="334" spans="1:1">
      <c r="A334" s="166"/>
    </row>
    <row r="335" spans="1:1">
      <c r="A335" s="166"/>
    </row>
    <row r="336" spans="1:1">
      <c r="A336" s="166"/>
    </row>
    <row r="337" spans="1:1">
      <c r="A337" s="166"/>
    </row>
    <row r="338" spans="1:1">
      <c r="A338" s="166"/>
    </row>
    <row r="339" spans="1:1">
      <c r="A339" s="166"/>
    </row>
    <row r="340" spans="1:1">
      <c r="A340" s="166"/>
    </row>
    <row r="341" spans="1:1">
      <c r="A341" s="166"/>
    </row>
    <row r="342" spans="1:1">
      <c r="A342" s="166"/>
    </row>
    <row r="343" spans="1:1">
      <c r="A343" s="166"/>
    </row>
    <row r="344" spans="1:1">
      <c r="A344" s="166"/>
    </row>
    <row r="345" spans="1:1">
      <c r="A345" s="166"/>
    </row>
    <row r="346" spans="1:1">
      <c r="A346" s="166"/>
    </row>
    <row r="347" spans="1:1">
      <c r="A347" s="166"/>
    </row>
    <row r="348" spans="1:1">
      <c r="A348" s="166"/>
    </row>
    <row r="349" spans="1:1">
      <c r="A349" s="166"/>
    </row>
    <row r="350" spans="1:1">
      <c r="A350" s="166"/>
    </row>
    <row r="351" spans="1:1">
      <c r="A351" s="166"/>
    </row>
    <row r="352" spans="1:1">
      <c r="A352" s="166"/>
    </row>
    <row r="353" spans="1:1">
      <c r="A353" s="166"/>
    </row>
    <row r="354" spans="1:1">
      <c r="A354" s="166"/>
    </row>
    <row r="355" spans="1:1">
      <c r="A355" s="166"/>
    </row>
    <row r="356" spans="1:1">
      <c r="A356" s="166"/>
    </row>
    <row r="357" spans="1:1">
      <c r="A357" s="166"/>
    </row>
    <row r="358" spans="1:1">
      <c r="A358" s="166"/>
    </row>
    <row r="359" spans="1:1">
      <c r="A359" s="166"/>
    </row>
    <row r="360" spans="1:1">
      <c r="A360" s="166"/>
    </row>
    <row r="361" spans="1:1">
      <c r="A361" s="166"/>
    </row>
    <row r="362" spans="1:1">
      <c r="A362" s="166"/>
    </row>
    <row r="363" spans="1:1">
      <c r="A363" s="166"/>
    </row>
    <row r="364" spans="1:1">
      <c r="A364" s="166"/>
    </row>
    <row r="365" spans="1:1">
      <c r="A365" s="166"/>
    </row>
    <row r="366" spans="1:1">
      <c r="A366" s="166"/>
    </row>
    <row r="367" spans="1:1">
      <c r="A367" s="166"/>
    </row>
    <row r="368" spans="1:1">
      <c r="A368" s="166"/>
    </row>
    <row r="369" spans="1:1">
      <c r="A369" s="166"/>
    </row>
    <row r="370" spans="1:1">
      <c r="A370" s="166"/>
    </row>
    <row r="371" spans="1:1">
      <c r="A371" s="166"/>
    </row>
    <row r="372" spans="1:1">
      <c r="A372" s="166"/>
    </row>
    <row r="373" spans="1:1">
      <c r="A373" s="166"/>
    </row>
    <row r="374" spans="1:1">
      <c r="A374" s="166"/>
    </row>
    <row r="375" spans="1:1">
      <c r="A375" s="166"/>
    </row>
    <row r="376" spans="1:1">
      <c r="A376" s="166"/>
    </row>
    <row r="377" spans="1:1">
      <c r="A377" s="166"/>
    </row>
    <row r="378" spans="1:1">
      <c r="A378" s="166"/>
    </row>
    <row r="379" spans="1:1">
      <c r="A379" s="166"/>
    </row>
    <row r="380" spans="1:1">
      <c r="A380" s="166"/>
    </row>
    <row r="381" spans="1:1">
      <c r="A381" s="166"/>
    </row>
    <row r="382" spans="1:1">
      <c r="A382" s="166"/>
    </row>
    <row r="383" spans="1:1">
      <c r="A383" s="166"/>
    </row>
    <row r="384" spans="1:1">
      <c r="A384" s="166"/>
    </row>
    <row r="385" spans="1:1">
      <c r="A385" s="166"/>
    </row>
    <row r="386" spans="1:1">
      <c r="A386" s="166"/>
    </row>
    <row r="387" spans="1:1">
      <c r="A387" s="166"/>
    </row>
    <row r="388" spans="1:1">
      <c r="A388" s="166"/>
    </row>
    <row r="389" spans="1:1">
      <c r="A389" s="166"/>
    </row>
    <row r="390" spans="1:1">
      <c r="A390" s="166"/>
    </row>
    <row r="391" spans="1:1">
      <c r="A391" s="166"/>
    </row>
    <row r="392" spans="1:1">
      <c r="A392" s="166"/>
    </row>
    <row r="393" spans="1:1">
      <c r="A393" s="166"/>
    </row>
    <row r="394" spans="1:1">
      <c r="A394" s="166"/>
    </row>
    <row r="395" spans="1:1">
      <c r="A395" s="166"/>
    </row>
    <row r="396" spans="1:1">
      <c r="A396" s="166"/>
    </row>
    <row r="397" spans="1:1">
      <c r="A397" s="166"/>
    </row>
    <row r="398" spans="1:1">
      <c r="A398" s="166"/>
    </row>
    <row r="399" spans="1:1">
      <c r="A399" s="166"/>
    </row>
    <row r="400" spans="1:1">
      <c r="A400" s="166"/>
    </row>
    <row r="401" spans="1:1">
      <c r="A401" s="166"/>
    </row>
    <row r="402" spans="1:1">
      <c r="A402" s="166"/>
    </row>
    <row r="403" spans="1:1">
      <c r="A403" s="166"/>
    </row>
    <row r="404" spans="1:1">
      <c r="A404" s="166"/>
    </row>
    <row r="405" spans="1:1">
      <c r="A405" s="166"/>
    </row>
    <row r="406" spans="1:1">
      <c r="A406" s="166"/>
    </row>
    <row r="407" spans="1:1">
      <c r="A407" s="166"/>
    </row>
    <row r="408" spans="1:1">
      <c r="A408" s="166"/>
    </row>
    <row r="409" spans="1:1">
      <c r="A409" s="166"/>
    </row>
    <row r="410" spans="1:1">
      <c r="A410" s="166"/>
    </row>
    <row r="411" spans="1:1">
      <c r="A411" s="166"/>
    </row>
    <row r="412" spans="1:1">
      <c r="A412" s="166"/>
    </row>
    <row r="413" spans="1:1">
      <c r="A413" s="166"/>
    </row>
    <row r="414" spans="1:1">
      <c r="A414" s="166"/>
    </row>
    <row r="415" spans="1:1">
      <c r="A415" s="166"/>
    </row>
    <row r="416" spans="1:1">
      <c r="A416" s="166"/>
    </row>
    <row r="417" spans="1:1">
      <c r="A417" s="166"/>
    </row>
    <row r="418" spans="1:1">
      <c r="A418" s="166"/>
    </row>
    <row r="419" spans="1:1">
      <c r="A419" s="166"/>
    </row>
    <row r="420" spans="1:1">
      <c r="A420" s="166"/>
    </row>
    <row r="421" spans="1:1">
      <c r="A421" s="166"/>
    </row>
    <row r="422" spans="1:1">
      <c r="A422" s="166"/>
    </row>
    <row r="423" spans="1:1">
      <c r="A423" s="166"/>
    </row>
    <row r="424" spans="1:1">
      <c r="A424" s="166"/>
    </row>
    <row r="425" spans="1:1">
      <c r="A425" s="166"/>
    </row>
    <row r="426" spans="1:1">
      <c r="A426" s="166"/>
    </row>
    <row r="427" spans="1:1">
      <c r="A427" s="166"/>
    </row>
    <row r="428" spans="1:1">
      <c r="A428" s="166"/>
    </row>
    <row r="429" spans="1:1">
      <c r="A429" s="166"/>
    </row>
    <row r="430" spans="1:1">
      <c r="A430" s="166"/>
    </row>
    <row r="431" spans="1:1">
      <c r="A431" s="166"/>
    </row>
    <row r="432" spans="1:1">
      <c r="A432" s="166"/>
    </row>
    <row r="433" spans="1:1">
      <c r="A433" s="166"/>
    </row>
    <row r="434" spans="1:1">
      <c r="A434" s="166"/>
    </row>
    <row r="435" spans="1:1">
      <c r="A435" s="166"/>
    </row>
    <row r="436" spans="1:1">
      <c r="A436" s="166"/>
    </row>
    <row r="437" spans="1:1">
      <c r="A437" s="166"/>
    </row>
    <row r="438" spans="1:1">
      <c r="A438" s="166"/>
    </row>
    <row r="439" spans="1:1">
      <c r="A439" s="166"/>
    </row>
    <row r="440" spans="1:1">
      <c r="A440" s="166"/>
    </row>
    <row r="441" spans="1:1">
      <c r="A441" s="166"/>
    </row>
    <row r="442" spans="1:1">
      <c r="A442" s="166"/>
    </row>
    <row r="443" spans="1:1">
      <c r="A443" s="166"/>
    </row>
    <row r="444" spans="1:1">
      <c r="A444" s="166"/>
    </row>
    <row r="445" spans="1:1">
      <c r="A445" s="166"/>
    </row>
    <row r="446" spans="1:1">
      <c r="A446" s="166"/>
    </row>
    <row r="447" spans="1:1">
      <c r="A447" s="166"/>
    </row>
    <row r="448" spans="1:1">
      <c r="A448" s="166"/>
    </row>
    <row r="449" spans="1:1">
      <c r="A449" s="166"/>
    </row>
    <row r="450" spans="1:1">
      <c r="A450" s="166"/>
    </row>
    <row r="451" spans="1:1">
      <c r="A451" s="166"/>
    </row>
    <row r="452" spans="1:1">
      <c r="A452" s="166"/>
    </row>
    <row r="453" spans="1:1">
      <c r="A453" s="166"/>
    </row>
    <row r="454" spans="1:1">
      <c r="A454" s="166"/>
    </row>
    <row r="455" spans="1:1">
      <c r="A455" s="166"/>
    </row>
    <row r="456" spans="1:1">
      <c r="A456" s="166"/>
    </row>
    <row r="457" spans="1:1">
      <c r="A457" s="166"/>
    </row>
    <row r="458" spans="1:1">
      <c r="A458" s="166"/>
    </row>
    <row r="459" spans="1:1">
      <c r="A459" s="166"/>
    </row>
    <row r="460" spans="1:1">
      <c r="A460" s="166"/>
    </row>
    <row r="461" spans="1:1">
      <c r="A461" s="166"/>
    </row>
    <row r="462" spans="1:1">
      <c r="A462" s="166"/>
    </row>
    <row r="463" spans="1:1">
      <c r="A463" s="166"/>
    </row>
    <row r="464" spans="1:1">
      <c r="A464" s="166"/>
    </row>
    <row r="465" spans="1:1">
      <c r="A465" s="166"/>
    </row>
    <row r="466" spans="1:1">
      <c r="A466" s="166"/>
    </row>
    <row r="467" spans="1:1">
      <c r="A467" s="166"/>
    </row>
    <row r="468" spans="1:1">
      <c r="A468" s="166"/>
    </row>
    <row r="469" spans="1:1">
      <c r="A469" s="166"/>
    </row>
    <row r="470" spans="1:1">
      <c r="A470" s="166"/>
    </row>
    <row r="471" spans="1:1">
      <c r="A471" s="166"/>
    </row>
    <row r="472" spans="1:1">
      <c r="A472" s="166"/>
    </row>
    <row r="473" spans="1:1">
      <c r="A473" s="166"/>
    </row>
    <row r="474" spans="1:1">
      <c r="A474" s="166"/>
    </row>
    <row r="475" spans="1:1">
      <c r="A475" s="166"/>
    </row>
    <row r="476" spans="1:1">
      <c r="A476" s="166"/>
    </row>
    <row r="477" spans="1:1">
      <c r="A477" s="166"/>
    </row>
    <row r="478" spans="1:1">
      <c r="A478" s="166"/>
    </row>
    <row r="479" spans="1:1">
      <c r="A479" s="166"/>
    </row>
    <row r="480" spans="1:1">
      <c r="A480" s="166"/>
    </row>
    <row r="481" spans="1:1">
      <c r="A481" s="166"/>
    </row>
    <row r="482" spans="1:1">
      <c r="A482" s="166"/>
    </row>
    <row r="483" spans="1:1">
      <c r="A483" s="166"/>
    </row>
    <row r="484" spans="1:1">
      <c r="A484" s="166"/>
    </row>
    <row r="485" spans="1:1">
      <c r="A485" s="166"/>
    </row>
    <row r="486" spans="1:1">
      <c r="A486" s="166"/>
    </row>
    <row r="487" spans="1:1">
      <c r="A487" s="166"/>
    </row>
    <row r="488" spans="1:1">
      <c r="A488" s="166"/>
    </row>
    <row r="489" spans="1:1">
      <c r="A489" s="166"/>
    </row>
    <row r="490" spans="1:1">
      <c r="A490" s="166"/>
    </row>
    <row r="491" spans="1:1">
      <c r="A491" s="166"/>
    </row>
    <row r="492" spans="1:1">
      <c r="A492" s="166"/>
    </row>
    <row r="493" spans="1:1">
      <c r="A493" s="166"/>
    </row>
    <row r="494" spans="1:1">
      <c r="A494" s="166"/>
    </row>
    <row r="495" spans="1:1">
      <c r="A495" s="166"/>
    </row>
    <row r="496" spans="1:1">
      <c r="A496" s="166"/>
    </row>
    <row r="497" spans="1:1">
      <c r="A497" s="166"/>
    </row>
    <row r="498" spans="1:1">
      <c r="A498" s="166"/>
    </row>
    <row r="499" spans="1:1">
      <c r="A499" s="166"/>
    </row>
    <row r="500" spans="1:1">
      <c r="A500" s="166"/>
    </row>
    <row r="501" spans="1:1">
      <c r="A501" s="166"/>
    </row>
    <row r="502" spans="1:1">
      <c r="A502" s="166"/>
    </row>
    <row r="503" spans="1:1">
      <c r="A503" s="166"/>
    </row>
    <row r="504" spans="1:1">
      <c r="A504" s="166"/>
    </row>
    <row r="505" spans="1:1">
      <c r="A505" s="166"/>
    </row>
    <row r="506" spans="1:1">
      <c r="A506" s="166"/>
    </row>
    <row r="507" spans="1:1">
      <c r="A507" s="166"/>
    </row>
    <row r="508" spans="1:1">
      <c r="A508" s="166"/>
    </row>
    <row r="509" spans="1:1">
      <c r="A509" s="166"/>
    </row>
    <row r="510" spans="1:1">
      <c r="A510" s="166"/>
    </row>
    <row r="511" spans="1:1">
      <c r="A511" s="166"/>
    </row>
    <row r="512" spans="1:1">
      <c r="A512" s="166"/>
    </row>
    <row r="513" spans="1:1">
      <c r="A513" s="166"/>
    </row>
    <row r="514" spans="1:1">
      <c r="A514" s="166"/>
    </row>
    <row r="515" spans="1:1">
      <c r="A515" s="166"/>
    </row>
    <row r="516" spans="1:1">
      <c r="A516" s="166"/>
    </row>
    <row r="517" spans="1:1">
      <c r="A517" s="166"/>
    </row>
    <row r="518" spans="1:1">
      <c r="A518" s="166"/>
    </row>
    <row r="519" spans="1:1">
      <c r="A519" s="166"/>
    </row>
    <row r="520" spans="1:1">
      <c r="A520" s="166"/>
    </row>
    <row r="521" spans="1:1">
      <c r="A521" s="166"/>
    </row>
    <row r="522" spans="1:1">
      <c r="A522" s="166"/>
    </row>
    <row r="523" spans="1:1">
      <c r="A523" s="166"/>
    </row>
    <row r="524" spans="1:1">
      <c r="A524" s="166"/>
    </row>
    <row r="525" spans="1:1">
      <c r="A525" s="166"/>
    </row>
    <row r="526" spans="1:1">
      <c r="A526" s="166"/>
    </row>
    <row r="527" spans="1:1">
      <c r="A527" s="166"/>
    </row>
    <row r="528" spans="1:1">
      <c r="A528" s="166"/>
    </row>
    <row r="529" spans="1:1">
      <c r="A529" s="166"/>
    </row>
    <row r="530" spans="1:1">
      <c r="A530" s="166"/>
    </row>
    <row r="531" spans="1:1">
      <c r="A531" s="166"/>
    </row>
    <row r="532" spans="1:1">
      <c r="A532" s="166"/>
    </row>
    <row r="533" spans="1:1">
      <c r="A533" s="166"/>
    </row>
    <row r="534" spans="1:1">
      <c r="A534" s="166"/>
    </row>
    <row r="535" spans="1:1">
      <c r="A535" s="166"/>
    </row>
    <row r="536" spans="1:1">
      <c r="A536" s="166"/>
    </row>
    <row r="537" spans="1:1">
      <c r="A537" s="166"/>
    </row>
    <row r="538" spans="1:1">
      <c r="A538" s="166"/>
    </row>
    <row r="539" spans="1:1">
      <c r="A539" s="166"/>
    </row>
    <row r="540" spans="1:1">
      <c r="A540" s="166"/>
    </row>
    <row r="541" spans="1:1">
      <c r="A541" s="166"/>
    </row>
    <row r="542" spans="1:1">
      <c r="A542" s="166"/>
    </row>
    <row r="543" spans="1:1">
      <c r="A543" s="166"/>
    </row>
    <row r="544" spans="1:1">
      <c r="A544" s="166"/>
    </row>
    <row r="545" spans="1:1">
      <c r="A545" s="166"/>
    </row>
    <row r="546" spans="1:1">
      <c r="A546" s="166"/>
    </row>
    <row r="547" spans="1:1">
      <c r="A547" s="166"/>
    </row>
    <row r="548" spans="1:1">
      <c r="A548" s="166"/>
    </row>
    <row r="549" spans="1:1">
      <c r="A549" s="166"/>
    </row>
    <row r="550" spans="1:1">
      <c r="A550" s="166"/>
    </row>
    <row r="551" spans="1:1">
      <c r="A551" s="166"/>
    </row>
    <row r="552" spans="1:1">
      <c r="A552" s="166"/>
    </row>
    <row r="553" spans="1:1">
      <c r="A553" s="166"/>
    </row>
    <row r="554" spans="1:1">
      <c r="A554" s="166"/>
    </row>
    <row r="555" spans="1:1">
      <c r="A555" s="166"/>
    </row>
    <row r="556" spans="1:1">
      <c r="A556" s="166"/>
    </row>
    <row r="557" spans="1:1">
      <c r="A557" s="166"/>
    </row>
    <row r="558" spans="1:1">
      <c r="A558" s="166"/>
    </row>
    <row r="559" spans="1:1">
      <c r="A559" s="166"/>
    </row>
    <row r="560" spans="1:1">
      <c r="A560" s="166"/>
    </row>
    <row r="561" spans="1:1">
      <c r="A561" s="166"/>
    </row>
    <row r="562" spans="1:1">
      <c r="A562" s="166"/>
    </row>
    <row r="563" spans="1:1">
      <c r="A563" s="166"/>
    </row>
    <row r="564" spans="1:1">
      <c r="A564" s="166"/>
    </row>
    <row r="565" spans="1:1">
      <c r="A565" s="166"/>
    </row>
    <row r="566" spans="1:1">
      <c r="A566" s="166"/>
    </row>
    <row r="567" spans="1:1">
      <c r="A567" s="166"/>
    </row>
    <row r="568" spans="1:1">
      <c r="A568" s="166"/>
    </row>
    <row r="569" spans="1:1">
      <c r="A569" s="166"/>
    </row>
    <row r="570" spans="1:1">
      <c r="A570" s="166"/>
    </row>
    <row r="571" spans="1:1">
      <c r="A571" s="166"/>
    </row>
    <row r="572" spans="1:1">
      <c r="A572" s="166"/>
    </row>
    <row r="573" spans="1:1">
      <c r="A573" s="166"/>
    </row>
    <row r="574" spans="1:1">
      <c r="A574" s="166"/>
    </row>
    <row r="575" spans="1:1">
      <c r="A575" s="166"/>
    </row>
    <row r="576" spans="1:1">
      <c r="A576" s="166"/>
    </row>
    <row r="577" spans="1:1">
      <c r="A577" s="166"/>
    </row>
    <row r="578" spans="1:1">
      <c r="A578" s="166"/>
    </row>
    <row r="579" spans="1:1">
      <c r="A579" s="166"/>
    </row>
    <row r="580" spans="1:1">
      <c r="A580" s="166"/>
    </row>
    <row r="581" spans="1:1">
      <c r="A581" s="166"/>
    </row>
    <row r="582" spans="1:1">
      <c r="A582" s="166"/>
    </row>
    <row r="583" spans="1:1">
      <c r="A583" s="166"/>
    </row>
    <row r="584" spans="1:1">
      <c r="A584" s="166"/>
    </row>
    <row r="585" spans="1:1">
      <c r="A585" s="166"/>
    </row>
    <row r="586" spans="1:1">
      <c r="A586" s="166"/>
    </row>
    <row r="587" spans="1:1">
      <c r="A587" s="166"/>
    </row>
    <row r="588" spans="1:1">
      <c r="A588" s="166"/>
    </row>
    <row r="589" spans="1:1">
      <c r="A589" s="166"/>
    </row>
    <row r="590" spans="1:1">
      <c r="A590" s="166"/>
    </row>
    <row r="591" spans="1:1">
      <c r="A591" s="166"/>
    </row>
    <row r="592" spans="1:1">
      <c r="A592" s="166"/>
    </row>
    <row r="593" spans="1:1">
      <c r="A593" s="166"/>
    </row>
    <row r="594" spans="1:1">
      <c r="A594" s="166"/>
    </row>
    <row r="595" spans="1:1">
      <c r="A595" s="166"/>
    </row>
    <row r="596" spans="1:1">
      <c r="A596" s="166"/>
    </row>
    <row r="597" spans="1:1">
      <c r="A597" s="166"/>
    </row>
    <row r="598" spans="1:1">
      <c r="A598" s="166"/>
    </row>
    <row r="599" spans="1:1">
      <c r="A599" s="166"/>
    </row>
    <row r="600" spans="1:1">
      <c r="A600" s="166"/>
    </row>
    <row r="601" spans="1:1">
      <c r="A601" s="166"/>
    </row>
    <row r="602" spans="1:1">
      <c r="A602" s="166"/>
    </row>
    <row r="603" spans="1:1">
      <c r="A603" s="166"/>
    </row>
    <row r="604" spans="1:1">
      <c r="A604" s="166"/>
    </row>
    <row r="605" spans="1:1">
      <c r="A605" s="166"/>
    </row>
    <row r="606" spans="1:1">
      <c r="A606" s="166"/>
    </row>
    <row r="607" spans="1:1">
      <c r="A607" s="166"/>
    </row>
    <row r="608" spans="1:1">
      <c r="A608" s="166"/>
    </row>
    <row r="609" spans="1:1">
      <c r="A609" s="166"/>
    </row>
    <row r="610" spans="1:1">
      <c r="A610" s="166"/>
    </row>
    <row r="611" spans="1:1">
      <c r="A611" s="166"/>
    </row>
    <row r="612" spans="1:1">
      <c r="A612" s="166"/>
    </row>
    <row r="613" spans="1:1">
      <c r="A613" s="166"/>
    </row>
    <row r="614" spans="1:1">
      <c r="A614" s="166"/>
    </row>
    <row r="615" spans="1:1">
      <c r="A615" s="166"/>
    </row>
    <row r="616" spans="1:1">
      <c r="A616" s="166"/>
    </row>
    <row r="617" spans="1:1">
      <c r="A617" s="166"/>
    </row>
    <row r="618" spans="1:1">
      <c r="A618" s="166"/>
    </row>
    <row r="619" spans="1:1">
      <c r="A619" s="166"/>
    </row>
    <row r="620" spans="1:1">
      <c r="A620" s="166"/>
    </row>
    <row r="621" spans="1:1">
      <c r="A621" s="166"/>
    </row>
    <row r="622" spans="1:1">
      <c r="A622" s="166"/>
    </row>
    <row r="623" spans="1:1">
      <c r="A623" s="166"/>
    </row>
    <row r="624" spans="1:1">
      <c r="A624" s="166"/>
    </row>
    <row r="625" spans="1:1">
      <c r="A625" s="166"/>
    </row>
    <row r="626" spans="1:1">
      <c r="A626" s="166"/>
    </row>
    <row r="627" spans="1:1">
      <c r="A627" s="166"/>
    </row>
    <row r="628" spans="1:1">
      <c r="A628" s="166"/>
    </row>
    <row r="629" spans="1:1">
      <c r="A629" s="166"/>
    </row>
    <row r="630" spans="1:1">
      <c r="A630" s="166"/>
    </row>
    <row r="631" spans="1:1">
      <c r="A631" s="166"/>
    </row>
    <row r="632" spans="1:1">
      <c r="A632" s="166"/>
    </row>
    <row r="633" spans="1:1">
      <c r="A633" s="166"/>
    </row>
    <row r="634" spans="1:1">
      <c r="A634" s="166"/>
    </row>
    <row r="635" spans="1:1">
      <c r="A635" s="166"/>
    </row>
    <row r="636" spans="1:1">
      <c r="A636" s="166"/>
    </row>
    <row r="637" spans="1:1">
      <c r="A637" s="166"/>
    </row>
    <row r="638" spans="1:1">
      <c r="A638" s="166"/>
    </row>
    <row r="639" spans="1:1">
      <c r="A639" s="166"/>
    </row>
    <row r="640" spans="1:1">
      <c r="A640" s="166"/>
    </row>
    <row r="641" spans="1:1">
      <c r="A641" s="166"/>
    </row>
    <row r="642" spans="1:1">
      <c r="A642" s="166"/>
    </row>
    <row r="643" spans="1:1">
      <c r="A643" s="166"/>
    </row>
    <row r="644" spans="1:1">
      <c r="A644" s="166"/>
    </row>
    <row r="645" spans="1:1">
      <c r="A645" s="166"/>
    </row>
    <row r="646" spans="1:1">
      <c r="A646" s="166"/>
    </row>
    <row r="647" spans="1:1">
      <c r="A647" s="166"/>
    </row>
    <row r="648" spans="1:1">
      <c r="A648" s="166"/>
    </row>
    <row r="649" spans="1:1">
      <c r="A649" s="166"/>
    </row>
    <row r="650" spans="1:1">
      <c r="A650" s="166"/>
    </row>
    <row r="651" spans="1:1">
      <c r="A651" s="166"/>
    </row>
    <row r="652" spans="1:1">
      <c r="A652" s="166"/>
    </row>
    <row r="653" spans="1:1">
      <c r="A653" s="166"/>
    </row>
    <row r="654" spans="1:1">
      <c r="A654" s="166"/>
    </row>
    <row r="655" spans="1:1">
      <c r="A655" s="166"/>
    </row>
    <row r="656" spans="1:1">
      <c r="A656" s="166"/>
    </row>
    <row r="657" spans="1:1">
      <c r="A657" s="166"/>
    </row>
    <row r="658" spans="1:1">
      <c r="A658" s="166"/>
    </row>
    <row r="659" spans="1:1">
      <c r="A659" s="166"/>
    </row>
    <row r="660" spans="1:1">
      <c r="A660" s="166"/>
    </row>
    <row r="661" spans="1:1">
      <c r="A661" s="166"/>
    </row>
    <row r="662" spans="1:1">
      <c r="A662" s="166"/>
    </row>
    <row r="663" spans="1:1">
      <c r="A663" s="166"/>
    </row>
    <row r="664" spans="1:1">
      <c r="A664" s="166"/>
    </row>
    <row r="665" spans="1:1">
      <c r="A665" s="166"/>
    </row>
    <row r="666" spans="1:1">
      <c r="A666" s="166"/>
    </row>
    <row r="667" spans="1:1">
      <c r="A667" s="166"/>
    </row>
    <row r="668" spans="1:1">
      <c r="A668" s="166"/>
    </row>
    <row r="669" spans="1:1">
      <c r="A669" s="166"/>
    </row>
    <row r="670" spans="1:1">
      <c r="A670" s="166"/>
    </row>
    <row r="671" spans="1:1">
      <c r="A671" s="166"/>
    </row>
    <row r="672" spans="1:1">
      <c r="A672" s="166"/>
    </row>
    <row r="673" spans="1:1">
      <c r="A673" s="166"/>
    </row>
    <row r="674" spans="1:1">
      <c r="A674" s="166"/>
    </row>
    <row r="675" spans="1:1">
      <c r="A675" s="166"/>
    </row>
    <row r="676" spans="1:1">
      <c r="A676" s="166"/>
    </row>
    <row r="677" spans="1:1">
      <c r="A677" s="166"/>
    </row>
    <row r="678" spans="1:1">
      <c r="A678" s="166"/>
    </row>
    <row r="679" spans="1:1">
      <c r="A679" s="166"/>
    </row>
    <row r="680" spans="1:1">
      <c r="A680" s="166"/>
    </row>
    <row r="681" spans="1:1">
      <c r="A681" s="166"/>
    </row>
    <row r="682" spans="1:1">
      <c r="A682" s="166"/>
    </row>
    <row r="683" spans="1:1">
      <c r="A683" s="166"/>
    </row>
    <row r="684" spans="1:1">
      <c r="A684" s="166"/>
    </row>
    <row r="685" spans="1:1">
      <c r="A685" s="166"/>
    </row>
    <row r="686" spans="1:1">
      <c r="A686" s="166"/>
    </row>
    <row r="687" spans="1:1">
      <c r="A687" s="166"/>
    </row>
    <row r="688" spans="1:1">
      <c r="A688" s="166"/>
    </row>
    <row r="689" spans="1:1">
      <c r="A689" s="166"/>
    </row>
    <row r="690" spans="1:1">
      <c r="A690" s="166"/>
    </row>
    <row r="691" spans="1:1">
      <c r="A691" s="166"/>
    </row>
    <row r="692" spans="1:1">
      <c r="A692" s="166"/>
    </row>
    <row r="693" spans="1:1">
      <c r="A693" s="166"/>
    </row>
    <row r="694" spans="1:1">
      <c r="A694" s="166"/>
    </row>
    <row r="695" spans="1:1">
      <c r="A695" s="166"/>
    </row>
    <row r="696" spans="1:1">
      <c r="A696" s="166"/>
    </row>
    <row r="697" spans="1:1">
      <c r="A697" s="166"/>
    </row>
    <row r="698" spans="1:1">
      <c r="A698" s="166"/>
    </row>
    <row r="699" spans="1:1">
      <c r="A699" s="166"/>
    </row>
    <row r="700" spans="1:1">
      <c r="A700" s="166"/>
    </row>
    <row r="701" spans="1:1">
      <c r="A701" s="166"/>
    </row>
    <row r="702" spans="1:1">
      <c r="A702" s="166"/>
    </row>
    <row r="703" spans="1:1">
      <c r="A703" s="166"/>
    </row>
    <row r="704" spans="1:1">
      <c r="A704" s="166"/>
    </row>
    <row r="705" spans="1:1">
      <c r="A705" s="166"/>
    </row>
    <row r="706" spans="1:1">
      <c r="A706" s="166"/>
    </row>
    <row r="707" spans="1:1">
      <c r="A707" s="166"/>
    </row>
    <row r="708" spans="1:1">
      <c r="A708" s="166"/>
    </row>
    <row r="709" spans="1:1">
      <c r="A709" s="166"/>
    </row>
    <row r="710" spans="1:1">
      <c r="A710" s="166"/>
    </row>
    <row r="711" spans="1:1">
      <c r="A711" s="166"/>
    </row>
    <row r="712" spans="1:1">
      <c r="A712" s="166"/>
    </row>
    <row r="713" spans="1:1">
      <c r="A713" s="166"/>
    </row>
    <row r="714" spans="1:1">
      <c r="A714" s="166"/>
    </row>
    <row r="715" spans="1:1">
      <c r="A715" s="166"/>
    </row>
    <row r="716" spans="1:1">
      <c r="A716" s="166"/>
    </row>
    <row r="717" spans="1:1">
      <c r="A717" s="166"/>
    </row>
    <row r="718" spans="1:1">
      <c r="A718" s="166"/>
    </row>
    <row r="719" spans="1:1">
      <c r="A719" s="166"/>
    </row>
    <row r="720" spans="1:1">
      <c r="A720" s="166"/>
    </row>
    <row r="721" spans="1:1">
      <c r="A721" s="166"/>
    </row>
    <row r="722" spans="1:1">
      <c r="A722" s="166"/>
    </row>
    <row r="723" spans="1:1">
      <c r="A723" s="166"/>
    </row>
    <row r="724" spans="1:1">
      <c r="A724" s="166"/>
    </row>
    <row r="725" spans="1:1">
      <c r="A725" s="166"/>
    </row>
    <row r="726" spans="1:1">
      <c r="A726" s="166"/>
    </row>
    <row r="727" spans="1:1">
      <c r="A727" s="166"/>
    </row>
    <row r="728" spans="1:1">
      <c r="A728" s="166"/>
    </row>
    <row r="729" spans="1:1">
      <c r="A729" s="166"/>
    </row>
    <row r="730" spans="1:1">
      <c r="A730" s="166"/>
    </row>
    <row r="731" spans="1:1">
      <c r="A731" s="166"/>
    </row>
    <row r="732" spans="1:1">
      <c r="A732" s="166"/>
    </row>
    <row r="733" spans="1:1">
      <c r="A733" s="166"/>
    </row>
    <row r="734" spans="1:1">
      <c r="A734" s="166"/>
    </row>
    <row r="735" spans="1:1">
      <c r="A735" s="166"/>
    </row>
    <row r="736" spans="1:1">
      <c r="A736" s="166"/>
    </row>
    <row r="737" spans="1:1">
      <c r="A737" s="166"/>
    </row>
    <row r="738" spans="1:1">
      <c r="A738" s="166"/>
    </row>
    <row r="739" spans="1:1">
      <c r="A739" s="166"/>
    </row>
    <row r="740" spans="1:1">
      <c r="A740" s="166"/>
    </row>
    <row r="741" spans="1:1">
      <c r="A741" s="166"/>
    </row>
    <row r="742" spans="1:1">
      <c r="A742" s="166"/>
    </row>
    <row r="743" spans="1:1">
      <c r="A743" s="166"/>
    </row>
    <row r="744" spans="1:1">
      <c r="A744" s="166"/>
    </row>
    <row r="745" spans="1:1">
      <c r="A745" s="166"/>
    </row>
    <row r="746" spans="1:1">
      <c r="A746" s="166"/>
    </row>
    <row r="747" spans="1:1">
      <c r="A747" s="166"/>
    </row>
    <row r="748" spans="1:1">
      <c r="A748" s="166"/>
    </row>
    <row r="749" spans="1:1">
      <c r="A749" s="166"/>
    </row>
    <row r="750" spans="1:1">
      <c r="A750" s="166"/>
    </row>
    <row r="751" spans="1:1">
      <c r="A751" s="166"/>
    </row>
    <row r="752" spans="1:1">
      <c r="A752" s="166"/>
    </row>
    <row r="753" spans="1:1">
      <c r="A753" s="166"/>
    </row>
    <row r="754" spans="1:1">
      <c r="A754" s="166"/>
    </row>
    <row r="755" spans="1:1">
      <c r="A755" s="166"/>
    </row>
    <row r="756" spans="1:1">
      <c r="A756" s="166"/>
    </row>
    <row r="757" spans="1:1">
      <c r="A757" s="166"/>
    </row>
    <row r="758" spans="1:1">
      <c r="A758" s="166"/>
    </row>
    <row r="759" spans="1:1">
      <c r="A759" s="166"/>
    </row>
    <row r="760" spans="1:1">
      <c r="A760" s="166"/>
    </row>
    <row r="761" spans="1:1">
      <c r="A761" s="166"/>
    </row>
    <row r="762" spans="1:1">
      <c r="A762" s="166"/>
    </row>
    <row r="763" spans="1:1">
      <c r="A763" s="166"/>
    </row>
    <row r="764" spans="1:1">
      <c r="A764" s="166"/>
    </row>
    <row r="765" spans="1:1">
      <c r="A765" s="166"/>
    </row>
    <row r="766" spans="1:1">
      <c r="A766" s="166"/>
    </row>
    <row r="767" spans="1:1">
      <c r="A767" s="166"/>
    </row>
    <row r="768" spans="1:1">
      <c r="A768" s="166"/>
    </row>
    <row r="769" spans="1:1">
      <c r="A769" s="166"/>
    </row>
    <row r="770" spans="1:1">
      <c r="A770" s="166"/>
    </row>
    <row r="771" spans="1:1">
      <c r="A771" s="166"/>
    </row>
    <row r="772" spans="1:1">
      <c r="A772" s="166"/>
    </row>
    <row r="773" spans="1:1">
      <c r="A773" s="166"/>
    </row>
    <row r="774" spans="1:1">
      <c r="A774" s="166"/>
    </row>
    <row r="775" spans="1:1">
      <c r="A775" s="166"/>
    </row>
    <row r="776" spans="1:1">
      <c r="A776" s="166"/>
    </row>
    <row r="777" spans="1:1">
      <c r="A777" s="166"/>
    </row>
    <row r="778" spans="1:1">
      <c r="A778" s="166"/>
    </row>
    <row r="779" spans="1:1">
      <c r="A779" s="166"/>
    </row>
    <row r="780" spans="1:1">
      <c r="A780" s="166"/>
    </row>
    <row r="781" spans="1:1">
      <c r="A781" s="166"/>
    </row>
    <row r="782" spans="1:1">
      <c r="A782" s="166"/>
    </row>
    <row r="783" spans="1:1">
      <c r="A783" s="166"/>
    </row>
    <row r="784" spans="1:1">
      <c r="A784" s="166"/>
    </row>
    <row r="785" spans="1:1">
      <c r="A785" s="166"/>
    </row>
    <row r="786" spans="1:1">
      <c r="A786" s="166"/>
    </row>
    <row r="787" spans="1:1">
      <c r="A787" s="166"/>
    </row>
    <row r="788" spans="1:1">
      <c r="A788" s="166"/>
    </row>
    <row r="789" spans="1:1">
      <c r="A789" s="166"/>
    </row>
    <row r="790" spans="1:1">
      <c r="A790" s="166"/>
    </row>
    <row r="791" spans="1:1">
      <c r="A791" s="166"/>
    </row>
    <row r="792" spans="1:1">
      <c r="A792" s="166"/>
    </row>
    <row r="793" spans="1:1">
      <c r="A793" s="166"/>
    </row>
    <row r="794" spans="1:1">
      <c r="A794" s="166"/>
    </row>
    <row r="795" spans="1:1">
      <c r="A795" s="166"/>
    </row>
    <row r="796" spans="1:1">
      <c r="A796" s="166"/>
    </row>
    <row r="797" spans="1:1">
      <c r="A797" s="166"/>
    </row>
    <row r="798" spans="1:1">
      <c r="A798" s="166"/>
    </row>
    <row r="799" spans="1:1">
      <c r="A799" s="166"/>
    </row>
    <row r="800" spans="1:1">
      <c r="A800" s="166"/>
    </row>
    <row r="801" spans="1:1">
      <c r="A801" s="166"/>
    </row>
    <row r="802" spans="1:1">
      <c r="A802" s="166"/>
    </row>
    <row r="803" spans="1:1">
      <c r="A803" s="166"/>
    </row>
    <row r="804" spans="1:1">
      <c r="A804" s="166"/>
    </row>
    <row r="805" spans="1:1">
      <c r="A805" s="166"/>
    </row>
    <row r="806" spans="1:1">
      <c r="A806" s="166"/>
    </row>
    <row r="807" spans="1:1">
      <c r="A807" s="166"/>
    </row>
    <row r="808" spans="1:1">
      <c r="A808" s="166"/>
    </row>
    <row r="809" spans="1:1">
      <c r="A809" s="166"/>
    </row>
    <row r="810" spans="1:1">
      <c r="A810" s="166"/>
    </row>
    <row r="811" spans="1:1">
      <c r="A811" s="166"/>
    </row>
    <row r="812" spans="1:1">
      <c r="A812" s="166"/>
    </row>
    <row r="813" spans="1:1">
      <c r="A813" s="166"/>
    </row>
    <row r="814" spans="1:1">
      <c r="A814" s="166"/>
    </row>
    <row r="815" spans="1:1">
      <c r="A815" s="166"/>
    </row>
    <row r="816" spans="1:1">
      <c r="A816" s="166"/>
    </row>
    <row r="817" spans="1:1">
      <c r="A817" s="166"/>
    </row>
    <row r="818" spans="1:1">
      <c r="A818" s="166"/>
    </row>
    <row r="819" spans="1:1">
      <c r="A819" s="166"/>
    </row>
    <row r="820" spans="1:1">
      <c r="A820" s="166"/>
    </row>
    <row r="821" spans="1:1">
      <c r="A821" s="166"/>
    </row>
    <row r="822" spans="1:1">
      <c r="A822" s="166"/>
    </row>
    <row r="823" spans="1:1">
      <c r="A823" s="166"/>
    </row>
    <row r="824" spans="1:1">
      <c r="A824" s="166"/>
    </row>
    <row r="825" spans="1:1">
      <c r="A825" s="166"/>
    </row>
    <row r="826" spans="1:1">
      <c r="A826" s="166"/>
    </row>
    <row r="827" spans="1:1">
      <c r="A827" s="166"/>
    </row>
    <row r="828" spans="1:1">
      <c r="A828" s="166"/>
    </row>
    <row r="829" spans="1:1">
      <c r="A829" s="166"/>
    </row>
    <row r="830" spans="1:1">
      <c r="A830" s="166"/>
    </row>
    <row r="831" spans="1:1">
      <c r="A831" s="166"/>
    </row>
    <row r="832" spans="1:1">
      <c r="A832" s="166"/>
    </row>
    <row r="833" spans="1:1">
      <c r="A833" s="166"/>
    </row>
    <row r="834" spans="1:1">
      <c r="A834" s="166"/>
    </row>
    <row r="835" spans="1:1">
      <c r="A835" s="166"/>
    </row>
    <row r="836" spans="1:1">
      <c r="A836" s="166"/>
    </row>
    <row r="837" spans="1:1">
      <c r="A837" s="166"/>
    </row>
    <row r="838" spans="1:1">
      <c r="A838" s="166"/>
    </row>
    <row r="839" spans="1:1">
      <c r="A839" s="166"/>
    </row>
    <row r="840" spans="1:1">
      <c r="A840" s="166"/>
    </row>
    <row r="841" spans="1:1">
      <c r="A841" s="166"/>
    </row>
    <row r="842" spans="1:1">
      <c r="A842" s="166"/>
    </row>
    <row r="843" spans="1:1">
      <c r="A843" s="166"/>
    </row>
    <row r="844" spans="1:1">
      <c r="A844" s="166"/>
    </row>
    <row r="845" spans="1:1">
      <c r="A845" s="166"/>
    </row>
    <row r="846" spans="1:1">
      <c r="A846" s="166"/>
    </row>
    <row r="847" spans="1:1">
      <c r="A847" s="166"/>
    </row>
    <row r="848" spans="1:1">
      <c r="A848" s="166"/>
    </row>
    <row r="849" spans="1:1">
      <c r="A849" s="166"/>
    </row>
    <row r="850" spans="1:1">
      <c r="A850" s="166"/>
    </row>
    <row r="851" spans="1:1">
      <c r="A851" s="166"/>
    </row>
    <row r="852" spans="1:1">
      <c r="A852" s="166"/>
    </row>
    <row r="853" spans="1:1">
      <c r="A853" s="166"/>
    </row>
    <row r="854" spans="1:1">
      <c r="A854" s="166"/>
    </row>
    <row r="855" spans="1:1">
      <c r="A855" s="166"/>
    </row>
    <row r="856" spans="1:1">
      <c r="A856" s="166"/>
    </row>
    <row r="857" spans="1:1">
      <c r="A857" s="166"/>
    </row>
    <row r="858" spans="1:1">
      <c r="A858" s="166"/>
    </row>
    <row r="859" spans="1:1">
      <c r="A859" s="166"/>
    </row>
    <row r="860" spans="1:1">
      <c r="A860" s="166"/>
    </row>
    <row r="861" spans="1:1">
      <c r="A861" s="166"/>
    </row>
    <row r="862" spans="1:1">
      <c r="A862" s="166"/>
    </row>
    <row r="863" spans="1:1">
      <c r="A863" s="166"/>
    </row>
    <row r="864" spans="1:1">
      <c r="A864" s="166"/>
    </row>
    <row r="865" spans="1:1">
      <c r="A865" s="166"/>
    </row>
    <row r="866" spans="1:1">
      <c r="A866" s="166"/>
    </row>
    <row r="867" spans="1:1">
      <c r="A867" s="166"/>
    </row>
    <row r="868" spans="1:1">
      <c r="A868" s="166"/>
    </row>
    <row r="869" spans="1:1">
      <c r="A869" s="166"/>
    </row>
    <row r="870" spans="1:1">
      <c r="A870" s="166"/>
    </row>
    <row r="871" spans="1:1">
      <c r="A871" s="166"/>
    </row>
    <row r="872" spans="1:1">
      <c r="A872" s="166"/>
    </row>
    <row r="873" spans="1:1">
      <c r="A873" s="166"/>
    </row>
    <row r="874" spans="1:1">
      <c r="A874" s="166"/>
    </row>
    <row r="875" spans="1:1">
      <c r="A875" s="166"/>
    </row>
    <row r="876" spans="1:1">
      <c r="A876" s="166"/>
    </row>
    <row r="877" spans="1:1">
      <c r="A877" s="166"/>
    </row>
    <row r="878" spans="1:1">
      <c r="A878" s="166"/>
    </row>
    <row r="879" spans="1:1">
      <c r="A879" s="166"/>
    </row>
    <row r="880" spans="1:1">
      <c r="A880" s="166"/>
    </row>
    <row r="881" spans="1:1">
      <c r="A881" s="166"/>
    </row>
    <row r="882" spans="1:1">
      <c r="A882" s="166"/>
    </row>
    <row r="883" spans="1:1">
      <c r="A883" s="166"/>
    </row>
    <row r="884" spans="1:1">
      <c r="A884" s="166"/>
    </row>
    <row r="885" spans="1:1">
      <c r="A885" s="166"/>
    </row>
    <row r="886" spans="1:1">
      <c r="A886" s="166"/>
    </row>
    <row r="887" spans="1:1">
      <c r="A887" s="166"/>
    </row>
    <row r="888" spans="1:1">
      <c r="A888" s="166"/>
    </row>
    <row r="889" spans="1:1">
      <c r="A889" s="166"/>
    </row>
    <row r="890" spans="1:1">
      <c r="A890" s="166"/>
    </row>
    <row r="891" spans="1:1">
      <c r="A891" s="166"/>
    </row>
    <row r="892" spans="1:1">
      <c r="A892" s="166"/>
    </row>
    <row r="893" spans="1:1">
      <c r="A893" s="166"/>
    </row>
    <row r="894" spans="1:1">
      <c r="A894" s="166"/>
    </row>
    <row r="895" spans="1:1">
      <c r="A895" s="166"/>
    </row>
    <row r="896" spans="1:1">
      <c r="A896" s="166"/>
    </row>
    <row r="897" spans="1:1">
      <c r="A897" s="166"/>
    </row>
    <row r="898" spans="1:1">
      <c r="A898" s="166"/>
    </row>
    <row r="899" spans="1:1">
      <c r="A899" s="166"/>
    </row>
    <row r="900" spans="1:1">
      <c r="A900" s="166"/>
    </row>
    <row r="901" spans="1:1">
      <c r="A901" s="166"/>
    </row>
    <row r="902" spans="1:1">
      <c r="A902" s="166"/>
    </row>
    <row r="903" spans="1:1">
      <c r="A903" s="166"/>
    </row>
    <row r="904" spans="1:1">
      <c r="A904" s="166"/>
    </row>
    <row r="905" spans="1:1">
      <c r="A905" s="166"/>
    </row>
    <row r="906" spans="1:1">
      <c r="A906" s="166"/>
    </row>
    <row r="907" spans="1:1">
      <c r="A907" s="166"/>
    </row>
    <row r="908" spans="1:1">
      <c r="A908" s="166"/>
    </row>
    <row r="909" spans="1:1">
      <c r="A909" s="166"/>
    </row>
    <row r="910" spans="1:1">
      <c r="A910" s="166"/>
    </row>
    <row r="911" spans="1:1">
      <c r="A911" s="166"/>
    </row>
    <row r="912" spans="1:1">
      <c r="A912" s="166"/>
    </row>
    <row r="913" spans="1:1">
      <c r="A913" s="166"/>
    </row>
    <row r="914" spans="1:1">
      <c r="A914" s="166"/>
    </row>
    <row r="915" spans="1:1">
      <c r="A915" s="166"/>
    </row>
    <row r="916" spans="1:1">
      <c r="A916" s="166"/>
    </row>
    <row r="917" spans="1:1">
      <c r="A917" s="166"/>
    </row>
    <row r="918" spans="1:1">
      <c r="A918" s="166"/>
    </row>
    <row r="919" spans="1:1">
      <c r="A919" s="166"/>
    </row>
    <row r="920" spans="1:1">
      <c r="A920" s="166"/>
    </row>
    <row r="921" spans="1:1">
      <c r="A921" s="166"/>
    </row>
    <row r="922" spans="1:1">
      <c r="A922" s="166"/>
    </row>
    <row r="923" spans="1:1">
      <c r="A923" s="166"/>
    </row>
    <row r="924" spans="1:1">
      <c r="A924" s="166"/>
    </row>
    <row r="925" spans="1:1">
      <c r="A925" s="166"/>
    </row>
    <row r="926" spans="1:1">
      <c r="A926" s="166"/>
    </row>
    <row r="927" spans="1:1">
      <c r="A927" s="166"/>
    </row>
    <row r="928" spans="1:1">
      <c r="A928" s="166"/>
    </row>
    <row r="929" spans="1:1">
      <c r="A929" s="166"/>
    </row>
    <row r="930" spans="1:1">
      <c r="A930" s="166"/>
    </row>
    <row r="931" spans="1:1">
      <c r="A931" s="166"/>
    </row>
    <row r="932" spans="1:1">
      <c r="A932" s="166"/>
    </row>
    <row r="933" spans="1:1">
      <c r="A933" s="166"/>
    </row>
    <row r="934" spans="1:1">
      <c r="A934" s="166"/>
    </row>
    <row r="935" spans="1:1">
      <c r="A935" s="166"/>
    </row>
    <row r="936" spans="1:1">
      <c r="A936" s="166"/>
    </row>
    <row r="937" spans="1:1">
      <c r="A937" s="166"/>
    </row>
    <row r="938" spans="1:1">
      <c r="A938" s="166"/>
    </row>
    <row r="939" spans="1:1">
      <c r="A939" s="166"/>
    </row>
    <row r="940" spans="1:1">
      <c r="A940" s="166"/>
    </row>
    <row r="941" spans="1:1">
      <c r="A941" s="166"/>
    </row>
    <row r="942" spans="1:1">
      <c r="A942" s="166"/>
    </row>
    <row r="943" spans="1:1">
      <c r="A943" s="166"/>
    </row>
    <row r="944" spans="1:1">
      <c r="A944" s="166"/>
    </row>
    <row r="945" spans="1:1">
      <c r="A945" s="166"/>
    </row>
    <row r="946" spans="1:1">
      <c r="A946" s="166"/>
    </row>
    <row r="947" spans="1:1">
      <c r="A947" s="166"/>
    </row>
    <row r="948" spans="1:1">
      <c r="A948" s="166"/>
    </row>
    <row r="949" spans="1:1">
      <c r="A949" s="166"/>
    </row>
    <row r="950" spans="1:1">
      <c r="A950" s="166"/>
    </row>
    <row r="951" spans="1:1">
      <c r="A951" s="166"/>
    </row>
    <row r="952" spans="1:1">
      <c r="A952" s="166"/>
    </row>
    <row r="953" spans="1:1">
      <c r="A953" s="166"/>
    </row>
    <row r="954" spans="1:1">
      <c r="A954" s="166"/>
    </row>
    <row r="955" spans="1:1">
      <c r="A955" s="166"/>
    </row>
    <row r="956" spans="1:1">
      <c r="A956" s="166"/>
    </row>
    <row r="957" spans="1:1">
      <c r="A957" s="166"/>
    </row>
    <row r="958" spans="1:1">
      <c r="A958" s="166"/>
    </row>
    <row r="959" spans="1:1">
      <c r="A959" s="166"/>
    </row>
    <row r="960" spans="1:1">
      <c r="A960" s="166"/>
    </row>
    <row r="961" spans="1:1">
      <c r="A961" s="166"/>
    </row>
    <row r="962" spans="1:1">
      <c r="A962" s="166"/>
    </row>
    <row r="963" spans="1:1">
      <c r="A963" s="166"/>
    </row>
    <row r="964" spans="1:1">
      <c r="A964" s="166"/>
    </row>
    <row r="965" spans="1:1">
      <c r="A965" s="166"/>
    </row>
    <row r="966" spans="1:1">
      <c r="A966" s="166"/>
    </row>
    <row r="967" spans="1:1">
      <c r="A967" s="166"/>
    </row>
    <row r="968" spans="1:1">
      <c r="A968" s="166"/>
    </row>
    <row r="969" spans="1:1">
      <c r="A969" s="166"/>
    </row>
    <row r="970" spans="1:1">
      <c r="A970" s="166"/>
    </row>
    <row r="971" spans="1:1">
      <c r="A971" s="166"/>
    </row>
    <row r="972" spans="1:1">
      <c r="A972" s="166"/>
    </row>
    <row r="973" spans="1:1">
      <c r="A973" s="166"/>
    </row>
    <row r="974" spans="1:1">
      <c r="A974" s="166"/>
    </row>
    <row r="975" spans="1:1">
      <c r="A975" s="166"/>
    </row>
    <row r="976" spans="1:1">
      <c r="A976" s="166"/>
    </row>
    <row r="977" spans="1:1">
      <c r="A977" s="166"/>
    </row>
    <row r="978" spans="1:1">
      <c r="A978" s="166"/>
    </row>
    <row r="979" spans="1:1">
      <c r="A979" s="166"/>
    </row>
    <row r="980" spans="1:1">
      <c r="A980" s="166"/>
    </row>
    <row r="981" spans="1:1">
      <c r="A981" s="166"/>
    </row>
    <row r="982" spans="1:1">
      <c r="A982" s="166"/>
    </row>
    <row r="983" spans="1:1">
      <c r="A983" s="166"/>
    </row>
    <row r="984" spans="1:1">
      <c r="A984" s="166"/>
    </row>
    <row r="985" spans="1:1">
      <c r="A985" s="166"/>
    </row>
    <row r="986" spans="1:1">
      <c r="A986" s="166"/>
    </row>
    <row r="987" spans="1:1">
      <c r="A987" s="166"/>
    </row>
    <row r="988" spans="1:1">
      <c r="A988" s="166"/>
    </row>
    <row r="989" spans="1:1">
      <c r="A989" s="166"/>
    </row>
    <row r="990" spans="1:1">
      <c r="A990" s="166"/>
    </row>
    <row r="991" spans="1:1">
      <c r="A991" s="166"/>
    </row>
    <row r="992" spans="1:1">
      <c r="A992" s="166"/>
    </row>
    <row r="993" spans="1:1">
      <c r="A993" s="166"/>
    </row>
    <row r="994" spans="1:1">
      <c r="A994" s="166"/>
    </row>
    <row r="995" spans="1:1">
      <c r="A995" s="166"/>
    </row>
    <row r="996" spans="1:1">
      <c r="A996" s="166"/>
    </row>
    <row r="997" spans="1:1">
      <c r="A997" s="166"/>
    </row>
    <row r="998" spans="1:1">
      <c r="A998" s="166"/>
    </row>
    <row r="999" spans="1:1">
      <c r="A999" s="166"/>
    </row>
    <row r="1000" spans="1:1">
      <c r="A1000" s="166"/>
    </row>
    <row r="1001" spans="1:1">
      <c r="A1001" s="166"/>
    </row>
    <row r="1002" spans="1:1">
      <c r="A1002" s="166"/>
    </row>
    <row r="1003" spans="1:1">
      <c r="A1003" s="166"/>
    </row>
    <row r="1004" spans="1:1">
      <c r="A1004" s="166"/>
    </row>
    <row r="1005" spans="1:1">
      <c r="A1005" s="166"/>
    </row>
    <row r="1006" spans="1:1">
      <c r="A1006" s="166"/>
    </row>
    <row r="1007" spans="1:1">
      <c r="A1007" s="166"/>
    </row>
    <row r="1008" spans="1:1">
      <c r="A1008" s="166"/>
    </row>
    <row r="1009" spans="1:1">
      <c r="A1009" s="166"/>
    </row>
    <row r="1010" spans="1:1">
      <c r="A1010" s="166"/>
    </row>
    <row r="1011" spans="1:1">
      <c r="A1011" s="166"/>
    </row>
    <row r="1012" spans="1:1">
      <c r="A1012" s="166"/>
    </row>
    <row r="1013" spans="1:1">
      <c r="A1013" s="166"/>
    </row>
    <row r="1014" spans="1:1">
      <c r="A1014" s="166"/>
    </row>
    <row r="1015" spans="1:1">
      <c r="A1015" s="166"/>
    </row>
    <row r="1016" spans="1:1">
      <c r="A1016" s="166"/>
    </row>
    <row r="1017" spans="1:1">
      <c r="A1017" s="166"/>
    </row>
    <row r="1018" spans="1:1">
      <c r="A1018" s="166"/>
    </row>
    <row r="1019" spans="1:1">
      <c r="A1019" s="166"/>
    </row>
    <row r="1020" spans="1:1">
      <c r="A1020" s="166"/>
    </row>
    <row r="1021" spans="1:1">
      <c r="A1021" s="166"/>
    </row>
    <row r="1022" spans="1:1">
      <c r="A1022" s="166"/>
    </row>
    <row r="1023" spans="1:1">
      <c r="A1023" s="166"/>
    </row>
    <row r="1024" spans="1:1">
      <c r="A1024" s="166"/>
    </row>
    <row r="1025" spans="1:1">
      <c r="A1025" s="166"/>
    </row>
    <row r="1026" spans="1:1">
      <c r="A1026" s="166"/>
    </row>
    <row r="1027" spans="1:1">
      <c r="A1027" s="166"/>
    </row>
    <row r="1028" spans="1:1">
      <c r="A1028" s="166"/>
    </row>
    <row r="1029" spans="1:1">
      <c r="A1029" s="166"/>
    </row>
    <row r="1030" spans="1:1">
      <c r="A1030" s="166"/>
    </row>
    <row r="1031" spans="1:1">
      <c r="A1031" s="166"/>
    </row>
    <row r="1032" spans="1:1">
      <c r="A1032" s="166"/>
    </row>
    <row r="1033" spans="1:1">
      <c r="A1033" s="166"/>
    </row>
    <row r="1034" spans="1:1">
      <c r="A1034" s="166"/>
    </row>
    <row r="1035" spans="1:1">
      <c r="A1035" s="166"/>
    </row>
    <row r="1036" spans="1:1">
      <c r="A1036" s="166"/>
    </row>
    <row r="1037" spans="1:1">
      <c r="A1037" s="166"/>
    </row>
    <row r="1038" spans="1:1">
      <c r="A1038" s="166"/>
    </row>
    <row r="1039" spans="1:1">
      <c r="A1039" s="166"/>
    </row>
    <row r="1040" spans="1:1">
      <c r="A1040" s="166"/>
    </row>
    <row r="1041" spans="1:1">
      <c r="A1041" s="166"/>
    </row>
    <row r="1042" spans="1:1">
      <c r="A1042" s="166"/>
    </row>
    <row r="1043" spans="1:1">
      <c r="A1043" s="166"/>
    </row>
    <row r="1044" spans="1:1">
      <c r="A1044" s="166"/>
    </row>
    <row r="1045" spans="1:1">
      <c r="A1045" s="166"/>
    </row>
    <row r="1046" spans="1:1">
      <c r="A1046" s="166"/>
    </row>
    <row r="1047" spans="1:1">
      <c r="A1047" s="166"/>
    </row>
    <row r="1048" spans="1:1">
      <c r="A1048" s="166"/>
    </row>
    <row r="1049" spans="1:1">
      <c r="A1049" s="166"/>
    </row>
    <row r="1050" spans="1:1">
      <c r="A1050" s="166"/>
    </row>
    <row r="1051" spans="1:1">
      <c r="A1051" s="166"/>
    </row>
    <row r="1052" spans="1:1">
      <c r="A1052" s="166"/>
    </row>
    <row r="1053" spans="1:1">
      <c r="A1053" s="166"/>
    </row>
    <row r="1054" spans="1:1">
      <c r="A1054" s="166"/>
    </row>
    <row r="1055" spans="1:1">
      <c r="A1055" s="166"/>
    </row>
    <row r="1056" spans="1:1">
      <c r="A1056" s="166"/>
    </row>
    <row r="1057" spans="1:1">
      <c r="A1057" s="166"/>
    </row>
    <row r="1058" spans="1:1">
      <c r="A1058" s="166"/>
    </row>
    <row r="1059" spans="1:1">
      <c r="A1059" s="166"/>
    </row>
    <row r="1060" spans="1:1">
      <c r="A1060" s="166"/>
    </row>
    <row r="1061" spans="1:1">
      <c r="A1061" s="166"/>
    </row>
    <row r="1062" spans="1:1">
      <c r="A1062" s="166"/>
    </row>
    <row r="1063" spans="1:1">
      <c r="A1063" s="166"/>
    </row>
    <row r="1064" spans="1:1">
      <c r="A1064" s="166"/>
    </row>
    <row r="1065" spans="1:1">
      <c r="A1065" s="166"/>
    </row>
    <row r="1066" spans="1:1">
      <c r="A1066" s="166"/>
    </row>
    <row r="1067" spans="1:1">
      <c r="A1067" s="166"/>
    </row>
    <row r="1068" spans="1:1">
      <c r="A1068" s="166"/>
    </row>
    <row r="1069" spans="1:1">
      <c r="A1069" s="166"/>
    </row>
    <row r="1070" spans="1:1">
      <c r="A1070" s="166"/>
    </row>
    <row r="1071" spans="1:1">
      <c r="A1071" s="166"/>
    </row>
    <row r="1072" spans="1:1">
      <c r="A1072" s="166"/>
    </row>
    <row r="1073" spans="1:1">
      <c r="A1073" s="166"/>
    </row>
    <row r="1074" spans="1:1">
      <c r="A1074" s="166"/>
    </row>
    <row r="1075" spans="1:1">
      <c r="A1075" s="166"/>
    </row>
    <row r="1076" spans="1:1">
      <c r="A1076" s="166"/>
    </row>
    <row r="1077" spans="1:1">
      <c r="A1077" s="166"/>
    </row>
    <row r="1078" spans="1:1">
      <c r="A1078" s="166"/>
    </row>
    <row r="1079" spans="1:1">
      <c r="A1079" s="166"/>
    </row>
    <row r="1080" spans="1:1">
      <c r="A1080" s="166"/>
    </row>
    <row r="1081" spans="1:1">
      <c r="A1081" s="166"/>
    </row>
    <row r="1082" spans="1:1">
      <c r="A1082" s="166"/>
    </row>
    <row r="1083" spans="1:1">
      <c r="A1083" s="166"/>
    </row>
    <row r="1084" spans="1:1">
      <c r="A1084" s="166"/>
    </row>
    <row r="1085" spans="1:1">
      <c r="A1085" s="166"/>
    </row>
    <row r="1086" spans="1:1">
      <c r="A1086" s="166"/>
    </row>
    <row r="1087" spans="1:1">
      <c r="A1087" s="166"/>
    </row>
    <row r="1088" spans="1:1">
      <c r="A1088" s="166"/>
    </row>
    <row r="1089" spans="1:1">
      <c r="A1089" s="166"/>
    </row>
    <row r="1090" spans="1:1">
      <c r="A1090" s="166"/>
    </row>
    <row r="1091" spans="1:1">
      <c r="A1091" s="166"/>
    </row>
    <row r="1092" spans="1:1">
      <c r="A1092" s="166"/>
    </row>
    <row r="1093" spans="1:1">
      <c r="A1093" s="166"/>
    </row>
    <row r="1094" spans="1:1">
      <c r="A1094" s="166"/>
    </row>
    <row r="1095" spans="1:1">
      <c r="A1095" s="166"/>
    </row>
    <row r="1096" spans="1:1">
      <c r="A1096" s="166"/>
    </row>
    <row r="1097" spans="1:1">
      <c r="A1097" s="166"/>
    </row>
    <row r="1098" spans="1:1">
      <c r="A1098" s="166"/>
    </row>
    <row r="1099" spans="1:1">
      <c r="A1099" s="166"/>
    </row>
    <row r="1100" spans="1:1">
      <c r="A1100" s="166"/>
    </row>
    <row r="1101" spans="1:1">
      <c r="A1101" s="166"/>
    </row>
    <row r="1102" spans="1:1">
      <c r="A1102" s="166"/>
    </row>
    <row r="1103" spans="1:1">
      <c r="A1103" s="166"/>
    </row>
    <row r="1104" spans="1:1">
      <c r="A1104" s="166"/>
    </row>
    <row r="1105" spans="1:1">
      <c r="A1105" s="166"/>
    </row>
    <row r="1106" spans="1:1">
      <c r="A1106" s="166"/>
    </row>
    <row r="1107" spans="1:1">
      <c r="A1107" s="166"/>
    </row>
    <row r="1108" spans="1:1">
      <c r="A1108" s="166"/>
    </row>
    <row r="1109" spans="1:1">
      <c r="A1109" s="166"/>
    </row>
    <row r="1110" spans="1:1">
      <c r="A1110" s="166"/>
    </row>
    <row r="1111" spans="1:1">
      <c r="A1111" s="166"/>
    </row>
    <row r="1112" spans="1:1">
      <c r="A1112" s="166"/>
    </row>
    <row r="1113" spans="1:1">
      <c r="A1113" s="166"/>
    </row>
    <row r="1114" spans="1:1">
      <c r="A1114" s="166"/>
    </row>
    <row r="1115" spans="1:1">
      <c r="A1115" s="166"/>
    </row>
    <row r="1116" spans="1:1">
      <c r="A1116" s="166"/>
    </row>
    <row r="1117" spans="1:1">
      <c r="A1117" s="166"/>
    </row>
    <row r="1118" spans="1:1">
      <c r="A1118" s="166"/>
    </row>
    <row r="1119" spans="1:1">
      <c r="A1119" s="166"/>
    </row>
    <row r="1120" spans="1:1">
      <c r="A1120" s="166"/>
    </row>
    <row r="1121" spans="1:1">
      <c r="A1121" s="166"/>
    </row>
    <row r="1122" spans="1:1">
      <c r="A1122" s="166"/>
    </row>
    <row r="1123" spans="1:1">
      <c r="A1123" s="166"/>
    </row>
    <row r="1124" spans="1:1">
      <c r="A1124" s="166"/>
    </row>
    <row r="1125" spans="1:1">
      <c r="A1125" s="166"/>
    </row>
    <row r="1126" spans="1:1">
      <c r="A1126" s="166"/>
    </row>
    <row r="1127" spans="1:1">
      <c r="A1127" s="166"/>
    </row>
    <row r="1128" spans="1:1">
      <c r="A1128" s="166"/>
    </row>
    <row r="1129" spans="1:1">
      <c r="A1129" s="166"/>
    </row>
    <row r="1130" spans="1:1">
      <c r="A1130" s="166"/>
    </row>
    <row r="1131" spans="1:1">
      <c r="A1131" s="166"/>
    </row>
    <row r="1132" spans="1:1">
      <c r="A1132" s="166"/>
    </row>
    <row r="1133" spans="1:1">
      <c r="A1133" s="166"/>
    </row>
    <row r="1134" spans="1:1">
      <c r="A1134" s="166"/>
    </row>
    <row r="1135" spans="1:1">
      <c r="A1135" s="166"/>
    </row>
    <row r="1136" spans="1:1">
      <c r="A1136" s="166"/>
    </row>
    <row r="1137" spans="1:1">
      <c r="A1137" s="166"/>
    </row>
    <row r="1138" spans="1:1">
      <c r="A1138" s="166"/>
    </row>
    <row r="1139" spans="1:1">
      <c r="A1139" s="166"/>
    </row>
    <row r="1140" spans="1:1">
      <c r="A1140" s="166"/>
    </row>
    <row r="1141" spans="1:1">
      <c r="A1141" s="166"/>
    </row>
    <row r="1142" spans="1:1">
      <c r="A1142" s="166"/>
    </row>
    <row r="1143" spans="1:1">
      <c r="A1143" s="166"/>
    </row>
    <row r="1144" spans="1:1">
      <c r="A1144" s="166"/>
    </row>
    <row r="1145" spans="1:1">
      <c r="A1145" s="166"/>
    </row>
    <row r="1146" spans="1:1">
      <c r="A1146" s="166"/>
    </row>
    <row r="1147" spans="1:1">
      <c r="A1147" s="166"/>
    </row>
    <row r="1148" spans="1:1">
      <c r="A1148" s="166"/>
    </row>
    <row r="1149" spans="1:1">
      <c r="A1149" s="166"/>
    </row>
    <row r="1150" spans="1:1">
      <c r="A1150" s="166"/>
    </row>
    <row r="1151" spans="1:1">
      <c r="A1151" s="166"/>
    </row>
    <row r="1152" spans="1:1">
      <c r="A1152" s="166"/>
    </row>
    <row r="1153" spans="1:1">
      <c r="A1153" s="166"/>
    </row>
    <row r="1154" spans="1:1">
      <c r="A1154" s="166"/>
    </row>
    <row r="1155" spans="1:1">
      <c r="A1155" s="166"/>
    </row>
    <row r="1156" spans="1:1">
      <c r="A1156" s="166"/>
    </row>
    <row r="1157" spans="1:1">
      <c r="A1157" s="166"/>
    </row>
    <row r="1158" spans="1:1">
      <c r="A1158" s="166"/>
    </row>
    <row r="1159" spans="1:1">
      <c r="A1159" s="166"/>
    </row>
    <row r="1160" spans="1:1">
      <c r="A1160" s="166"/>
    </row>
    <row r="1161" spans="1:1">
      <c r="A1161" s="166"/>
    </row>
    <row r="1162" spans="1:1">
      <c r="A1162" s="166"/>
    </row>
    <row r="1163" spans="1:1">
      <c r="A1163" s="166"/>
    </row>
    <row r="1164" spans="1:1">
      <c r="A1164" s="166"/>
    </row>
    <row r="1165" spans="1:1">
      <c r="A1165" s="166"/>
    </row>
    <row r="1166" spans="1:1">
      <c r="A1166" s="166"/>
    </row>
    <row r="1167" spans="1:1">
      <c r="A1167" s="166"/>
    </row>
    <row r="1168" spans="1:1">
      <c r="A1168" s="166"/>
    </row>
    <row r="1169" spans="1:1">
      <c r="A1169" s="166"/>
    </row>
    <row r="1170" spans="1:1">
      <c r="A1170" s="166"/>
    </row>
    <row r="1171" spans="1:1">
      <c r="A1171" s="166"/>
    </row>
    <row r="1172" spans="1:1">
      <c r="A1172" s="166"/>
    </row>
    <row r="1173" spans="1:1">
      <c r="A1173" s="166"/>
    </row>
    <row r="1174" spans="1:1">
      <c r="A1174" s="166"/>
    </row>
    <row r="1175" spans="1:1">
      <c r="A1175" s="166"/>
    </row>
    <row r="1176" spans="1:1">
      <c r="A1176" s="166"/>
    </row>
    <row r="1177" spans="1:1">
      <c r="A1177" s="166"/>
    </row>
    <row r="1178" spans="1:1">
      <c r="A1178" s="166"/>
    </row>
    <row r="1179" spans="1:1">
      <c r="A1179" s="166"/>
    </row>
    <row r="1180" spans="1:1">
      <c r="A1180" s="166"/>
    </row>
    <row r="1181" spans="1:1">
      <c r="A1181" s="166"/>
    </row>
    <row r="1182" spans="1:1">
      <c r="A1182" s="166"/>
    </row>
    <row r="1183" spans="1:1">
      <c r="A1183" s="166"/>
    </row>
    <row r="1184" spans="1:1">
      <c r="A1184" s="166"/>
    </row>
    <row r="1185" spans="1:1">
      <c r="A1185" s="166"/>
    </row>
    <row r="1186" spans="1:1">
      <c r="A1186" s="166"/>
    </row>
    <row r="1187" spans="1:1">
      <c r="A1187" s="166"/>
    </row>
    <row r="1188" spans="1:1">
      <c r="A1188" s="166"/>
    </row>
    <row r="1189" spans="1:1">
      <c r="A1189" s="166"/>
    </row>
    <row r="1190" spans="1:1">
      <c r="A1190" s="166"/>
    </row>
    <row r="1191" spans="1:1">
      <c r="A1191" s="166"/>
    </row>
    <row r="1192" spans="1:1">
      <c r="A1192" s="166"/>
    </row>
    <row r="1193" spans="1:1">
      <c r="A1193" s="166"/>
    </row>
    <row r="1194" spans="1:1">
      <c r="A1194" s="166"/>
    </row>
    <row r="1195" spans="1:1">
      <c r="A1195" s="166"/>
    </row>
    <row r="1196" spans="1:1">
      <c r="A1196" s="166"/>
    </row>
    <row r="1197" spans="1:1">
      <c r="A1197" s="166"/>
    </row>
    <row r="1198" spans="1:1">
      <c r="A1198" s="166"/>
    </row>
    <row r="1199" spans="1:1">
      <c r="A1199" s="166"/>
    </row>
    <row r="1200" spans="1:1">
      <c r="A1200" s="166"/>
    </row>
    <row r="1201" spans="1:1">
      <c r="A1201" s="166"/>
    </row>
    <row r="1202" spans="1:1">
      <c r="A1202" s="166"/>
    </row>
    <row r="1203" spans="1:1">
      <c r="A1203" s="166"/>
    </row>
    <row r="1204" spans="1:1">
      <c r="A1204" s="166"/>
    </row>
    <row r="1205" spans="1:1">
      <c r="A1205" s="166"/>
    </row>
    <row r="1206" spans="1:1">
      <c r="A1206" s="166"/>
    </row>
    <row r="1207" spans="1:1">
      <c r="A1207" s="166"/>
    </row>
    <row r="1208" spans="1:1">
      <c r="A1208" s="166"/>
    </row>
    <row r="1209" spans="1:1">
      <c r="A1209" s="166"/>
    </row>
    <row r="1210" spans="1:1">
      <c r="A1210" s="166"/>
    </row>
    <row r="1211" spans="1:1">
      <c r="A1211" s="166"/>
    </row>
    <row r="1212" spans="1:1">
      <c r="A1212" s="166"/>
    </row>
    <row r="1213" spans="1:1">
      <c r="A1213" s="166"/>
    </row>
    <row r="1214" spans="1:1">
      <c r="A1214" s="166"/>
    </row>
    <row r="1215" spans="1:1">
      <c r="A1215" s="166"/>
    </row>
    <row r="1216" spans="1:1">
      <c r="A1216" s="166"/>
    </row>
    <row r="1217" spans="1:1">
      <c r="A1217" s="166"/>
    </row>
    <row r="1218" spans="1:1">
      <c r="A1218" s="166"/>
    </row>
    <row r="1219" spans="1:1">
      <c r="A1219" s="166"/>
    </row>
    <row r="1220" spans="1:1">
      <c r="A1220" s="166"/>
    </row>
    <row r="1221" spans="1:1">
      <c r="A1221" s="166"/>
    </row>
    <row r="1222" spans="1:1">
      <c r="A1222" s="166"/>
    </row>
    <row r="1223" spans="1:1">
      <c r="A1223" s="166"/>
    </row>
    <row r="1224" spans="1:1">
      <c r="A1224" s="166"/>
    </row>
    <row r="1225" spans="1:1">
      <c r="A1225" s="166"/>
    </row>
    <row r="1226" spans="1:1">
      <c r="A1226" s="166"/>
    </row>
    <row r="1227" spans="1:1">
      <c r="A1227" s="166"/>
    </row>
    <row r="1228" spans="1:1">
      <c r="A1228" s="166"/>
    </row>
    <row r="1229" spans="1:1">
      <c r="A1229" s="166"/>
    </row>
    <row r="1230" spans="1:1">
      <c r="A1230" s="166"/>
    </row>
    <row r="1231" spans="1:1">
      <c r="A1231" s="166"/>
    </row>
    <row r="1232" spans="1:1">
      <c r="A1232" s="166"/>
    </row>
    <row r="1233" spans="1:1">
      <c r="A1233" s="166"/>
    </row>
    <row r="1234" spans="1:1">
      <c r="A1234" s="166"/>
    </row>
    <row r="1235" spans="1:1">
      <c r="A1235" s="166"/>
    </row>
    <row r="1236" spans="1:1">
      <c r="A1236" s="166"/>
    </row>
    <row r="1237" spans="1:1">
      <c r="A1237" s="166"/>
    </row>
    <row r="1238" spans="1:1">
      <c r="A1238" s="166"/>
    </row>
    <row r="1239" spans="1:1">
      <c r="A1239" s="166"/>
    </row>
    <row r="1240" spans="1:1">
      <c r="A1240" s="166"/>
    </row>
    <row r="1241" spans="1:1">
      <c r="A1241" s="166"/>
    </row>
    <row r="1242" spans="1:1">
      <c r="A1242" s="166"/>
    </row>
    <row r="1243" spans="1:1">
      <c r="A1243" s="166"/>
    </row>
    <row r="1244" spans="1:1">
      <c r="A1244" s="166"/>
    </row>
    <row r="1245" spans="1:1">
      <c r="A1245" s="166"/>
    </row>
    <row r="1246" spans="1:1">
      <c r="A1246" s="166"/>
    </row>
    <row r="1247" spans="1:1">
      <c r="A1247" s="166"/>
    </row>
    <row r="1248" spans="1:1">
      <c r="A1248" s="166"/>
    </row>
    <row r="1249" spans="1:1">
      <c r="A1249" s="166"/>
    </row>
    <row r="1250" spans="1:1">
      <c r="A1250" s="166"/>
    </row>
    <row r="1251" spans="1:1">
      <c r="A1251" s="166"/>
    </row>
    <row r="1252" spans="1:1">
      <c r="A1252" s="166"/>
    </row>
    <row r="1253" spans="1:1">
      <c r="A1253" s="166"/>
    </row>
    <row r="1254" spans="1:1">
      <c r="A1254" s="166"/>
    </row>
    <row r="1255" spans="1:1">
      <c r="A1255" s="166"/>
    </row>
    <row r="1256" spans="1:1">
      <c r="A1256" s="166"/>
    </row>
    <row r="1257" spans="1:1">
      <c r="A1257" s="166"/>
    </row>
    <row r="1258" spans="1:1">
      <c r="A1258" s="166"/>
    </row>
    <row r="1259" spans="1:1">
      <c r="A1259" s="166"/>
    </row>
    <row r="1260" spans="1:1">
      <c r="A1260" s="166"/>
    </row>
    <row r="1261" spans="1:1">
      <c r="A1261" s="166"/>
    </row>
    <row r="1262" spans="1:1">
      <c r="A1262" s="166"/>
    </row>
    <row r="1263" spans="1:1">
      <c r="A1263" s="166"/>
    </row>
    <row r="1264" spans="1:1">
      <c r="A1264" s="166"/>
    </row>
    <row r="1265" spans="1:1">
      <c r="A1265" s="166"/>
    </row>
    <row r="1266" spans="1:1">
      <c r="A1266" s="166"/>
    </row>
    <row r="1267" spans="1:1">
      <c r="A1267" s="166"/>
    </row>
    <row r="1268" spans="1:1">
      <c r="A1268" s="166"/>
    </row>
    <row r="1269" spans="1:1">
      <c r="A1269" s="166"/>
    </row>
    <row r="1270" spans="1:1">
      <c r="A1270" s="166"/>
    </row>
    <row r="1271" spans="1:1">
      <c r="A1271" s="166"/>
    </row>
    <row r="1272" spans="1:1">
      <c r="A1272" s="166"/>
    </row>
    <row r="1273" spans="1:1">
      <c r="A1273" s="166"/>
    </row>
    <row r="1274" spans="1:1">
      <c r="A1274" s="166"/>
    </row>
    <row r="1275" spans="1:1">
      <c r="A1275" s="166"/>
    </row>
    <row r="1276" spans="1:1">
      <c r="A1276" s="166"/>
    </row>
    <row r="1277" spans="1:1">
      <c r="A1277" s="166"/>
    </row>
    <row r="1278" spans="1:1">
      <c r="A1278" s="166"/>
    </row>
    <row r="1279" spans="1:1">
      <c r="A1279" s="166"/>
    </row>
    <row r="1280" spans="1:1">
      <c r="A1280" s="166"/>
    </row>
    <row r="1281" spans="1:1">
      <c r="A1281" s="166"/>
    </row>
    <row r="1282" spans="1:1">
      <c r="A1282" s="166"/>
    </row>
    <row r="1283" spans="1:1">
      <c r="A1283" s="166"/>
    </row>
    <row r="1284" spans="1:1">
      <c r="A1284" s="166"/>
    </row>
    <row r="1285" spans="1:1">
      <c r="A1285" s="166"/>
    </row>
    <row r="1286" spans="1:1">
      <c r="A1286" s="166"/>
    </row>
    <row r="1287" spans="1:1">
      <c r="A1287" s="166"/>
    </row>
    <row r="1288" spans="1:1">
      <c r="A1288" s="166"/>
    </row>
    <row r="1289" spans="1:1">
      <c r="A1289" s="166"/>
    </row>
    <row r="1290" spans="1:1">
      <c r="A1290" s="166"/>
    </row>
    <row r="1291" spans="1:1">
      <c r="A1291" s="166"/>
    </row>
    <row r="1292" spans="1:1">
      <c r="A1292" s="166"/>
    </row>
    <row r="1293" spans="1:1">
      <c r="A1293" s="166"/>
    </row>
    <row r="1294" spans="1:1">
      <c r="A1294" s="166"/>
    </row>
    <row r="1295" spans="1:1">
      <c r="A1295" s="166"/>
    </row>
    <row r="1296" spans="1:1">
      <c r="A1296" s="166"/>
    </row>
    <row r="1297" spans="1:1">
      <c r="A1297" s="166"/>
    </row>
    <row r="1298" spans="1:1">
      <c r="A1298" s="166"/>
    </row>
    <row r="1299" spans="1:1">
      <c r="A1299" s="166"/>
    </row>
    <row r="1300" spans="1:1">
      <c r="A1300" s="166"/>
    </row>
    <row r="1301" spans="1:1">
      <c r="A1301" s="166"/>
    </row>
    <row r="1302" spans="1:1">
      <c r="A1302" s="166"/>
    </row>
    <row r="1303" spans="1:1">
      <c r="A1303" s="166"/>
    </row>
    <row r="1304" spans="1:1">
      <c r="A1304" s="166"/>
    </row>
    <row r="1305" spans="1:1">
      <c r="A1305" s="166"/>
    </row>
    <row r="1306" spans="1:1">
      <c r="A1306" s="166"/>
    </row>
    <row r="1307" spans="1:1">
      <c r="A1307" s="166"/>
    </row>
    <row r="1308" spans="1:1">
      <c r="A1308" s="166"/>
    </row>
    <row r="1309" spans="1:1">
      <c r="A1309" s="166"/>
    </row>
    <row r="1310" spans="1:1">
      <c r="A1310" s="166"/>
    </row>
    <row r="1311" spans="1:1">
      <c r="A1311" s="166"/>
    </row>
    <row r="1312" spans="1:1">
      <c r="A1312" s="166"/>
    </row>
    <row r="1313" spans="1:1">
      <c r="A1313" s="166"/>
    </row>
    <row r="1314" spans="1:1">
      <c r="A1314" s="166"/>
    </row>
    <row r="1315" spans="1:1">
      <c r="A1315" s="166"/>
    </row>
    <row r="1316" spans="1:1">
      <c r="A1316" s="166"/>
    </row>
    <row r="1317" spans="1:1">
      <c r="A1317" s="166"/>
    </row>
    <row r="1318" spans="1:1">
      <c r="A1318" s="166"/>
    </row>
    <row r="1319" spans="1:1">
      <c r="A1319" s="166"/>
    </row>
    <row r="1320" spans="1:1">
      <c r="A1320" s="166"/>
    </row>
    <row r="1321" spans="1:1">
      <c r="A1321" s="166"/>
    </row>
    <row r="1322" spans="1:1">
      <c r="A1322" s="166"/>
    </row>
    <row r="1323" spans="1:1">
      <c r="A1323" s="166"/>
    </row>
    <row r="1324" spans="1:1">
      <c r="A1324" s="166"/>
    </row>
    <row r="1325" spans="1:1">
      <c r="A1325" s="166"/>
    </row>
    <row r="1326" spans="1:1">
      <c r="A1326" s="166"/>
    </row>
    <row r="1327" spans="1:1">
      <c r="A1327" s="166"/>
    </row>
    <row r="1328" spans="1:1">
      <c r="A1328" s="166"/>
    </row>
    <row r="1329" spans="1:1">
      <c r="A1329" s="166"/>
    </row>
    <row r="1330" spans="1:1">
      <c r="A1330" s="166"/>
    </row>
    <row r="1331" spans="1:1">
      <c r="A1331" s="166"/>
    </row>
    <row r="1332" spans="1:1">
      <c r="A1332" s="166"/>
    </row>
    <row r="1333" spans="1:1">
      <c r="A1333" s="166"/>
    </row>
    <row r="1334" spans="1:1">
      <c r="A1334" s="166"/>
    </row>
    <row r="1335" spans="1:1">
      <c r="A1335" s="166"/>
    </row>
    <row r="1336" spans="1:1">
      <c r="A1336" s="166"/>
    </row>
    <row r="1337" spans="1:1">
      <c r="A1337" s="166"/>
    </row>
    <row r="1338" spans="1:1">
      <c r="A1338" s="166"/>
    </row>
    <row r="1339" spans="1:1">
      <c r="A1339" s="166"/>
    </row>
    <row r="1340" spans="1:1">
      <c r="A1340" s="166"/>
    </row>
    <row r="1341" spans="1:1">
      <c r="A1341" s="166"/>
    </row>
    <row r="1342" spans="1:1">
      <c r="A1342" s="166"/>
    </row>
    <row r="1343" spans="1:1">
      <c r="A1343" s="166"/>
    </row>
    <row r="1344" spans="1:1">
      <c r="A1344" s="166"/>
    </row>
    <row r="1345" spans="1:1">
      <c r="A1345" s="166"/>
    </row>
    <row r="1346" spans="1:1">
      <c r="A1346" s="166"/>
    </row>
    <row r="1347" spans="1:1">
      <c r="A1347" s="166"/>
    </row>
    <row r="1348" spans="1:1">
      <c r="A1348" s="166"/>
    </row>
    <row r="1349" spans="1:1">
      <c r="A1349" s="166"/>
    </row>
    <row r="1350" spans="1:1">
      <c r="A1350" s="166"/>
    </row>
    <row r="1351" spans="1:1">
      <c r="A1351" s="166"/>
    </row>
    <row r="1352" spans="1:1">
      <c r="A1352" s="166"/>
    </row>
    <row r="1353" spans="1:1">
      <c r="A1353" s="166"/>
    </row>
    <row r="1354" spans="1:1">
      <c r="A1354" s="166"/>
    </row>
    <row r="1355" spans="1:1">
      <c r="A1355" s="166"/>
    </row>
    <row r="1356" spans="1:1">
      <c r="A1356" s="166"/>
    </row>
    <row r="1357" spans="1:1">
      <c r="A1357" s="166"/>
    </row>
    <row r="1358" spans="1:1">
      <c r="A1358" s="166"/>
    </row>
    <row r="1359" spans="1:1">
      <c r="A1359" s="166"/>
    </row>
    <row r="1360" spans="1:1">
      <c r="A1360" s="166"/>
    </row>
    <row r="1361" spans="1:1">
      <c r="A1361" s="166"/>
    </row>
    <row r="1362" spans="1:1">
      <c r="A1362" s="166"/>
    </row>
    <row r="1363" spans="1:1">
      <c r="A1363" s="166"/>
    </row>
    <row r="1364" spans="1:1">
      <c r="A1364" s="166"/>
    </row>
    <row r="1365" spans="1:1">
      <c r="A1365" s="166"/>
    </row>
    <row r="1366" spans="1:1">
      <c r="A1366" s="166"/>
    </row>
    <row r="1367" spans="1:1">
      <c r="A1367" s="166"/>
    </row>
    <row r="1368" spans="1:1">
      <c r="A1368" s="166"/>
    </row>
    <row r="1369" spans="1:1">
      <c r="A1369" s="166"/>
    </row>
    <row r="1370" spans="1:1">
      <c r="A1370" s="166"/>
    </row>
    <row r="1371" spans="1:1">
      <c r="A1371" s="166"/>
    </row>
    <row r="1372" spans="1:1">
      <c r="A1372" s="166"/>
    </row>
    <row r="1373" spans="1:1">
      <c r="A1373" s="166"/>
    </row>
    <row r="1374" spans="1:1">
      <c r="A1374" s="166"/>
    </row>
    <row r="1375" spans="1:1">
      <c r="A1375" s="166"/>
    </row>
    <row r="1376" spans="1:1">
      <c r="A1376" s="166"/>
    </row>
    <row r="1377" spans="1:1">
      <c r="A1377" s="166"/>
    </row>
    <row r="1378" spans="1:1">
      <c r="A1378" s="166"/>
    </row>
    <row r="1379" spans="1:1">
      <c r="A1379" s="166"/>
    </row>
    <row r="1380" spans="1:1">
      <c r="A1380" s="166"/>
    </row>
    <row r="1381" spans="1:1">
      <c r="A1381" s="166"/>
    </row>
    <row r="1382" spans="1:1">
      <c r="A1382" s="166"/>
    </row>
    <row r="1383" spans="1:1">
      <c r="A1383" s="166"/>
    </row>
    <row r="1384" spans="1:1">
      <c r="A1384" s="166"/>
    </row>
    <row r="1385" spans="1:1">
      <c r="A1385" s="166"/>
    </row>
    <row r="1386" spans="1:1">
      <c r="A1386" s="166"/>
    </row>
    <row r="1387" spans="1:1">
      <c r="A1387" s="166"/>
    </row>
    <row r="1388" spans="1:1">
      <c r="A1388" s="166"/>
    </row>
    <row r="1389" spans="1:1">
      <c r="A1389" s="166"/>
    </row>
    <row r="1390" spans="1:1">
      <c r="A1390" s="166"/>
    </row>
    <row r="1391" spans="1:1">
      <c r="A1391" s="166"/>
    </row>
    <row r="1392" spans="1:1">
      <c r="A1392" s="166"/>
    </row>
    <row r="1393" spans="1:1">
      <c r="A1393" s="166"/>
    </row>
    <row r="1394" spans="1:1">
      <c r="A1394" s="166"/>
    </row>
    <row r="1395" spans="1:1">
      <c r="A1395" s="166"/>
    </row>
    <row r="1396" spans="1:1">
      <c r="A1396" s="166"/>
    </row>
    <row r="1397" spans="1:1">
      <c r="A1397" s="166"/>
    </row>
    <row r="1398" spans="1:1">
      <c r="A1398" s="166"/>
    </row>
    <row r="1399" spans="1:1">
      <c r="A1399" s="166"/>
    </row>
    <row r="1400" spans="1:1">
      <c r="A1400" s="166"/>
    </row>
    <row r="1401" spans="1:1">
      <c r="A1401" s="166"/>
    </row>
    <row r="1402" spans="1:1">
      <c r="A1402" s="166"/>
    </row>
    <row r="1403" spans="1:1">
      <c r="A1403" s="166"/>
    </row>
    <row r="1404" spans="1:1">
      <c r="A1404" s="166"/>
    </row>
    <row r="1405" spans="1:1">
      <c r="A1405" s="166"/>
    </row>
    <row r="1406" spans="1:1">
      <c r="A1406" s="166"/>
    </row>
    <row r="1407" spans="1:1">
      <c r="A1407" s="166"/>
    </row>
    <row r="1408" spans="1:1">
      <c r="A1408" s="166"/>
    </row>
    <row r="1409" spans="1:1">
      <c r="A1409" s="166"/>
    </row>
    <row r="1410" spans="1:1">
      <c r="A1410" s="166"/>
    </row>
    <row r="1411" spans="1:1">
      <c r="A1411" s="166"/>
    </row>
    <row r="1412" spans="1:1">
      <c r="A1412" s="166"/>
    </row>
    <row r="1413" spans="1:1">
      <c r="A1413" s="166"/>
    </row>
    <row r="1414" spans="1:1">
      <c r="A1414" s="166"/>
    </row>
    <row r="1415" spans="1:1">
      <c r="A1415" s="166"/>
    </row>
    <row r="1416" spans="1:1">
      <c r="A1416" s="166"/>
    </row>
    <row r="1417" spans="1:1">
      <c r="A1417" s="166"/>
    </row>
    <row r="1418" spans="1:1">
      <c r="A1418" s="166"/>
    </row>
    <row r="1419" spans="1:1">
      <c r="A1419" s="166"/>
    </row>
    <row r="1420" spans="1:1">
      <c r="A1420" s="166"/>
    </row>
    <row r="1421" spans="1:1">
      <c r="A1421" s="166"/>
    </row>
    <row r="1422" spans="1:1">
      <c r="A1422" s="166"/>
    </row>
    <row r="1423" spans="1:1">
      <c r="A1423" s="166"/>
    </row>
    <row r="1424" spans="1:1">
      <c r="A1424" s="166"/>
    </row>
    <row r="1425" spans="1:1">
      <c r="A1425" s="166"/>
    </row>
    <row r="1426" spans="1:1">
      <c r="A1426" s="166"/>
    </row>
    <row r="1427" spans="1:1">
      <c r="A1427" s="166"/>
    </row>
    <row r="1428" spans="1:1">
      <c r="A1428" s="166"/>
    </row>
    <row r="1429" spans="1:1">
      <c r="A1429" s="166"/>
    </row>
    <row r="1430" spans="1:1">
      <c r="A1430" s="166"/>
    </row>
    <row r="1431" spans="1:1">
      <c r="A1431" s="166"/>
    </row>
    <row r="1432" spans="1:1">
      <c r="A1432" s="166"/>
    </row>
    <row r="1433" spans="1:1">
      <c r="A1433" s="166"/>
    </row>
    <row r="1434" spans="1:1">
      <c r="A1434" s="166"/>
    </row>
    <row r="1435" spans="1:1">
      <c r="A1435" s="166"/>
    </row>
    <row r="1436" spans="1:1">
      <c r="A1436" s="166"/>
    </row>
    <row r="1437" spans="1:1">
      <c r="A1437" s="166"/>
    </row>
    <row r="1438" spans="1:1">
      <c r="A1438" s="166"/>
    </row>
    <row r="1439" spans="1:1">
      <c r="A1439" s="166"/>
    </row>
    <row r="1440" spans="1:1">
      <c r="A1440" s="166"/>
    </row>
    <row r="1441" spans="1:1">
      <c r="A1441" s="166"/>
    </row>
    <row r="1442" spans="1:1">
      <c r="A1442" s="166"/>
    </row>
    <row r="1443" spans="1:1">
      <c r="A1443" s="166"/>
    </row>
    <row r="1444" spans="1:1">
      <c r="A1444" s="166"/>
    </row>
    <row r="1445" spans="1:1">
      <c r="A1445" s="166"/>
    </row>
    <row r="1446" spans="1:1">
      <c r="A1446" s="166"/>
    </row>
    <row r="1447" spans="1:1">
      <c r="A1447" s="166"/>
    </row>
    <row r="1448" spans="1:1">
      <c r="A1448" s="166"/>
    </row>
    <row r="1449" spans="1:1">
      <c r="A1449" s="166"/>
    </row>
    <row r="1450" spans="1:1">
      <c r="A1450" s="166"/>
    </row>
    <row r="1451" spans="1:1">
      <c r="A1451" s="166"/>
    </row>
    <row r="1452" spans="1:1">
      <c r="A1452" s="166"/>
    </row>
    <row r="1453" spans="1:1">
      <c r="A1453" s="166"/>
    </row>
    <row r="1454" spans="1:1">
      <c r="A1454" s="166"/>
    </row>
    <row r="1455" spans="1:1">
      <c r="A1455" s="166"/>
    </row>
    <row r="1456" spans="1:1">
      <c r="A1456" s="166"/>
    </row>
    <row r="1457" spans="1:1">
      <c r="A1457" s="166"/>
    </row>
    <row r="1458" spans="1:1">
      <c r="A1458" s="166"/>
    </row>
    <row r="1459" spans="1:1">
      <c r="A1459" s="166"/>
    </row>
    <row r="1460" spans="1:1">
      <c r="A1460" s="166"/>
    </row>
    <row r="1461" spans="1:1">
      <c r="A1461" s="166"/>
    </row>
    <row r="1462" spans="1:1">
      <c r="A1462" s="166"/>
    </row>
    <row r="1463" spans="1:1">
      <c r="A1463" s="166"/>
    </row>
    <row r="1464" spans="1:1">
      <c r="A1464" s="166"/>
    </row>
    <row r="1465" spans="1:1">
      <c r="A1465" s="166"/>
    </row>
    <row r="1466" spans="1:1">
      <c r="A1466" s="166"/>
    </row>
    <row r="1467" spans="1:1">
      <c r="A1467" s="166"/>
    </row>
    <row r="1468" spans="1:1">
      <c r="A1468" s="166"/>
    </row>
    <row r="1469" spans="1:1">
      <c r="A1469" s="166"/>
    </row>
    <row r="1470" spans="1:1">
      <c r="A1470" s="166"/>
    </row>
    <row r="1471" spans="1:1">
      <c r="A1471" s="166"/>
    </row>
    <row r="1472" spans="1:1">
      <c r="A1472" s="166"/>
    </row>
    <row r="1473" spans="1:1">
      <c r="A1473" s="166"/>
    </row>
    <row r="1474" spans="1:1">
      <c r="A1474" s="166"/>
    </row>
    <row r="1475" spans="1:1">
      <c r="A1475" s="166"/>
    </row>
    <row r="1476" spans="1:1">
      <c r="A1476" s="166"/>
    </row>
    <row r="1477" spans="1:1">
      <c r="A1477" s="166"/>
    </row>
    <row r="1478" spans="1:1">
      <c r="A1478" s="166"/>
    </row>
    <row r="1479" spans="1:1">
      <c r="A1479" s="166"/>
    </row>
    <row r="1480" spans="1:1">
      <c r="A1480" s="166"/>
    </row>
    <row r="1481" spans="1:1">
      <c r="A1481" s="166"/>
    </row>
    <row r="1482" spans="1:1">
      <c r="A1482" s="166"/>
    </row>
    <row r="1483" spans="1:1">
      <c r="A1483" s="166"/>
    </row>
    <row r="1484" spans="1:1">
      <c r="A1484" s="166"/>
    </row>
    <row r="1485" spans="1:1">
      <c r="A1485" s="166"/>
    </row>
    <row r="1486" spans="1:1">
      <c r="A1486" s="166"/>
    </row>
    <row r="1487" spans="1:1">
      <c r="A1487" s="166"/>
    </row>
    <row r="1488" spans="1:1">
      <c r="A1488" s="166"/>
    </row>
    <row r="1489" spans="1:1">
      <c r="A1489" s="166"/>
    </row>
    <row r="1490" spans="1:1">
      <c r="A1490" s="166"/>
    </row>
    <row r="1491" spans="1:1">
      <c r="A1491" s="166"/>
    </row>
    <row r="1492" spans="1:1">
      <c r="A1492" s="166"/>
    </row>
    <row r="1493" spans="1:1">
      <c r="A1493" s="166"/>
    </row>
    <row r="1494" spans="1:1">
      <c r="A1494" s="166"/>
    </row>
    <row r="1495" spans="1:1">
      <c r="A1495" s="166"/>
    </row>
    <row r="1496" spans="1:1">
      <c r="A1496" s="166"/>
    </row>
    <row r="1497" spans="1:1">
      <c r="A1497" s="166"/>
    </row>
    <row r="1498" spans="1:1">
      <c r="A1498" s="166"/>
    </row>
    <row r="1499" spans="1:1">
      <c r="A1499" s="166"/>
    </row>
    <row r="1500" spans="1:1">
      <c r="A1500" s="166"/>
    </row>
    <row r="1501" spans="1:1">
      <c r="A1501" s="166"/>
    </row>
    <row r="1502" spans="1:1">
      <c r="A1502" s="166"/>
    </row>
    <row r="1503" spans="1:1">
      <c r="A1503" s="166"/>
    </row>
    <row r="1504" spans="1:1">
      <c r="A1504" s="166"/>
    </row>
    <row r="1505" spans="1:1">
      <c r="A1505" s="166"/>
    </row>
    <row r="1506" spans="1:1">
      <c r="A1506" s="166"/>
    </row>
    <row r="1507" spans="1:1">
      <c r="A1507" s="166"/>
    </row>
    <row r="1508" spans="1:1">
      <c r="A1508" s="166"/>
    </row>
    <row r="1509" spans="1:1">
      <c r="A1509" s="166"/>
    </row>
    <row r="1510" spans="1:1">
      <c r="A1510" s="166"/>
    </row>
    <row r="1511" spans="1:1">
      <c r="A1511" s="166"/>
    </row>
    <row r="1512" spans="1:1">
      <c r="A1512" s="166"/>
    </row>
    <row r="1513" spans="1:1">
      <c r="A1513" s="166"/>
    </row>
    <row r="1514" spans="1:1">
      <c r="A1514" s="166"/>
    </row>
    <row r="1515" spans="1:1">
      <c r="A1515" s="166"/>
    </row>
    <row r="1516" spans="1:1">
      <c r="A1516" s="166"/>
    </row>
    <row r="1517" spans="1:1">
      <c r="A1517" s="166"/>
    </row>
    <row r="1518" spans="1:1">
      <c r="A1518" s="166"/>
    </row>
    <row r="1519" spans="1:1">
      <c r="A1519" s="166"/>
    </row>
    <row r="1520" spans="1:1">
      <c r="A1520" s="166"/>
    </row>
    <row r="1521" spans="1:1">
      <c r="A1521" s="166"/>
    </row>
    <row r="1522" spans="1:1">
      <c r="A1522" s="166"/>
    </row>
    <row r="1523" spans="1:1">
      <c r="A1523" s="166"/>
    </row>
    <row r="1524" spans="1:1">
      <c r="A1524" s="166"/>
    </row>
    <row r="1525" spans="1:1">
      <c r="A1525" s="166"/>
    </row>
    <row r="1526" spans="1:1">
      <c r="A1526" s="166"/>
    </row>
    <row r="1527" spans="1:1">
      <c r="A1527" s="166"/>
    </row>
    <row r="1528" spans="1:1">
      <c r="A1528" s="166"/>
    </row>
    <row r="1529" spans="1:1">
      <c r="A1529" s="166"/>
    </row>
    <row r="1530" spans="1:1">
      <c r="A1530" s="166"/>
    </row>
    <row r="1531" spans="1:1">
      <c r="A1531" s="166"/>
    </row>
    <row r="1532" spans="1:1">
      <c r="A1532" s="166"/>
    </row>
    <row r="1533" spans="1:1">
      <c r="A1533" s="166"/>
    </row>
    <row r="1534" spans="1:1">
      <c r="A1534" s="166"/>
    </row>
    <row r="1535" spans="1:1">
      <c r="A1535" s="166"/>
    </row>
    <row r="1536" spans="1:1">
      <c r="A1536" s="166"/>
    </row>
    <row r="1537" spans="1:1">
      <c r="A1537" s="166"/>
    </row>
    <row r="1538" spans="1:1">
      <c r="A1538" s="166"/>
    </row>
    <row r="1539" spans="1:1">
      <c r="A1539" s="166"/>
    </row>
    <row r="1540" spans="1:1">
      <c r="A1540" s="166"/>
    </row>
    <row r="1541" spans="1:1">
      <c r="A1541" s="166"/>
    </row>
    <row r="1542" spans="1:1">
      <c r="A1542" s="166"/>
    </row>
    <row r="1543" spans="1:1">
      <c r="A1543" s="166"/>
    </row>
    <row r="1544" spans="1:1">
      <c r="A1544" s="166"/>
    </row>
    <row r="1545" spans="1:1">
      <c r="A1545" s="166"/>
    </row>
    <row r="1546" spans="1:1">
      <c r="A1546" s="166"/>
    </row>
    <row r="1547" spans="1:1">
      <c r="A1547" s="166"/>
    </row>
    <row r="1548" spans="1:1">
      <c r="A1548" s="166"/>
    </row>
    <row r="1549" spans="1:1">
      <c r="A1549" s="166"/>
    </row>
    <row r="1550" spans="1:1">
      <c r="A1550" s="166"/>
    </row>
    <row r="1551" spans="1:1">
      <c r="A1551" s="166"/>
    </row>
    <row r="1552" spans="1:1">
      <c r="A1552" s="166"/>
    </row>
    <row r="1553" spans="1:1">
      <c r="A1553" s="166"/>
    </row>
    <row r="1554" spans="1:1">
      <c r="A1554" s="166"/>
    </row>
    <row r="1555" spans="1:1">
      <c r="A1555" s="166"/>
    </row>
    <row r="1556" spans="1:1">
      <c r="A1556" s="166"/>
    </row>
    <row r="1557" spans="1:1">
      <c r="A1557" s="166"/>
    </row>
    <row r="1558" spans="1:1">
      <c r="A1558" s="166"/>
    </row>
    <row r="1559" spans="1:1">
      <c r="A1559" s="166"/>
    </row>
    <row r="1560" spans="1:1">
      <c r="A1560" s="166"/>
    </row>
    <row r="1561" spans="1:1">
      <c r="A1561" s="166"/>
    </row>
    <row r="1562" spans="1:1">
      <c r="A1562" s="166"/>
    </row>
    <row r="1563" spans="1:1">
      <c r="A1563" s="166"/>
    </row>
    <row r="1564" spans="1:1">
      <c r="A1564" s="166"/>
    </row>
    <row r="1565" spans="1:1">
      <c r="A1565" s="166"/>
    </row>
    <row r="1566" spans="1:1">
      <c r="A1566" s="166"/>
    </row>
    <row r="1567" spans="1:1">
      <c r="A1567" s="166"/>
    </row>
    <row r="1568" spans="1:1">
      <c r="A1568" s="166"/>
    </row>
    <row r="1569" spans="1:1">
      <c r="A1569" s="166"/>
    </row>
    <row r="1570" spans="1:1">
      <c r="A1570" s="166"/>
    </row>
    <row r="1571" spans="1:1">
      <c r="A1571" s="166"/>
    </row>
    <row r="1572" spans="1:1">
      <c r="A1572" s="166"/>
    </row>
    <row r="1573" spans="1:1">
      <c r="A1573" s="166"/>
    </row>
    <row r="1574" spans="1:1">
      <c r="A1574" s="166"/>
    </row>
    <row r="1575" spans="1:1">
      <c r="A1575" s="166"/>
    </row>
    <row r="1576" spans="1:1">
      <c r="A1576" s="166"/>
    </row>
    <row r="1577" spans="1:1">
      <c r="A1577" s="166"/>
    </row>
    <row r="1578" spans="1:1">
      <c r="A1578" s="166"/>
    </row>
    <row r="1579" spans="1:1">
      <c r="A1579" s="166"/>
    </row>
    <row r="1580" spans="1:1">
      <c r="A1580" s="166"/>
    </row>
    <row r="1581" spans="1:1">
      <c r="A1581" s="166"/>
    </row>
    <row r="1582" spans="1:1">
      <c r="A1582" s="166"/>
    </row>
    <row r="1583" spans="1:1">
      <c r="A1583" s="166"/>
    </row>
    <row r="1584" spans="1:1">
      <c r="A1584" s="166"/>
    </row>
    <row r="1585" spans="1:1">
      <c r="A1585" s="166"/>
    </row>
    <row r="1586" spans="1:1">
      <c r="A1586" s="166"/>
    </row>
    <row r="1587" spans="1:1">
      <c r="A1587" s="166"/>
    </row>
    <row r="1588" spans="1:1">
      <c r="A1588" s="166"/>
    </row>
    <row r="1589" spans="1:1">
      <c r="A1589" s="166"/>
    </row>
    <row r="1590" spans="1:1">
      <c r="A1590" s="166"/>
    </row>
    <row r="1591" spans="1:1">
      <c r="A1591" s="166"/>
    </row>
    <row r="1592" spans="1:1">
      <c r="A1592" s="166"/>
    </row>
    <row r="1593" spans="1:1">
      <c r="A1593" s="166"/>
    </row>
    <row r="1594" spans="1:1">
      <c r="A1594" s="166"/>
    </row>
    <row r="1595" spans="1:1">
      <c r="A1595" s="166"/>
    </row>
    <row r="1596" spans="1:1">
      <c r="A1596" s="166"/>
    </row>
    <row r="1597" spans="1:1">
      <c r="A1597" s="166"/>
    </row>
    <row r="1598" spans="1:1">
      <c r="A1598" s="166"/>
    </row>
    <row r="1599" spans="1:1">
      <c r="A1599" s="166"/>
    </row>
    <row r="1600" spans="1:1">
      <c r="A1600" s="166"/>
    </row>
    <row r="1601" spans="1:1">
      <c r="A1601" s="166"/>
    </row>
    <row r="1602" spans="1:1">
      <c r="A1602" s="166"/>
    </row>
    <row r="1603" spans="1:1">
      <c r="A1603" s="166"/>
    </row>
    <row r="1604" spans="1:1">
      <c r="A1604" s="166"/>
    </row>
    <row r="1605" spans="1:1">
      <c r="A1605" s="166"/>
    </row>
    <row r="1606" spans="1:1">
      <c r="A1606" s="166"/>
    </row>
    <row r="1607" spans="1:1">
      <c r="A1607" s="166"/>
    </row>
    <row r="1608" spans="1:1">
      <c r="A1608" s="166"/>
    </row>
    <row r="1609" spans="1:1">
      <c r="A1609" s="166"/>
    </row>
    <row r="1610" spans="1:1">
      <c r="A1610" s="166"/>
    </row>
    <row r="1611" spans="1:1">
      <c r="A1611" s="166"/>
    </row>
    <row r="1612" spans="1:1">
      <c r="A1612" s="166"/>
    </row>
    <row r="1613" spans="1:1">
      <c r="A1613" s="166"/>
    </row>
    <row r="1614" spans="1:1">
      <c r="A1614" s="166"/>
    </row>
    <row r="1615" spans="1:1">
      <c r="A1615" s="166"/>
    </row>
    <row r="1616" spans="1:1">
      <c r="A1616" s="166"/>
    </row>
    <row r="1617" spans="1:1">
      <c r="A1617" s="166"/>
    </row>
    <row r="1618" spans="1:1">
      <c r="A1618" s="166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N78"/>
  <sheetViews>
    <sheetView tabSelected="1" view="pageBreakPreview" topLeftCell="C19" workbookViewId="0">
      <selection activeCell="G24" sqref="G24"/>
    </sheetView>
  </sheetViews>
  <sheetFormatPr defaultRowHeight="16.5"/>
  <cols>
    <col min="1" max="1" width="12.25" bestFit="1" customWidth="1"/>
    <col min="2" max="2" width="14.75" customWidth="1"/>
    <col min="3" max="3" width="18.625" bestFit="1" customWidth="1"/>
    <col min="4" max="4" width="15.25" bestFit="1" customWidth="1"/>
    <col min="5" max="5" width="15.125" customWidth="1"/>
    <col min="6" max="6" width="13.125" customWidth="1"/>
    <col min="7" max="7" width="21.625" customWidth="1"/>
    <col min="8" max="8" width="14.125" customWidth="1"/>
    <col min="9" max="9" width="12.25" customWidth="1"/>
    <col min="10" max="10" width="18.875" customWidth="1"/>
    <col min="11" max="11" width="22.25" customWidth="1"/>
    <col min="12" max="12" width="22.75" customWidth="1"/>
    <col min="13" max="13" width="23.375" customWidth="1"/>
    <col min="14" max="14" width="14" customWidth="1"/>
  </cols>
  <sheetData>
    <row r="1" spans="1:14">
      <c r="A1" s="53" t="s">
        <v>248</v>
      </c>
      <c r="B1" s="82" t="s">
        <v>350</v>
      </c>
      <c r="C1" s="53" t="s">
        <v>258</v>
      </c>
      <c r="D1" s="82" t="s">
        <v>342</v>
      </c>
      <c r="E1" s="28" t="s">
        <v>259</v>
      </c>
      <c r="F1" s="514" t="s">
        <v>348</v>
      </c>
      <c r="G1" s="18" t="s">
        <v>157</v>
      </c>
      <c r="H1" s="9" t="s">
        <v>52</v>
      </c>
      <c r="I1" s="262" t="s">
        <v>53</v>
      </c>
      <c r="J1" s="17" t="s">
        <v>255</v>
      </c>
      <c r="K1" s="18" t="s">
        <v>256</v>
      </c>
      <c r="L1" s="19" t="s">
        <v>257</v>
      </c>
    </row>
    <row r="2" spans="1:14" ht="17.25" thickBot="1">
      <c r="A2" s="56" t="s">
        <v>72</v>
      </c>
      <c r="B2" s="27">
        <f>C2/100000000</f>
        <v>9.3010800000000007</v>
      </c>
      <c r="C2" s="33">
        <f>'ETF Update'!D21*1000</f>
        <v>930108000</v>
      </c>
      <c r="D2" s="33">
        <f>'ETF Update'!E21</f>
        <v>23584</v>
      </c>
      <c r="E2" s="26">
        <f>'ETF Update'!C21</f>
        <v>39.44</v>
      </c>
      <c r="F2" s="515"/>
      <c r="G2" s="49" t="e">
        <f>J2/(D2*1000)</f>
        <v>#REF!</v>
      </c>
      <c r="H2" s="49" t="e">
        <f>K2/(D2*1000)</f>
        <v>#REF!</v>
      </c>
      <c r="I2" s="263" t="e">
        <f>L2/(D2*1000)</f>
        <v>#REF!</v>
      </c>
      <c r="J2" s="266" t="e">
        <f>C2+(SUM(K10:K15)-SUM(G10:G15))-N10</f>
        <v>#REF!</v>
      </c>
      <c r="K2" s="71" t="e">
        <f>C2+(SUM(L10:L15)-SUM(G10:G15))-N10</f>
        <v>#REF!</v>
      </c>
      <c r="L2" s="89" t="e">
        <f>C2+(SUM(M10:M15)-SUM(G10:G15))-N10</f>
        <v>#REF!</v>
      </c>
    </row>
    <row r="3" spans="1:14">
      <c r="A3" s="53" t="s">
        <v>248</v>
      </c>
      <c r="B3" s="82" t="s">
        <v>350</v>
      </c>
      <c r="C3" s="53" t="s">
        <v>258</v>
      </c>
      <c r="D3" s="82" t="s">
        <v>343</v>
      </c>
      <c r="E3" s="28" t="s">
        <v>259</v>
      </c>
      <c r="F3" s="514" t="s">
        <v>348</v>
      </c>
      <c r="G3" s="36" t="s">
        <v>157</v>
      </c>
      <c r="H3" s="47" t="s">
        <v>52</v>
      </c>
      <c r="I3" s="264" t="s">
        <v>53</v>
      </c>
      <c r="J3" s="267" t="s">
        <v>255</v>
      </c>
      <c r="K3" s="82" t="s">
        <v>256</v>
      </c>
      <c r="L3" s="268" t="s">
        <v>257</v>
      </c>
    </row>
    <row r="4" spans="1:14" ht="17.25" thickBot="1">
      <c r="A4" s="56" t="s">
        <v>73</v>
      </c>
      <c r="B4" s="27">
        <f>C4/100000000</f>
        <v>539.86482000000001</v>
      </c>
      <c r="C4" s="33">
        <f>'ETF Update'!D22*1000</f>
        <v>53986482000</v>
      </c>
      <c r="D4" s="33">
        <f>'ETF Update'!E22</f>
        <v>4632649</v>
      </c>
      <c r="E4" s="26">
        <f>'ETF Update'!C22</f>
        <v>11.65</v>
      </c>
      <c r="F4" s="515"/>
      <c r="G4" s="49" t="e">
        <f>J4/D4/1000</f>
        <v>#REF!</v>
      </c>
      <c r="H4" s="49" t="e">
        <f>L4/D4/1000</f>
        <v>#REF!</v>
      </c>
      <c r="I4" s="263" t="e">
        <f>K4/D4/1000</f>
        <v>#REF!</v>
      </c>
      <c r="J4" s="266" t="e">
        <f>C4+(SUM(K19:K21)-SUM(G19:G21))-N19</f>
        <v>#REF!</v>
      </c>
      <c r="K4" s="71" t="e">
        <f>C4+(SUM(L19:L21)-SUM(G19:G21))-N19</f>
        <v>#REF!</v>
      </c>
      <c r="L4" s="89" t="e">
        <f>C4+(SUM(M19:M21)-SUM(G19:G21))-N19</f>
        <v>#REF!</v>
      </c>
    </row>
    <row r="5" spans="1:14">
      <c r="A5" s="53" t="s">
        <v>248</v>
      </c>
      <c r="B5" s="82" t="s">
        <v>350</v>
      </c>
      <c r="C5" s="53" t="s">
        <v>258</v>
      </c>
      <c r="D5" s="82" t="s">
        <v>343</v>
      </c>
      <c r="E5" s="28" t="s">
        <v>259</v>
      </c>
      <c r="F5" s="514" t="s">
        <v>348</v>
      </c>
      <c r="G5" s="36" t="s">
        <v>157</v>
      </c>
      <c r="H5" s="47" t="s">
        <v>52</v>
      </c>
      <c r="I5" s="264" t="s">
        <v>53</v>
      </c>
      <c r="J5" s="267" t="s">
        <v>255</v>
      </c>
      <c r="K5" s="82" t="s">
        <v>256</v>
      </c>
      <c r="L5" s="268" t="s">
        <v>257</v>
      </c>
    </row>
    <row r="6" spans="1:14" ht="17.25" thickBot="1">
      <c r="A6" s="55" t="s">
        <v>70</v>
      </c>
      <c r="B6" s="48">
        <f>C6/100000000</f>
        <v>1390.65525</v>
      </c>
      <c r="C6" s="104">
        <f>'ETF Update'!D6*1000</f>
        <v>139065525000</v>
      </c>
      <c r="D6" s="104">
        <f>'ETF Update'!E6</f>
        <v>1697000</v>
      </c>
      <c r="E6" s="44">
        <f>'ETF Update'!C6</f>
        <v>81.95</v>
      </c>
      <c r="F6" s="515"/>
      <c r="G6" s="50" t="e">
        <f>J6/D6/1000</f>
        <v>#REF!</v>
      </c>
      <c r="H6" s="50" t="e">
        <f>K6/D6/1000</f>
        <v>#REF!</v>
      </c>
      <c r="I6" s="265" t="e">
        <f>L6/D6/1000</f>
        <v>#REF!</v>
      </c>
      <c r="J6" s="269" t="e">
        <f>C6+(SUM(K27:K206)-SUM(G27:G206))-N27</f>
        <v>#REF!</v>
      </c>
      <c r="K6" s="105" t="e">
        <f>C6+(SUM(L27:L206)-SUM(G27:G206))-N27</f>
        <v>#REF!</v>
      </c>
      <c r="L6" s="106" t="e">
        <f>C6+(SUM(M27:M206)-SUM(G27:G206))-N27</f>
        <v>#REF!</v>
      </c>
    </row>
    <row r="7" spans="1:14" s="35" customFormat="1" ht="17.25" thickBot="1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4" ht="17.25" thickBot="1">
      <c r="A8" s="58" t="s">
        <v>72</v>
      </c>
      <c r="B8" s="24" t="e">
        <f>SUM(A10:A15)</f>
        <v>#REF!</v>
      </c>
    </row>
    <row r="9" spans="1:14">
      <c r="A9" s="17" t="s">
        <v>18</v>
      </c>
      <c r="B9" s="18" t="s">
        <v>24</v>
      </c>
      <c r="C9" s="18" t="s">
        <v>19</v>
      </c>
      <c r="D9" s="18" t="s">
        <v>20</v>
      </c>
      <c r="E9" s="18" t="s">
        <v>47</v>
      </c>
      <c r="F9" s="18" t="s">
        <v>244</v>
      </c>
      <c r="G9" s="18" t="s">
        <v>261</v>
      </c>
      <c r="H9" s="18" t="s">
        <v>157</v>
      </c>
      <c r="I9" s="18" t="s">
        <v>52</v>
      </c>
      <c r="J9" s="18" t="s">
        <v>53</v>
      </c>
      <c r="K9" s="18" t="s">
        <v>252</v>
      </c>
      <c r="L9" s="18" t="s">
        <v>253</v>
      </c>
      <c r="M9" s="19" t="s">
        <v>254</v>
      </c>
      <c r="N9" s="110" t="s">
        <v>22</v>
      </c>
    </row>
    <row r="10" spans="1:14" ht="17.25" thickBot="1">
      <c r="A10" s="41" t="e">
        <f>G10/C2</f>
        <v>#REF!</v>
      </c>
      <c r="B10" s="26" t="s">
        <v>2390</v>
      </c>
      <c r="C10" s="26" t="s">
        <v>143</v>
      </c>
      <c r="D10" s="26">
        <v>10000</v>
      </c>
      <c r="E10" s="26" t="e">
        <f xml:space="preserve"> [1]!'FINYF*1.TF-PreClose'</f>
        <v>#REF!</v>
      </c>
      <c r="F10" s="26">
        <v>955</v>
      </c>
      <c r="G10" s="71" t="e">
        <f t="shared" ref="G10:G15" si="0">F10*E10*D10</f>
        <v>#REF!</v>
      </c>
      <c r="H10" s="26" t="e">
        <f xml:space="preserve"> [1]!'FINYF*1.TF-Price'</f>
        <v>#REF!</v>
      </c>
      <c r="I10" s="57" t="e">
        <f xml:space="preserve"> [1]!'FINYF*1.TF-BestBid1'</f>
        <v>#REF!</v>
      </c>
      <c r="J10" s="57" t="e">
        <f xml:space="preserve"> [1]!'FINYF*1.TF-BestAsk1'</f>
        <v>#REF!</v>
      </c>
      <c r="K10" s="71" t="e">
        <f>IF(ISNUMBER(H10)=TRUE,H10*$F$10*$D$10,E10*$F$10*$D$10)</f>
        <v>#REF!</v>
      </c>
      <c r="L10" s="71">
        <f>IF(ISNUMBER(I10)=TRUE,I10*$F$10*$D$10,F10*$F$10*$D$10)</f>
        <v>9120250000</v>
      </c>
      <c r="M10" s="89" t="e">
        <f>IF(ISNUMBER(J10)=TRUE,J10*$F$10*$D$10,G10*$F$10*$D$10)</f>
        <v>#REF!</v>
      </c>
      <c r="N10" s="111" t="e">
        <f>1.04%/365*(C2+SUM(K10:K15)-SUM(G10:G15))</f>
        <v>#REF!</v>
      </c>
    </row>
    <row r="11" spans="1:14">
      <c r="A11" s="41" t="e">
        <f>G11/C2</f>
        <v>#REF!</v>
      </c>
      <c r="B11" s="26" t="s">
        <v>2391</v>
      </c>
      <c r="C11" s="26" t="s">
        <v>793</v>
      </c>
      <c r="D11" s="26">
        <v>10000</v>
      </c>
      <c r="E11" s="26" t="e">
        <f xml:space="preserve"> [1]!'FINYF*2.TF-PreClose'</f>
        <v>#REF!</v>
      </c>
      <c r="F11" s="26">
        <v>0</v>
      </c>
      <c r="G11" s="71" t="e">
        <f t="shared" si="0"/>
        <v>#REF!</v>
      </c>
      <c r="H11" s="26" t="e">
        <f xml:space="preserve"> [1]!'FINYF*2.TF-Price'</f>
        <v>#REF!</v>
      </c>
      <c r="I11" s="57" t="e">
        <f xml:space="preserve"> [1]!'FINYF*2.TF-BestBid1'</f>
        <v>#REF!</v>
      </c>
      <c r="J11" s="57" t="e">
        <f xml:space="preserve"> [1]!'FINYF*2.TF-BestAsk1'</f>
        <v>#REF!</v>
      </c>
      <c r="K11" s="71" t="e">
        <f>IF(ISNUMBER(H11)=TRUE,H11*$F$11*$D$11,E11*$F$11*$D$11)</f>
        <v>#REF!</v>
      </c>
      <c r="L11" s="71">
        <f>IF(ISNUMBER(I11)=TRUE,I11*$F$11*$D$11,F11*$F$11*$D$11)</f>
        <v>0</v>
      </c>
      <c r="M11" s="89" t="e">
        <f>IF(ISNUMBER(J11)=TRUE,J11*$F$11*$D$11,G11*$F$11*$D$11)</f>
        <v>#REF!</v>
      </c>
    </row>
    <row r="12" spans="1:14">
      <c r="A12" s="41" t="e">
        <f>G12/C2</f>
        <v>#REF!</v>
      </c>
      <c r="B12" s="26" t="s">
        <v>2392</v>
      </c>
      <c r="C12" s="26" t="s">
        <v>48</v>
      </c>
      <c r="D12" s="26">
        <v>200</v>
      </c>
      <c r="E12" s="26" t="e">
        <f xml:space="preserve"> [1]!'FITX*1.TF-PreClose'</f>
        <v>#REF!</v>
      </c>
      <c r="F12" s="26">
        <v>257</v>
      </c>
      <c r="G12" s="71" t="e">
        <f t="shared" si="0"/>
        <v>#REF!</v>
      </c>
      <c r="H12" s="26" t="e">
        <f xml:space="preserve"> [1]!'FITX*1.TF-Price'</f>
        <v>#REF!</v>
      </c>
      <c r="I12" s="26" t="e">
        <f xml:space="preserve"> [1]!'FITX*1.TF-BestBid1'</f>
        <v>#REF!</v>
      </c>
      <c r="J12" s="26" t="e">
        <f xml:space="preserve"> [1]!'FITX*1.TF-BestAsk1'</f>
        <v>#REF!</v>
      </c>
      <c r="K12" s="71" t="e">
        <f>IF(ISNUMBER(H12)=TRUE,H12*$F$12*$D$12,E12*$F$12*$D$12)</f>
        <v>#REF!</v>
      </c>
      <c r="L12" s="71">
        <f>IF(ISNUMBER(I12)=TRUE,I12*$F$12*$D$12,F12*$F$12*$D$12)</f>
        <v>13209800</v>
      </c>
      <c r="M12" s="89" t="e">
        <f>IF(ISNUMBER(J12)=TRUE,J12*$F$12*$D$12,G12*$F$12*$D$12)</f>
        <v>#REF!</v>
      </c>
    </row>
    <row r="13" spans="1:14">
      <c r="A13" s="41" t="e">
        <f>G13/C2</f>
        <v>#REF!</v>
      </c>
      <c r="B13" s="26" t="s">
        <v>2393</v>
      </c>
      <c r="C13" s="26" t="s">
        <v>792</v>
      </c>
      <c r="D13" s="26">
        <v>200</v>
      </c>
      <c r="E13" s="26" t="e">
        <f xml:space="preserve"> [1]!'FITX*2.TF-PreClose'</f>
        <v>#REF!</v>
      </c>
      <c r="F13" s="26">
        <v>0</v>
      </c>
      <c r="G13" s="71" t="e">
        <f t="shared" si="0"/>
        <v>#REF!</v>
      </c>
      <c r="H13" s="26" t="e">
        <f xml:space="preserve"> [1]!'FITX*2.TF-Price'</f>
        <v>#REF!</v>
      </c>
      <c r="I13" s="26" t="e">
        <f xml:space="preserve"> [1]!'FITX*2.TF-BestBid1'</f>
        <v>#REF!</v>
      </c>
      <c r="J13" s="26" t="e">
        <f xml:space="preserve"> [1]!'FITX*2.TF-BestAsk1'</f>
        <v>#REF!</v>
      </c>
      <c r="K13" s="71" t="e">
        <f>IF(ISNUMBER(H13)=TRUE,H13*$F$13*$D$13,E13*$F$13*$D$13)</f>
        <v>#REF!</v>
      </c>
      <c r="L13" s="71">
        <f>IF(ISNUMBER(I13)=TRUE,I13*$F$13*$D$13,F13*$F$13*$D$13)</f>
        <v>0</v>
      </c>
      <c r="M13" s="89" t="e">
        <f>IF(ISNUMBER(J13)=TRUE,J13*$F$13*$D$13,G13*$F$13*$D$13)</f>
        <v>#REF!</v>
      </c>
    </row>
    <row r="14" spans="1:14" s="252" customFormat="1">
      <c r="A14" s="41" t="e">
        <f>G14/C2</f>
        <v>#REF!</v>
      </c>
      <c r="B14" s="26" t="s">
        <v>141</v>
      </c>
      <c r="C14" s="40">
        <v>2314</v>
      </c>
      <c r="D14" s="26">
        <v>1</v>
      </c>
      <c r="E14" s="26" t="e">
        <f xml:space="preserve"> [1]!'2317.TW-PreClose'</f>
        <v>#REF!</v>
      </c>
      <c r="F14" s="26">
        <v>20</v>
      </c>
      <c r="G14" s="71" t="e">
        <f t="shared" si="0"/>
        <v>#REF!</v>
      </c>
      <c r="H14" s="26" t="e">
        <f xml:space="preserve"> [1]!'2317.Tw-Price'</f>
        <v>#REF!</v>
      </c>
      <c r="I14" s="57" t="e">
        <f xml:space="preserve"> [1]!'2317.Tw-bestbid1'</f>
        <v>#REF!</v>
      </c>
      <c r="J14" s="57" t="e">
        <f xml:space="preserve"> [1]!'2317.Tw-bestask1'</f>
        <v>#REF!</v>
      </c>
      <c r="K14" s="71" t="e">
        <f t="shared" ref="K14:M15" si="1">IF(ISNUMBER(H14)=TRUE,H14*$F14,E14*$F14)</f>
        <v>#REF!</v>
      </c>
      <c r="L14" s="71">
        <f t="shared" si="1"/>
        <v>400</v>
      </c>
      <c r="M14" s="89" t="e">
        <f t="shared" si="1"/>
        <v>#REF!</v>
      </c>
    </row>
    <row r="15" spans="1:14" s="252" customFormat="1" ht="17.25" thickBot="1">
      <c r="A15" s="42" t="e">
        <f>G15/C2</f>
        <v>#REF!</v>
      </c>
      <c r="B15" s="44" t="s">
        <v>142</v>
      </c>
      <c r="C15" s="43">
        <v>2354</v>
      </c>
      <c r="D15" s="44">
        <v>1</v>
      </c>
      <c r="E15" s="44" t="e">
        <f xml:space="preserve"> [1]!'2354.TW-PreClose'</f>
        <v>#REF!</v>
      </c>
      <c r="F15" s="44">
        <v>6</v>
      </c>
      <c r="G15" s="105" t="e">
        <f t="shared" si="0"/>
        <v>#REF!</v>
      </c>
      <c r="H15" s="44" t="e">
        <f xml:space="preserve"> [1]!'2354.Tw-Price'</f>
        <v>#REF!</v>
      </c>
      <c r="I15" s="59" t="e">
        <f xml:space="preserve"> [1]!'2354.Tw-bestbid1'</f>
        <v>#REF!</v>
      </c>
      <c r="J15" s="59" t="e">
        <f xml:space="preserve"> [1]!'2354.Tw-bestask1'</f>
        <v>#REF!</v>
      </c>
      <c r="K15" s="105" t="e">
        <f t="shared" si="1"/>
        <v>#REF!</v>
      </c>
      <c r="L15" s="105">
        <f t="shared" si="1"/>
        <v>36</v>
      </c>
      <c r="M15" s="106" t="e">
        <f t="shared" si="1"/>
        <v>#REF!</v>
      </c>
    </row>
    <row r="16" spans="1:14" s="35" customFormat="1" ht="17.25" thickBot="1">
      <c r="A16" s="45"/>
      <c r="B16" s="46"/>
      <c r="C16" s="39"/>
      <c r="D16" s="46"/>
      <c r="E16" s="46"/>
      <c r="F16" s="46"/>
      <c r="G16" s="46"/>
      <c r="H16" s="46"/>
      <c r="I16" s="46"/>
      <c r="J16" s="46"/>
      <c r="K16" s="46"/>
      <c r="L16" s="46"/>
      <c r="M16" s="46"/>
    </row>
    <row r="17" spans="1:14" ht="17.25" thickBot="1">
      <c r="A17" s="58" t="s">
        <v>73</v>
      </c>
      <c r="B17" s="24" t="e">
        <f>SUM(A19:A21)</f>
        <v>#REF!</v>
      </c>
    </row>
    <row r="18" spans="1:14">
      <c r="A18" s="17" t="s">
        <v>18</v>
      </c>
      <c r="B18" s="18" t="s">
        <v>24</v>
      </c>
      <c r="C18" s="18" t="s">
        <v>19</v>
      </c>
      <c r="D18" s="18" t="s">
        <v>20</v>
      </c>
      <c r="E18" s="18" t="s">
        <v>47</v>
      </c>
      <c r="F18" s="18" t="s">
        <v>244</v>
      </c>
      <c r="G18" s="18" t="s">
        <v>261</v>
      </c>
      <c r="H18" s="18" t="s">
        <v>157</v>
      </c>
      <c r="I18" s="18" t="s">
        <v>52</v>
      </c>
      <c r="J18" s="18" t="s">
        <v>53</v>
      </c>
      <c r="K18" s="18" t="s">
        <v>252</v>
      </c>
      <c r="L18" s="18" t="s">
        <v>253</v>
      </c>
      <c r="M18" s="19" t="s">
        <v>254</v>
      </c>
      <c r="N18" s="60" t="s">
        <v>22</v>
      </c>
    </row>
    <row r="19" spans="1:14" ht="17.25" thickBot="1">
      <c r="A19" s="25" t="e">
        <f>G19/C4</f>
        <v>#REF!</v>
      </c>
      <c r="B19" s="26" t="s">
        <v>2392</v>
      </c>
      <c r="C19" s="26" t="s">
        <v>48</v>
      </c>
      <c r="D19" s="26">
        <v>200</v>
      </c>
      <c r="E19" s="26" t="e">
        <f xml:space="preserve"> [1]!'FITX*1.TF-PreClose'</f>
        <v>#REF!</v>
      </c>
      <c r="F19" s="112">
        <v>-30406</v>
      </c>
      <c r="G19" s="112" t="e">
        <f>F19*E19*D19</f>
        <v>#REF!</v>
      </c>
      <c r="H19" s="26" t="e">
        <f xml:space="preserve"> [1]!'FITX*1.TF-Price'</f>
        <v>#REF!</v>
      </c>
      <c r="I19" s="26" t="e">
        <f xml:space="preserve"> [1]!'FITX*1.TF-BestBid1'</f>
        <v>#REF!</v>
      </c>
      <c r="J19" s="26" t="e">
        <f xml:space="preserve"> [1]!'FITX*1.TF-BestAsk1'</f>
        <v>#REF!</v>
      </c>
      <c r="K19" s="112" t="e">
        <f>IF(ISNUMBER(H19)=TRUE,H19*$F$19*$D$19,E19*$F$19*$D$19)</f>
        <v>#REF!</v>
      </c>
      <c r="L19" s="112">
        <f>IF(ISNUMBER(I19)=TRUE,I19*$F$19*$D$19,F19*$F$19*$D$19)</f>
        <v>184904967200</v>
      </c>
      <c r="M19" s="112" t="e">
        <f>IF(ISNUMBER(J19)=TRUE,J19*$F$19*$D$19,G19*$F$19*$D$19)</f>
        <v>#REF!</v>
      </c>
      <c r="N19" s="61" t="e">
        <f>1.04%/365*(C4+SUM(K19:K22)-SUM(G19:G22))</f>
        <v>#REF!</v>
      </c>
    </row>
    <row r="20" spans="1:14">
      <c r="A20" s="25" t="e">
        <f>G20/C4</f>
        <v>#REF!</v>
      </c>
      <c r="B20" s="26" t="s">
        <v>2393</v>
      </c>
      <c r="C20" s="26" t="s">
        <v>792</v>
      </c>
      <c r="D20" s="26">
        <v>200</v>
      </c>
      <c r="E20" s="26" t="e">
        <f xml:space="preserve"> [1]!'FITX*2.TF-PreClose'</f>
        <v>#REF!</v>
      </c>
      <c r="F20" s="112">
        <v>0</v>
      </c>
      <c r="G20" s="112" t="e">
        <f>F20*E20*D20</f>
        <v>#REF!</v>
      </c>
      <c r="H20" s="26" t="e">
        <f xml:space="preserve"> [1]!'FITX*1.TF-Price'</f>
        <v>#REF!</v>
      </c>
      <c r="I20" s="26" t="e">
        <f xml:space="preserve"> [1]!'FITX*1.TF-BestBid1'</f>
        <v>#REF!</v>
      </c>
      <c r="J20" s="26" t="e">
        <f xml:space="preserve"> [1]!'FITX*1.TF-BestAsk1'</f>
        <v>#REF!</v>
      </c>
      <c r="K20" s="112" t="e">
        <f>IF(ISNUMBER(H20)=TRUE,H20*$F$20*$D$20,E20*$F$20*$D$20)</f>
        <v>#REF!</v>
      </c>
      <c r="L20" s="112">
        <f>IF(ISNUMBER(I20)=TRUE,I20*$F$20*$D$20,F20*$F$20*$D$20)</f>
        <v>0</v>
      </c>
      <c r="M20" s="112" t="e">
        <f>IF(ISNUMBER(J20)=TRUE,J20*$F$20*$D$20,G20*$F$20*$D$20)</f>
        <v>#REF!</v>
      </c>
    </row>
    <row r="21" spans="1:14" s="252" customFormat="1">
      <c r="A21" s="25" t="e">
        <f>G21/C4</f>
        <v>#REF!</v>
      </c>
      <c r="B21" s="26" t="s">
        <v>2390</v>
      </c>
      <c r="C21" s="26" t="s">
        <v>143</v>
      </c>
      <c r="D21" s="26">
        <v>10000</v>
      </c>
      <c r="E21" s="26" t="e">
        <f xml:space="preserve"> [1]!'FINYF*1.TF-PreClose'</f>
        <v>#REF!</v>
      </c>
      <c r="F21" s="112">
        <v>-4442</v>
      </c>
      <c r="G21" s="112" t="e">
        <f>F21*E21*D21</f>
        <v>#REF!</v>
      </c>
      <c r="H21" s="26" t="e">
        <f xml:space="preserve"> [1]!'FINYF*1.TF-Price'</f>
        <v>#REF!</v>
      </c>
      <c r="I21" s="26" t="e">
        <f xml:space="preserve"> [1]!'FINYF*1.TF-BestBid1'</f>
        <v>#REF!</v>
      </c>
      <c r="J21" s="26" t="e">
        <f xml:space="preserve"> [1]!'FINYF*1.TF-BestAsk1'</f>
        <v>#REF!</v>
      </c>
      <c r="K21" s="112" t="e">
        <f>IF(ISNUMBER(H21)=TRUE,H21*$F$21*$D$21,E21*$F$21*$D$21)</f>
        <v>#REF!</v>
      </c>
      <c r="L21" s="112">
        <f>IF(ISNUMBER(I21)=TRUE,I21*$F$21*$D$21,F21*$F$21*$D$21)</f>
        <v>197313640000</v>
      </c>
      <c r="M21" s="112" t="e">
        <f>IF(ISNUMBER(J21)=TRUE,J21*$F$21*$D$21,G21*$F$21*$D$21)</f>
        <v>#REF!</v>
      </c>
    </row>
    <row r="22" spans="1:14" s="252" customFormat="1">
      <c r="A22" s="25" t="e">
        <f>G22/C4</f>
        <v>#REF!</v>
      </c>
      <c r="B22" s="26" t="s">
        <v>2391</v>
      </c>
      <c r="C22" s="26" t="s">
        <v>793</v>
      </c>
      <c r="D22" s="26">
        <v>10000</v>
      </c>
      <c r="E22" s="26" t="e">
        <f xml:space="preserve"> [1]!'FINYF*2.TF-PreClose'</f>
        <v>#REF!</v>
      </c>
      <c r="F22" s="112">
        <v>0</v>
      </c>
      <c r="G22" s="112" t="e">
        <f>F22*E22*D22</f>
        <v>#REF!</v>
      </c>
      <c r="H22" s="26" t="e">
        <f xml:space="preserve"> [1]!'FINYF*1.TF-Price'</f>
        <v>#REF!</v>
      </c>
      <c r="I22" s="26" t="e">
        <f xml:space="preserve"> [1]!'FINYF*1.TF-BestBid1'</f>
        <v>#REF!</v>
      </c>
      <c r="J22" s="26" t="e">
        <f xml:space="preserve"> [1]!'FINYF*1.TF-BestAsk1'</f>
        <v>#REF!</v>
      </c>
      <c r="K22" s="112" t="e">
        <f>IF(ISNUMBER(H22)=TRUE,H22*$F$22*$D$22,E22*$F$22*$D$22)</f>
        <v>#REF!</v>
      </c>
      <c r="L22" s="112">
        <f>IF(ISNUMBER(I22)=TRUE,I22*$F$22*$D$22,F22*$F$22*$D$22)</f>
        <v>0</v>
      </c>
      <c r="M22" s="112" t="e">
        <f>IF(ISNUMBER(J22)=TRUE,J22*$F$22*$D$22,G22*$F$22*$D$22)</f>
        <v>#REF!</v>
      </c>
    </row>
    <row r="23" spans="1:14" s="252" customFormat="1">
      <c r="A23" s="45"/>
      <c r="B23" s="46"/>
      <c r="C23" s="46"/>
      <c r="D23" s="46"/>
      <c r="E23" s="46"/>
      <c r="F23" s="270"/>
      <c r="G23" s="270"/>
      <c r="H23" s="46"/>
      <c r="I23" s="46"/>
      <c r="J23" s="46"/>
      <c r="K23" s="270"/>
      <c r="L23" s="270"/>
      <c r="M23" s="270"/>
    </row>
    <row r="24" spans="1:14" ht="17.25" thickBot="1">
      <c r="A24" s="24"/>
    </row>
    <row r="25" spans="1:14" ht="17.25" thickBot="1">
      <c r="A25" s="255" t="s">
        <v>70</v>
      </c>
      <c r="B25" s="24"/>
    </row>
    <row r="26" spans="1:14" ht="17.25" thickBot="1">
      <c r="A26" s="259" t="s">
        <v>18</v>
      </c>
      <c r="B26" s="260" t="s">
        <v>24</v>
      </c>
      <c r="C26" s="260" t="s">
        <v>19</v>
      </c>
      <c r="D26" s="260" t="s">
        <v>20</v>
      </c>
      <c r="E26" s="260" t="s">
        <v>47</v>
      </c>
      <c r="F26" s="260" t="s">
        <v>244</v>
      </c>
      <c r="G26" s="260" t="s">
        <v>261</v>
      </c>
      <c r="H26" s="260" t="s">
        <v>157</v>
      </c>
      <c r="I26" s="260" t="s">
        <v>52</v>
      </c>
      <c r="J26" s="260" t="s">
        <v>53</v>
      </c>
      <c r="K26" s="260" t="s">
        <v>252</v>
      </c>
      <c r="L26" s="260" t="s">
        <v>253</v>
      </c>
      <c r="M26" s="261" t="s">
        <v>254</v>
      </c>
      <c r="N26" s="60" t="s">
        <v>22</v>
      </c>
    </row>
    <row r="27" spans="1:14" ht="17.25" thickBot="1">
      <c r="A27" s="407" t="e">
        <f t="shared" ref="A27:A28" si="2">G29/$C$6</f>
        <v>#REF!</v>
      </c>
      <c r="B27" s="253" t="s">
        <v>2392</v>
      </c>
      <c r="C27" s="253" t="s">
        <v>48</v>
      </c>
      <c r="D27" s="253">
        <v>200</v>
      </c>
      <c r="E27" s="254" t="e">
        <f xml:space="preserve"> [1]!'FITX*1.TF-PreClose'</f>
        <v>#REF!</v>
      </c>
      <c r="F27" s="249">
        <v>238</v>
      </c>
      <c r="G27" s="443" t="e">
        <f>F27*E27*D27</f>
        <v>#REF!</v>
      </c>
      <c r="H27" s="253" t="e">
        <f xml:space="preserve"> [1]!'FITX*1.TF-Price'</f>
        <v>#REF!</v>
      </c>
      <c r="I27" s="253" t="e">
        <f xml:space="preserve"> [1]!'FITX*1.TF-BestBid1'</f>
        <v>#REF!</v>
      </c>
      <c r="J27" s="253" t="e">
        <f xml:space="preserve"> [1]!'FITX*1.TF-BestAsk1'</f>
        <v>#REF!</v>
      </c>
      <c r="K27" s="443" t="e">
        <f>IF(ISNUMBER(H27)=TRUE,H27*F27*D27,E27*F27*D27)</f>
        <v>#REF!</v>
      </c>
      <c r="L27" s="443" t="e">
        <f>IF(ISNUMBER(I27)=TRUE,I27*F27*D27,E27*F27*D27)</f>
        <v>#REF!</v>
      </c>
      <c r="M27" s="446" t="e">
        <f>IF(ISNUMBER(J27)=TRUE,J27*F27*D27,D27*E27*F27)</f>
        <v>#REF!</v>
      </c>
      <c r="N27" s="61" t="e">
        <f>1.04%/365*(C6+SUM(K29:K206)-SUM(G29:G206))</f>
        <v>#REF!</v>
      </c>
    </row>
    <row r="28" spans="1:14" ht="17.25" thickBot="1">
      <c r="A28" s="408" t="e">
        <f t="shared" si="2"/>
        <v>#REF!</v>
      </c>
      <c r="B28" s="44" t="s">
        <v>2394</v>
      </c>
      <c r="C28" s="44" t="s">
        <v>792</v>
      </c>
      <c r="D28" s="44">
        <v>201</v>
      </c>
      <c r="E28" s="258" t="e">
        <f xml:space="preserve"> [1]!'FITX*2.TF-PreClose'</f>
        <v>#REF!</v>
      </c>
      <c r="F28" s="105">
        <v>0</v>
      </c>
      <c r="G28" s="444" t="e">
        <f>F28*E28*D28</f>
        <v>#REF!</v>
      </c>
      <c r="H28" s="44" t="e">
        <f xml:space="preserve"> [1]!'FITX*2.TF-Price'</f>
        <v>#REF!</v>
      </c>
      <c r="I28" s="44" t="e">
        <f xml:space="preserve"> [1]!'FITX*2.TF-BestBid1'</f>
        <v>#REF!</v>
      </c>
      <c r="J28" s="44" t="e">
        <f xml:space="preserve"> [1]!'FITX*2.TF-BestAsk1'</f>
        <v>#REF!</v>
      </c>
      <c r="K28" s="444" t="e">
        <f>IF(ISNUMBER(H28)=TRUE,H28*F28*D28,E28*F28*D28)</f>
        <v>#REF!</v>
      </c>
      <c r="L28" s="444" t="e">
        <f>IF(ISNUMBER(I28)=TRUE,I28*F28*D28,E28*F28*D28)</f>
        <v>#REF!</v>
      </c>
      <c r="M28" s="447" t="e">
        <f>IF(ISNUMBER(J28)=TRUE,J28*F28*D28,D28*E28*F28)</f>
        <v>#REF!</v>
      </c>
    </row>
    <row r="29" spans="1:14">
      <c r="A29" s="409" t="e">
        <f>G29/$C$6</f>
        <v>#REF!</v>
      </c>
      <c r="B29" s="246" t="s">
        <v>158</v>
      </c>
      <c r="C29" s="246" t="s">
        <v>2601</v>
      </c>
      <c r="D29" s="246">
        <v>1</v>
      </c>
      <c r="E29" s="256" t="e">
        <f xml:space="preserve"> [1]!'1101.TW-PreClose'</f>
        <v>#REF!</v>
      </c>
      <c r="F29" s="257">
        <v>8500333</v>
      </c>
      <c r="G29" s="445" t="e">
        <f>F29*E29*D29</f>
        <v>#REF!</v>
      </c>
      <c r="H29" s="246" t="e">
        <f xml:space="preserve"> [1]!'1101.Tw-Price'</f>
        <v>#REF!</v>
      </c>
      <c r="I29" s="246" t="e">
        <f xml:space="preserve"> [1]!'1101.Tw-bestbid1'</f>
        <v>#REF!</v>
      </c>
      <c r="J29" s="246" t="e">
        <f xml:space="preserve"> [1]!'1101.Tw-bestask1'</f>
        <v>#REF!</v>
      </c>
      <c r="K29" s="445" t="e">
        <f>IF(ISNUMBER(H29)=TRUE,H29*F29*D29,E29*F29*D29)</f>
        <v>#REF!</v>
      </c>
      <c r="L29" s="445" t="e">
        <f>IF(ISNUMBER(I29)=TRUE,I29*F29*D29,E29*F29*D29)</f>
        <v>#REF!</v>
      </c>
      <c r="M29" s="445" t="e">
        <f>IF(ISNUMBER(J29)=TRUE,J29*F29*D29,D29*E29*F29)</f>
        <v>#REF!</v>
      </c>
    </row>
    <row r="30" spans="1:14">
      <c r="A30" s="409" t="e">
        <f t="shared" ref="A30:A78" si="3">G30/$C$6</f>
        <v>#REF!</v>
      </c>
      <c r="B30" s="26" t="s">
        <v>159</v>
      </c>
      <c r="C30" s="26" t="s">
        <v>2602</v>
      </c>
      <c r="D30" s="26">
        <v>1</v>
      </c>
      <c r="E30" s="302" t="e">
        <f xml:space="preserve"> [1]!'1102.TW-PreClose'</f>
        <v>#REF!</v>
      </c>
      <c r="F30" s="71">
        <v>6160522</v>
      </c>
      <c r="G30" s="288" t="e">
        <f t="shared" ref="G30:G78" si="4">F30*E30*D30</f>
        <v>#REF!</v>
      </c>
      <c r="H30" s="26" t="e">
        <f xml:space="preserve"> [1]!'1102.Tw-Price'</f>
        <v>#REF!</v>
      </c>
      <c r="I30" s="26" t="e">
        <f xml:space="preserve"> [1]!'1102.Tw-bestbid1'</f>
        <v>#REF!</v>
      </c>
      <c r="J30" s="26" t="e">
        <f xml:space="preserve"> [1]!'1102.Tw-bestask1'</f>
        <v>#REF!</v>
      </c>
      <c r="K30" s="288" t="e">
        <f t="shared" ref="K30:K78" si="5">IF(ISNUMBER(H30)=TRUE,H30*F30*D30,E30*F30*D30)</f>
        <v>#REF!</v>
      </c>
      <c r="L30" s="288" t="e">
        <f t="shared" ref="L30:L78" si="6">IF(ISNUMBER(I30)=TRUE,I30*F30*D30,E30*F30*D30)</f>
        <v>#REF!</v>
      </c>
      <c r="M30" s="288" t="e">
        <f t="shared" ref="M30:M78" si="7">IF(ISNUMBER(J30)=TRUE,J30*F30*D30,D30*E30*F30)</f>
        <v>#REF!</v>
      </c>
    </row>
    <row r="31" spans="1:14">
      <c r="A31" s="409" t="e">
        <f t="shared" si="3"/>
        <v>#REF!</v>
      </c>
      <c r="B31" s="26" t="s">
        <v>160</v>
      </c>
      <c r="C31" s="26" t="s">
        <v>2603</v>
      </c>
      <c r="D31" s="26">
        <v>1</v>
      </c>
      <c r="E31" s="302" t="e">
        <f xml:space="preserve"> [1]!'1216.TW-PreClose'</f>
        <v>#REF!</v>
      </c>
      <c r="F31" s="71">
        <v>12733407</v>
      </c>
      <c r="G31" s="288" t="e">
        <f t="shared" si="4"/>
        <v>#REF!</v>
      </c>
      <c r="H31" s="26" t="e">
        <f xml:space="preserve"> [1]!'1216.Tw-Price'</f>
        <v>#REF!</v>
      </c>
      <c r="I31" s="26" t="e">
        <f xml:space="preserve"> [1]!'1216.Tw-bestbid1'</f>
        <v>#REF!</v>
      </c>
      <c r="J31" s="26" t="e">
        <f xml:space="preserve"> [1]!'1216.Tw-bestask1'</f>
        <v>#REF!</v>
      </c>
      <c r="K31" s="288" t="e">
        <f t="shared" si="5"/>
        <v>#REF!</v>
      </c>
      <c r="L31" s="288" t="e">
        <f t="shared" si="6"/>
        <v>#REF!</v>
      </c>
      <c r="M31" s="288" t="e">
        <f t="shared" si="7"/>
        <v>#REF!</v>
      </c>
    </row>
    <row r="32" spans="1:14">
      <c r="A32" s="409" t="e">
        <f t="shared" si="3"/>
        <v>#REF!</v>
      </c>
      <c r="B32" s="26" t="s">
        <v>161</v>
      </c>
      <c r="C32" s="26" t="s">
        <v>2604</v>
      </c>
      <c r="D32" s="26">
        <v>1</v>
      </c>
      <c r="E32" s="302" t="e">
        <f xml:space="preserve"> [1]!'1301.TW-PreClose'</f>
        <v>#REF!</v>
      </c>
      <c r="F32" s="71">
        <v>12933912</v>
      </c>
      <c r="G32" s="288" t="e">
        <f t="shared" si="4"/>
        <v>#REF!</v>
      </c>
      <c r="H32" s="26" t="e">
        <f xml:space="preserve"> [1]!'1301.Tw-Price'</f>
        <v>#REF!</v>
      </c>
      <c r="I32" s="26" t="e">
        <f xml:space="preserve"> [1]!'1301.Tw-bestbid1'</f>
        <v>#REF!</v>
      </c>
      <c r="J32" s="26" t="e">
        <f xml:space="preserve"> [1]!'1301.Tw-bestask1'</f>
        <v>#REF!</v>
      </c>
      <c r="K32" s="288" t="e">
        <f t="shared" si="5"/>
        <v>#REF!</v>
      </c>
      <c r="L32" s="288" t="e">
        <f t="shared" si="6"/>
        <v>#REF!</v>
      </c>
      <c r="M32" s="288" t="e">
        <f t="shared" si="7"/>
        <v>#REF!</v>
      </c>
    </row>
    <row r="33" spans="1:13">
      <c r="A33" s="409" t="e">
        <f t="shared" si="3"/>
        <v>#REF!</v>
      </c>
      <c r="B33" s="26" t="s">
        <v>162</v>
      </c>
      <c r="C33" s="26" t="s">
        <v>2605</v>
      </c>
      <c r="D33" s="26">
        <v>1</v>
      </c>
      <c r="E33" s="302" t="e">
        <f xml:space="preserve"> [1]!'1303.TW-PreClose'</f>
        <v>#REF!</v>
      </c>
      <c r="F33" s="71">
        <v>14996965</v>
      </c>
      <c r="G33" s="288" t="e">
        <f t="shared" si="4"/>
        <v>#REF!</v>
      </c>
      <c r="H33" s="26" t="e">
        <f xml:space="preserve"> [1]!'1303.Tw-Price'</f>
        <v>#REF!</v>
      </c>
      <c r="I33" s="26" t="e">
        <f xml:space="preserve"> [1]!'1303.Tw-bestbid1'</f>
        <v>#REF!</v>
      </c>
      <c r="J33" s="26" t="e">
        <f xml:space="preserve"> [1]!'1303.Tw-bestask1'</f>
        <v>#REF!</v>
      </c>
      <c r="K33" s="288" t="e">
        <f t="shared" si="5"/>
        <v>#REF!</v>
      </c>
      <c r="L33" s="288" t="e">
        <f t="shared" si="6"/>
        <v>#REF!</v>
      </c>
      <c r="M33" s="288" t="e">
        <f t="shared" si="7"/>
        <v>#REF!</v>
      </c>
    </row>
    <row r="34" spans="1:13">
      <c r="A34" s="409" t="e">
        <f t="shared" si="3"/>
        <v>#REF!</v>
      </c>
      <c r="B34" s="26" t="s">
        <v>163</v>
      </c>
      <c r="C34" s="26" t="s">
        <v>2606</v>
      </c>
      <c r="D34" s="26">
        <v>1</v>
      </c>
      <c r="E34" s="302" t="e">
        <f xml:space="preserve"> [1]!'1326.TW-PreClose'</f>
        <v>#REF!</v>
      </c>
      <c r="F34" s="71">
        <v>9093388</v>
      </c>
      <c r="G34" s="288" t="e">
        <f t="shared" si="4"/>
        <v>#REF!</v>
      </c>
      <c r="H34" s="26" t="e">
        <f xml:space="preserve"> [1]!'1326.Tw-Price'</f>
        <v>#REF!</v>
      </c>
      <c r="I34" s="26" t="e">
        <f xml:space="preserve"> [1]!'1326.Tw-bestbid1'</f>
        <v>#REF!</v>
      </c>
      <c r="J34" s="26" t="e">
        <f xml:space="preserve"> [1]!'1326.Tw-bestask1'</f>
        <v>#REF!</v>
      </c>
      <c r="K34" s="288" t="e">
        <f t="shared" si="5"/>
        <v>#REF!</v>
      </c>
      <c r="L34" s="288" t="e">
        <f t="shared" si="6"/>
        <v>#REF!</v>
      </c>
      <c r="M34" s="288" t="e">
        <f t="shared" si="7"/>
        <v>#REF!</v>
      </c>
    </row>
    <row r="35" spans="1:13">
      <c r="A35" s="409" t="e">
        <f t="shared" si="3"/>
        <v>#REF!</v>
      </c>
      <c r="B35" s="26" t="s">
        <v>164</v>
      </c>
      <c r="C35" s="26" t="s">
        <v>2607</v>
      </c>
      <c r="D35" s="26">
        <v>1</v>
      </c>
      <c r="E35" s="302" t="e">
        <f xml:space="preserve"> [1]!'1402.TW-PreClose'</f>
        <v>#REF!</v>
      </c>
      <c r="F35" s="71">
        <v>10421294</v>
      </c>
      <c r="G35" s="288" t="e">
        <f t="shared" si="4"/>
        <v>#REF!</v>
      </c>
      <c r="H35" s="26" t="e">
        <f xml:space="preserve"> [1]!'1402.Tw-Price'</f>
        <v>#REF!</v>
      </c>
      <c r="I35" s="26" t="e">
        <f xml:space="preserve"> [1]!'1402.Tw-bestbid1'</f>
        <v>#REF!</v>
      </c>
      <c r="J35" s="26" t="e">
        <f xml:space="preserve"> [1]!'1402.Tw-bestask1'</f>
        <v>#REF!</v>
      </c>
      <c r="K35" s="288" t="e">
        <f t="shared" si="5"/>
        <v>#REF!</v>
      </c>
      <c r="L35" s="288" t="e">
        <f t="shared" si="6"/>
        <v>#REF!</v>
      </c>
      <c r="M35" s="288" t="e">
        <f t="shared" si="7"/>
        <v>#REF!</v>
      </c>
    </row>
    <row r="36" spans="1:13">
      <c r="A36" s="409" t="e">
        <f t="shared" si="3"/>
        <v>#REF!</v>
      </c>
      <c r="B36" s="26" t="s">
        <v>165</v>
      </c>
      <c r="C36" s="26" t="s">
        <v>2608</v>
      </c>
      <c r="D36" s="26">
        <v>1</v>
      </c>
      <c r="E36" s="57" t="e">
        <f xml:space="preserve"> [1]!'2002.TW-PreClose'</f>
        <v>#REF!</v>
      </c>
      <c r="F36" s="71">
        <v>32836792</v>
      </c>
      <c r="G36" s="288" t="e">
        <f t="shared" si="4"/>
        <v>#REF!</v>
      </c>
      <c r="H36" s="26" t="e">
        <f xml:space="preserve"> [1]!'2002.Tw-Price'</f>
        <v>#REF!</v>
      </c>
      <c r="I36" s="26" t="e">
        <f xml:space="preserve"> [1]!'2002.Tw-bestbid1'</f>
        <v>#REF!</v>
      </c>
      <c r="J36" s="26" t="e">
        <f xml:space="preserve"> [1]!'2002.Tw-bestask1'</f>
        <v>#REF!</v>
      </c>
      <c r="K36" s="288" t="e">
        <f t="shared" si="5"/>
        <v>#REF!</v>
      </c>
      <c r="L36" s="288" t="e">
        <f t="shared" si="6"/>
        <v>#REF!</v>
      </c>
      <c r="M36" s="288" t="e">
        <f t="shared" si="7"/>
        <v>#REF!</v>
      </c>
    </row>
    <row r="37" spans="1:13">
      <c r="A37" s="409" t="e">
        <f t="shared" si="3"/>
        <v>#REF!</v>
      </c>
      <c r="B37" s="26" t="s">
        <v>166</v>
      </c>
      <c r="C37" s="26" t="s">
        <v>2609</v>
      </c>
      <c r="D37" s="26">
        <v>1</v>
      </c>
      <c r="E37" s="57" t="e">
        <f xml:space="preserve"> [1]!'2105.TW-PreClose'</f>
        <v>#REF!</v>
      </c>
      <c r="F37" s="71">
        <v>4869801</v>
      </c>
      <c r="G37" s="288" t="e">
        <f t="shared" si="4"/>
        <v>#REF!</v>
      </c>
      <c r="H37" s="26" t="e">
        <f xml:space="preserve"> [1]!'2105.Tw-Price'</f>
        <v>#REF!</v>
      </c>
      <c r="I37" s="26" t="e">
        <f xml:space="preserve"> [1]!'2105.Tw-bestbid1'</f>
        <v>#REF!</v>
      </c>
      <c r="J37" s="26" t="e">
        <f xml:space="preserve"> [1]!'2105.Tw-bestask1'</f>
        <v>#REF!</v>
      </c>
      <c r="K37" s="288" t="e">
        <f t="shared" si="5"/>
        <v>#REF!</v>
      </c>
      <c r="L37" s="288" t="e">
        <f t="shared" si="6"/>
        <v>#REF!</v>
      </c>
      <c r="M37" s="288" t="e">
        <f t="shared" si="7"/>
        <v>#REF!</v>
      </c>
    </row>
    <row r="38" spans="1:13">
      <c r="A38" s="409" t="e">
        <f t="shared" si="3"/>
        <v>#REF!</v>
      </c>
      <c r="B38" s="26" t="s">
        <v>167</v>
      </c>
      <c r="C38" s="26" t="s">
        <v>2610</v>
      </c>
      <c r="D38" s="26">
        <v>1</v>
      </c>
      <c r="E38" s="57" t="e">
        <f xml:space="preserve"> [1]!'2207.TW-PreClose'</f>
        <v>#REF!</v>
      </c>
      <c r="F38" s="71">
        <v>1072180</v>
      </c>
      <c r="G38" s="288" t="e">
        <f t="shared" si="4"/>
        <v>#REF!</v>
      </c>
      <c r="H38" s="26" t="e">
        <f xml:space="preserve"> [1]!'2207.TW-Price'</f>
        <v>#REF!</v>
      </c>
      <c r="I38" s="26" t="e">
        <f xml:space="preserve"> [1]!'2207.TW-BestBid1'</f>
        <v>#REF!</v>
      </c>
      <c r="J38" s="26" t="e">
        <f xml:space="preserve"> [1]!'2207.TW-BestAsk1'</f>
        <v>#REF!</v>
      </c>
      <c r="K38" s="288" t="e">
        <f t="shared" si="5"/>
        <v>#REF!</v>
      </c>
      <c r="L38" s="288" t="e">
        <f t="shared" si="6"/>
        <v>#REF!</v>
      </c>
      <c r="M38" s="288" t="e">
        <f t="shared" si="7"/>
        <v>#REF!</v>
      </c>
    </row>
    <row r="39" spans="1:13">
      <c r="A39" s="409" t="e">
        <f t="shared" si="3"/>
        <v>#REF!</v>
      </c>
      <c r="B39" s="26" t="s">
        <v>168</v>
      </c>
      <c r="C39" s="26" t="s">
        <v>2611</v>
      </c>
      <c r="D39" s="26">
        <v>1</v>
      </c>
      <c r="E39" s="57" t="e">
        <f xml:space="preserve"> [1]!'2301.TW-PreClose'</f>
        <v>#REF!</v>
      </c>
      <c r="F39" s="71">
        <v>5649038</v>
      </c>
      <c r="G39" s="288" t="e">
        <f t="shared" si="4"/>
        <v>#REF!</v>
      </c>
      <c r="H39" s="26" t="e">
        <f xml:space="preserve"> [1]!'2301.Tw-Price'</f>
        <v>#REF!</v>
      </c>
      <c r="I39" s="26" t="e">
        <f xml:space="preserve"> [1]!'2301.Tw-bestbid1'</f>
        <v>#REF!</v>
      </c>
      <c r="J39" s="26" t="e">
        <f xml:space="preserve"> [1]!'2301.Tw-bestask1'</f>
        <v>#REF!</v>
      </c>
      <c r="K39" s="288" t="e">
        <f t="shared" si="5"/>
        <v>#REF!</v>
      </c>
      <c r="L39" s="288" t="e">
        <f t="shared" si="6"/>
        <v>#REF!</v>
      </c>
      <c r="M39" s="288" t="e">
        <f t="shared" si="7"/>
        <v>#REF!</v>
      </c>
    </row>
    <row r="40" spans="1:13">
      <c r="A40" s="409" t="e">
        <f t="shared" si="3"/>
        <v>#REF!</v>
      </c>
      <c r="B40" s="26" t="s">
        <v>169</v>
      </c>
      <c r="C40" s="26" t="s">
        <v>2612</v>
      </c>
      <c r="D40" s="26">
        <v>1</v>
      </c>
      <c r="E40" s="57" t="e">
        <f xml:space="preserve"> [1]!'2303.TW-PreClose'</f>
        <v>#REF!</v>
      </c>
      <c r="F40" s="71">
        <v>31451478</v>
      </c>
      <c r="G40" s="288" t="e">
        <f t="shared" si="4"/>
        <v>#REF!</v>
      </c>
      <c r="H40" s="26" t="e">
        <f xml:space="preserve"> [1]!'2303.Tw-Price'</f>
        <v>#REF!</v>
      </c>
      <c r="I40" s="26" t="e">
        <f xml:space="preserve"> [1]!'2303.Tw-bestbid1'</f>
        <v>#REF!</v>
      </c>
      <c r="J40" s="26" t="e">
        <f xml:space="preserve"> [1]!'2303.Tw-bestask1'</f>
        <v>#REF!</v>
      </c>
      <c r="K40" s="288" t="e">
        <f t="shared" si="5"/>
        <v>#REF!</v>
      </c>
      <c r="L40" s="288" t="e">
        <f t="shared" si="6"/>
        <v>#REF!</v>
      </c>
      <c r="M40" s="288" t="e">
        <f t="shared" si="7"/>
        <v>#REF!</v>
      </c>
    </row>
    <row r="41" spans="1:13">
      <c r="A41" s="409" t="e">
        <f t="shared" si="3"/>
        <v>#REF!</v>
      </c>
      <c r="B41" s="26" t="s">
        <v>170</v>
      </c>
      <c r="C41" s="26" t="s">
        <v>2613</v>
      </c>
      <c r="D41" s="26">
        <v>1</v>
      </c>
      <c r="E41" s="57" t="e">
        <f xml:space="preserve"> [1]!'2308.TW-PreClose'</f>
        <v>#REF!</v>
      </c>
      <c r="F41" s="71">
        <v>5738446</v>
      </c>
      <c r="G41" s="288" t="e">
        <f t="shared" si="4"/>
        <v>#REF!</v>
      </c>
      <c r="H41" s="26" t="e">
        <f xml:space="preserve"> [1]!'2308.Tw-Price'</f>
        <v>#REF!</v>
      </c>
      <c r="I41" s="26" t="e">
        <f xml:space="preserve"> [1]!'2308.Tw-bestbid1'</f>
        <v>#REF!</v>
      </c>
      <c r="J41" s="26" t="e">
        <f xml:space="preserve"> [1]!'2308.Tw-bestask1'</f>
        <v>#REF!</v>
      </c>
      <c r="K41" s="288" t="e">
        <f t="shared" si="5"/>
        <v>#REF!</v>
      </c>
      <c r="L41" s="288" t="e">
        <f t="shared" si="6"/>
        <v>#REF!</v>
      </c>
      <c r="M41" s="288" t="e">
        <f t="shared" si="7"/>
        <v>#REF!</v>
      </c>
    </row>
    <row r="42" spans="1:13">
      <c r="A42" s="409" t="e">
        <f t="shared" si="3"/>
        <v>#REF!</v>
      </c>
      <c r="B42" s="26" t="s">
        <v>171</v>
      </c>
      <c r="C42" s="26" t="s">
        <v>2614</v>
      </c>
      <c r="D42" s="26">
        <v>1</v>
      </c>
      <c r="E42" s="57" t="e">
        <f xml:space="preserve"> [1]!'2317.TW-PreClose'</f>
        <v>#REF!</v>
      </c>
      <c r="F42" s="71">
        <v>17389212</v>
      </c>
      <c r="G42" s="288" t="e">
        <f t="shared" si="4"/>
        <v>#REF!</v>
      </c>
      <c r="H42" s="26" t="e">
        <f xml:space="preserve"> [1]!'2317.Tw-Price'</f>
        <v>#REF!</v>
      </c>
      <c r="I42" s="26" t="e">
        <f xml:space="preserve"> [1]!'2317.Tw-bestbid1'</f>
        <v>#REF!</v>
      </c>
      <c r="J42" s="26" t="e">
        <f xml:space="preserve"> [1]!'2317.Tw-bestask1'</f>
        <v>#REF!</v>
      </c>
      <c r="K42" s="288" t="e">
        <f t="shared" si="5"/>
        <v>#REF!</v>
      </c>
      <c r="L42" s="288" t="e">
        <f t="shared" si="6"/>
        <v>#REF!</v>
      </c>
      <c r="M42" s="288" t="e">
        <f t="shared" si="7"/>
        <v>#REF!</v>
      </c>
    </row>
    <row r="43" spans="1:13">
      <c r="A43" s="409" t="e">
        <f t="shared" si="3"/>
        <v>#REF!</v>
      </c>
      <c r="B43" s="26" t="s">
        <v>2651</v>
      </c>
      <c r="C43" s="26" t="s">
        <v>2615</v>
      </c>
      <c r="D43" s="26">
        <v>1</v>
      </c>
      <c r="E43" s="57" t="e">
        <f xml:space="preserve"> [1]!'2327.TW-PreClose'</f>
        <v>#REF!</v>
      </c>
      <c r="F43" s="71">
        <v>39621812</v>
      </c>
      <c r="G43" s="288" t="e">
        <f t="shared" si="4"/>
        <v>#REF!</v>
      </c>
      <c r="H43" s="26" t="e">
        <f xml:space="preserve"> [1]!'2327.TW-Price'</f>
        <v>#REF!</v>
      </c>
      <c r="I43" s="26" t="e">
        <f xml:space="preserve"> [1]!'2327.TW-BestBid1'</f>
        <v>#REF!</v>
      </c>
      <c r="J43" s="26" t="e">
        <f xml:space="preserve"> [1]!'2327.TW-BestAsk1'</f>
        <v>#REF!</v>
      </c>
      <c r="K43" s="288" t="e">
        <f t="shared" si="5"/>
        <v>#REF!</v>
      </c>
      <c r="L43" s="288" t="e">
        <f t="shared" si="6"/>
        <v>#REF!</v>
      </c>
      <c r="M43" s="288" t="e">
        <f t="shared" si="7"/>
        <v>#REF!</v>
      </c>
    </row>
    <row r="44" spans="1:13">
      <c r="A44" s="409" t="e">
        <f t="shared" si="3"/>
        <v>#REF!</v>
      </c>
      <c r="B44" s="26" t="s">
        <v>174</v>
      </c>
      <c r="C44" s="26" t="s">
        <v>2616</v>
      </c>
      <c r="D44" s="26">
        <v>1</v>
      </c>
      <c r="E44" s="57" t="e">
        <f xml:space="preserve"> [1]!'2330.TW-PreClose'</f>
        <v>#REF!</v>
      </c>
      <c r="F44" s="71">
        <v>10957968</v>
      </c>
      <c r="G44" s="288" t="e">
        <f t="shared" si="4"/>
        <v>#REF!</v>
      </c>
      <c r="H44" s="26" t="e">
        <f xml:space="preserve"> [1]!'2330.Tw-Price'</f>
        <v>#REF!</v>
      </c>
      <c r="I44" s="26" t="e">
        <f xml:space="preserve"> [1]!'2330.Tw-bestbid1'</f>
        <v>#REF!</v>
      </c>
      <c r="J44" s="26" t="e">
        <f xml:space="preserve"> [1]!'2330.Tw-bestask1'</f>
        <v>#REF!</v>
      </c>
      <c r="K44" s="288" t="e">
        <f t="shared" si="5"/>
        <v>#REF!</v>
      </c>
      <c r="L44" s="288" t="e">
        <f t="shared" si="6"/>
        <v>#REF!</v>
      </c>
      <c r="M44" s="288" t="e">
        <f t="shared" si="7"/>
        <v>#REF!</v>
      </c>
    </row>
    <row r="45" spans="1:13">
      <c r="A45" s="409" t="e">
        <f t="shared" si="3"/>
        <v>#REF!</v>
      </c>
      <c r="B45" s="26" t="s">
        <v>175</v>
      </c>
      <c r="C45" s="26" t="s">
        <v>2617</v>
      </c>
      <c r="D45" s="26">
        <v>1</v>
      </c>
      <c r="E45" s="57" t="e">
        <f xml:space="preserve"> [1]!'2357.TW-PreClose'</f>
        <v>#REF!</v>
      </c>
      <c r="F45" s="71">
        <v>5853803</v>
      </c>
      <c r="G45" s="288" t="e">
        <f t="shared" si="4"/>
        <v>#REF!</v>
      </c>
      <c r="H45" s="26" t="e">
        <f xml:space="preserve"> [1]!'2357.Tw-Price'</f>
        <v>#REF!</v>
      </c>
      <c r="I45" s="26" t="e">
        <f xml:space="preserve"> [1]!'2357.Tw-bestbid1'</f>
        <v>#REF!</v>
      </c>
      <c r="J45" s="26" t="e">
        <f xml:space="preserve"> [1]!'2357.Tw-bestask1'</f>
        <v>#REF!</v>
      </c>
      <c r="K45" s="288" t="e">
        <f t="shared" si="5"/>
        <v>#REF!</v>
      </c>
      <c r="L45" s="288" t="e">
        <f t="shared" si="6"/>
        <v>#REF!</v>
      </c>
      <c r="M45" s="288" t="e">
        <f t="shared" si="7"/>
        <v>#REF!</v>
      </c>
    </row>
    <row r="46" spans="1:13">
      <c r="A46" s="409" t="e">
        <f t="shared" si="3"/>
        <v>#REF!</v>
      </c>
      <c r="B46" s="26" t="s">
        <v>176</v>
      </c>
      <c r="C46" s="26" t="s">
        <v>2618</v>
      </c>
      <c r="D46" s="26">
        <v>1</v>
      </c>
      <c r="E46" s="57" t="e">
        <f xml:space="preserve"> [1]!'2382.TW-PreClose'</f>
        <v>#REF!</v>
      </c>
      <c r="F46" s="71">
        <v>63782077</v>
      </c>
      <c r="G46" s="288" t="e">
        <f t="shared" si="4"/>
        <v>#REF!</v>
      </c>
      <c r="H46" s="26" t="e">
        <f xml:space="preserve"> [1]!'2382.Tw-Price'</f>
        <v>#REF!</v>
      </c>
      <c r="I46" s="26" t="e">
        <f xml:space="preserve"> [1]!'2382.Tw-bestbid1'</f>
        <v>#REF!</v>
      </c>
      <c r="J46" s="26" t="e">
        <f xml:space="preserve"> [1]!'2382.Tw-bestask1'</f>
        <v>#REF!</v>
      </c>
      <c r="K46" s="288" t="e">
        <f t="shared" si="5"/>
        <v>#REF!</v>
      </c>
      <c r="L46" s="288" t="e">
        <f t="shared" si="6"/>
        <v>#REF!</v>
      </c>
      <c r="M46" s="288" t="e">
        <f t="shared" si="7"/>
        <v>#REF!</v>
      </c>
    </row>
    <row r="47" spans="1:13">
      <c r="A47" s="409" t="e">
        <f t="shared" si="3"/>
        <v>#REF!</v>
      </c>
      <c r="B47" s="26" t="s">
        <v>177</v>
      </c>
      <c r="C47" s="26" t="s">
        <v>2619</v>
      </c>
      <c r="D47" s="26">
        <v>1</v>
      </c>
      <c r="E47" s="57" t="e">
        <f xml:space="preserve"> [1]!'2395.TW-PreClose'</f>
        <v>#REF!</v>
      </c>
      <c r="F47" s="71">
        <v>2931132</v>
      </c>
      <c r="G47" s="288" t="e">
        <f t="shared" si="4"/>
        <v>#REF!</v>
      </c>
      <c r="H47" s="26" t="e">
        <f xml:space="preserve"> [1]!'2395.Tw-Price'</f>
        <v>#REF!</v>
      </c>
      <c r="I47" s="26" t="e">
        <f xml:space="preserve"> [1]!'2395.Tw-bestbid1'</f>
        <v>#REF!</v>
      </c>
      <c r="J47" s="26" t="e">
        <f xml:space="preserve"> [1]!'2395.Tw-bestask1'</f>
        <v>#REF!</v>
      </c>
      <c r="K47" s="288" t="e">
        <f t="shared" si="5"/>
        <v>#REF!</v>
      </c>
      <c r="L47" s="288" t="e">
        <f t="shared" si="6"/>
        <v>#REF!</v>
      </c>
      <c r="M47" s="288" t="e">
        <f t="shared" si="7"/>
        <v>#REF!</v>
      </c>
    </row>
    <row r="48" spans="1:13">
      <c r="A48" s="409" t="e">
        <f t="shared" si="3"/>
        <v>#REF!</v>
      </c>
      <c r="B48" s="26" t="s">
        <v>178</v>
      </c>
      <c r="C48" s="26" t="s">
        <v>2620</v>
      </c>
      <c r="D48" s="26">
        <v>1</v>
      </c>
      <c r="E48" s="57" t="e">
        <f xml:space="preserve"> [1]!'2408.TW-PreClose'</f>
        <v>#REF!</v>
      </c>
      <c r="F48" s="71">
        <v>1873276</v>
      </c>
      <c r="G48" s="288" t="e">
        <f t="shared" si="4"/>
        <v>#REF!</v>
      </c>
      <c r="H48" s="26" t="e">
        <f xml:space="preserve"> [1]!'2408.Tw-Price'</f>
        <v>#REF!</v>
      </c>
      <c r="I48" s="26" t="e">
        <f xml:space="preserve"> [1]!'2408.Tw-bestbid1'</f>
        <v>#REF!</v>
      </c>
      <c r="J48" s="26" t="e">
        <f xml:space="preserve"> [1]!'2408.Tw-bestask1'</f>
        <v>#REF!</v>
      </c>
      <c r="K48" s="288" t="e">
        <f t="shared" si="5"/>
        <v>#REF!</v>
      </c>
      <c r="L48" s="288" t="e">
        <f t="shared" si="6"/>
        <v>#REF!</v>
      </c>
      <c r="M48" s="288" t="e">
        <f t="shared" si="7"/>
        <v>#REF!</v>
      </c>
    </row>
    <row r="49" spans="1:13">
      <c r="A49" s="409" t="e">
        <f t="shared" si="3"/>
        <v>#REF!</v>
      </c>
      <c r="B49" s="26" t="s">
        <v>179</v>
      </c>
      <c r="C49" s="26" t="s">
        <v>2621</v>
      </c>
      <c r="D49" s="26">
        <v>1</v>
      </c>
      <c r="E49" s="57" t="e">
        <f xml:space="preserve"> [1]!'2409.TW-PreClose'</f>
        <v>#REF!</v>
      </c>
      <c r="F49" s="71">
        <v>7066074</v>
      </c>
      <c r="G49" s="288" t="e">
        <f t="shared" si="4"/>
        <v>#REF!</v>
      </c>
      <c r="H49" s="26" t="e">
        <f xml:space="preserve"> [1]!'2409.Tw-Price'</f>
        <v>#REF!</v>
      </c>
      <c r="I49" s="26" t="e">
        <f xml:space="preserve"> [1]!'2409.Tw-bestbid1'</f>
        <v>#REF!</v>
      </c>
      <c r="J49" s="26" t="e">
        <f xml:space="preserve"> [1]!'2409.Tw-bestask1'</f>
        <v>#REF!</v>
      </c>
      <c r="K49" s="288" t="e">
        <f t="shared" si="5"/>
        <v>#REF!</v>
      </c>
      <c r="L49" s="288" t="e">
        <f t="shared" si="6"/>
        <v>#REF!</v>
      </c>
      <c r="M49" s="288" t="e">
        <f t="shared" si="7"/>
        <v>#REF!</v>
      </c>
    </row>
    <row r="50" spans="1:13">
      <c r="A50" s="409" t="e">
        <f t="shared" si="3"/>
        <v>#REF!</v>
      </c>
      <c r="B50" s="26" t="s">
        <v>180</v>
      </c>
      <c r="C50" s="26" t="s">
        <v>2622</v>
      </c>
      <c r="D50" s="26">
        <v>1</v>
      </c>
      <c r="E50" s="57" t="e">
        <f xml:space="preserve"> [1]!'2412.TW-PreClose'</f>
        <v>#REF!</v>
      </c>
      <c r="F50" s="71">
        <v>987065</v>
      </c>
      <c r="G50" s="288" t="e">
        <f t="shared" si="4"/>
        <v>#REF!</v>
      </c>
      <c r="H50" s="26" t="e">
        <f xml:space="preserve"> [1]!'2412.Tw-Price'</f>
        <v>#REF!</v>
      </c>
      <c r="I50" s="26" t="e">
        <f xml:space="preserve"> [1]!'2412.Tw-bestbid1'</f>
        <v>#REF!</v>
      </c>
      <c r="J50" s="26" t="e">
        <f xml:space="preserve"> [1]!'2412.Tw-bestask1'</f>
        <v>#REF!</v>
      </c>
      <c r="K50" s="288" t="e">
        <f t="shared" si="5"/>
        <v>#REF!</v>
      </c>
      <c r="L50" s="288" t="e">
        <f t="shared" si="6"/>
        <v>#REF!</v>
      </c>
      <c r="M50" s="288" t="e">
        <f t="shared" si="7"/>
        <v>#REF!</v>
      </c>
    </row>
    <row r="51" spans="1:13">
      <c r="A51" s="409" t="e">
        <f t="shared" si="3"/>
        <v>#REF!</v>
      </c>
      <c r="B51" s="26" t="s">
        <v>181</v>
      </c>
      <c r="C51" s="26" t="s">
        <v>2623</v>
      </c>
      <c r="D51" s="26">
        <v>1</v>
      </c>
      <c r="E51" s="57" t="e">
        <f xml:space="preserve"> [1]!'2454.TW-PreClose'</f>
        <v>#REF!</v>
      </c>
      <c r="F51" s="71">
        <v>1928388</v>
      </c>
      <c r="G51" s="288" t="e">
        <f t="shared" si="4"/>
        <v>#REF!</v>
      </c>
      <c r="H51" s="26" t="e">
        <f xml:space="preserve"> [1]!'2454.Tw-Price'</f>
        <v>#REF!</v>
      </c>
      <c r="I51" s="26" t="e">
        <f xml:space="preserve"> [1]!'2454.Tw-bestbid1'</f>
        <v>#REF!</v>
      </c>
      <c r="J51" s="26" t="e">
        <f xml:space="preserve"> [1]!'2454.Tw-bestask1'</f>
        <v>#REF!</v>
      </c>
      <c r="K51" s="288" t="e">
        <f t="shared" si="5"/>
        <v>#REF!</v>
      </c>
      <c r="L51" s="288" t="e">
        <f t="shared" si="6"/>
        <v>#REF!</v>
      </c>
      <c r="M51" s="288" t="e">
        <f t="shared" si="7"/>
        <v>#REF!</v>
      </c>
    </row>
    <row r="52" spans="1:13">
      <c r="A52" s="409" t="e">
        <f t="shared" si="3"/>
        <v>#REF!</v>
      </c>
      <c r="B52" s="26" t="s">
        <v>182</v>
      </c>
      <c r="C52" s="26" t="s">
        <v>2624</v>
      </c>
      <c r="D52" s="26">
        <v>1</v>
      </c>
      <c r="E52" s="57" t="e">
        <f xml:space="preserve"> [1]!'2474.TW-PreClose'</f>
        <v>#REF!</v>
      </c>
      <c r="F52" s="71">
        <v>23376692</v>
      </c>
      <c r="G52" s="288" t="e">
        <f t="shared" si="4"/>
        <v>#REF!</v>
      </c>
      <c r="H52" s="26" t="e">
        <f xml:space="preserve"> [1]!'2474.Tw-Price'</f>
        <v>#REF!</v>
      </c>
      <c r="I52" s="26" t="e">
        <f xml:space="preserve"> [1]!'2474.Tw-bestbid1'</f>
        <v>#REF!</v>
      </c>
      <c r="J52" s="26" t="e">
        <f xml:space="preserve"> [1]!'2474.Tw-bestask1'</f>
        <v>#REF!</v>
      </c>
      <c r="K52" s="288" t="e">
        <f t="shared" si="5"/>
        <v>#REF!</v>
      </c>
      <c r="L52" s="288" t="e">
        <f t="shared" si="6"/>
        <v>#REF!</v>
      </c>
      <c r="M52" s="288" t="e">
        <f t="shared" si="7"/>
        <v>#REF!</v>
      </c>
    </row>
    <row r="53" spans="1:13">
      <c r="A53" s="409" t="e">
        <f t="shared" si="3"/>
        <v>#REF!</v>
      </c>
      <c r="B53" s="26" t="s">
        <v>183</v>
      </c>
      <c r="C53" s="26" t="s">
        <v>2625</v>
      </c>
      <c r="D53" s="26">
        <v>1</v>
      </c>
      <c r="E53" s="57" t="e">
        <f xml:space="preserve"> [1]!'2633.TW-PreClose'</f>
        <v>#REF!</v>
      </c>
      <c r="F53" s="71">
        <v>10102296</v>
      </c>
      <c r="G53" s="288" t="e">
        <f t="shared" si="4"/>
        <v>#REF!</v>
      </c>
      <c r="H53" s="26" t="e">
        <f xml:space="preserve"> [1]!'2633.Tw-Price'</f>
        <v>#REF!</v>
      </c>
      <c r="I53" s="26" t="e">
        <f xml:space="preserve"> [1]!'2633.Tw-bestbid1'</f>
        <v>#REF!</v>
      </c>
      <c r="J53" s="26" t="e">
        <f xml:space="preserve"> [1]!'2633.Tw-bestask1'</f>
        <v>#REF!</v>
      </c>
      <c r="K53" s="288" t="e">
        <f t="shared" si="5"/>
        <v>#REF!</v>
      </c>
      <c r="L53" s="288" t="e">
        <f t="shared" si="6"/>
        <v>#REF!</v>
      </c>
      <c r="M53" s="288" t="e">
        <f t="shared" si="7"/>
        <v>#REF!</v>
      </c>
    </row>
    <row r="54" spans="1:13">
      <c r="A54" s="409" t="e">
        <f t="shared" si="3"/>
        <v>#REF!</v>
      </c>
      <c r="B54" s="26" t="s">
        <v>184</v>
      </c>
      <c r="C54" s="26" t="s">
        <v>2626</v>
      </c>
      <c r="D54" s="26">
        <v>1</v>
      </c>
      <c r="E54" s="57" t="e">
        <f xml:space="preserve"> [1]!'2801.TW-PreClose'</f>
        <v>#REF!</v>
      </c>
      <c r="F54" s="71">
        <v>3908768</v>
      </c>
      <c r="G54" s="288" t="e">
        <f t="shared" si="4"/>
        <v>#REF!</v>
      </c>
      <c r="H54" s="26" t="e">
        <f xml:space="preserve"> [1]!'2801.Tw-Price'</f>
        <v>#REF!</v>
      </c>
      <c r="I54" s="26" t="e">
        <f xml:space="preserve"> [1]!'2801.Tw-bestbid1'</f>
        <v>#REF!</v>
      </c>
      <c r="J54" s="26" t="e">
        <f xml:space="preserve"> [1]!'2801.Tw-bestask1'</f>
        <v>#REF!</v>
      </c>
      <c r="K54" s="288" t="e">
        <f t="shared" si="5"/>
        <v>#REF!</v>
      </c>
      <c r="L54" s="288" t="e">
        <f t="shared" si="6"/>
        <v>#REF!</v>
      </c>
      <c r="M54" s="288" t="e">
        <f t="shared" si="7"/>
        <v>#REF!</v>
      </c>
    </row>
    <row r="55" spans="1:13">
      <c r="A55" s="409" t="e">
        <f t="shared" si="3"/>
        <v>#REF!</v>
      </c>
      <c r="B55" s="26" t="s">
        <v>185</v>
      </c>
      <c r="C55" s="26" t="s">
        <v>2627</v>
      </c>
      <c r="D55" s="26">
        <v>1</v>
      </c>
      <c r="E55" s="57" t="e">
        <f xml:space="preserve"> [1]!'2823.TW-PreClose'</f>
        <v>#REF!</v>
      </c>
      <c r="F55" s="71">
        <v>1960837</v>
      </c>
      <c r="G55" s="288" t="e">
        <f t="shared" si="4"/>
        <v>#REF!</v>
      </c>
      <c r="H55" s="26" t="e">
        <f xml:space="preserve"> [1]!'2823.Tw-Price'</f>
        <v>#REF!</v>
      </c>
      <c r="I55" s="26" t="e">
        <f xml:space="preserve"> [1]!'2823.Tw-bestbid1'</f>
        <v>#REF!</v>
      </c>
      <c r="J55" s="26" t="e">
        <f xml:space="preserve"> [1]!'2823.Tw-bestask1'</f>
        <v>#REF!</v>
      </c>
      <c r="K55" s="288" t="e">
        <f t="shared" si="5"/>
        <v>#REF!</v>
      </c>
      <c r="L55" s="288" t="e">
        <f t="shared" si="6"/>
        <v>#REF!</v>
      </c>
      <c r="M55" s="288" t="e">
        <f t="shared" si="7"/>
        <v>#REF!</v>
      </c>
    </row>
    <row r="56" spans="1:13">
      <c r="A56" s="409" t="e">
        <f t="shared" si="3"/>
        <v>#REF!</v>
      </c>
      <c r="B56" s="26" t="s">
        <v>186</v>
      </c>
      <c r="C56" s="26" t="s">
        <v>2628</v>
      </c>
      <c r="D56" s="26">
        <v>1</v>
      </c>
      <c r="E56" s="57" t="e">
        <f xml:space="preserve"> [1]!'2880.TW-PreClose'</f>
        <v>#REF!</v>
      </c>
      <c r="F56" s="71">
        <v>5534200</v>
      </c>
      <c r="G56" s="288" t="e">
        <f t="shared" si="4"/>
        <v>#REF!</v>
      </c>
      <c r="H56" s="26" t="e">
        <f xml:space="preserve"> [1]!'2880.Tw-Price'</f>
        <v>#REF!</v>
      </c>
      <c r="I56" s="26" t="e">
        <f xml:space="preserve"> [1]!'2880.Tw-bestbid1'</f>
        <v>#REF!</v>
      </c>
      <c r="J56" s="26" t="e">
        <f xml:space="preserve"> [1]!'2880.Tw-bestask1'</f>
        <v>#REF!</v>
      </c>
      <c r="K56" s="288" t="e">
        <f t="shared" si="5"/>
        <v>#REF!</v>
      </c>
      <c r="L56" s="288" t="e">
        <f t="shared" si="6"/>
        <v>#REF!</v>
      </c>
      <c r="M56" s="288" t="e">
        <f t="shared" si="7"/>
        <v>#REF!</v>
      </c>
    </row>
    <row r="57" spans="1:13">
      <c r="A57" s="409" t="e">
        <f t="shared" si="3"/>
        <v>#REF!</v>
      </c>
      <c r="B57" s="26" t="s">
        <v>187</v>
      </c>
      <c r="C57" s="26" t="s">
        <v>2629</v>
      </c>
      <c r="D57" s="26">
        <v>1</v>
      </c>
      <c r="E57" s="57" t="e">
        <f xml:space="preserve"> [1]!'2881.TW-PreClose'</f>
        <v>#REF!</v>
      </c>
      <c r="F57" s="71">
        <v>15640666</v>
      </c>
      <c r="G57" s="288" t="e">
        <f t="shared" si="4"/>
        <v>#REF!</v>
      </c>
      <c r="H57" s="26" t="e">
        <f xml:space="preserve"> [1]!'2881.Tw-Price'</f>
        <v>#REF!</v>
      </c>
      <c r="I57" s="26" t="e">
        <f xml:space="preserve"> [1]!'2881.Tw-bestbid1'</f>
        <v>#REF!</v>
      </c>
      <c r="J57" s="26" t="e">
        <f xml:space="preserve"> [1]!'2881.Tw-bestask1'</f>
        <v>#REF!</v>
      </c>
      <c r="K57" s="288" t="e">
        <f t="shared" si="5"/>
        <v>#REF!</v>
      </c>
      <c r="L57" s="288" t="e">
        <f t="shared" si="6"/>
        <v>#REF!</v>
      </c>
      <c r="M57" s="288" t="e">
        <f t="shared" si="7"/>
        <v>#REF!</v>
      </c>
    </row>
    <row r="58" spans="1:13">
      <c r="A58" s="409" t="e">
        <f t="shared" si="3"/>
        <v>#REF!</v>
      </c>
      <c r="B58" s="26" t="s">
        <v>188</v>
      </c>
      <c r="C58" s="26" t="s">
        <v>2630</v>
      </c>
      <c r="D58" s="26">
        <v>1</v>
      </c>
      <c r="E58" s="57" t="e">
        <f xml:space="preserve"> [1]!'2882.TW-PreClose'</f>
        <v>#REF!</v>
      </c>
      <c r="F58" s="71">
        <v>7207424</v>
      </c>
      <c r="G58" s="288" t="e">
        <f t="shared" si="4"/>
        <v>#REF!</v>
      </c>
      <c r="H58" s="26" t="e">
        <f xml:space="preserve"> [1]!'2882.Tw-Price'</f>
        <v>#REF!</v>
      </c>
      <c r="I58" s="26" t="e">
        <f xml:space="preserve"> [1]!'2882.Tw-bestbid1'</f>
        <v>#REF!</v>
      </c>
      <c r="J58" s="26" t="e">
        <f xml:space="preserve"> [1]!'2882.Tw-bestask1'</f>
        <v>#REF!</v>
      </c>
      <c r="K58" s="288" t="e">
        <f t="shared" si="5"/>
        <v>#REF!</v>
      </c>
      <c r="L58" s="288" t="e">
        <f t="shared" si="6"/>
        <v>#REF!</v>
      </c>
      <c r="M58" s="288" t="e">
        <f t="shared" si="7"/>
        <v>#REF!</v>
      </c>
    </row>
    <row r="59" spans="1:13">
      <c r="A59" s="409" t="e">
        <f t="shared" si="3"/>
        <v>#REF!</v>
      </c>
      <c r="B59" s="26" t="s">
        <v>189</v>
      </c>
      <c r="C59" s="26" t="s">
        <v>2631</v>
      </c>
      <c r="D59" s="26">
        <v>1</v>
      </c>
      <c r="E59" s="57" t="e">
        <f xml:space="preserve"> [1]!'2883.TW-PreClose'</f>
        <v>#REF!</v>
      </c>
      <c r="F59" s="71">
        <v>21849363</v>
      </c>
      <c r="G59" s="288" t="e">
        <f t="shared" si="4"/>
        <v>#REF!</v>
      </c>
      <c r="H59" s="26" t="e">
        <f xml:space="preserve"> [1]!'2883.Tw-Price'</f>
        <v>#REF!</v>
      </c>
      <c r="I59" s="26" t="e">
        <f xml:space="preserve"> [1]!'2883.Tw-bestbid1'</f>
        <v>#REF!</v>
      </c>
      <c r="J59" s="26" t="e">
        <f xml:space="preserve"> [1]!'2883.Tw-bestask1'</f>
        <v>#REF!</v>
      </c>
      <c r="K59" s="288" t="e">
        <f t="shared" si="5"/>
        <v>#REF!</v>
      </c>
      <c r="L59" s="288" t="e">
        <f t="shared" si="6"/>
        <v>#REF!</v>
      </c>
      <c r="M59" s="288" t="e">
        <f t="shared" si="7"/>
        <v>#REF!</v>
      </c>
    </row>
    <row r="60" spans="1:13">
      <c r="A60" s="409" t="e">
        <f t="shared" si="3"/>
        <v>#REF!</v>
      </c>
      <c r="B60" s="26" t="s">
        <v>190</v>
      </c>
      <c r="C60" s="26" t="s">
        <v>2632</v>
      </c>
      <c r="D60" s="26">
        <v>1</v>
      </c>
      <c r="E60" s="57" t="e">
        <f xml:space="preserve"> [1]!'2884.TW-PreClose'</f>
        <v>#REF!</v>
      </c>
      <c r="F60" s="71">
        <v>19512173</v>
      </c>
      <c r="G60" s="288" t="e">
        <f t="shared" si="4"/>
        <v>#REF!</v>
      </c>
      <c r="H60" s="26" t="e">
        <f xml:space="preserve"> [1]!'2884.Tw-Price'</f>
        <v>#REF!</v>
      </c>
      <c r="I60" s="26" t="e">
        <f xml:space="preserve"> [1]!'2884.Tw-bestbid1'</f>
        <v>#REF!</v>
      </c>
      <c r="J60" s="26" t="e">
        <f xml:space="preserve"> [1]!'2884.Tw-bestask1'</f>
        <v>#REF!</v>
      </c>
      <c r="K60" s="288" t="e">
        <f t="shared" si="5"/>
        <v>#REF!</v>
      </c>
      <c r="L60" s="288" t="e">
        <f t="shared" si="6"/>
        <v>#REF!</v>
      </c>
      <c r="M60" s="288" t="e">
        <f t="shared" si="7"/>
        <v>#REF!</v>
      </c>
    </row>
    <row r="61" spans="1:13">
      <c r="A61" s="409" t="e">
        <f t="shared" si="3"/>
        <v>#REF!</v>
      </c>
      <c r="B61" s="26" t="s">
        <v>191</v>
      </c>
      <c r="C61" s="26" t="s">
        <v>2633</v>
      </c>
      <c r="D61" s="26">
        <v>1</v>
      </c>
      <c r="E61" s="57" t="e">
        <f xml:space="preserve"> [1]!'2885.TW-PreClose'</f>
        <v>#REF!</v>
      </c>
      <c r="F61" s="71">
        <v>20938437</v>
      </c>
      <c r="G61" s="288" t="e">
        <f t="shared" si="4"/>
        <v>#REF!</v>
      </c>
      <c r="H61" s="26" t="e">
        <f xml:space="preserve"> [1]!'2885.Tw-Price'</f>
        <v>#REF!</v>
      </c>
      <c r="I61" s="26" t="e">
        <f xml:space="preserve"> [1]!'2885.Tw-bestbid1'</f>
        <v>#REF!</v>
      </c>
      <c r="J61" s="26" t="e">
        <f xml:space="preserve"> [1]!'2885.Tw-bestask1'</f>
        <v>#REF!</v>
      </c>
      <c r="K61" s="288" t="e">
        <f t="shared" si="5"/>
        <v>#REF!</v>
      </c>
      <c r="L61" s="288" t="e">
        <f t="shared" si="6"/>
        <v>#REF!</v>
      </c>
      <c r="M61" s="288" t="e">
        <f t="shared" si="7"/>
        <v>#REF!</v>
      </c>
    </row>
    <row r="62" spans="1:13">
      <c r="A62" s="409" t="e">
        <f t="shared" si="3"/>
        <v>#REF!</v>
      </c>
      <c r="B62" s="26" t="s">
        <v>192</v>
      </c>
      <c r="C62" s="26" t="s">
        <v>2634</v>
      </c>
      <c r="D62" s="26">
        <v>1</v>
      </c>
      <c r="E62" s="57" t="e">
        <f xml:space="preserve"> [1]!'2886.TW-PreClose'</f>
        <v>#REF!</v>
      </c>
      <c r="F62" s="71">
        <v>36900598</v>
      </c>
      <c r="G62" s="288" t="e">
        <f t="shared" si="4"/>
        <v>#REF!</v>
      </c>
      <c r="H62" s="26" t="e">
        <f xml:space="preserve"> [1]!'2886.Tw-Price'</f>
        <v>#REF!</v>
      </c>
      <c r="I62" s="26" t="e">
        <f xml:space="preserve"> [1]!'2886.Tw-bestbid1'</f>
        <v>#REF!</v>
      </c>
      <c r="J62" s="26" t="e">
        <f xml:space="preserve"> [1]!'2886.Tw-bestask1'</f>
        <v>#REF!</v>
      </c>
      <c r="K62" s="288" t="e">
        <f t="shared" si="5"/>
        <v>#REF!</v>
      </c>
      <c r="L62" s="288" t="e">
        <f t="shared" si="6"/>
        <v>#REF!</v>
      </c>
      <c r="M62" s="288" t="e">
        <f t="shared" si="7"/>
        <v>#REF!</v>
      </c>
    </row>
    <row r="63" spans="1:13">
      <c r="A63" s="409" t="e">
        <f t="shared" si="3"/>
        <v>#REF!</v>
      </c>
      <c r="B63" s="26" t="s">
        <v>193</v>
      </c>
      <c r="C63" s="26" t="s">
        <v>2635</v>
      </c>
      <c r="D63" s="26">
        <v>1</v>
      </c>
      <c r="E63" s="57" t="e">
        <f xml:space="preserve"> [1]!'2887.TW-PreClose'</f>
        <v>#REF!</v>
      </c>
      <c r="F63" s="71">
        <v>25669669</v>
      </c>
      <c r="G63" s="288" t="e">
        <f t="shared" si="4"/>
        <v>#REF!</v>
      </c>
      <c r="H63" s="26" t="e">
        <f xml:space="preserve"> [1]!'2887.Tw-Price'</f>
        <v>#REF!</v>
      </c>
      <c r="I63" s="26" t="e">
        <f xml:space="preserve"> [1]!'2887.Tw-bestbid1'</f>
        <v>#REF!</v>
      </c>
      <c r="J63" s="26" t="e">
        <f xml:space="preserve"> [1]!'2887.Tw-bestask1'</f>
        <v>#REF!</v>
      </c>
      <c r="K63" s="288" t="e">
        <f t="shared" si="5"/>
        <v>#REF!</v>
      </c>
      <c r="L63" s="288" t="e">
        <f t="shared" si="6"/>
        <v>#REF!</v>
      </c>
      <c r="M63" s="288" t="e">
        <f t="shared" si="7"/>
        <v>#REF!</v>
      </c>
    </row>
    <row r="64" spans="1:13">
      <c r="A64" s="409" t="e">
        <f t="shared" si="3"/>
        <v>#REF!</v>
      </c>
      <c r="B64" s="26" t="s">
        <v>194</v>
      </c>
      <c r="C64" s="26" t="s">
        <v>2636</v>
      </c>
      <c r="D64" s="26">
        <v>1</v>
      </c>
      <c r="E64" s="57" t="e">
        <f xml:space="preserve"> [1]!'2890.TW-PreClose'</f>
        <v>#REF!</v>
      </c>
      <c r="F64" s="71">
        <v>30534348</v>
      </c>
      <c r="G64" s="288" t="e">
        <f t="shared" si="4"/>
        <v>#REF!</v>
      </c>
      <c r="H64" s="26" t="e">
        <f xml:space="preserve"> [1]!'2890.Tw-Price'</f>
        <v>#REF!</v>
      </c>
      <c r="I64" s="26" t="e">
        <f xml:space="preserve"> [1]!'2890.Tw-bestbid1'</f>
        <v>#REF!</v>
      </c>
      <c r="J64" s="26" t="e">
        <f xml:space="preserve"> [1]!'2890.Tw-bestask1'</f>
        <v>#REF!</v>
      </c>
      <c r="K64" s="288" t="e">
        <f t="shared" si="5"/>
        <v>#REF!</v>
      </c>
      <c r="L64" s="288" t="e">
        <f t="shared" si="6"/>
        <v>#REF!</v>
      </c>
      <c r="M64" s="288" t="e">
        <f t="shared" si="7"/>
        <v>#REF!</v>
      </c>
    </row>
    <row r="65" spans="1:13">
      <c r="A65" s="409" t="e">
        <f t="shared" si="3"/>
        <v>#REF!</v>
      </c>
      <c r="B65" s="26" t="s">
        <v>195</v>
      </c>
      <c r="C65" s="26" t="s">
        <v>2637</v>
      </c>
      <c r="D65" s="26">
        <v>1</v>
      </c>
      <c r="E65" s="57" t="e">
        <f xml:space="preserve"> [1]!'2891.TW-PreClose'</f>
        <v>#REF!</v>
      </c>
      <c r="F65" s="71">
        <v>28916045</v>
      </c>
      <c r="G65" s="288" t="e">
        <f t="shared" si="4"/>
        <v>#REF!</v>
      </c>
      <c r="H65" s="26" t="e">
        <f xml:space="preserve"> [1]!'2891.Tw-Price'</f>
        <v>#REF!</v>
      </c>
      <c r="I65" s="26" t="e">
        <f xml:space="preserve"> [1]!'2891.Tw-bestbid1'</f>
        <v>#REF!</v>
      </c>
      <c r="J65" s="26" t="e">
        <f xml:space="preserve"> [1]!'2891.Tw-bestask1'</f>
        <v>#REF!</v>
      </c>
      <c r="K65" s="288" t="e">
        <f t="shared" si="5"/>
        <v>#REF!</v>
      </c>
      <c r="L65" s="288" t="e">
        <f t="shared" si="6"/>
        <v>#REF!</v>
      </c>
      <c r="M65" s="288" t="e">
        <f t="shared" si="7"/>
        <v>#REF!</v>
      </c>
    </row>
    <row r="66" spans="1:13">
      <c r="A66" s="409" t="e">
        <f t="shared" si="3"/>
        <v>#REF!</v>
      </c>
      <c r="B66" s="26" t="s">
        <v>196</v>
      </c>
      <c r="C66" s="26" t="s">
        <v>2638</v>
      </c>
      <c r="D66" s="26">
        <v>1</v>
      </c>
      <c r="E66" s="57" t="e">
        <f xml:space="preserve"> [1]!'2892.TW-PreClose'</f>
        <v>#REF!</v>
      </c>
      <c r="F66" s="71">
        <v>25168800</v>
      </c>
      <c r="G66" s="288" t="e">
        <f t="shared" si="4"/>
        <v>#REF!</v>
      </c>
      <c r="H66" s="26" t="e">
        <f xml:space="preserve"> [1]!'2892.Tw-Price'</f>
        <v>#REF!</v>
      </c>
      <c r="I66" s="26" t="e">
        <f xml:space="preserve"> [1]!'2892.Tw-bestbid1'</f>
        <v>#REF!</v>
      </c>
      <c r="J66" s="26" t="e">
        <f xml:space="preserve"> [1]!'2892.Tw-bestask1'</f>
        <v>#REF!</v>
      </c>
      <c r="K66" s="288" t="e">
        <f t="shared" si="5"/>
        <v>#REF!</v>
      </c>
      <c r="L66" s="288" t="e">
        <f t="shared" si="6"/>
        <v>#REF!</v>
      </c>
      <c r="M66" s="288" t="e">
        <f t="shared" si="7"/>
        <v>#REF!</v>
      </c>
    </row>
    <row r="67" spans="1:13">
      <c r="A67" s="409" t="e">
        <f t="shared" si="3"/>
        <v>#REF!</v>
      </c>
      <c r="B67" s="26" t="s">
        <v>197</v>
      </c>
      <c r="C67" s="26" t="s">
        <v>2639</v>
      </c>
      <c r="D67" s="26">
        <v>1</v>
      </c>
      <c r="E67" s="57" t="e">
        <f xml:space="preserve"> [1]!'2912.TW-PreClose'</f>
        <v>#REF!</v>
      </c>
      <c r="F67" s="71">
        <v>27312214</v>
      </c>
      <c r="G67" s="288" t="e">
        <f t="shared" si="4"/>
        <v>#REF!</v>
      </c>
      <c r="H67" s="26" t="e">
        <f xml:space="preserve"> [1]!'2912.Tw-Price'</f>
        <v>#REF!</v>
      </c>
      <c r="I67" s="26" t="e">
        <f xml:space="preserve"> [1]!'2912.Tw-bestbid1'</f>
        <v>#REF!</v>
      </c>
      <c r="J67" s="26" t="e">
        <f xml:space="preserve"> [1]!'2912.Tw-bestask1'</f>
        <v>#REF!</v>
      </c>
      <c r="K67" s="288" t="e">
        <f t="shared" si="5"/>
        <v>#REF!</v>
      </c>
      <c r="L67" s="288" t="e">
        <f t="shared" si="6"/>
        <v>#REF!</v>
      </c>
      <c r="M67" s="288" t="e">
        <f t="shared" si="7"/>
        <v>#REF!</v>
      </c>
    </row>
    <row r="68" spans="1:13">
      <c r="A68" s="409" t="e">
        <f t="shared" si="3"/>
        <v>#REF!</v>
      </c>
      <c r="B68" s="26" t="s">
        <v>198</v>
      </c>
      <c r="C68" s="26" t="s">
        <v>2640</v>
      </c>
      <c r="D68" s="26">
        <v>1</v>
      </c>
      <c r="E68" s="57" t="e">
        <f xml:space="preserve"> [1]!'3008.TW-PreClose'</f>
        <v>#REF!</v>
      </c>
      <c r="F68" s="71">
        <v>48191269</v>
      </c>
      <c r="G68" s="288" t="e">
        <f t="shared" si="4"/>
        <v>#REF!</v>
      </c>
      <c r="H68" s="26" t="e">
        <f xml:space="preserve"> [1]!'3008.Tw-Price'</f>
        <v>#REF!</v>
      </c>
      <c r="I68" s="26" t="e">
        <f xml:space="preserve"> [1]!'3008.Tw-bestbid1'</f>
        <v>#REF!</v>
      </c>
      <c r="J68" s="26" t="e">
        <f xml:space="preserve"> [1]!'3008.Tw-bestask1'</f>
        <v>#REF!</v>
      </c>
      <c r="K68" s="288" t="e">
        <f t="shared" si="5"/>
        <v>#REF!</v>
      </c>
      <c r="L68" s="288" t="e">
        <f t="shared" si="6"/>
        <v>#REF!</v>
      </c>
      <c r="M68" s="288" t="e">
        <f t="shared" si="7"/>
        <v>#REF!</v>
      </c>
    </row>
    <row r="69" spans="1:13">
      <c r="A69" s="409" t="e">
        <f t="shared" si="3"/>
        <v>#REF!</v>
      </c>
      <c r="B69" s="26" t="s">
        <v>199</v>
      </c>
      <c r="C69" s="26" t="s">
        <v>2641</v>
      </c>
      <c r="D69" s="26">
        <v>1</v>
      </c>
      <c r="E69" s="57" t="e">
        <f xml:space="preserve"> [1]!'3045.TW-PreClose'</f>
        <v>#REF!</v>
      </c>
      <c r="F69" s="71">
        <v>25575513</v>
      </c>
      <c r="G69" s="288" t="e">
        <f t="shared" si="4"/>
        <v>#REF!</v>
      </c>
      <c r="H69" s="26" t="e">
        <f xml:space="preserve"> [1]!'3045.Tw-Price'</f>
        <v>#REF!</v>
      </c>
      <c r="I69" s="26" t="e">
        <f xml:space="preserve"> [1]!'3045.Tw-bestbid1'</f>
        <v>#REF!</v>
      </c>
      <c r="J69" s="26" t="e">
        <f xml:space="preserve"> [1]!'3045.Tw-bestask1'</f>
        <v>#REF!</v>
      </c>
      <c r="K69" s="288" t="e">
        <f t="shared" si="5"/>
        <v>#REF!</v>
      </c>
      <c r="L69" s="288" t="e">
        <f t="shared" si="6"/>
        <v>#REF!</v>
      </c>
      <c r="M69" s="288" t="e">
        <f t="shared" si="7"/>
        <v>#REF!</v>
      </c>
    </row>
    <row r="70" spans="1:13">
      <c r="A70" s="409" t="e">
        <f t="shared" si="3"/>
        <v>#REF!</v>
      </c>
      <c r="B70" s="26" t="s">
        <v>2652</v>
      </c>
      <c r="C70" s="26" t="s">
        <v>2642</v>
      </c>
      <c r="D70" s="26">
        <v>1</v>
      </c>
      <c r="E70" s="57" t="e">
        <f xml:space="preserve"> [1]!'3711.TW-PreClose'</f>
        <v>#REF!</v>
      </c>
      <c r="F70" s="71">
        <v>1491246</v>
      </c>
      <c r="G70" s="288" t="e">
        <f t="shared" si="4"/>
        <v>#REF!</v>
      </c>
      <c r="H70" s="26" t="e">
        <f xml:space="preserve"> [1]!'3711.TW-Price'</f>
        <v>#REF!</v>
      </c>
      <c r="I70" s="26" t="e">
        <f xml:space="preserve"> [1]!'3711.TW-BestBid1'</f>
        <v>#REF!</v>
      </c>
      <c r="J70" s="26" t="e">
        <f xml:space="preserve"> [1]!'3711.TW-BestAsk1'</f>
        <v>#REF!</v>
      </c>
      <c r="K70" s="288" t="e">
        <f t="shared" si="5"/>
        <v>#REF!</v>
      </c>
      <c r="L70" s="288" t="e">
        <f t="shared" si="6"/>
        <v>#REF!</v>
      </c>
      <c r="M70" s="288" t="e">
        <f t="shared" si="7"/>
        <v>#REF!</v>
      </c>
    </row>
    <row r="71" spans="1:13">
      <c r="A71" s="409" t="e">
        <f t="shared" si="3"/>
        <v>#REF!</v>
      </c>
      <c r="B71" s="26" t="s">
        <v>201</v>
      </c>
      <c r="C71" s="26" t="s">
        <v>2643</v>
      </c>
      <c r="D71" s="26">
        <v>1</v>
      </c>
      <c r="E71" s="57" t="e">
        <f xml:space="preserve"> [1]!'4904.TW-PreClose'</f>
        <v>#REF!</v>
      </c>
      <c r="F71" s="71">
        <v>272571</v>
      </c>
      <c r="G71" s="288" t="e">
        <f t="shared" si="4"/>
        <v>#REF!</v>
      </c>
      <c r="H71" s="26" t="e">
        <f xml:space="preserve"> [1]!'4904.Tw-Price'</f>
        <v>#REF!</v>
      </c>
      <c r="I71" s="26" t="e">
        <f xml:space="preserve"> [1]!'4904.Tw-bestbid1'</f>
        <v>#REF!</v>
      </c>
      <c r="J71" s="26" t="e">
        <f xml:space="preserve"> [1]!'4904.Tw-bestask1'</f>
        <v>#REF!</v>
      </c>
      <c r="K71" s="288" t="e">
        <f t="shared" si="5"/>
        <v>#REF!</v>
      </c>
      <c r="L71" s="288" t="e">
        <f t="shared" si="6"/>
        <v>#REF!</v>
      </c>
      <c r="M71" s="288" t="e">
        <f t="shared" si="7"/>
        <v>#REF!</v>
      </c>
    </row>
    <row r="72" spans="1:13">
      <c r="A72" s="409" t="e">
        <f t="shared" si="3"/>
        <v>#REF!</v>
      </c>
      <c r="B72" s="26" t="s">
        <v>202</v>
      </c>
      <c r="C72" s="26" t="s">
        <v>2644</v>
      </c>
      <c r="D72" s="26">
        <v>1</v>
      </c>
      <c r="E72" s="57" t="e">
        <f xml:space="preserve"> [1]!'4938.TW-PreClose'</f>
        <v>#REF!</v>
      </c>
      <c r="F72" s="71">
        <v>4232375</v>
      </c>
      <c r="G72" s="288" t="e">
        <f t="shared" si="4"/>
        <v>#REF!</v>
      </c>
      <c r="H72" s="26" t="e">
        <f xml:space="preserve"> [1]!'4938.Tw-Price'</f>
        <v>#REF!</v>
      </c>
      <c r="I72" s="26" t="e">
        <f xml:space="preserve"> [1]!'4938.Tw-bestbid1'</f>
        <v>#REF!</v>
      </c>
      <c r="J72" s="26" t="e">
        <f xml:space="preserve"> [1]!'4938.Tw-bestask1'</f>
        <v>#REF!</v>
      </c>
      <c r="K72" s="288" t="e">
        <f t="shared" si="5"/>
        <v>#REF!</v>
      </c>
      <c r="L72" s="288" t="e">
        <f t="shared" si="6"/>
        <v>#REF!</v>
      </c>
      <c r="M72" s="288" t="e">
        <f t="shared" si="7"/>
        <v>#REF!</v>
      </c>
    </row>
    <row r="73" spans="1:13">
      <c r="A73" s="409" t="e">
        <f t="shared" si="3"/>
        <v>#REF!</v>
      </c>
      <c r="B73" s="26" t="s">
        <v>208</v>
      </c>
      <c r="C73" s="26" t="s">
        <v>2645</v>
      </c>
      <c r="D73" s="26">
        <v>1</v>
      </c>
      <c r="E73" s="57" t="e">
        <f xml:space="preserve"> [1]!'5871.TW-PreClose'</f>
        <v>#REF!</v>
      </c>
      <c r="F73" s="71">
        <v>22863548</v>
      </c>
      <c r="G73" s="288" t="e">
        <f t="shared" si="4"/>
        <v>#REF!</v>
      </c>
      <c r="H73" s="26" t="e">
        <f xml:space="preserve"> [1]!'5871.Tw-Price'</f>
        <v>#REF!</v>
      </c>
      <c r="I73" s="26" t="e">
        <f xml:space="preserve"> [1]!'5871.Tw-bestbid1'</f>
        <v>#REF!</v>
      </c>
      <c r="J73" s="26" t="e">
        <f xml:space="preserve"> [1]!'5871.Tw-bestask1'</f>
        <v>#REF!</v>
      </c>
      <c r="K73" s="288" t="e">
        <f t="shared" si="5"/>
        <v>#REF!</v>
      </c>
      <c r="L73" s="288" t="e">
        <f t="shared" si="6"/>
        <v>#REF!</v>
      </c>
      <c r="M73" s="288" t="e">
        <f t="shared" si="7"/>
        <v>#REF!</v>
      </c>
    </row>
    <row r="74" spans="1:13">
      <c r="A74" s="409" t="e">
        <f t="shared" si="3"/>
        <v>#REF!</v>
      </c>
      <c r="B74" s="26" t="s">
        <v>2653</v>
      </c>
      <c r="C74" s="26" t="s">
        <v>2646</v>
      </c>
      <c r="D74" s="26">
        <v>1</v>
      </c>
      <c r="E74" s="57" t="e">
        <f xml:space="preserve"> [1]!'5876.TW-PreClose'</f>
        <v>#REF!</v>
      </c>
      <c r="F74" s="71">
        <v>4243505</v>
      </c>
      <c r="G74" s="288" t="e">
        <f t="shared" si="4"/>
        <v>#REF!</v>
      </c>
      <c r="H74" s="26" t="e">
        <f xml:space="preserve"> [1]!'5876.TW-Price'</f>
        <v>#REF!</v>
      </c>
      <c r="I74" s="26" t="e">
        <f xml:space="preserve"> [1]!'5876.TW-BestBid1'</f>
        <v>#REF!</v>
      </c>
      <c r="J74" s="26" t="e">
        <f xml:space="preserve"> [1]!'5876.TW-BestAsk1'</f>
        <v>#REF!</v>
      </c>
      <c r="K74" s="288" t="e">
        <f t="shared" si="5"/>
        <v>#REF!</v>
      </c>
      <c r="L74" s="288" t="e">
        <f t="shared" si="6"/>
        <v>#REF!</v>
      </c>
      <c r="M74" s="288" t="e">
        <f t="shared" si="7"/>
        <v>#REF!</v>
      </c>
    </row>
    <row r="75" spans="1:13">
      <c r="A75" s="409" t="e">
        <f t="shared" si="3"/>
        <v>#REF!</v>
      </c>
      <c r="B75" s="26" t="s">
        <v>203</v>
      </c>
      <c r="C75" s="26" t="s">
        <v>2647</v>
      </c>
      <c r="D75" s="26">
        <v>1</v>
      </c>
      <c r="E75" s="57" t="e">
        <f xml:space="preserve"> [1]!'5880.TW-PreClose'</f>
        <v>#REF!</v>
      </c>
      <c r="F75" s="71">
        <v>5242852</v>
      </c>
      <c r="G75" s="288" t="e">
        <f t="shared" si="4"/>
        <v>#REF!</v>
      </c>
      <c r="H75" s="26" t="e">
        <f xml:space="preserve"> [1]!'5880.Tw-Price'</f>
        <v>#REF!</v>
      </c>
      <c r="I75" s="26" t="e">
        <f xml:space="preserve"> [1]!'5880.Tw-bestbid1'</f>
        <v>#REF!</v>
      </c>
      <c r="J75" s="26" t="e">
        <f xml:space="preserve"> [1]!'5880.Tw-bestask1'</f>
        <v>#REF!</v>
      </c>
      <c r="K75" s="288" t="e">
        <f t="shared" si="5"/>
        <v>#REF!</v>
      </c>
      <c r="L75" s="288" t="e">
        <f t="shared" si="6"/>
        <v>#REF!</v>
      </c>
      <c r="M75" s="288" t="e">
        <f t="shared" si="7"/>
        <v>#REF!</v>
      </c>
    </row>
    <row r="76" spans="1:13">
      <c r="A76" s="409" t="e">
        <f t="shared" si="3"/>
        <v>#REF!</v>
      </c>
      <c r="B76" s="26" t="s">
        <v>204</v>
      </c>
      <c r="C76" s="26" t="s">
        <v>2648</v>
      </c>
      <c r="D76" s="26">
        <v>1</v>
      </c>
      <c r="E76" s="57" t="e">
        <f xml:space="preserve"> [1]!'6505.TW-PreClose'</f>
        <v>#REF!</v>
      </c>
      <c r="F76" s="71">
        <v>23351109</v>
      </c>
      <c r="G76" s="288" t="e">
        <f t="shared" si="4"/>
        <v>#REF!</v>
      </c>
      <c r="H76" s="26" t="e">
        <f xml:space="preserve"> [1]!'6505.Tw-Price'</f>
        <v>#REF!</v>
      </c>
      <c r="I76" s="26" t="e">
        <f xml:space="preserve"> [1]!'6505.Tw-bestbid1'</f>
        <v>#REF!</v>
      </c>
      <c r="J76" s="26" t="e">
        <f xml:space="preserve"> [1]!'6505.Tw-bestask1'</f>
        <v>#REF!</v>
      </c>
      <c r="K76" s="288" t="e">
        <f t="shared" si="5"/>
        <v>#REF!</v>
      </c>
      <c r="L76" s="288" t="e">
        <f t="shared" si="6"/>
        <v>#REF!</v>
      </c>
      <c r="M76" s="288" t="e">
        <f t="shared" si="7"/>
        <v>#REF!</v>
      </c>
    </row>
    <row r="77" spans="1:13">
      <c r="A77" s="409" t="e">
        <f t="shared" si="3"/>
        <v>#REF!</v>
      </c>
      <c r="B77" s="26" t="s">
        <v>205</v>
      </c>
      <c r="C77" s="26" t="s">
        <v>2649</v>
      </c>
      <c r="D77" s="26">
        <v>1</v>
      </c>
      <c r="E77" s="57" t="e">
        <f xml:space="preserve"> [1]!'9904.TW-PreClose'</f>
        <v>#REF!</v>
      </c>
      <c r="F77" s="71">
        <v>3625237</v>
      </c>
      <c r="G77" s="288" t="e">
        <f t="shared" si="4"/>
        <v>#REF!</v>
      </c>
      <c r="H77" s="26" t="e">
        <f xml:space="preserve"> [1]!'9904.Tw-Price'</f>
        <v>#REF!</v>
      </c>
      <c r="I77" s="26" t="e">
        <f xml:space="preserve"> [1]!'9904.Tw-bestbid1'</f>
        <v>#REF!</v>
      </c>
      <c r="J77" s="26" t="e">
        <f xml:space="preserve"> [1]!'9904.Tw-bestask1'</f>
        <v>#REF!</v>
      </c>
      <c r="K77" s="288" t="e">
        <f t="shared" si="5"/>
        <v>#REF!</v>
      </c>
      <c r="L77" s="288" t="e">
        <f t="shared" si="6"/>
        <v>#REF!</v>
      </c>
      <c r="M77" s="288" t="e">
        <f t="shared" si="7"/>
        <v>#REF!</v>
      </c>
    </row>
    <row r="78" spans="1:13">
      <c r="A78" s="409" t="e">
        <f t="shared" si="3"/>
        <v>#REF!</v>
      </c>
      <c r="B78" s="26" t="s">
        <v>2654</v>
      </c>
      <c r="C78" s="26" t="s">
        <v>2650</v>
      </c>
      <c r="D78" s="26">
        <v>1</v>
      </c>
      <c r="E78" s="57" t="e">
        <f xml:space="preserve"> [1]!'9910.TW-PreClose'</f>
        <v>#REF!</v>
      </c>
      <c r="F78" s="71">
        <v>7049136</v>
      </c>
      <c r="G78" s="288" t="e">
        <f t="shared" si="4"/>
        <v>#REF!</v>
      </c>
      <c r="H78" s="26" t="e">
        <f xml:space="preserve"> [1]!'9910.TW-Price'</f>
        <v>#REF!</v>
      </c>
      <c r="I78" s="26" t="e">
        <f xml:space="preserve"> [1]!'9910.TW-BestBid1'</f>
        <v>#REF!</v>
      </c>
      <c r="J78" s="26" t="e">
        <f xml:space="preserve"> [1]!'9910.TW-BestAsk1'</f>
        <v>#REF!</v>
      </c>
      <c r="K78" s="288" t="e">
        <f t="shared" si="5"/>
        <v>#REF!</v>
      </c>
      <c r="L78" s="288" t="e">
        <f t="shared" si="6"/>
        <v>#REF!</v>
      </c>
      <c r="M78" s="288" t="e">
        <f t="shared" si="7"/>
        <v>#REF!</v>
      </c>
    </row>
  </sheetData>
  <mergeCells count="3">
    <mergeCell ref="F1:F2"/>
    <mergeCell ref="F3:F4"/>
    <mergeCell ref="F5:F6"/>
  </mergeCells>
  <phoneticPr fontId="0" type="noConversion"/>
  <conditionalFormatting sqref="A19:A23">
    <cfRule type="cellIs" dxfId="3" priority="1" operator="lessThan">
      <formula>0</formula>
    </cfRule>
  </conditionalFormatting>
  <pageMargins left="0.75" right="0.75" top="1" bottom="1" header="0.5" footer="0.5"/>
  <pageSetup paperSize="9" scale="3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4755" r:id="rId4" name="CommandButton1">
          <controlPr defaultSize="0" autoLine="0" r:id="rId5">
            <anchor moveWithCells="1">
              <from>
                <xdr:col>13</xdr:col>
                <xdr:colOff>276225</xdr:colOff>
                <xdr:row>28</xdr:row>
                <xdr:rowOff>19050</xdr:rowOff>
              </from>
              <to>
                <xdr:col>14</xdr:col>
                <xdr:colOff>352425</xdr:colOff>
                <xdr:row>29</xdr:row>
                <xdr:rowOff>171450</xdr:rowOff>
              </to>
            </anchor>
          </controlPr>
        </control>
      </mc:Choice>
      <mc:Fallback>
        <control shapeId="74755" r:id="rId4" name="CommandButton1"/>
      </mc:Fallback>
    </mc:AlternateContent>
    <mc:AlternateContent xmlns:mc="http://schemas.openxmlformats.org/markup-compatibility/2006">
      <mc:Choice Requires="x14">
        <control shapeId="74756" r:id="rId6" name="Button 4">
          <controlPr defaultSize="0" print="0" autoFill="0" autoPict="0" macro="[0]!getXQKGIDDE">
            <anchor moveWithCells="1" sizeWithCells="1">
              <from>
                <xdr:col>4</xdr:col>
                <xdr:colOff>114300</xdr:colOff>
                <xdr:row>22</xdr:row>
                <xdr:rowOff>104775</xdr:rowOff>
              </from>
              <to>
                <xdr:col>4</xdr:col>
                <xdr:colOff>790575</xdr:colOff>
                <xdr:row>23</xdr:row>
                <xdr:rowOff>133350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A1:N23"/>
  <sheetViews>
    <sheetView workbookViewId="0">
      <selection activeCell="A2" sqref="A2"/>
    </sheetView>
  </sheetViews>
  <sheetFormatPr defaultRowHeight="16.5"/>
  <cols>
    <col min="1" max="1" width="11.875" customWidth="1"/>
    <col min="2" max="2" width="16.875" customWidth="1"/>
    <col min="3" max="3" width="17.5" customWidth="1"/>
    <col min="4" max="4" width="15.875" customWidth="1"/>
    <col min="5" max="5" width="14.625" customWidth="1"/>
    <col min="6" max="6" width="13.75" customWidth="1"/>
    <col min="7" max="7" width="15.625" customWidth="1"/>
    <col min="8" max="8" width="11.75" customWidth="1"/>
    <col min="9" max="9" width="11.625" customWidth="1"/>
    <col min="10" max="10" width="16.625" customWidth="1"/>
    <col min="11" max="11" width="20.375" customWidth="1"/>
    <col min="12" max="12" width="20.875" customWidth="1"/>
    <col min="13" max="13" width="18.25" customWidth="1"/>
    <col min="14" max="14" width="14.875" customWidth="1"/>
    <col min="17" max="17" width="10.25" bestFit="1" customWidth="1"/>
  </cols>
  <sheetData>
    <row r="1" spans="1:14" s="23" customFormat="1">
      <c r="A1" s="53" t="s">
        <v>248</v>
      </c>
      <c r="B1" s="82" t="s">
        <v>350</v>
      </c>
      <c r="C1" s="53" t="s">
        <v>258</v>
      </c>
      <c r="D1" s="82" t="s">
        <v>342</v>
      </c>
      <c r="E1" s="28" t="s">
        <v>259</v>
      </c>
      <c r="F1" s="514" t="s">
        <v>348</v>
      </c>
      <c r="G1" s="62" t="s">
        <v>157</v>
      </c>
      <c r="H1" s="9" t="s">
        <v>52</v>
      </c>
      <c r="I1" s="10" t="s">
        <v>53</v>
      </c>
      <c r="J1" s="32" t="s">
        <v>255</v>
      </c>
      <c r="K1" s="53" t="s">
        <v>256</v>
      </c>
      <c r="L1" s="53" t="s">
        <v>257</v>
      </c>
    </row>
    <row r="2" spans="1:14" ht="17.25" thickBot="1">
      <c r="A2" s="34" t="s">
        <v>71</v>
      </c>
      <c r="B2" s="27">
        <f>C2/100000000</f>
        <v>6.9509600000000002</v>
      </c>
      <c r="C2" s="33">
        <f>'ETF Update'!D11*1000</f>
        <v>695096000</v>
      </c>
      <c r="D2" s="27">
        <f>'ETF Update'!E11</f>
        <v>37654</v>
      </c>
      <c r="E2" s="29">
        <f>'ETF Update'!C11</f>
        <v>18.46</v>
      </c>
      <c r="F2" s="515"/>
      <c r="G2" s="63" t="e">
        <f>J2/D2/1000</f>
        <v>#REF!</v>
      </c>
      <c r="H2" s="64" t="e">
        <f>K2/D2/1000</f>
        <v>#REF!</v>
      </c>
      <c r="I2" s="65" t="e">
        <f>L2/D2/1000</f>
        <v>#REF!</v>
      </c>
      <c r="J2" s="30" t="e">
        <f>C2+(SUM(K5:K182)-SUM(G5:G182))-N5</f>
        <v>#REF!</v>
      </c>
      <c r="K2" s="31" t="e">
        <f>C2+(SUM(L5:L182)-SUM(G5:G182))-N5</f>
        <v>#REF!</v>
      </c>
      <c r="L2" s="31" t="e">
        <f>C2+(SUM(M5:M182)-SUM(G5:G182))-N5</f>
        <v>#REF!</v>
      </c>
    </row>
    <row r="3" spans="1:14" ht="17.25" thickBot="1"/>
    <row r="4" spans="1:14">
      <c r="A4" s="17" t="s">
        <v>18</v>
      </c>
      <c r="B4" s="18" t="s">
        <v>24</v>
      </c>
      <c r="C4" s="18" t="s">
        <v>19</v>
      </c>
      <c r="D4" s="18" t="s">
        <v>20</v>
      </c>
      <c r="E4" s="18" t="s">
        <v>47</v>
      </c>
      <c r="F4" s="18" t="s">
        <v>244</v>
      </c>
      <c r="G4" s="18" t="s">
        <v>261</v>
      </c>
      <c r="H4" s="18" t="s">
        <v>157</v>
      </c>
      <c r="I4" s="18" t="s">
        <v>52</v>
      </c>
      <c r="J4" s="18" t="s">
        <v>53</v>
      </c>
      <c r="K4" s="18" t="s">
        <v>252</v>
      </c>
      <c r="L4" s="18" t="s">
        <v>253</v>
      </c>
      <c r="M4" s="19" t="s">
        <v>254</v>
      </c>
      <c r="N4" s="60" t="s">
        <v>22</v>
      </c>
    </row>
    <row r="5" spans="1:14" ht="17.25" thickBot="1">
      <c r="A5" s="413" t="e">
        <f t="shared" ref="A5:A23" si="0">G5/$C$2</f>
        <v>#REF!</v>
      </c>
      <c r="B5" s="26" t="s">
        <v>246</v>
      </c>
      <c r="C5" s="26" t="s">
        <v>247</v>
      </c>
      <c r="D5" s="26">
        <v>1000</v>
      </c>
      <c r="E5" s="406" t="e">
        <f xml:space="preserve"> [1]!'FITF*1.TF-PreClose'</f>
        <v>#REF!</v>
      </c>
      <c r="F5" s="6">
        <v>30</v>
      </c>
      <c r="G5" s="287" t="e">
        <f>D5*E5*F5</f>
        <v>#REF!</v>
      </c>
      <c r="H5" s="406" t="e">
        <f xml:space="preserve"> [1]!'FITF*1.TF-Price'</f>
        <v>#REF!</v>
      </c>
      <c r="I5" s="406" t="e">
        <f xml:space="preserve"> [1]!'FITF*1.TF-BestBid1'</f>
        <v>#REF!</v>
      </c>
      <c r="J5" s="406" t="e">
        <f xml:space="preserve"> [1]!'FITF*1.TF-BestAsk1'</f>
        <v>#REF!</v>
      </c>
      <c r="K5" s="287" t="e">
        <f>IF(ISNUMBER(H5)=TRUE,H5*D5*F5,D5*E5*F5)</f>
        <v>#REF!</v>
      </c>
      <c r="L5" s="287" t="e">
        <f>IF(ISNUMBER(I5)=TRUE,I5*D5*F5,D5*E5*F5)</f>
        <v>#REF!</v>
      </c>
      <c r="M5" s="419" t="e">
        <f>IF(ISNUMBER(J5)=TRUE,J5*D5*F5,D5*E5*F5)</f>
        <v>#REF!</v>
      </c>
      <c r="N5" s="410" t="e">
        <f>1.04%/365*(C2+SUM(K5:K171)-SUM(G5:G171))</f>
        <v>#REF!</v>
      </c>
    </row>
    <row r="6" spans="1:14" ht="17.25" thickBot="1">
      <c r="A6" s="415" t="e">
        <f t="shared" si="0"/>
        <v>#REF!</v>
      </c>
      <c r="B6" s="44" t="s">
        <v>246</v>
      </c>
      <c r="C6" s="44" t="s">
        <v>2395</v>
      </c>
      <c r="D6" s="44">
        <v>1001</v>
      </c>
      <c r="E6" s="416" t="e">
        <f xml:space="preserve"> [1]!'FITF*1.TF-PreClose'</f>
        <v>#REF!</v>
      </c>
      <c r="F6" s="359">
        <v>0</v>
      </c>
      <c r="G6" s="418" t="e">
        <f>D6*E6*F6</f>
        <v>#REF!</v>
      </c>
      <c r="H6" s="416" t="e">
        <f xml:space="preserve"> [1]!'FITF*2.TF-Price'</f>
        <v>#REF!</v>
      </c>
      <c r="I6" s="416" t="e">
        <f xml:space="preserve"> [1]!'FITF*2.TF-BestBid1'</f>
        <v>#REF!</v>
      </c>
      <c r="J6" s="416" t="e">
        <f xml:space="preserve"> [1]!'FITF*2.TF-BestAsk1'</f>
        <v>#REF!</v>
      </c>
      <c r="K6" s="418" t="e">
        <f>IF(ISNUMBER(H6)=TRUE,H6*D6*F6,D6*E6*F6)</f>
        <v>#REF!</v>
      </c>
      <c r="L6" s="418" t="e">
        <f>IF(ISNUMBER(I6)=TRUE,I6*D6*F6,D6*E6*F6)</f>
        <v>#REF!</v>
      </c>
      <c r="M6" s="420" t="e">
        <f>IF(ISNUMBER(J6)=TRUE,J6*D6*F6,D6*E6*F6)</f>
        <v>#REF!</v>
      </c>
    </row>
    <row r="7" spans="1:14">
      <c r="A7" s="411" t="e">
        <f t="shared" si="0"/>
        <v>#REF!</v>
      </c>
      <c r="B7" s="246" t="s">
        <v>184</v>
      </c>
      <c r="C7" s="246">
        <v>2801</v>
      </c>
      <c r="D7" s="246">
        <v>1</v>
      </c>
      <c r="E7" s="412" t="e">
        <f xml:space="preserve"> [1]!'2801.TW-PreClose'</f>
        <v>#REF!</v>
      </c>
      <c r="F7" s="417">
        <v>1164856</v>
      </c>
      <c r="G7" s="417" t="e">
        <f>D7*E7*F7</f>
        <v>#REF!</v>
      </c>
      <c r="H7" s="412" t="e">
        <f xml:space="preserve"> [1]!'2801.Tw-Price'</f>
        <v>#REF!</v>
      </c>
      <c r="I7" s="412" t="e">
        <f xml:space="preserve"> [1]!'2801.Tw-bestbid1'</f>
        <v>#REF!</v>
      </c>
      <c r="J7" s="412" t="e">
        <f xml:space="preserve"> [1]!'2801.Tw-bestask1'</f>
        <v>#REF!</v>
      </c>
      <c r="K7" s="417" t="e">
        <f>IF(ISNUMBER(H7)=TRUE,H7*D7*F7,D7*E7*F7)</f>
        <v>#REF!</v>
      </c>
      <c r="L7" s="417" t="e">
        <f>IF(ISNUMBER(I7)=TRUE,I7*D7*F7,D7*E7*F7)</f>
        <v>#REF!</v>
      </c>
      <c r="M7" s="421" t="e">
        <f>IF(ISNUMBER(J7)=TRUE,J7*D7*F7,D7*E7*F7)</f>
        <v>#REF!</v>
      </c>
    </row>
    <row r="8" spans="1:14">
      <c r="A8" s="37" t="e">
        <f t="shared" si="0"/>
        <v>#REF!</v>
      </c>
      <c r="B8" s="26" t="s">
        <v>185</v>
      </c>
      <c r="C8" s="26">
        <v>2823</v>
      </c>
      <c r="D8" s="26">
        <v>1</v>
      </c>
      <c r="E8" s="406" t="e">
        <f xml:space="preserve"> [1]!'2823.TW-PreClose'</f>
        <v>#REF!</v>
      </c>
      <c r="F8" s="287">
        <v>609128</v>
      </c>
      <c r="G8" s="287" t="e">
        <f t="shared" ref="G8:G21" si="1">D8*E8*F8</f>
        <v>#REF!</v>
      </c>
      <c r="H8" s="406" t="e">
        <f xml:space="preserve"> [1]!'2823.Tw-Price'</f>
        <v>#REF!</v>
      </c>
      <c r="I8" s="406" t="e">
        <f xml:space="preserve"> [1]!'2823.Tw-bestbid1'</f>
        <v>#REF!</v>
      </c>
      <c r="J8" s="406" t="e">
        <f xml:space="preserve"> [1]!'2823.Tw-bestask1'</f>
        <v>#REF!</v>
      </c>
      <c r="K8" s="287" t="e">
        <f t="shared" ref="K8:K21" si="2">IF(ISNUMBER(H8)=TRUE,H8*D8*F8,D8*E8*F8)</f>
        <v>#REF!</v>
      </c>
      <c r="L8" s="287" t="e">
        <f t="shared" ref="L8:L21" si="3">IF(ISNUMBER(I8)=TRUE,I8*D8*F8,D8*E8*F8)</f>
        <v>#REF!</v>
      </c>
      <c r="M8" s="287" t="e">
        <f t="shared" ref="M8:M21" si="4">IF(ISNUMBER(J8)=TRUE,J8*D8*F8,D8*E8*F8)</f>
        <v>#REF!</v>
      </c>
    </row>
    <row r="9" spans="1:14">
      <c r="A9" s="37" t="e">
        <f t="shared" si="0"/>
        <v>#REF!</v>
      </c>
      <c r="B9" s="26" t="s">
        <v>206</v>
      </c>
      <c r="C9" s="26">
        <v>2834</v>
      </c>
      <c r="D9" s="26">
        <v>1</v>
      </c>
      <c r="E9" s="406" t="e">
        <f xml:space="preserve"> [1]!'2834.TW-PreClose'</f>
        <v>#REF!</v>
      </c>
      <c r="F9" s="287">
        <v>912501</v>
      </c>
      <c r="G9" s="287" t="e">
        <f t="shared" si="1"/>
        <v>#REF!</v>
      </c>
      <c r="H9" s="406" t="e">
        <f xml:space="preserve"> [1]!'2834.TW-Price'</f>
        <v>#REF!</v>
      </c>
      <c r="I9" s="406" t="e">
        <f xml:space="preserve"> [1]!'2834.TW-BestBid1'</f>
        <v>#REF!</v>
      </c>
      <c r="J9" s="406" t="e">
        <f xml:space="preserve"> [1]!'2834.TW-BestAsk1'</f>
        <v>#REF!</v>
      </c>
      <c r="K9" s="287" t="e">
        <f t="shared" si="2"/>
        <v>#REF!</v>
      </c>
      <c r="L9" s="287" t="e">
        <f t="shared" si="3"/>
        <v>#REF!</v>
      </c>
      <c r="M9" s="287" t="e">
        <f t="shared" si="4"/>
        <v>#REF!</v>
      </c>
    </row>
    <row r="10" spans="1:14">
      <c r="A10" s="37" t="e">
        <f t="shared" si="0"/>
        <v>#REF!</v>
      </c>
      <c r="B10" s="26" t="s">
        <v>186</v>
      </c>
      <c r="C10" s="26">
        <v>2880</v>
      </c>
      <c r="D10" s="26">
        <v>1</v>
      </c>
      <c r="E10" s="406" t="e">
        <f xml:space="preserve"> [1]!'2880.TW-PreClose'</f>
        <v>#REF!</v>
      </c>
      <c r="F10" s="287">
        <v>1776834</v>
      </c>
      <c r="G10" s="287" t="e">
        <f t="shared" si="1"/>
        <v>#REF!</v>
      </c>
      <c r="H10" s="406" t="e">
        <f xml:space="preserve"> [1]!'2880.Tw-Price'</f>
        <v>#REF!</v>
      </c>
      <c r="I10" s="406" t="e">
        <f xml:space="preserve"> [1]!'2880.Tw-bestbid1'</f>
        <v>#REF!</v>
      </c>
      <c r="J10" s="406" t="e">
        <f xml:space="preserve"> [1]!'2880.Tw-bestask1'</f>
        <v>#REF!</v>
      </c>
      <c r="K10" s="287" t="e">
        <f t="shared" si="2"/>
        <v>#REF!</v>
      </c>
      <c r="L10" s="287" t="e">
        <f t="shared" si="3"/>
        <v>#REF!</v>
      </c>
      <c r="M10" s="287" t="e">
        <f t="shared" si="4"/>
        <v>#REF!</v>
      </c>
    </row>
    <row r="11" spans="1:14">
      <c r="A11" s="37" t="e">
        <f t="shared" si="0"/>
        <v>#REF!</v>
      </c>
      <c r="B11" s="26" t="s">
        <v>187</v>
      </c>
      <c r="C11" s="26">
        <v>2881</v>
      </c>
      <c r="D11" s="26">
        <v>1</v>
      </c>
      <c r="E11" s="406" t="e">
        <f xml:space="preserve"> [1]!'2881.TW-PreClose'</f>
        <v>#REF!</v>
      </c>
      <c r="F11" s="287">
        <v>1646262</v>
      </c>
      <c r="G11" s="287" t="e">
        <f t="shared" si="1"/>
        <v>#REF!</v>
      </c>
      <c r="H11" s="406" t="e">
        <f xml:space="preserve"> [1]!'2881.Tw-Price'</f>
        <v>#REF!</v>
      </c>
      <c r="I11" s="406" t="e">
        <f xml:space="preserve"> [1]!'2881.Tw-bestbid1'</f>
        <v>#REF!</v>
      </c>
      <c r="J11" s="406" t="e">
        <f xml:space="preserve"> [1]!'2881.Tw-bestask1'</f>
        <v>#REF!</v>
      </c>
      <c r="K11" s="287" t="e">
        <f t="shared" si="2"/>
        <v>#REF!</v>
      </c>
      <c r="L11" s="287" t="e">
        <f t="shared" si="3"/>
        <v>#REF!</v>
      </c>
      <c r="M11" s="287" t="e">
        <f t="shared" si="4"/>
        <v>#REF!</v>
      </c>
    </row>
    <row r="12" spans="1:14">
      <c r="A12" s="37" t="e">
        <f t="shared" si="0"/>
        <v>#REF!</v>
      </c>
      <c r="B12" s="26" t="s">
        <v>188</v>
      </c>
      <c r="C12" s="26">
        <v>2882</v>
      </c>
      <c r="D12" s="26">
        <v>1</v>
      </c>
      <c r="E12" s="406" t="e">
        <f xml:space="preserve"> [1]!'2882.TW-PreClose'</f>
        <v>#REF!</v>
      </c>
      <c r="F12" s="287">
        <v>2020492</v>
      </c>
      <c r="G12" s="287" t="e">
        <f t="shared" si="1"/>
        <v>#REF!</v>
      </c>
      <c r="H12" s="406" t="e">
        <f xml:space="preserve"> [1]!'2882.Tw-Price'</f>
        <v>#REF!</v>
      </c>
      <c r="I12" s="406" t="e">
        <f xml:space="preserve"> [1]!'2882.Tw-bestbid1'</f>
        <v>#REF!</v>
      </c>
      <c r="J12" s="406" t="e">
        <f xml:space="preserve"> [1]!'2882.Tw-bestask1'</f>
        <v>#REF!</v>
      </c>
      <c r="K12" s="287" t="e">
        <f t="shared" si="2"/>
        <v>#REF!</v>
      </c>
      <c r="L12" s="287" t="e">
        <f t="shared" si="3"/>
        <v>#REF!</v>
      </c>
      <c r="M12" s="287" t="e">
        <f t="shared" si="4"/>
        <v>#REF!</v>
      </c>
    </row>
    <row r="13" spans="1:14">
      <c r="A13" s="37" t="e">
        <f t="shared" si="0"/>
        <v>#REF!</v>
      </c>
      <c r="B13" s="26" t="s">
        <v>189</v>
      </c>
      <c r="C13" s="26">
        <v>2883</v>
      </c>
      <c r="D13" s="26">
        <v>1</v>
      </c>
      <c r="E13" s="406" t="e">
        <f xml:space="preserve"> [1]!'2883.TW-PreClose'</f>
        <v>#REF!</v>
      </c>
      <c r="F13" s="287">
        <v>3335425</v>
      </c>
      <c r="G13" s="287" t="e">
        <f t="shared" si="1"/>
        <v>#REF!</v>
      </c>
      <c r="H13" s="406" t="e">
        <f xml:space="preserve"> [1]!'2883.Tw-Price'</f>
        <v>#REF!</v>
      </c>
      <c r="I13" s="406" t="e">
        <f xml:space="preserve"> [1]!'2883.Tw-bestbid1'</f>
        <v>#REF!</v>
      </c>
      <c r="J13" s="406" t="e">
        <f xml:space="preserve"> [1]!'2883.Tw-bestask1'</f>
        <v>#REF!</v>
      </c>
      <c r="K13" s="287" t="e">
        <f t="shared" si="2"/>
        <v>#REF!</v>
      </c>
      <c r="L13" s="287" t="e">
        <f t="shared" si="3"/>
        <v>#REF!</v>
      </c>
      <c r="M13" s="287" t="e">
        <f t="shared" si="4"/>
        <v>#REF!</v>
      </c>
    </row>
    <row r="14" spans="1:14">
      <c r="A14" s="37" t="e">
        <f t="shared" si="0"/>
        <v>#REF!</v>
      </c>
      <c r="B14" s="26" t="s">
        <v>190</v>
      </c>
      <c r="C14" s="26">
        <v>2884</v>
      </c>
      <c r="D14" s="26">
        <v>1</v>
      </c>
      <c r="E14" s="406" t="e">
        <f xml:space="preserve"> [1]!'2884.TW-PreClose'</f>
        <v>#REF!</v>
      </c>
      <c r="F14" s="287">
        <v>2264054</v>
      </c>
      <c r="G14" s="287" t="e">
        <f t="shared" si="1"/>
        <v>#REF!</v>
      </c>
      <c r="H14" s="406" t="e">
        <f xml:space="preserve"> [1]!'2884.Tw-Price'</f>
        <v>#REF!</v>
      </c>
      <c r="I14" s="406" t="e">
        <f xml:space="preserve"> [1]!'2884.Tw-bestbid1'</f>
        <v>#REF!</v>
      </c>
      <c r="J14" s="406" t="e">
        <f xml:space="preserve"> [1]!'2884.Tw-bestask1'</f>
        <v>#REF!</v>
      </c>
      <c r="K14" s="287" t="e">
        <f t="shared" si="2"/>
        <v>#REF!</v>
      </c>
      <c r="L14" s="287" t="e">
        <f t="shared" si="3"/>
        <v>#REF!</v>
      </c>
      <c r="M14" s="287" t="e">
        <f t="shared" si="4"/>
        <v>#REF!</v>
      </c>
    </row>
    <row r="15" spans="1:14">
      <c r="A15" s="37" t="e">
        <f t="shared" si="0"/>
        <v>#REF!</v>
      </c>
      <c r="B15" s="26" t="s">
        <v>191</v>
      </c>
      <c r="C15" s="26">
        <v>2885</v>
      </c>
      <c r="D15" s="26">
        <v>1</v>
      </c>
      <c r="E15" s="406" t="e">
        <f xml:space="preserve"> [1]!'2885.TW-PreClose'</f>
        <v>#REF!</v>
      </c>
      <c r="F15" s="287">
        <v>2524173</v>
      </c>
      <c r="G15" s="287" t="e">
        <f t="shared" si="1"/>
        <v>#REF!</v>
      </c>
      <c r="H15" s="406" t="e">
        <f xml:space="preserve"> [1]!'2885.Tw-Price'</f>
        <v>#REF!</v>
      </c>
      <c r="I15" s="406" t="e">
        <f xml:space="preserve"> [1]!'2885.Tw-bestbid1'</f>
        <v>#REF!</v>
      </c>
      <c r="J15" s="406" t="e">
        <f xml:space="preserve"> [1]!'2885.Tw-bestask1'</f>
        <v>#REF!</v>
      </c>
      <c r="K15" s="287" t="e">
        <f t="shared" si="2"/>
        <v>#REF!</v>
      </c>
      <c r="L15" s="287" t="e">
        <f t="shared" si="3"/>
        <v>#REF!</v>
      </c>
      <c r="M15" s="287" t="e">
        <f t="shared" si="4"/>
        <v>#REF!</v>
      </c>
    </row>
    <row r="16" spans="1:14">
      <c r="A16" s="37" t="e">
        <f t="shared" si="0"/>
        <v>#REF!</v>
      </c>
      <c r="B16" s="26" t="s">
        <v>192</v>
      </c>
      <c r="C16" s="26">
        <v>2886</v>
      </c>
      <c r="D16" s="26">
        <v>1</v>
      </c>
      <c r="E16" s="406" t="e">
        <f xml:space="preserve"> [1]!'2886.TW-PreClose'</f>
        <v>#REF!</v>
      </c>
      <c r="F16" s="287">
        <v>2692888</v>
      </c>
      <c r="G16" s="287" t="e">
        <f t="shared" si="1"/>
        <v>#REF!</v>
      </c>
      <c r="H16" s="406" t="e">
        <f xml:space="preserve"> [1]!'2886.Tw-Price'</f>
        <v>#REF!</v>
      </c>
      <c r="I16" s="406" t="e">
        <f xml:space="preserve"> [1]!'2886.Tw-bestbid1'</f>
        <v>#REF!</v>
      </c>
      <c r="J16" s="406" t="e">
        <f xml:space="preserve"> [1]!'2886.Tw-bestask1'</f>
        <v>#REF!</v>
      </c>
      <c r="K16" s="287" t="e">
        <f t="shared" si="2"/>
        <v>#REF!</v>
      </c>
      <c r="L16" s="287" t="e">
        <f t="shared" si="3"/>
        <v>#REF!</v>
      </c>
      <c r="M16" s="287" t="e">
        <f t="shared" si="4"/>
        <v>#REF!</v>
      </c>
    </row>
    <row r="17" spans="1:13">
      <c r="A17" s="37" t="e">
        <f t="shared" si="0"/>
        <v>#REF!</v>
      </c>
      <c r="B17" s="26" t="s">
        <v>193</v>
      </c>
      <c r="C17" s="26">
        <v>2887</v>
      </c>
      <c r="D17" s="26">
        <v>1</v>
      </c>
      <c r="E17" s="406" t="e">
        <f xml:space="preserve"> [1]!'2887.TW-PreClose'</f>
        <v>#REF!</v>
      </c>
      <c r="F17" s="287">
        <v>2346713</v>
      </c>
      <c r="G17" s="287" t="e">
        <f t="shared" si="1"/>
        <v>#REF!</v>
      </c>
      <c r="H17" s="406" t="e">
        <f xml:space="preserve"> [1]!'2887.Tw-Price'</f>
        <v>#REF!</v>
      </c>
      <c r="I17" s="406" t="e">
        <f xml:space="preserve"> [1]!'2887.Tw-bestbid1'</f>
        <v>#REF!</v>
      </c>
      <c r="J17" s="406" t="e">
        <f xml:space="preserve"> [1]!'2887.Tw-bestask1'</f>
        <v>#REF!</v>
      </c>
      <c r="K17" s="287" t="e">
        <f t="shared" si="2"/>
        <v>#REF!</v>
      </c>
      <c r="L17" s="287" t="e">
        <f t="shared" si="3"/>
        <v>#REF!</v>
      </c>
      <c r="M17" s="287" t="e">
        <f t="shared" si="4"/>
        <v>#REF!</v>
      </c>
    </row>
    <row r="18" spans="1:13">
      <c r="A18" s="37" t="e">
        <f t="shared" si="0"/>
        <v>#REF!</v>
      </c>
      <c r="B18" s="26" t="s">
        <v>207</v>
      </c>
      <c r="C18" s="26">
        <v>2888</v>
      </c>
      <c r="D18" s="26">
        <v>1</v>
      </c>
      <c r="E18" s="406" t="e">
        <f xml:space="preserve"> [1]!'2888.TW-PreClose'</f>
        <v>#REF!</v>
      </c>
      <c r="F18" s="287">
        <v>2025322</v>
      </c>
      <c r="G18" s="287" t="e">
        <f t="shared" si="1"/>
        <v>#REF!</v>
      </c>
      <c r="H18" s="406" t="e">
        <f xml:space="preserve"> [1]!'2888.TW-Price'</f>
        <v>#REF!</v>
      </c>
      <c r="I18" s="406" t="e">
        <f xml:space="preserve"> [1]!'2888.TW-BestBid1'</f>
        <v>#REF!</v>
      </c>
      <c r="J18" s="406" t="e">
        <f xml:space="preserve"> [1]!'2888.TW-BestAsk1'</f>
        <v>#REF!</v>
      </c>
      <c r="K18" s="287" t="e">
        <f t="shared" si="2"/>
        <v>#REF!</v>
      </c>
      <c r="L18" s="287" t="e">
        <f t="shared" si="3"/>
        <v>#REF!</v>
      </c>
      <c r="M18" s="287" t="e">
        <f t="shared" si="4"/>
        <v>#REF!</v>
      </c>
    </row>
    <row r="19" spans="1:13">
      <c r="A19" s="37" t="e">
        <f t="shared" si="0"/>
        <v>#REF!</v>
      </c>
      <c r="B19" s="26" t="s">
        <v>194</v>
      </c>
      <c r="C19" s="26">
        <v>2890</v>
      </c>
      <c r="D19" s="26">
        <v>1</v>
      </c>
      <c r="E19" s="406" t="e">
        <f xml:space="preserve"> [1]!'2890.TW-PreClose'</f>
        <v>#REF!</v>
      </c>
      <c r="F19" s="287">
        <v>2598352</v>
      </c>
      <c r="G19" s="287" t="e">
        <f t="shared" si="1"/>
        <v>#REF!</v>
      </c>
      <c r="H19" s="406" t="e">
        <f xml:space="preserve"> [1]!'2890.Tw-Price'</f>
        <v>#REF!</v>
      </c>
      <c r="I19" s="406" t="e">
        <f xml:space="preserve"> [1]!'2890.Tw-bestbid1'</f>
        <v>#REF!</v>
      </c>
      <c r="J19" s="406" t="e">
        <f xml:space="preserve"> [1]!'2890.Tw-bestask1'</f>
        <v>#REF!</v>
      </c>
      <c r="K19" s="287" t="e">
        <f t="shared" si="2"/>
        <v>#REF!</v>
      </c>
      <c r="L19" s="287" t="e">
        <f t="shared" si="3"/>
        <v>#REF!</v>
      </c>
      <c r="M19" s="287" t="e">
        <f t="shared" si="4"/>
        <v>#REF!</v>
      </c>
    </row>
    <row r="20" spans="1:13">
      <c r="A20" s="37" t="e">
        <f t="shared" si="0"/>
        <v>#REF!</v>
      </c>
      <c r="B20" s="26" t="s">
        <v>195</v>
      </c>
      <c r="C20" s="26">
        <v>2891</v>
      </c>
      <c r="D20" s="26">
        <v>1</v>
      </c>
      <c r="E20" s="406" t="e">
        <f xml:space="preserve"> [1]!'2891.TW-PreClose'</f>
        <v>#REF!</v>
      </c>
      <c r="F20" s="287">
        <v>4341930</v>
      </c>
      <c r="G20" s="287" t="e">
        <f t="shared" si="1"/>
        <v>#REF!</v>
      </c>
      <c r="H20" s="406" t="e">
        <f xml:space="preserve"> [1]!'2891.Tw-Price'</f>
        <v>#REF!</v>
      </c>
      <c r="I20" s="406" t="e">
        <f xml:space="preserve"> [1]!'2891.Tw-bestbid1'</f>
        <v>#REF!</v>
      </c>
      <c r="J20" s="406" t="e">
        <f xml:space="preserve"> [1]!'2891.Tw-bestask1'</f>
        <v>#REF!</v>
      </c>
      <c r="K20" s="287" t="e">
        <f t="shared" si="2"/>
        <v>#REF!</v>
      </c>
      <c r="L20" s="287" t="e">
        <f t="shared" si="3"/>
        <v>#REF!</v>
      </c>
      <c r="M20" s="287" t="e">
        <f t="shared" si="4"/>
        <v>#REF!</v>
      </c>
    </row>
    <row r="21" spans="1:13">
      <c r="A21" s="37" t="e">
        <f t="shared" si="0"/>
        <v>#REF!</v>
      </c>
      <c r="B21" s="26" t="s">
        <v>196</v>
      </c>
      <c r="C21" s="26">
        <v>2892</v>
      </c>
      <c r="D21" s="26">
        <v>1</v>
      </c>
      <c r="E21" s="406" t="e">
        <f xml:space="preserve"> [1]!'2892.TW-PreClose'</f>
        <v>#REF!</v>
      </c>
      <c r="F21" s="287">
        <v>2267361</v>
      </c>
      <c r="G21" s="287" t="e">
        <f t="shared" si="1"/>
        <v>#REF!</v>
      </c>
      <c r="H21" s="406" t="e">
        <f xml:space="preserve"> [1]!'2892.Tw-Price'</f>
        <v>#REF!</v>
      </c>
      <c r="I21" s="406" t="e">
        <f xml:space="preserve"> [1]!'2892.Tw-bestbid1'</f>
        <v>#REF!</v>
      </c>
      <c r="J21" s="406" t="e">
        <f xml:space="preserve"> [1]!'2892.Tw-bestask1'</f>
        <v>#REF!</v>
      </c>
      <c r="K21" s="287" t="e">
        <f t="shared" si="2"/>
        <v>#REF!</v>
      </c>
      <c r="L21" s="287" t="e">
        <f t="shared" si="3"/>
        <v>#REF!</v>
      </c>
      <c r="M21" s="287" t="e">
        <f t="shared" si="4"/>
        <v>#REF!</v>
      </c>
    </row>
    <row r="22" spans="1:13">
      <c r="A22" s="37" t="e">
        <f t="shared" si="0"/>
        <v>#REF!</v>
      </c>
      <c r="B22" s="26" t="s">
        <v>208</v>
      </c>
      <c r="C22" s="26">
        <v>5871</v>
      </c>
      <c r="D22" s="26">
        <v>1</v>
      </c>
      <c r="E22" s="406" t="e">
        <f xml:space="preserve"> [1]!'5871.TW-PreClose'</f>
        <v>#REF!</v>
      </c>
      <c r="F22" s="287">
        <v>253752</v>
      </c>
      <c r="G22" s="287" t="e">
        <f>D22*E22*F22</f>
        <v>#REF!</v>
      </c>
      <c r="H22" s="406" t="e">
        <f xml:space="preserve"> [1]!'5871.Tw-Price'</f>
        <v>#REF!</v>
      </c>
      <c r="I22" s="406" t="e">
        <f xml:space="preserve"> [1]!'5871.Tw-bestbid1'</f>
        <v>#REF!</v>
      </c>
      <c r="J22" s="406" t="e">
        <f xml:space="preserve"> [1]!'5871.Tw-bestask1'</f>
        <v>#REF!</v>
      </c>
      <c r="K22" s="287" t="e">
        <f>IF(ISNUMBER(H22)=TRUE,H22*D22*F22,D22*E22*F22)</f>
        <v>#REF!</v>
      </c>
      <c r="L22" s="287" t="e">
        <f>IF(ISNUMBER(I22)=TRUE,I22*D22*F22,D22*E22*F22)</f>
        <v>#REF!</v>
      </c>
      <c r="M22" s="287" t="e">
        <f>IF(ISNUMBER(J22)=TRUE,J22*D22*F22,D22*E22*F22)</f>
        <v>#REF!</v>
      </c>
    </row>
    <row r="23" spans="1:13">
      <c r="A23" s="37" t="e">
        <f t="shared" si="0"/>
        <v>#REF!</v>
      </c>
      <c r="B23" s="26" t="s">
        <v>203</v>
      </c>
      <c r="C23" s="26">
        <v>5880</v>
      </c>
      <c r="D23" s="26">
        <v>1</v>
      </c>
      <c r="E23" s="406" t="e">
        <f xml:space="preserve"> [1]!'5880.TW-PreClose'</f>
        <v>#REF!</v>
      </c>
      <c r="F23" s="287">
        <v>1962618</v>
      </c>
      <c r="G23" s="287" t="e">
        <f>D23*E23*F23</f>
        <v>#REF!</v>
      </c>
      <c r="H23" s="406" t="e">
        <f xml:space="preserve"> [1]!'5880.Tw-Price'</f>
        <v>#REF!</v>
      </c>
      <c r="I23" s="406" t="e">
        <f xml:space="preserve"> [1]!'5880.Tw-bestbid1'</f>
        <v>#REF!</v>
      </c>
      <c r="J23" s="406" t="e">
        <f xml:space="preserve"> [1]!'5880.Tw-bestask1'</f>
        <v>#REF!</v>
      </c>
      <c r="K23" s="287" t="e">
        <f>IF(ISNUMBER(H23)=TRUE,H23*D23*F23,D23*E23*F23)</f>
        <v>#REF!</v>
      </c>
      <c r="L23" s="287" t="e">
        <f>IF(ISNUMBER(I23)=TRUE,I23*D23*F23,D23*E23*F23)</f>
        <v>#REF!</v>
      </c>
      <c r="M23" s="287" t="e">
        <f>IF(ISNUMBER(J23)=TRUE,J23*D23*F23,D23*E23*F23)</f>
        <v>#REF!</v>
      </c>
    </row>
  </sheetData>
  <mergeCells count="1">
    <mergeCell ref="F1:F2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668545" r:id="rId4" name="CommandButton1">
          <controlPr defaultSize="0" autoLine="0" r:id="rId5">
            <anchor moveWithCells="1">
              <from>
                <xdr:col>13</xdr:col>
                <xdr:colOff>209550</xdr:colOff>
                <xdr:row>6</xdr:row>
                <xdr:rowOff>0</xdr:rowOff>
              </from>
              <to>
                <xdr:col>14</xdr:col>
                <xdr:colOff>304800</xdr:colOff>
                <xdr:row>8</xdr:row>
                <xdr:rowOff>19050</xdr:rowOff>
              </to>
            </anchor>
          </controlPr>
        </control>
      </mc:Choice>
      <mc:Fallback>
        <control shapeId="34668545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N36"/>
  <sheetViews>
    <sheetView workbookViewId="0">
      <selection activeCell="E13" sqref="E13"/>
    </sheetView>
  </sheetViews>
  <sheetFormatPr defaultRowHeight="16.5"/>
  <cols>
    <col min="2" max="2" width="15.5" customWidth="1"/>
    <col min="3" max="3" width="16.625" customWidth="1"/>
    <col min="4" max="4" width="14.625" customWidth="1"/>
    <col min="5" max="6" width="15.25" customWidth="1"/>
    <col min="7" max="7" width="14.75" customWidth="1"/>
    <col min="8" max="8" width="9.875" customWidth="1"/>
    <col min="9" max="9" width="11.625" customWidth="1"/>
    <col min="10" max="11" width="19.125" customWidth="1"/>
    <col min="12" max="12" width="21.125" customWidth="1"/>
    <col min="13" max="13" width="19.625" customWidth="1"/>
    <col min="14" max="14" width="12.75" customWidth="1"/>
  </cols>
  <sheetData>
    <row r="1" spans="1:14">
      <c r="A1" s="53" t="s">
        <v>248</v>
      </c>
      <c r="B1" s="82" t="s">
        <v>350</v>
      </c>
      <c r="C1" s="53" t="s">
        <v>258</v>
      </c>
      <c r="D1" s="53" t="s">
        <v>260</v>
      </c>
      <c r="E1" s="28" t="s">
        <v>259</v>
      </c>
      <c r="F1" s="514" t="s">
        <v>348</v>
      </c>
      <c r="G1" s="62" t="s">
        <v>157</v>
      </c>
      <c r="H1" s="9" t="s">
        <v>249</v>
      </c>
      <c r="I1" s="10" t="s">
        <v>250</v>
      </c>
      <c r="J1" s="32" t="s">
        <v>262</v>
      </c>
      <c r="K1" s="53" t="s">
        <v>256</v>
      </c>
      <c r="L1" s="53" t="s">
        <v>257</v>
      </c>
    </row>
    <row r="2" spans="1:14" ht="17.25" thickBot="1">
      <c r="A2" s="34" t="s">
        <v>251</v>
      </c>
      <c r="B2" s="27">
        <f>C2/100000000</f>
        <v>0</v>
      </c>
      <c r="C2" s="33">
        <f>'ETF Update'!D12*1000</f>
        <v>0</v>
      </c>
      <c r="D2" s="33">
        <f>'ETF Update'!E12</f>
        <v>0</v>
      </c>
      <c r="E2" s="29">
        <f>'ETF Update'!C12</f>
        <v>27</v>
      </c>
      <c r="F2" s="515"/>
      <c r="G2" s="63" t="e">
        <f>J2/D2/1000</f>
        <v>#REF!</v>
      </c>
      <c r="H2" s="64" t="e">
        <f>K2/D2/1000</f>
        <v>#REF!</v>
      </c>
      <c r="I2" s="65" t="e">
        <f>L2/D2/1000</f>
        <v>#REF!</v>
      </c>
      <c r="J2" s="30" t="e">
        <f>C2+(SUM(K5:K196)-SUM(G5:G195))-N5</f>
        <v>#REF!</v>
      </c>
      <c r="K2" s="31" t="e">
        <f>C2+(SUM(L5:L196)-SUM(G5:G196))-N5</f>
        <v>#REF!</v>
      </c>
      <c r="L2" s="31" t="e">
        <f>C2+(SUM(M5:M196)-SUM(G5:G196))-N5</f>
        <v>#REF!</v>
      </c>
    </row>
    <row r="3" spans="1:14" ht="17.25" thickBot="1"/>
    <row r="4" spans="1:14" s="23" customFormat="1">
      <c r="A4" s="17" t="s">
        <v>18</v>
      </c>
      <c r="B4" s="18" t="s">
        <v>24</v>
      </c>
      <c r="C4" s="18" t="s">
        <v>19</v>
      </c>
      <c r="D4" s="18" t="s">
        <v>20</v>
      </c>
      <c r="E4" s="18" t="s">
        <v>47</v>
      </c>
      <c r="F4" s="18" t="s">
        <v>244</v>
      </c>
      <c r="G4" s="18" t="s">
        <v>317</v>
      </c>
      <c r="H4" s="18" t="s">
        <v>157</v>
      </c>
      <c r="I4" s="18" t="s">
        <v>52</v>
      </c>
      <c r="J4" s="18" t="s">
        <v>53</v>
      </c>
      <c r="K4" s="18" t="s">
        <v>252</v>
      </c>
      <c r="L4" s="18" t="s">
        <v>253</v>
      </c>
      <c r="M4" s="19" t="s">
        <v>254</v>
      </c>
      <c r="N4" s="60" t="s">
        <v>22</v>
      </c>
    </row>
    <row r="5" spans="1:14" ht="17.25" thickBot="1">
      <c r="A5" s="423" t="e">
        <f t="shared" ref="A5:A36" si="0">G5/$C$2</f>
        <v>#REF!</v>
      </c>
      <c r="B5" s="26" t="s">
        <v>2396</v>
      </c>
      <c r="C5" s="26" t="s">
        <v>243</v>
      </c>
      <c r="D5" s="26">
        <v>200</v>
      </c>
      <c r="E5" s="6" t="e">
        <f xml:space="preserve"> [1]!'FITX*1.TF-PreClose'</f>
        <v>#REF!</v>
      </c>
      <c r="F5" s="6">
        <v>169</v>
      </c>
      <c r="G5" s="6" t="e">
        <f>D5*E5*F5</f>
        <v>#REF!</v>
      </c>
      <c r="H5" s="6" t="e">
        <f xml:space="preserve"> [1]!'FITX*1.TF-Price'</f>
        <v>#REF!</v>
      </c>
      <c r="I5" s="6" t="e">
        <f xml:space="preserve"> [1]!'FITX*1.TF-BestBid1'</f>
        <v>#REF!</v>
      </c>
      <c r="J5" s="6" t="e">
        <f xml:space="preserve"> [1]!'FITX*1.TF-BestAsk1'</f>
        <v>#REF!</v>
      </c>
      <c r="K5" s="6" t="e">
        <f>IF(ISNUMBER(H5)=TRUE,H5*D5*F5,D5*E5*F5)</f>
        <v>#REF!</v>
      </c>
      <c r="L5" s="6" t="e">
        <f>IF(ISNUMBER(I5)=TRUE,I5*D5*F5,D5*E5*F5)</f>
        <v>#REF!</v>
      </c>
      <c r="M5" s="414" t="e">
        <f>IF(ISNUMBER(J5)=TRUE,J5*D5*F5,D5*E5*F5)</f>
        <v>#REF!</v>
      </c>
      <c r="N5" s="410" t="e">
        <f>1.04%/365*(C2+SUM(K7:K171)-SUM(G7:G171))</f>
        <v>#REF!</v>
      </c>
    </row>
    <row r="6" spans="1:14" ht="17.25" thickBot="1">
      <c r="A6" s="424" t="e">
        <f t="shared" si="0"/>
        <v>#REF!</v>
      </c>
      <c r="B6" s="44" t="s">
        <v>2397</v>
      </c>
      <c r="C6" s="44" t="s">
        <v>792</v>
      </c>
      <c r="D6" s="44">
        <v>200</v>
      </c>
      <c r="E6" s="359" t="e">
        <f xml:space="preserve"> [1]!'FITX*1.TF-PreClose'</f>
        <v>#REF!</v>
      </c>
      <c r="F6" s="359">
        <v>0</v>
      </c>
      <c r="G6" s="359" t="e">
        <f>D6*E6*F6</f>
        <v>#REF!</v>
      </c>
      <c r="H6" s="359" t="e">
        <f xml:space="preserve"> [1]!'FITX*1.TF-Price'</f>
        <v>#REF!</v>
      </c>
      <c r="I6" s="359" t="e">
        <f xml:space="preserve"> [1]!'FITX*1.TF-BestBid1'</f>
        <v>#REF!</v>
      </c>
      <c r="J6" s="359" t="e">
        <f xml:space="preserve"> [1]!'FITX*1.TF-BestAsk1'</f>
        <v>#REF!</v>
      </c>
      <c r="K6" s="359" t="e">
        <f>IF(ISNUMBER(H6)=TRUE,H6*D6*F6,D6*E6*F6)</f>
        <v>#REF!</v>
      </c>
      <c r="L6" s="359" t="e">
        <f>IF(ISNUMBER(I6)=TRUE,I6*D6*F6,D6*E6*F6)</f>
        <v>#REF!</v>
      </c>
      <c r="M6" s="11" t="e">
        <f>IF(ISNUMBER(J6)=TRUE,J6*D6*F6,D6*E6*F6)</f>
        <v>#REF!</v>
      </c>
    </row>
    <row r="7" spans="1:14">
      <c r="A7" s="422" t="e">
        <f t="shared" si="0"/>
        <v>#REF!</v>
      </c>
      <c r="B7" s="246" t="s">
        <v>158</v>
      </c>
      <c r="C7" s="246">
        <v>1101</v>
      </c>
      <c r="D7" s="246">
        <v>1</v>
      </c>
      <c r="E7" s="247" t="e">
        <f xml:space="preserve"> [1]!'1101.TW-PreClose'</f>
        <v>#REF!</v>
      </c>
      <c r="F7" s="417">
        <v>6515264</v>
      </c>
      <c r="G7" s="417" t="e">
        <f>D7*E7*F7</f>
        <v>#REF!</v>
      </c>
      <c r="H7" s="247" t="e">
        <f xml:space="preserve"> [1]!'1101.Tw-Price'</f>
        <v>#REF!</v>
      </c>
      <c r="I7" s="247" t="e">
        <f xml:space="preserve"> [1]!'1101.Tw-bestbid1'</f>
        <v>#REF!</v>
      </c>
      <c r="J7" s="247" t="e">
        <f xml:space="preserve"> [1]!'1101.Tw-bestask1'</f>
        <v>#REF!</v>
      </c>
      <c r="K7" s="417" t="e">
        <f>IF(ISNUMBER(H7)=TRUE,H7*D7*F7,D7*E7*F7)</f>
        <v>#REF!</v>
      </c>
      <c r="L7" s="417" t="e">
        <f>IF(ISNUMBER(I7)=TRUE,I7*D7*F7,D7*E7*F7)</f>
        <v>#REF!</v>
      </c>
      <c r="M7" s="417" t="e">
        <f>IF(ISNUMBER(J7)=TRUE,J7*D7*F7,D7*E7*F7)</f>
        <v>#REF!</v>
      </c>
    </row>
    <row r="8" spans="1:14">
      <c r="A8" s="66" t="e">
        <f t="shared" si="0"/>
        <v>#REF!</v>
      </c>
      <c r="B8" s="26" t="s">
        <v>209</v>
      </c>
      <c r="C8" s="26">
        <v>1477</v>
      </c>
      <c r="D8" s="26">
        <v>1</v>
      </c>
      <c r="E8" s="6" t="e">
        <f xml:space="preserve"> [1]!'1477.TW-PreClose'</f>
        <v>#REF!</v>
      </c>
      <c r="F8" s="287">
        <v>1543331</v>
      </c>
      <c r="G8" s="287" t="e">
        <f t="shared" ref="G8:G36" si="1">D8*E8*F8</f>
        <v>#REF!</v>
      </c>
      <c r="H8" s="6" t="e">
        <f xml:space="preserve"> [1]!'1477.TW-Price'</f>
        <v>#REF!</v>
      </c>
      <c r="I8" s="6" t="e">
        <f xml:space="preserve"> [1]!'1477.TW-BestBid1'</f>
        <v>#REF!</v>
      </c>
      <c r="J8" s="6" t="e">
        <f xml:space="preserve"> [1]!'1477.TW-BestAsk1'</f>
        <v>#REF!</v>
      </c>
      <c r="K8" s="287" t="e">
        <f t="shared" ref="K8:K36" si="2">IF(ISNUMBER(H8)=TRUE,H8*D8*F8,D8*E8*F8)</f>
        <v>#REF!</v>
      </c>
      <c r="L8" s="287" t="e">
        <f t="shared" ref="L8:L36" si="3">IF(ISNUMBER(I8)=TRUE,I8*D8*F8,D8*E8*F8)</f>
        <v>#REF!</v>
      </c>
      <c r="M8" s="287" t="e">
        <f t="shared" ref="M8:M36" si="4">IF(ISNUMBER(J8)=TRUE,J8*D8*F8,D8*E8*F8)</f>
        <v>#REF!</v>
      </c>
    </row>
    <row r="9" spans="1:14">
      <c r="A9" s="66" t="e">
        <f t="shared" si="0"/>
        <v>#DIV/0!</v>
      </c>
      <c r="B9" s="26" t="s">
        <v>210</v>
      </c>
      <c r="C9" s="26">
        <v>1909</v>
      </c>
      <c r="D9" s="26">
        <v>1</v>
      </c>
      <c r="E9" s="6">
        <f xml:space="preserve"> [1]!'1909.TW-PreClose'</f>
        <v>14.9</v>
      </c>
      <c r="F9" s="287">
        <v>9725326</v>
      </c>
      <c r="G9" s="287">
        <f t="shared" si="1"/>
        <v>144907357.40000001</v>
      </c>
      <c r="H9" s="6">
        <f xml:space="preserve"> [1]!'1909.TW-Price'</f>
        <v>14.6</v>
      </c>
      <c r="I9" s="6">
        <f xml:space="preserve"> [1]!'1909.TW-BestBid1'</f>
        <v>14.6</v>
      </c>
      <c r="J9" s="6">
        <f xml:space="preserve"> [1]!'1909.TW-BestAsk1'</f>
        <v>14.65</v>
      </c>
      <c r="K9" s="287">
        <f t="shared" si="2"/>
        <v>141989759.59999999</v>
      </c>
      <c r="L9" s="287">
        <f t="shared" si="3"/>
        <v>141989759.59999999</v>
      </c>
      <c r="M9" s="287">
        <f t="shared" si="4"/>
        <v>142476025.90000001</v>
      </c>
    </row>
    <row r="10" spans="1:14">
      <c r="A10" s="66" t="e">
        <f t="shared" si="0"/>
        <v>#REF!</v>
      </c>
      <c r="B10" s="26" t="s">
        <v>168</v>
      </c>
      <c r="C10" s="26">
        <v>2301</v>
      </c>
      <c r="D10" s="26">
        <v>1</v>
      </c>
      <c r="E10" s="6" t="e">
        <f xml:space="preserve"> [1]!'2301.TW-PreClose'</f>
        <v>#REF!</v>
      </c>
      <c r="F10" s="287">
        <v>5634154</v>
      </c>
      <c r="G10" s="287" t="e">
        <f t="shared" si="1"/>
        <v>#REF!</v>
      </c>
      <c r="H10" s="6" t="e">
        <f xml:space="preserve"> [1]!'2301.Tw-Price'</f>
        <v>#REF!</v>
      </c>
      <c r="I10" s="6" t="e">
        <f xml:space="preserve"> [1]!'2301.Tw-bestbid1'</f>
        <v>#REF!</v>
      </c>
      <c r="J10" s="6" t="e">
        <f xml:space="preserve"> [1]!'2301.Tw-bestask1'</f>
        <v>#REF!</v>
      </c>
      <c r="K10" s="287" t="e">
        <f t="shared" si="2"/>
        <v>#REF!</v>
      </c>
      <c r="L10" s="287" t="e">
        <f t="shared" si="3"/>
        <v>#REF!</v>
      </c>
      <c r="M10" s="287" t="e">
        <f t="shared" si="4"/>
        <v>#REF!</v>
      </c>
    </row>
    <row r="11" spans="1:14">
      <c r="A11" s="66" t="e">
        <f t="shared" si="0"/>
        <v>#REF!</v>
      </c>
      <c r="B11" s="26" t="s">
        <v>172</v>
      </c>
      <c r="C11" s="26">
        <v>2324</v>
      </c>
      <c r="D11" s="26">
        <v>1</v>
      </c>
      <c r="E11" s="6" t="e">
        <f xml:space="preserve"> [1]!'2324.TW-PreClose'</f>
        <v>#REF!</v>
      </c>
      <c r="F11" s="287">
        <v>14165526</v>
      </c>
      <c r="G11" s="287" t="e">
        <f t="shared" si="1"/>
        <v>#REF!</v>
      </c>
      <c r="H11" s="6" t="e">
        <f xml:space="preserve"> [1]!'2324.TW-Price'</f>
        <v>#REF!</v>
      </c>
      <c r="I11" s="6" t="e">
        <f xml:space="preserve"> [1]!'2324.TW-BestBid1'</f>
        <v>#REF!</v>
      </c>
      <c r="J11" s="6" t="e">
        <f xml:space="preserve"> [1]!'2324.TW-BestAsk1'</f>
        <v>#REF!</v>
      </c>
      <c r="K11" s="287" t="e">
        <f t="shared" si="2"/>
        <v>#REF!</v>
      </c>
      <c r="L11" s="287" t="e">
        <f t="shared" si="3"/>
        <v>#REF!</v>
      </c>
      <c r="M11" s="287" t="e">
        <f t="shared" si="4"/>
        <v>#REF!</v>
      </c>
    </row>
    <row r="12" spans="1:14">
      <c r="A12" s="66" t="e">
        <f t="shared" si="0"/>
        <v>#REF!</v>
      </c>
      <c r="B12" s="26" t="s">
        <v>173</v>
      </c>
      <c r="C12" s="26">
        <v>2325</v>
      </c>
      <c r="D12" s="26">
        <v>1</v>
      </c>
      <c r="E12" s="6" t="e">
        <f xml:space="preserve"> [1]!'2325.TW-PreClose'</f>
        <v>#REF!</v>
      </c>
      <c r="F12" s="287">
        <v>4916312</v>
      </c>
      <c r="G12" s="287" t="e">
        <f t="shared" si="1"/>
        <v>#REF!</v>
      </c>
      <c r="H12" s="6" t="e">
        <f xml:space="preserve"> [1]!'2325.TW-Price'</f>
        <v>#REF!</v>
      </c>
      <c r="I12" s="6" t="e">
        <f xml:space="preserve"> [1]!'2325.TW-BestBid1'</f>
        <v>#REF!</v>
      </c>
      <c r="J12" s="6" t="e">
        <f xml:space="preserve"> [1]!'2325.TW-BestAsk1'</f>
        <v>#REF!</v>
      </c>
      <c r="K12" s="287" t="e">
        <f t="shared" si="2"/>
        <v>#REF!</v>
      </c>
      <c r="L12" s="287" t="e">
        <f t="shared" si="3"/>
        <v>#REF!</v>
      </c>
      <c r="M12" s="287" t="e">
        <f t="shared" si="4"/>
        <v>#REF!</v>
      </c>
    </row>
    <row r="13" spans="1:14">
      <c r="A13" s="66" t="e">
        <f t="shared" si="0"/>
        <v>#REF!</v>
      </c>
      <c r="B13" s="26" t="s">
        <v>211</v>
      </c>
      <c r="C13" s="26">
        <v>2345</v>
      </c>
      <c r="D13" s="26">
        <v>1</v>
      </c>
      <c r="E13" s="6" t="e">
        <f xml:space="preserve"> [1]!'2345.TW-PreClose'</f>
        <v>#REF!</v>
      </c>
      <c r="F13" s="287">
        <v>4509420</v>
      </c>
      <c r="G13" s="287" t="e">
        <f t="shared" si="1"/>
        <v>#REF!</v>
      </c>
      <c r="H13" s="6" t="e">
        <f xml:space="preserve"> [1]!'2345.TW-Price'</f>
        <v>#REF!</v>
      </c>
      <c r="I13" s="6" t="e">
        <f xml:space="preserve"> [1]!'2345.TW-BestBid1'</f>
        <v>#REF!</v>
      </c>
      <c r="J13" s="6" t="e">
        <f xml:space="preserve"> [1]!'2345.TW-BestAsk1'</f>
        <v>#REF!</v>
      </c>
      <c r="K13" s="287" t="e">
        <f t="shared" si="2"/>
        <v>#REF!</v>
      </c>
      <c r="L13" s="287" t="e">
        <f t="shared" si="3"/>
        <v>#REF!</v>
      </c>
      <c r="M13" s="287" t="e">
        <f t="shared" si="4"/>
        <v>#REF!</v>
      </c>
    </row>
    <row r="14" spans="1:14">
      <c r="A14" s="66" t="e">
        <f t="shared" si="0"/>
        <v>#REF!</v>
      </c>
      <c r="B14" s="26" t="s">
        <v>212</v>
      </c>
      <c r="C14" s="26">
        <v>2347</v>
      </c>
      <c r="D14" s="26">
        <v>1</v>
      </c>
      <c r="E14" s="6" t="e">
        <f xml:space="preserve"> [1]!'2347.TW-PreClose'</f>
        <v>#REF!</v>
      </c>
      <c r="F14" s="287">
        <v>8118804</v>
      </c>
      <c r="G14" s="287" t="e">
        <f t="shared" si="1"/>
        <v>#REF!</v>
      </c>
      <c r="H14" s="6" t="e">
        <f xml:space="preserve"> [1]!'2347.TW-Price'</f>
        <v>#REF!</v>
      </c>
      <c r="I14" s="6" t="e">
        <f xml:space="preserve"> [1]!'2347.TW-BestBid1'</f>
        <v>#REF!</v>
      </c>
      <c r="J14" s="6" t="e">
        <f xml:space="preserve"> [1]!'2347.TW-BestAsk1'</f>
        <v>#REF!</v>
      </c>
      <c r="K14" s="287" t="e">
        <f t="shared" si="2"/>
        <v>#REF!</v>
      </c>
      <c r="L14" s="287" t="e">
        <f t="shared" si="3"/>
        <v>#REF!</v>
      </c>
      <c r="M14" s="287" t="e">
        <f t="shared" si="4"/>
        <v>#REF!</v>
      </c>
    </row>
    <row r="15" spans="1:14">
      <c r="A15" s="66" t="e">
        <f t="shared" si="0"/>
        <v>#REF!</v>
      </c>
      <c r="B15" s="26" t="s">
        <v>213</v>
      </c>
      <c r="C15" s="26">
        <v>2356</v>
      </c>
      <c r="D15" s="26">
        <v>1</v>
      </c>
      <c r="E15" s="6" t="e">
        <f xml:space="preserve"> [1]!'2356.TW-PreClose'</f>
        <v>#REF!</v>
      </c>
      <c r="F15" s="287">
        <v>14858393</v>
      </c>
      <c r="G15" s="287" t="e">
        <f t="shared" si="1"/>
        <v>#REF!</v>
      </c>
      <c r="H15" s="6" t="e">
        <f xml:space="preserve"> [1]!'2356.TW-Price'</f>
        <v>#REF!</v>
      </c>
      <c r="I15" s="6" t="e">
        <f xml:space="preserve"> [1]!'2356.TW-BestBid1'</f>
        <v>#REF!</v>
      </c>
      <c r="J15" s="6" t="e">
        <f xml:space="preserve"> [1]!'2356.TW-BestAsk1'</f>
        <v>#REF!</v>
      </c>
      <c r="K15" s="287" t="e">
        <f t="shared" si="2"/>
        <v>#REF!</v>
      </c>
      <c r="L15" s="287" t="e">
        <f t="shared" si="3"/>
        <v>#REF!</v>
      </c>
      <c r="M15" s="287" t="e">
        <f t="shared" si="4"/>
        <v>#REF!</v>
      </c>
    </row>
    <row r="16" spans="1:14">
      <c r="A16" s="66" t="e">
        <f t="shared" si="0"/>
        <v>#REF!</v>
      </c>
      <c r="B16" s="26" t="s">
        <v>175</v>
      </c>
      <c r="C16" s="26">
        <v>2357</v>
      </c>
      <c r="D16" s="26">
        <v>1</v>
      </c>
      <c r="E16" s="6" t="e">
        <f xml:space="preserve"> [1]!'2357.TW-PreClose'</f>
        <v>#REF!</v>
      </c>
      <c r="F16" s="287">
        <v>934085</v>
      </c>
      <c r="G16" s="287" t="e">
        <f t="shared" si="1"/>
        <v>#REF!</v>
      </c>
      <c r="H16" s="6" t="e">
        <f xml:space="preserve"> [1]!'2357.Tw-Price'</f>
        <v>#REF!</v>
      </c>
      <c r="I16" s="6" t="e">
        <f xml:space="preserve"> [1]!'2357.Tw-bestbid1'</f>
        <v>#REF!</v>
      </c>
      <c r="J16" s="6" t="e">
        <f xml:space="preserve"> [1]!'2357.Tw-bestask1'</f>
        <v>#REF!</v>
      </c>
      <c r="K16" s="287" t="e">
        <f t="shared" si="2"/>
        <v>#REF!</v>
      </c>
      <c r="L16" s="287" t="e">
        <f t="shared" si="3"/>
        <v>#REF!</v>
      </c>
      <c r="M16" s="287" t="e">
        <f t="shared" si="4"/>
        <v>#REF!</v>
      </c>
    </row>
    <row r="17" spans="1:13">
      <c r="A17" s="66" t="e">
        <f t="shared" si="0"/>
        <v>#REF!</v>
      </c>
      <c r="B17" s="26" t="s">
        <v>214</v>
      </c>
      <c r="C17" s="26">
        <v>2376</v>
      </c>
      <c r="D17" s="26">
        <v>1</v>
      </c>
      <c r="E17" s="6" t="e">
        <f xml:space="preserve"> [1]!'2376.TW-PreClose'</f>
        <v>#REF!</v>
      </c>
      <c r="F17" s="287">
        <v>8569482</v>
      </c>
      <c r="G17" s="287" t="e">
        <f t="shared" si="1"/>
        <v>#REF!</v>
      </c>
      <c r="H17" s="6" t="e">
        <f xml:space="preserve"> [1]!'2376.TW-Price'</f>
        <v>#REF!</v>
      </c>
      <c r="I17" s="6" t="e">
        <f xml:space="preserve"> [1]!'2376.TW-BestBid1'</f>
        <v>#REF!</v>
      </c>
      <c r="J17" s="6" t="e">
        <f xml:space="preserve"> [1]!'2376.TW-BestAsk1'</f>
        <v>#REF!</v>
      </c>
      <c r="K17" s="287" t="e">
        <f t="shared" si="2"/>
        <v>#REF!</v>
      </c>
      <c r="L17" s="287" t="e">
        <f t="shared" si="3"/>
        <v>#REF!</v>
      </c>
      <c r="M17" s="287" t="e">
        <f t="shared" si="4"/>
        <v>#REF!</v>
      </c>
    </row>
    <row r="18" spans="1:13">
      <c r="A18" s="66" t="e">
        <f t="shared" si="0"/>
        <v>#REF!</v>
      </c>
      <c r="B18" s="26" t="s">
        <v>215</v>
      </c>
      <c r="C18" s="26">
        <v>2377</v>
      </c>
      <c r="D18" s="26">
        <v>1</v>
      </c>
      <c r="E18" s="6" t="e">
        <f xml:space="preserve"> [1]!'2377.TW-PreClose'</f>
        <v>#REF!</v>
      </c>
      <c r="F18" s="287">
        <v>4798344</v>
      </c>
      <c r="G18" s="287" t="e">
        <f t="shared" si="1"/>
        <v>#REF!</v>
      </c>
      <c r="H18" s="6" t="e">
        <f xml:space="preserve"> [1]!'2377.TW-Price'</f>
        <v>#REF!</v>
      </c>
      <c r="I18" s="6" t="e">
        <f xml:space="preserve"> [1]!'2377.TW-BestBid1'</f>
        <v>#REF!</v>
      </c>
      <c r="J18" s="6" t="e">
        <f xml:space="preserve"> [1]!'2377.TW-BestAsk1'</f>
        <v>#REF!</v>
      </c>
      <c r="K18" s="287" t="e">
        <f t="shared" si="2"/>
        <v>#REF!</v>
      </c>
      <c r="L18" s="287" t="e">
        <f t="shared" si="3"/>
        <v>#REF!</v>
      </c>
      <c r="M18" s="287" t="e">
        <f t="shared" si="4"/>
        <v>#REF!</v>
      </c>
    </row>
    <row r="19" spans="1:13">
      <c r="A19" s="66" t="e">
        <f t="shared" si="0"/>
        <v>#REF!</v>
      </c>
      <c r="B19" s="26" t="s">
        <v>176</v>
      </c>
      <c r="C19" s="26">
        <v>2382</v>
      </c>
      <c r="D19" s="26">
        <v>1</v>
      </c>
      <c r="E19" s="6" t="e">
        <f xml:space="preserve"> [1]!'2382.TW-PreClose'</f>
        <v>#REF!</v>
      </c>
      <c r="F19" s="287">
        <v>4196576</v>
      </c>
      <c r="G19" s="287" t="e">
        <f t="shared" si="1"/>
        <v>#REF!</v>
      </c>
      <c r="H19" s="6" t="e">
        <f xml:space="preserve"> [1]!'2382.Tw-Price'</f>
        <v>#REF!</v>
      </c>
      <c r="I19" s="6" t="e">
        <f xml:space="preserve"> [1]!'2382.Tw-bestbid1'</f>
        <v>#REF!</v>
      </c>
      <c r="J19" s="6" t="e">
        <f xml:space="preserve"> [1]!'2382.Tw-bestask1'</f>
        <v>#REF!</v>
      </c>
      <c r="K19" s="287" t="e">
        <f t="shared" si="2"/>
        <v>#REF!</v>
      </c>
      <c r="L19" s="287" t="e">
        <f t="shared" si="3"/>
        <v>#REF!</v>
      </c>
      <c r="M19" s="287" t="e">
        <f t="shared" si="4"/>
        <v>#REF!</v>
      </c>
    </row>
    <row r="20" spans="1:13">
      <c r="A20" s="66" t="e">
        <f t="shared" si="0"/>
        <v>#REF!</v>
      </c>
      <c r="B20" s="26" t="s">
        <v>216</v>
      </c>
      <c r="C20" s="26">
        <v>2385</v>
      </c>
      <c r="D20" s="26">
        <v>1</v>
      </c>
      <c r="E20" s="6" t="e">
        <f xml:space="preserve"> [1]!'2385.TW-PreClose'</f>
        <v>#REF!</v>
      </c>
      <c r="F20" s="287">
        <v>3518246</v>
      </c>
      <c r="G20" s="287" t="e">
        <f t="shared" si="1"/>
        <v>#REF!</v>
      </c>
      <c r="H20" s="6" t="e">
        <f xml:space="preserve"> [1]!'2385.TW-Price'</f>
        <v>#REF!</v>
      </c>
      <c r="I20" s="6" t="e">
        <f xml:space="preserve"> [1]!'2385.TW-BestBid1'</f>
        <v>#REF!</v>
      </c>
      <c r="J20" s="6" t="e">
        <f xml:space="preserve"> [1]!'2385.TW-BestAsk1'</f>
        <v>#REF!</v>
      </c>
      <c r="K20" s="287" t="e">
        <f t="shared" si="2"/>
        <v>#REF!</v>
      </c>
      <c r="L20" s="287" t="e">
        <f t="shared" si="3"/>
        <v>#REF!</v>
      </c>
      <c r="M20" s="287" t="e">
        <f t="shared" si="4"/>
        <v>#REF!</v>
      </c>
    </row>
    <row r="21" spans="1:13">
      <c r="A21" s="66" t="e">
        <f t="shared" si="0"/>
        <v>#REF!</v>
      </c>
      <c r="B21" s="26" t="s">
        <v>179</v>
      </c>
      <c r="C21" s="26">
        <v>2409</v>
      </c>
      <c r="D21" s="26">
        <v>1</v>
      </c>
      <c r="E21" s="6" t="e">
        <f xml:space="preserve"> [1]!'2409.TW-PreClose'</f>
        <v>#REF!</v>
      </c>
      <c r="F21" s="287">
        <v>32827565</v>
      </c>
      <c r="G21" s="287" t="e">
        <f t="shared" si="1"/>
        <v>#REF!</v>
      </c>
      <c r="H21" s="6" t="e">
        <f xml:space="preserve"> [1]!'2409.Tw-Price'</f>
        <v>#REF!</v>
      </c>
      <c r="I21" s="6" t="e">
        <f xml:space="preserve"> [1]!'2409.Tw-bestbid1'</f>
        <v>#REF!</v>
      </c>
      <c r="J21" s="6" t="e">
        <f xml:space="preserve"> [1]!'2409.Tw-bestask1'</f>
        <v>#REF!</v>
      </c>
      <c r="K21" s="287" t="e">
        <f t="shared" si="2"/>
        <v>#REF!</v>
      </c>
      <c r="L21" s="287" t="e">
        <f t="shared" si="3"/>
        <v>#REF!</v>
      </c>
      <c r="M21" s="287" t="e">
        <f t="shared" si="4"/>
        <v>#REF!</v>
      </c>
    </row>
    <row r="22" spans="1:13">
      <c r="A22" s="66" t="e">
        <f t="shared" si="0"/>
        <v>#REF!</v>
      </c>
      <c r="B22" s="26" t="s">
        <v>217</v>
      </c>
      <c r="C22" s="26">
        <v>2449</v>
      </c>
      <c r="D22" s="26">
        <v>1</v>
      </c>
      <c r="E22" s="6" t="e">
        <f xml:space="preserve"> [1]!'2449.TW-PreClose'</f>
        <v>#REF!</v>
      </c>
      <c r="F22" s="287">
        <v>10151975</v>
      </c>
      <c r="G22" s="287" t="e">
        <f t="shared" si="1"/>
        <v>#REF!</v>
      </c>
      <c r="H22" s="6" t="e">
        <f xml:space="preserve"> [1]!'2449.TW-Price'</f>
        <v>#REF!</v>
      </c>
      <c r="I22" s="6" t="e">
        <f xml:space="preserve"> [1]!'2449.TW-BestBid1'</f>
        <v>#REF!</v>
      </c>
      <c r="J22" s="6" t="e">
        <f xml:space="preserve"> [1]!'2449.TW-BestAsk1'</f>
        <v>#REF!</v>
      </c>
      <c r="K22" s="287" t="e">
        <f t="shared" si="2"/>
        <v>#REF!</v>
      </c>
      <c r="L22" s="287" t="e">
        <f t="shared" si="3"/>
        <v>#REF!</v>
      </c>
      <c r="M22" s="287" t="e">
        <f t="shared" si="4"/>
        <v>#REF!</v>
      </c>
    </row>
    <row r="23" spans="1:13">
      <c r="A23" s="66" t="e">
        <f t="shared" si="0"/>
        <v>#REF!</v>
      </c>
      <c r="B23" s="26" t="s">
        <v>218</v>
      </c>
      <c r="C23" s="26">
        <v>2451</v>
      </c>
      <c r="D23" s="26">
        <v>1</v>
      </c>
      <c r="E23" s="6" t="e">
        <f xml:space="preserve"> [1]!'2451.TW-PreClose'</f>
        <v>#REF!</v>
      </c>
      <c r="F23" s="287">
        <v>2665131</v>
      </c>
      <c r="G23" s="287" t="e">
        <f t="shared" si="1"/>
        <v>#REF!</v>
      </c>
      <c r="H23" s="6" t="e">
        <f xml:space="preserve"> [1]!'2451.TW-Price'</f>
        <v>#REF!</v>
      </c>
      <c r="I23" s="6" t="e">
        <f xml:space="preserve"> [1]!'2451.TW-BestBid1'</f>
        <v>#REF!</v>
      </c>
      <c r="J23" s="6" t="e">
        <f xml:space="preserve"> [1]!'2451.TW-BestAsk1'</f>
        <v>#REF!</v>
      </c>
      <c r="K23" s="287" t="e">
        <f t="shared" si="2"/>
        <v>#REF!</v>
      </c>
      <c r="L23" s="287" t="e">
        <f t="shared" si="3"/>
        <v>#REF!</v>
      </c>
      <c r="M23" s="287" t="e">
        <f t="shared" si="4"/>
        <v>#REF!</v>
      </c>
    </row>
    <row r="24" spans="1:13">
      <c r="A24" s="66" t="e">
        <f t="shared" si="0"/>
        <v>#DIV/0!</v>
      </c>
      <c r="B24" s="26" t="s">
        <v>219</v>
      </c>
      <c r="C24" s="26">
        <v>2542</v>
      </c>
      <c r="D24" s="26">
        <v>1</v>
      </c>
      <c r="E24" s="6">
        <f xml:space="preserve"> [1]!'2542.TW-PreClose'</f>
        <v>49.65</v>
      </c>
      <c r="F24" s="287">
        <v>10696640</v>
      </c>
      <c r="G24" s="287">
        <f t="shared" si="1"/>
        <v>531088176</v>
      </c>
      <c r="H24" s="6">
        <f xml:space="preserve"> [1]!'2542.TW-Price'</f>
        <v>49.4</v>
      </c>
      <c r="I24" s="6">
        <f xml:space="preserve"> [1]!'2542.TW-BestBid1'</f>
        <v>49.35</v>
      </c>
      <c r="J24" s="6">
        <f xml:space="preserve"> [1]!'2542.TW-BestAsk1'</f>
        <v>49.4</v>
      </c>
      <c r="K24" s="287">
        <f t="shared" si="2"/>
        <v>528414016</v>
      </c>
      <c r="L24" s="287">
        <f t="shared" si="3"/>
        <v>527879184</v>
      </c>
      <c r="M24" s="287">
        <f t="shared" si="4"/>
        <v>528414016</v>
      </c>
    </row>
    <row r="25" spans="1:13">
      <c r="A25" s="66" t="e">
        <f t="shared" si="0"/>
        <v>#REF!</v>
      </c>
      <c r="B25" s="26" t="s">
        <v>189</v>
      </c>
      <c r="C25" s="26">
        <v>2883</v>
      </c>
      <c r="D25" s="26">
        <v>1</v>
      </c>
      <c r="E25" s="6" t="e">
        <f xml:space="preserve"> [1]!'2883.TW-PreClose'</f>
        <v>#REF!</v>
      </c>
      <c r="F25" s="287">
        <v>32918853</v>
      </c>
      <c r="G25" s="287" t="e">
        <f t="shared" si="1"/>
        <v>#REF!</v>
      </c>
      <c r="H25" s="6" t="e">
        <f xml:space="preserve"> [1]!'2883.Tw-Price'</f>
        <v>#REF!</v>
      </c>
      <c r="I25" s="6" t="e">
        <f xml:space="preserve"> [1]!'2883.Tw-bestbid1'</f>
        <v>#REF!</v>
      </c>
      <c r="J25" s="6" t="e">
        <f xml:space="preserve"> [1]!'2883.Tw-bestask1'</f>
        <v>#REF!</v>
      </c>
      <c r="K25" s="287" t="e">
        <f t="shared" si="2"/>
        <v>#REF!</v>
      </c>
      <c r="L25" s="287" t="e">
        <f t="shared" si="3"/>
        <v>#REF!</v>
      </c>
      <c r="M25" s="287" t="e">
        <f t="shared" si="4"/>
        <v>#REF!</v>
      </c>
    </row>
    <row r="26" spans="1:13">
      <c r="A26" s="66" t="e">
        <f t="shared" si="0"/>
        <v>#REF!</v>
      </c>
      <c r="B26" s="26" t="s">
        <v>192</v>
      </c>
      <c r="C26" s="26">
        <v>2886</v>
      </c>
      <c r="D26" s="26">
        <v>1</v>
      </c>
      <c r="E26" s="6" t="e">
        <f xml:space="preserve"> [1]!'2886.TW-PreClose'</f>
        <v>#REF!</v>
      </c>
      <c r="F26" s="287">
        <v>10051143</v>
      </c>
      <c r="G26" s="287" t="e">
        <f t="shared" si="1"/>
        <v>#REF!</v>
      </c>
      <c r="H26" s="6" t="e">
        <f xml:space="preserve"> [1]!'2886.Tw-Price'</f>
        <v>#REF!</v>
      </c>
      <c r="I26" s="6" t="e">
        <f xml:space="preserve"> [1]!'2886.Tw-bestbid1'</f>
        <v>#REF!</v>
      </c>
      <c r="J26" s="6" t="e">
        <f xml:space="preserve"> [1]!'2886.Tw-bestask1'</f>
        <v>#REF!</v>
      </c>
      <c r="K26" s="287" t="e">
        <f t="shared" si="2"/>
        <v>#REF!</v>
      </c>
      <c r="L26" s="287" t="e">
        <f t="shared" si="3"/>
        <v>#REF!</v>
      </c>
      <c r="M26" s="287" t="e">
        <f t="shared" si="4"/>
        <v>#REF!</v>
      </c>
    </row>
    <row r="27" spans="1:13">
      <c r="A27" s="66" t="e">
        <f t="shared" si="0"/>
        <v>#REF!</v>
      </c>
      <c r="B27" s="26" t="s">
        <v>220</v>
      </c>
      <c r="C27" s="26">
        <v>3034</v>
      </c>
      <c r="D27" s="26">
        <v>1</v>
      </c>
      <c r="E27" s="6" t="e">
        <f xml:space="preserve"> [1]!'3034.TW-PreClose'</f>
        <v>#REF!</v>
      </c>
      <c r="F27" s="287">
        <v>2309069</v>
      </c>
      <c r="G27" s="287" t="e">
        <f t="shared" si="1"/>
        <v>#REF!</v>
      </c>
      <c r="H27" s="6" t="e">
        <f xml:space="preserve"> [1]!'3034.TW-Price'</f>
        <v>#REF!</v>
      </c>
      <c r="I27" s="6" t="e">
        <f xml:space="preserve"> [1]!'3034.TW-BestBid1'</f>
        <v>#REF!</v>
      </c>
      <c r="J27" s="6" t="e">
        <f xml:space="preserve"> [1]!'3034.TW-BestAsk1'</f>
        <v>#REF!</v>
      </c>
      <c r="K27" s="287" t="e">
        <f t="shared" si="2"/>
        <v>#REF!</v>
      </c>
      <c r="L27" s="287" t="e">
        <f t="shared" si="3"/>
        <v>#REF!</v>
      </c>
      <c r="M27" s="287" t="e">
        <f t="shared" si="4"/>
        <v>#REF!</v>
      </c>
    </row>
    <row r="28" spans="1:13">
      <c r="A28" s="66" t="e">
        <f t="shared" si="0"/>
        <v>#REF!</v>
      </c>
      <c r="B28" s="26" t="s">
        <v>221</v>
      </c>
      <c r="C28" s="26">
        <v>3231</v>
      </c>
      <c r="D28" s="26">
        <v>1</v>
      </c>
      <c r="E28" s="6" t="e">
        <f xml:space="preserve"> [1]!'3231.TW-PreClose'</f>
        <v>#REF!</v>
      </c>
      <c r="F28" s="287">
        <v>8384303</v>
      </c>
      <c r="G28" s="287" t="e">
        <f t="shared" si="1"/>
        <v>#REF!</v>
      </c>
      <c r="H28" s="6" t="e">
        <f xml:space="preserve"> [1]!'3231.TW-Price'</f>
        <v>#REF!</v>
      </c>
      <c r="I28" s="6" t="e">
        <f xml:space="preserve"> [1]!'3231.TW-BestBid1'</f>
        <v>#REF!</v>
      </c>
      <c r="J28" s="6" t="e">
        <f xml:space="preserve"> [1]!'3231.TW-BestAsk1'</f>
        <v>#REF!</v>
      </c>
      <c r="K28" s="287" t="e">
        <f t="shared" si="2"/>
        <v>#REF!</v>
      </c>
      <c r="L28" s="287" t="e">
        <f t="shared" si="3"/>
        <v>#REF!</v>
      </c>
      <c r="M28" s="287" t="e">
        <f t="shared" si="4"/>
        <v>#REF!</v>
      </c>
    </row>
    <row r="29" spans="1:13">
      <c r="A29" s="66" t="e">
        <f t="shared" si="0"/>
        <v>#REF!</v>
      </c>
      <c r="B29" s="26" t="s">
        <v>200</v>
      </c>
      <c r="C29" s="26">
        <v>3481</v>
      </c>
      <c r="D29" s="26">
        <v>1</v>
      </c>
      <c r="E29" s="6" t="e">
        <f xml:space="preserve"> [1]!'3481.TW-PreClose'</f>
        <v>#REF!</v>
      </c>
      <c r="F29" s="287">
        <v>20384256</v>
      </c>
      <c r="G29" s="287" t="e">
        <f t="shared" si="1"/>
        <v>#REF!</v>
      </c>
      <c r="H29" s="6" t="e">
        <f xml:space="preserve"> [1]!'3481.Tw-Price'</f>
        <v>#REF!</v>
      </c>
      <c r="I29" s="6" t="e">
        <f xml:space="preserve"> [1]!'3481.Tw-bestbid1'</f>
        <v>#REF!</v>
      </c>
      <c r="J29" s="6" t="e">
        <f xml:space="preserve"> [1]!'3481.Tw-bestask1'</f>
        <v>#REF!</v>
      </c>
      <c r="K29" s="287" t="e">
        <f t="shared" si="2"/>
        <v>#REF!</v>
      </c>
      <c r="L29" s="287" t="e">
        <f t="shared" si="3"/>
        <v>#REF!</v>
      </c>
      <c r="M29" s="287" t="e">
        <f t="shared" si="4"/>
        <v>#REF!</v>
      </c>
    </row>
    <row r="30" spans="1:13">
      <c r="A30" s="66" t="e">
        <f t="shared" si="0"/>
        <v>#REF!</v>
      </c>
      <c r="B30" s="26" t="s">
        <v>222</v>
      </c>
      <c r="C30" s="26">
        <v>3702</v>
      </c>
      <c r="D30" s="26">
        <v>1</v>
      </c>
      <c r="E30" s="6" t="e">
        <f xml:space="preserve"> [1]!'3702.TW-PreClose'</f>
        <v>#REF!</v>
      </c>
      <c r="F30" s="287">
        <v>7750280</v>
      </c>
      <c r="G30" s="287" t="e">
        <f t="shared" si="1"/>
        <v>#REF!</v>
      </c>
      <c r="H30" s="6" t="e">
        <f xml:space="preserve"> [1]!'3702.TW-Price'</f>
        <v>#REF!</v>
      </c>
      <c r="I30" s="6" t="e">
        <f xml:space="preserve"> [1]!'3702.TW-BestBid1'</f>
        <v>#REF!</v>
      </c>
      <c r="J30" s="6" t="e">
        <f xml:space="preserve"> [1]!'3702.TW-BestAsk1'</f>
        <v>#REF!</v>
      </c>
      <c r="K30" s="287" t="e">
        <f t="shared" si="2"/>
        <v>#REF!</v>
      </c>
      <c r="L30" s="287" t="e">
        <f t="shared" si="3"/>
        <v>#REF!</v>
      </c>
      <c r="M30" s="287" t="e">
        <f t="shared" si="4"/>
        <v>#REF!</v>
      </c>
    </row>
    <row r="31" spans="1:13">
      <c r="A31" s="66" t="e">
        <f t="shared" si="0"/>
        <v>#REF!</v>
      </c>
      <c r="B31" s="26" t="s">
        <v>202</v>
      </c>
      <c r="C31" s="26">
        <v>4938</v>
      </c>
      <c r="D31" s="26">
        <v>1</v>
      </c>
      <c r="E31" s="6" t="e">
        <f xml:space="preserve"> [1]!'4938.TW-PreClose'</f>
        <v>#REF!</v>
      </c>
      <c r="F31" s="287">
        <v>2906646</v>
      </c>
      <c r="G31" s="287" t="e">
        <f t="shared" si="1"/>
        <v>#REF!</v>
      </c>
      <c r="H31" s="6" t="e">
        <f xml:space="preserve"> [1]!'4938.Tw-Price'</f>
        <v>#REF!</v>
      </c>
      <c r="I31" s="6" t="e">
        <f xml:space="preserve"> [1]!'4938.Tw-bestbid1'</f>
        <v>#REF!</v>
      </c>
      <c r="J31" s="6" t="e">
        <f xml:space="preserve"> [1]!'4938.Tw-bestask1'</f>
        <v>#REF!</v>
      </c>
      <c r="K31" s="287" t="e">
        <f t="shared" si="2"/>
        <v>#REF!</v>
      </c>
      <c r="L31" s="287" t="e">
        <f t="shared" si="3"/>
        <v>#REF!</v>
      </c>
      <c r="M31" s="287" t="e">
        <f t="shared" si="4"/>
        <v>#REF!</v>
      </c>
    </row>
    <row r="32" spans="1:13">
      <c r="A32" s="66" t="e">
        <f t="shared" si="0"/>
        <v>#REF!</v>
      </c>
      <c r="B32" s="26" t="s">
        <v>223</v>
      </c>
      <c r="C32" s="26">
        <v>5264</v>
      </c>
      <c r="D32" s="26">
        <v>1</v>
      </c>
      <c r="E32" s="6" t="e">
        <f xml:space="preserve"> [1]!'5264.TW-PreClose'</f>
        <v>#REF!</v>
      </c>
      <c r="F32" s="287">
        <v>2266276</v>
      </c>
      <c r="G32" s="287" t="e">
        <f t="shared" si="1"/>
        <v>#REF!</v>
      </c>
      <c r="H32" s="6" t="e">
        <f xml:space="preserve"> [1]!'5264.TW-Price'</f>
        <v>#REF!</v>
      </c>
      <c r="I32" s="6" t="e">
        <f xml:space="preserve"> [1]!'5264.TW-BestBid1'</f>
        <v>#REF!</v>
      </c>
      <c r="J32" s="6" t="e">
        <f xml:space="preserve"> [1]!'5264.TW-BestAsk1'</f>
        <v>#REF!</v>
      </c>
      <c r="K32" s="287" t="e">
        <f t="shared" si="2"/>
        <v>#REF!</v>
      </c>
      <c r="L32" s="287" t="e">
        <f t="shared" si="3"/>
        <v>#REF!</v>
      </c>
      <c r="M32" s="287" t="e">
        <f t="shared" si="4"/>
        <v>#REF!</v>
      </c>
    </row>
    <row r="33" spans="1:13">
      <c r="A33" s="66" t="e">
        <f t="shared" si="0"/>
        <v>#REF!</v>
      </c>
      <c r="B33" s="26" t="s">
        <v>224</v>
      </c>
      <c r="C33" s="26">
        <v>6176</v>
      </c>
      <c r="D33" s="26">
        <v>1</v>
      </c>
      <c r="E33" s="6" t="e">
        <f xml:space="preserve"> [1]!'6176.TW-PreClose'</f>
        <v>#REF!</v>
      </c>
      <c r="F33" s="287">
        <v>4959836</v>
      </c>
      <c r="G33" s="287" t="e">
        <f t="shared" si="1"/>
        <v>#REF!</v>
      </c>
      <c r="H33" s="6" t="e">
        <f xml:space="preserve"> [1]!'6176.TW-Price'</f>
        <v>#REF!</v>
      </c>
      <c r="I33" s="6" t="e">
        <f xml:space="preserve"> [1]!'6176.TW-BestBid1'</f>
        <v>#REF!</v>
      </c>
      <c r="J33" s="6" t="e">
        <f xml:space="preserve"> [1]!'6176.TW-BestAsk1'</f>
        <v>#REF!</v>
      </c>
      <c r="K33" s="287" t="e">
        <f t="shared" si="2"/>
        <v>#REF!</v>
      </c>
      <c r="L33" s="287" t="e">
        <f t="shared" si="3"/>
        <v>#REF!</v>
      </c>
      <c r="M33" s="287" t="e">
        <f t="shared" si="4"/>
        <v>#REF!</v>
      </c>
    </row>
    <row r="34" spans="1:13">
      <c r="A34" s="66" t="e">
        <f t="shared" si="0"/>
        <v>#REF!</v>
      </c>
      <c r="B34" s="26" t="s">
        <v>225</v>
      </c>
      <c r="C34" s="26">
        <v>6239</v>
      </c>
      <c r="D34" s="26">
        <v>1</v>
      </c>
      <c r="E34" s="6" t="e">
        <f xml:space="preserve"> [1]!'6239.TW-PreClose'</f>
        <v>#REF!</v>
      </c>
      <c r="F34" s="287">
        <v>2435346</v>
      </c>
      <c r="G34" s="287" t="e">
        <f t="shared" si="1"/>
        <v>#REF!</v>
      </c>
      <c r="H34" s="6" t="e">
        <f xml:space="preserve"> [1]!'6239.TW-Price'</f>
        <v>#REF!</v>
      </c>
      <c r="I34" s="6" t="e">
        <f xml:space="preserve"> [1]!'6239.TW-BestBid1'</f>
        <v>#REF!</v>
      </c>
      <c r="J34" s="6" t="e">
        <f xml:space="preserve"> [1]!'6239.TW-BestAsk1'</f>
        <v>#REF!</v>
      </c>
      <c r="K34" s="287" t="e">
        <f t="shared" si="2"/>
        <v>#REF!</v>
      </c>
      <c r="L34" s="287" t="e">
        <f t="shared" si="3"/>
        <v>#REF!</v>
      </c>
      <c r="M34" s="287" t="e">
        <f t="shared" si="4"/>
        <v>#REF!</v>
      </c>
    </row>
    <row r="35" spans="1:13">
      <c r="A35" s="66" t="e">
        <f t="shared" si="0"/>
        <v>#REF!</v>
      </c>
      <c r="B35" s="26" t="s">
        <v>226</v>
      </c>
      <c r="C35" s="26">
        <v>8150</v>
      </c>
      <c r="D35" s="26">
        <v>1</v>
      </c>
      <c r="E35" s="6" t="e">
        <f xml:space="preserve"> [1]!'8150.TW-PreClose'</f>
        <v>#REF!</v>
      </c>
      <c r="F35" s="287">
        <v>13095149</v>
      </c>
      <c r="G35" s="287" t="e">
        <f t="shared" si="1"/>
        <v>#REF!</v>
      </c>
      <c r="H35" s="6" t="e">
        <f xml:space="preserve"> [1]!'8150.TW-Price'</f>
        <v>#REF!</v>
      </c>
      <c r="I35" s="6" t="e">
        <f xml:space="preserve"> [1]!'8150.TW-BestBid1'</f>
        <v>#REF!</v>
      </c>
      <c r="J35" s="6" t="e">
        <f xml:space="preserve"> [1]!'8150.TW-BestAsk1'</f>
        <v>#REF!</v>
      </c>
      <c r="K35" s="287" t="e">
        <f t="shared" si="2"/>
        <v>#REF!</v>
      </c>
      <c r="L35" s="287" t="e">
        <f t="shared" si="3"/>
        <v>#REF!</v>
      </c>
      <c r="M35" s="287" t="e">
        <f t="shared" si="4"/>
        <v>#REF!</v>
      </c>
    </row>
    <row r="36" spans="1:13">
      <c r="A36" s="66" t="e">
        <f t="shared" si="0"/>
        <v>#REF!</v>
      </c>
      <c r="B36" s="26" t="s">
        <v>227</v>
      </c>
      <c r="C36" s="26">
        <v>9933</v>
      </c>
      <c r="D36" s="26">
        <v>1</v>
      </c>
      <c r="E36" s="6" t="e">
        <f xml:space="preserve"> [1]!'9933.TW-PreClose'</f>
        <v>#REF!</v>
      </c>
      <c r="F36" s="287">
        <v>5673410</v>
      </c>
      <c r="G36" s="287" t="e">
        <f t="shared" si="1"/>
        <v>#REF!</v>
      </c>
      <c r="H36" s="6" t="e">
        <f xml:space="preserve"> [1]!'9933.TW-Price'</f>
        <v>#REF!</v>
      </c>
      <c r="I36" s="6" t="e">
        <f xml:space="preserve"> [1]!'9933.TW-BestBid1'</f>
        <v>#REF!</v>
      </c>
      <c r="J36" s="6" t="e">
        <f xml:space="preserve"> [1]!'9933.TW-BestAsk1'</f>
        <v>#REF!</v>
      </c>
      <c r="K36" s="287" t="e">
        <f t="shared" si="2"/>
        <v>#REF!</v>
      </c>
      <c r="L36" s="287" t="e">
        <f t="shared" si="3"/>
        <v>#REF!</v>
      </c>
      <c r="M36" s="287" t="e">
        <f t="shared" si="4"/>
        <v>#REF!</v>
      </c>
    </row>
  </sheetData>
  <mergeCells count="1">
    <mergeCell ref="F1:F2"/>
  </mergeCells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674689" r:id="rId3" name="CommandButton1">
          <controlPr autoLine="0" r:id="rId4">
            <anchor moveWithCells="1">
              <from>
                <xdr:col>13</xdr:col>
                <xdr:colOff>180975</xdr:colOff>
                <xdr:row>7</xdr:row>
                <xdr:rowOff>9525</xdr:rowOff>
              </from>
              <to>
                <xdr:col>14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3467468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FF00"/>
  </sheetPr>
  <dimension ref="A1:V74"/>
  <sheetViews>
    <sheetView view="pageBreakPreview" workbookViewId="0">
      <selection activeCell="A2" sqref="A2"/>
    </sheetView>
  </sheetViews>
  <sheetFormatPr defaultRowHeight="16.5"/>
  <cols>
    <col min="1" max="1" width="12.625" style="23" bestFit="1" customWidth="1"/>
    <col min="2" max="2" width="20.25" style="23" customWidth="1"/>
    <col min="3" max="4" width="16.25" customWidth="1"/>
    <col min="5" max="5" width="14" customWidth="1"/>
    <col min="6" max="6" width="16.375" customWidth="1"/>
    <col min="7" max="7" width="15.5" customWidth="1"/>
    <col min="8" max="8" width="13.375" customWidth="1"/>
    <col min="9" max="9" width="12" customWidth="1"/>
    <col min="10" max="10" width="21.125" customWidth="1"/>
    <col min="11" max="11" width="19.125" customWidth="1"/>
    <col min="12" max="12" width="21.125" customWidth="1"/>
    <col min="13" max="13" width="19.625" customWidth="1"/>
    <col min="14" max="14" width="14.625" customWidth="1"/>
    <col min="15" max="15" width="15.5" customWidth="1"/>
    <col min="16" max="16" width="17.25" customWidth="1"/>
    <col min="17" max="17" width="19.375" customWidth="1"/>
    <col min="18" max="18" width="12.75" customWidth="1"/>
    <col min="19" max="19" width="11.625" customWidth="1"/>
    <col min="20" max="20" width="13.75" customWidth="1"/>
    <col min="21" max="21" width="14.375" style="23" customWidth="1"/>
    <col min="22" max="22" width="9.25" customWidth="1"/>
    <col min="23" max="24" width="9.5" customWidth="1"/>
    <col min="25" max="25" width="7.5" customWidth="1"/>
    <col min="26" max="26" width="81" customWidth="1"/>
    <col min="27" max="27" width="9.5" customWidth="1"/>
    <col min="28" max="28" width="14.375" customWidth="1"/>
    <col min="29" max="29" width="5.5" customWidth="1"/>
    <col min="30" max="30" width="81" customWidth="1"/>
    <col min="31" max="31" width="5.5" customWidth="1"/>
    <col min="32" max="32" width="14.875" customWidth="1"/>
    <col min="33" max="33" width="5.5" customWidth="1"/>
    <col min="34" max="34" width="15" customWidth="1"/>
    <col min="35" max="35" width="5.5" customWidth="1"/>
    <col min="36" max="36" width="14.75" customWidth="1"/>
    <col min="37" max="37" width="5.5" customWidth="1"/>
    <col min="38" max="38" width="12.625" customWidth="1"/>
    <col min="39" max="39" width="5.5" customWidth="1"/>
    <col min="40" max="40" width="14.875" customWidth="1"/>
    <col min="41" max="43" width="5.5" customWidth="1"/>
    <col min="44" max="44" width="18.375" customWidth="1"/>
    <col min="45" max="45" width="5.5" customWidth="1"/>
    <col min="46" max="46" width="22" customWidth="1"/>
    <col min="47" max="47" width="9.25" customWidth="1"/>
    <col min="48" max="49" width="9.5" customWidth="1"/>
    <col min="50" max="50" width="7.5" customWidth="1"/>
    <col min="51" max="51" width="81" customWidth="1"/>
    <col min="52" max="52" width="9.5" customWidth="1"/>
    <col min="53" max="53" width="14.375" customWidth="1"/>
    <col min="54" max="54" width="5.5" customWidth="1"/>
    <col min="55" max="55" width="81" customWidth="1"/>
    <col min="56" max="56" width="5.5" customWidth="1"/>
    <col min="57" max="57" width="12.625" customWidth="1"/>
    <col min="58" max="58" width="5.5" customWidth="1"/>
    <col min="59" max="59" width="12.625" customWidth="1"/>
    <col min="60" max="60" width="5.5" customWidth="1"/>
    <col min="61" max="61" width="12.625" customWidth="1"/>
    <col min="62" max="62" width="5.5" customWidth="1"/>
    <col min="63" max="63" width="12.625" customWidth="1"/>
    <col min="64" max="64" width="5.5" customWidth="1"/>
    <col min="65" max="65" width="14.875" customWidth="1"/>
    <col min="66" max="66" width="5.5" customWidth="1"/>
  </cols>
  <sheetData>
    <row r="1" spans="1:20" s="23" customFormat="1">
      <c r="A1" s="53" t="s">
        <v>137</v>
      </c>
      <c r="B1" s="82" t="s">
        <v>350</v>
      </c>
      <c r="C1" s="53" t="s">
        <v>258</v>
      </c>
      <c r="D1" s="82" t="s">
        <v>139</v>
      </c>
      <c r="E1" s="53" t="s">
        <v>259</v>
      </c>
      <c r="F1" s="514" t="s">
        <v>348</v>
      </c>
      <c r="G1" s="62" t="s">
        <v>157</v>
      </c>
      <c r="H1" s="9" t="s">
        <v>52</v>
      </c>
      <c r="I1" s="10" t="s">
        <v>53</v>
      </c>
      <c r="J1" s="32" t="s">
        <v>262</v>
      </c>
      <c r="K1" s="53" t="s">
        <v>256</v>
      </c>
      <c r="L1" s="28" t="s">
        <v>257</v>
      </c>
      <c r="M1" s="102" t="s">
        <v>49</v>
      </c>
      <c r="N1" s="102" t="s">
        <v>711</v>
      </c>
      <c r="O1" s="102" t="s">
        <v>713</v>
      </c>
    </row>
    <row r="2" spans="1:20" s="23" customFormat="1" ht="17.25" thickBot="1">
      <c r="A2" s="67" t="s">
        <v>800</v>
      </c>
      <c r="B2" s="27">
        <f>C2/100000000</f>
        <v>42.822679999999998</v>
      </c>
      <c r="C2" s="33">
        <f>'ETF Update'!D24*1000</f>
        <v>4282268000</v>
      </c>
      <c r="D2" s="68">
        <f>'ETF Update'!E24</f>
        <v>125278</v>
      </c>
      <c r="E2" s="26">
        <f>'ETF Update'!C24</f>
        <v>34.18</v>
      </c>
      <c r="F2" s="515"/>
      <c r="G2" s="63" t="e">
        <f>J2/D2/1000</f>
        <v>#N/A</v>
      </c>
      <c r="H2" s="64" t="e">
        <f>K2/D2/1000</f>
        <v>#N/A</v>
      </c>
      <c r="I2" s="65" t="e">
        <f>L2/D2/1000</f>
        <v>#N/A</v>
      </c>
      <c r="J2" s="71" t="e">
        <f>C2+(SUM(K8:K301)-SUM(G8:G301))-N8+C2*O8*(N2/O2-1)+C2*P8*(N4/O4-1)</f>
        <v>#N/A</v>
      </c>
      <c r="K2" s="71" t="e">
        <f>C2+(SUM(L8:L301)-SUM(G8:G301))-N8+C2*O8*(N2/O2-1)+C2*P8*(N4/O4-1)</f>
        <v>#N/A</v>
      </c>
      <c r="L2" s="233" t="e">
        <f>C2+(SUM(M8:M301)-SUM(G8:G301))-N8+C2*O8*(N2/O2-1)+C2*P8*(N4/O4-1)</f>
        <v>#N/A</v>
      </c>
      <c r="M2" s="102" t="s">
        <v>359</v>
      </c>
      <c r="N2" s="116" t="e">
        <f>匯率報價!D16</f>
        <v>#REF!</v>
      </c>
      <c r="O2" s="448" t="e">
        <f>匯率報價!M16</f>
        <v>#REF!</v>
      </c>
    </row>
    <row r="3" spans="1:20" s="23" customFormat="1">
      <c r="M3" s="102" t="s">
        <v>782</v>
      </c>
      <c r="N3" s="116" t="e">
        <f>匯率報價!D17</f>
        <v>#REF!</v>
      </c>
      <c r="O3" s="448" t="e">
        <f>匯率報價!M17</f>
        <v>#REF!</v>
      </c>
    </row>
    <row r="4" spans="1:20" s="23" customFormat="1">
      <c r="B4" s="392"/>
      <c r="E4" s="391"/>
      <c r="F4" s="391"/>
      <c r="G4" s="391"/>
      <c r="H4" s="391"/>
      <c r="M4" s="102" t="s">
        <v>360</v>
      </c>
      <c r="N4" s="116" t="e">
        <f>匯率報價!D17</f>
        <v>#REF!</v>
      </c>
      <c r="O4" s="448" t="e">
        <f>O3</f>
        <v>#REF!</v>
      </c>
    </row>
    <row r="5" spans="1:20" s="23" customFormat="1">
      <c r="B5" s="26" t="s">
        <v>2401</v>
      </c>
      <c r="C5" s="437" t="s">
        <v>2399</v>
      </c>
    </row>
    <row r="6" spans="1:20" ht="17.25" thickBot="1">
      <c r="A6" s="70"/>
      <c r="B6" s="440" t="s">
        <v>2402</v>
      </c>
      <c r="C6" s="441" t="s">
        <v>2400</v>
      </c>
    </row>
    <row r="7" spans="1:20" s="23" customFormat="1">
      <c r="A7" s="17" t="s">
        <v>18</v>
      </c>
      <c r="B7" s="18" t="s">
        <v>24</v>
      </c>
      <c r="C7" s="18" t="s">
        <v>19</v>
      </c>
      <c r="D7" s="433" t="s">
        <v>318</v>
      </c>
      <c r="E7" s="18" t="s">
        <v>47</v>
      </c>
      <c r="F7" s="18" t="s">
        <v>245</v>
      </c>
      <c r="G7" s="18" t="s">
        <v>261</v>
      </c>
      <c r="H7" s="18" t="s">
        <v>157</v>
      </c>
      <c r="I7" s="18" t="s">
        <v>52</v>
      </c>
      <c r="J7" s="18" t="s">
        <v>53</v>
      </c>
      <c r="K7" s="18" t="s">
        <v>314</v>
      </c>
      <c r="L7" s="18" t="s">
        <v>315</v>
      </c>
      <c r="M7" s="19" t="s">
        <v>316</v>
      </c>
      <c r="N7" s="429" t="s">
        <v>787</v>
      </c>
      <c r="O7" s="250" t="s">
        <v>788</v>
      </c>
      <c r="P7" s="250" t="s">
        <v>789</v>
      </c>
    </row>
    <row r="8" spans="1:20">
      <c r="A8" s="434" t="e">
        <f>G8/$C$2</f>
        <v>#N/A</v>
      </c>
      <c r="B8" s="430" t="s">
        <v>2420</v>
      </c>
      <c r="C8" s="438" t="s">
        <v>2398</v>
      </c>
      <c r="D8" s="430">
        <v>1</v>
      </c>
      <c r="E8" s="275" t="e">
        <f>RTD("kgi.tw.der.pricertdserver.2014.1",,C8 &amp; "_Reference" &amp; ":" &amp; $C$5 &amp; "@" &amp; $C$6)</f>
        <v>#N/A</v>
      </c>
      <c r="F8" s="431">
        <v>1080</v>
      </c>
      <c r="G8" s="431" t="e">
        <f>D8*E8*F8*O2</f>
        <v>#N/A</v>
      </c>
      <c r="H8" s="432" t="e">
        <f>RTD("kgi.tw.der.pricertdserver.2014.1",,C8 &amp;":"&amp; $C$5&amp;"@" &amp; $C$6)</f>
        <v>#N/A</v>
      </c>
      <c r="I8" s="432" t="e">
        <f>RTD("kgi.tw.der.pricertdserver.2014.1",,C8 &amp; "_BidPrice1" &amp; ":" &amp; $C$5 &amp; "@" &amp; $C$6)</f>
        <v>#N/A</v>
      </c>
      <c r="J8" s="432" t="e">
        <f>RTD("kgi.tw.der.pricertdserver.2014.1",,C8 &amp; "_AskPrice1" &amp; ":" &amp; $C$5 &amp; "@" &amp; $C$6)</f>
        <v>#N/A</v>
      </c>
      <c r="K8" s="431" t="e">
        <f>IF(ISNUMBER(H8)=TRUE,H8*D8*F8,E8*D8*F8)*N2</f>
        <v>#N/A</v>
      </c>
      <c r="L8" s="431" t="e">
        <f>IF(ISNUMBER(I8)=TRUE,I8*D8*F8,E8*D8*F8)*N2</f>
        <v>#N/A</v>
      </c>
      <c r="M8" s="435" t="e">
        <f>IF(ISNUMBER(J8)=TRUE,J8*D8*F8,E8*D8*F8)*N2</f>
        <v>#N/A</v>
      </c>
      <c r="N8" s="91" t="e">
        <f>1.04%/365*(C2+SUM(K10:K80)-SUM(G10:G80))</f>
        <v>#REF!</v>
      </c>
      <c r="O8" s="98" t="e">
        <f>U18</f>
        <v>#REF!</v>
      </c>
      <c r="P8" s="98" t="e">
        <f>U20</f>
        <v>#REF!</v>
      </c>
    </row>
    <row r="9" spans="1:20" ht="17.25" thickBot="1">
      <c r="A9" s="425" t="e">
        <f t="shared" ref="A9:A60" si="0">G9/$C$2</f>
        <v>#N/A</v>
      </c>
      <c r="B9" s="426" t="s">
        <v>2421</v>
      </c>
      <c r="C9" s="439" t="s">
        <v>2419</v>
      </c>
      <c r="D9" s="426">
        <v>1</v>
      </c>
      <c r="E9" s="331" t="e">
        <f>RTD("kgi.tw.der.pricertdserver.2014.1",,C9 &amp; "_Reference" &amp; ":" &amp; $C$5 &amp; "@" &amp; $C$6)</f>
        <v>#N/A</v>
      </c>
      <c r="F9" s="427">
        <v>0</v>
      </c>
      <c r="G9" s="427" t="e">
        <f>D9*E9*F9*O2</f>
        <v>#N/A</v>
      </c>
      <c r="H9" s="436" t="e">
        <f>RTD("kgi.tw.der.pricertdserver.2014.1",,C9 &amp;":"&amp; $C$5&amp;"@" &amp; $C$6)</f>
        <v>#N/A</v>
      </c>
      <c r="I9" s="436" t="e">
        <f>RTD("kgi.tw.der.pricertdserver.2014.1",,C9 &amp; "_BidPrice1" &amp; ":" &amp; $C$5 &amp; "@" &amp; $C$6)</f>
        <v>#N/A</v>
      </c>
      <c r="J9" s="436" t="e">
        <f>RTD("kgi.tw.der.pricertdserver.2014.1",,C9 &amp; "_AskPrice1" &amp; ":" &amp; $C$5 &amp; "@" &amp; $C$6)</f>
        <v>#N/A</v>
      </c>
      <c r="K9" s="427" t="e">
        <f>IF(ISNUMBER(H9)=TRUE,H9*D9*F9,E9*D9*F9)*N2</f>
        <v>#N/A</v>
      </c>
      <c r="L9" s="427" t="e">
        <f>IF(ISNUMBER(I9)=TRUE,I9*D9*F9,E9*D9*F9)*N2</f>
        <v>#N/A</v>
      </c>
      <c r="M9" s="428" t="e">
        <f>IF(ISNUMBER(J9)=TRUE,J9*D9*F9,E9*D9*F9)*N2</f>
        <v>#N/A</v>
      </c>
    </row>
    <row r="10" spans="1:20">
      <c r="A10" s="442" t="e">
        <f t="shared" si="0"/>
        <v>#REF!</v>
      </c>
      <c r="B10" s="246" t="s">
        <v>263</v>
      </c>
      <c r="C10" s="451" t="s">
        <v>2430</v>
      </c>
      <c r="D10" s="246">
        <v>1</v>
      </c>
      <c r="E10" s="6" t="e">
        <f xml:space="preserve"> [1]!'600000.SH-PreClose'</f>
        <v>#REF!</v>
      </c>
      <c r="F10" s="449">
        <v>3015508</v>
      </c>
      <c r="G10" s="248" t="e">
        <f>D10*E10*F10*$O$4</f>
        <v>#REF!</v>
      </c>
      <c r="H10" s="247" t="e">
        <f xml:space="preserve"> [1]!'600000.SH-Price'</f>
        <v>#REF!</v>
      </c>
      <c r="I10" s="247" t="e">
        <f xml:space="preserve"> [1]!'600000.SH-BestBid1'</f>
        <v>#REF!</v>
      </c>
      <c r="J10" s="247" t="e">
        <f xml:space="preserve"> [1]!'600000.SH-BestAsk1'</f>
        <v>#REF!</v>
      </c>
      <c r="K10" s="248" t="e">
        <f>IF(ISNUMBER(H10)=TRUE,H10*D10*F10,E10*D10*F10)*$N$4</f>
        <v>#REF!</v>
      </c>
      <c r="L10" s="248" t="e">
        <f>IF(ISNUMBER(I10)=TRUE,I10*D10*F10,E10*D10*F10)*$N$4</f>
        <v>#REF!</v>
      </c>
      <c r="M10" s="248" t="e">
        <f>IF(ISNUMBER(J10)=TRUE,J10*D10*F10,E10*D10*F10)*$N$4</f>
        <v>#REF!</v>
      </c>
    </row>
    <row r="11" spans="1:20">
      <c r="A11" s="434" t="e">
        <f t="shared" si="0"/>
        <v>#REF!</v>
      </c>
      <c r="B11" s="26" t="s">
        <v>264</v>
      </c>
      <c r="C11" s="451" t="s">
        <v>2431</v>
      </c>
      <c r="D11" s="26">
        <v>1</v>
      </c>
      <c r="E11" s="6" t="e">
        <f xml:space="preserve"> [1]!'600016.SH-PreClose'</f>
        <v>#REF!</v>
      </c>
      <c r="F11" s="449">
        <v>6072029</v>
      </c>
      <c r="G11" s="74" t="e">
        <f>D11*E11*F11*$O$4</f>
        <v>#REF!</v>
      </c>
      <c r="H11" s="6" t="e">
        <f xml:space="preserve"> [1]!'600016.SH-Price'</f>
        <v>#REF!</v>
      </c>
      <c r="I11" s="6" t="e">
        <f xml:space="preserve"> [1]!'600016.SH-BestBid1'</f>
        <v>#REF!</v>
      </c>
      <c r="J11" s="6" t="e">
        <f xml:space="preserve"> [1]!'600016.SH-BestAsk1'</f>
        <v>#REF!</v>
      </c>
      <c r="K11" s="248" t="e">
        <f t="shared" ref="K11:K59" si="1">IF(ISNUMBER(H11)=TRUE,H11*D11*F11,E11*D11*F11)*$N$4</f>
        <v>#REF!</v>
      </c>
      <c r="L11" s="248" t="e">
        <f t="shared" ref="L11:L59" si="2">IF(ISNUMBER(I11)=TRUE,I11*D11*F11,E11*D11*F11)*$N$4</f>
        <v>#REF!</v>
      </c>
      <c r="M11" s="248" t="e">
        <f t="shared" ref="M11:M59" si="3">IF(ISNUMBER(J11)=TRUE,J11*D11*F11,E11*D11*F11)*$N$4</f>
        <v>#REF!</v>
      </c>
    </row>
    <row r="12" spans="1:20">
      <c r="A12" s="434" t="e">
        <f t="shared" si="0"/>
        <v>#REF!</v>
      </c>
      <c r="B12" s="26" t="s">
        <v>265</v>
      </c>
      <c r="C12" s="451" t="s">
        <v>2432</v>
      </c>
      <c r="D12" s="26">
        <v>1</v>
      </c>
      <c r="E12" s="6" t="e">
        <f xml:space="preserve"> [1]!'600028.SH-PreClose'</f>
        <v>#REF!</v>
      </c>
      <c r="F12" s="449">
        <v>2699764</v>
      </c>
      <c r="G12" s="74" t="e">
        <f t="shared" ref="G12:G59" si="4">D12*E12*F12*$O$4</f>
        <v>#REF!</v>
      </c>
      <c r="H12" s="6" t="e">
        <f xml:space="preserve"> [1]!'600028.SH-Price'</f>
        <v>#REF!</v>
      </c>
      <c r="I12" s="6" t="e">
        <f xml:space="preserve"> [1]!'600028.SH-BestBid1'</f>
        <v>#REF!</v>
      </c>
      <c r="J12" s="6" t="e">
        <f xml:space="preserve"> [1]!'600028.SH-BestAsk1'</f>
        <v>#REF!</v>
      </c>
      <c r="K12" s="248" t="e">
        <f t="shared" si="1"/>
        <v>#REF!</v>
      </c>
      <c r="L12" s="248" t="e">
        <f t="shared" si="2"/>
        <v>#REF!</v>
      </c>
      <c r="M12" s="248" t="e">
        <f t="shared" si="3"/>
        <v>#REF!</v>
      </c>
    </row>
    <row r="13" spans="1:20">
      <c r="A13" s="434" t="e">
        <f t="shared" si="0"/>
        <v>#REF!</v>
      </c>
      <c r="B13" s="26" t="s">
        <v>266</v>
      </c>
      <c r="C13" s="451" t="s">
        <v>2433</v>
      </c>
      <c r="D13" s="26">
        <v>1</v>
      </c>
      <c r="E13" s="6" t="e">
        <f xml:space="preserve"> [1]!'600029.SH-PreClose'</f>
        <v>#REF!</v>
      </c>
      <c r="F13" s="449">
        <v>901861</v>
      </c>
      <c r="G13" s="74" t="e">
        <f t="shared" si="4"/>
        <v>#REF!</v>
      </c>
      <c r="H13" s="6" t="e">
        <f xml:space="preserve"> [1]!'600029.SH-Price'</f>
        <v>#REF!</v>
      </c>
      <c r="I13" s="6" t="e">
        <f xml:space="preserve"> [1]!'600029.SH-BestBid1'</f>
        <v>#REF!</v>
      </c>
      <c r="J13" s="6" t="e">
        <f xml:space="preserve"> [1]!'600029.SH-BestAsk1'</f>
        <v>#REF!</v>
      </c>
      <c r="K13" s="248" t="e">
        <f t="shared" si="1"/>
        <v>#REF!</v>
      </c>
      <c r="L13" s="248" t="e">
        <f t="shared" si="2"/>
        <v>#REF!</v>
      </c>
      <c r="M13" s="248" t="e">
        <f t="shared" si="3"/>
        <v>#REF!</v>
      </c>
    </row>
    <row r="14" spans="1:20">
      <c r="A14" s="434" t="e">
        <f t="shared" si="0"/>
        <v>#REF!</v>
      </c>
      <c r="B14" s="26" t="s">
        <v>267</v>
      </c>
      <c r="C14" s="451" t="s">
        <v>2434</v>
      </c>
      <c r="D14" s="26">
        <v>1</v>
      </c>
      <c r="E14" s="6" t="e">
        <f xml:space="preserve"> [1]!'600030.SH-PreClose'</f>
        <v>#REF!</v>
      </c>
      <c r="F14" s="449">
        <v>2021550</v>
      </c>
      <c r="G14" s="74" t="e">
        <f t="shared" si="4"/>
        <v>#REF!</v>
      </c>
      <c r="H14" s="6" t="e">
        <f xml:space="preserve"> [1]!'600030.SH-Price'</f>
        <v>#REF!</v>
      </c>
      <c r="I14" s="6" t="e">
        <f xml:space="preserve"> [1]!'600030.SH-BestBid1'</f>
        <v>#REF!</v>
      </c>
      <c r="J14" s="6" t="e">
        <f xml:space="preserve"> [1]!'600030.SH-BestAsk1'</f>
        <v>#REF!</v>
      </c>
      <c r="K14" s="248" t="e">
        <f t="shared" si="1"/>
        <v>#REF!</v>
      </c>
      <c r="L14" s="248" t="e">
        <f t="shared" si="2"/>
        <v>#REF!</v>
      </c>
      <c r="M14" s="248" t="e">
        <f t="shared" si="3"/>
        <v>#REF!</v>
      </c>
      <c r="O14" s="241" t="s">
        <v>764</v>
      </c>
      <c r="P14" s="74">
        <v>10844743645</v>
      </c>
      <c r="Q14" s="240"/>
      <c r="R14" s="240"/>
      <c r="S14" s="240"/>
      <c r="T14" s="23"/>
    </row>
    <row r="15" spans="1:20">
      <c r="A15" s="434" t="e">
        <f t="shared" si="0"/>
        <v>#REF!</v>
      </c>
      <c r="B15" s="26" t="s">
        <v>268</v>
      </c>
      <c r="C15" s="451" t="s">
        <v>2435</v>
      </c>
      <c r="D15" s="26">
        <v>1</v>
      </c>
      <c r="E15" s="6" t="e">
        <f xml:space="preserve"> [1]!'600036.SH-PreClose'</f>
        <v>#REF!</v>
      </c>
      <c r="F15" s="449">
        <v>2649213</v>
      </c>
      <c r="G15" s="74" t="e">
        <f t="shared" si="4"/>
        <v>#REF!</v>
      </c>
      <c r="H15" s="6" t="e">
        <f xml:space="preserve"> [1]!'600036.SH-Price'</f>
        <v>#REF!</v>
      </c>
      <c r="I15" s="6" t="e">
        <f xml:space="preserve"> [1]!'600036.SH-BestBid1'</f>
        <v>#REF!</v>
      </c>
      <c r="J15" s="6" t="e">
        <f xml:space="preserve"> [1]!'600036.SH-BestAsk1'</f>
        <v>#REF!</v>
      </c>
      <c r="K15" s="248" t="e">
        <f t="shared" si="1"/>
        <v>#REF!</v>
      </c>
      <c r="L15" s="248" t="e">
        <f t="shared" si="2"/>
        <v>#REF!</v>
      </c>
      <c r="M15" s="248" t="e">
        <f t="shared" si="3"/>
        <v>#REF!</v>
      </c>
      <c r="O15" s="26" t="s">
        <v>760</v>
      </c>
      <c r="P15" s="26" t="s">
        <v>817</v>
      </c>
      <c r="Q15" s="26" t="s">
        <v>765</v>
      </c>
      <c r="R15" s="26" t="s">
        <v>754</v>
      </c>
      <c r="S15" s="26" t="s">
        <v>755</v>
      </c>
      <c r="T15" s="26" t="s">
        <v>756</v>
      </c>
    </row>
    <row r="16" spans="1:20">
      <c r="A16" s="434" t="e">
        <f t="shared" si="0"/>
        <v>#REF!</v>
      </c>
      <c r="B16" s="26" t="s">
        <v>269</v>
      </c>
      <c r="C16" s="451" t="s">
        <v>2436</v>
      </c>
      <c r="D16" s="26">
        <v>1</v>
      </c>
      <c r="E16" s="6" t="e">
        <f xml:space="preserve"> [1]!'600048.SH-PreClose'</f>
        <v>#REF!</v>
      </c>
      <c r="F16" s="449">
        <v>1827440</v>
      </c>
      <c r="G16" s="74" t="e">
        <f t="shared" si="4"/>
        <v>#REF!</v>
      </c>
      <c r="H16" s="6" t="e">
        <f xml:space="preserve"> [1]!'600048.SH-Price'</f>
        <v>#REF!</v>
      </c>
      <c r="I16" s="6" t="e">
        <f xml:space="preserve"> [1]!'600048.SH-BestBid1'</f>
        <v>#REF!</v>
      </c>
      <c r="J16" s="6" t="e">
        <f xml:space="preserve"> [1]!'600048.SH-BestAsk1'</f>
        <v>#REF!</v>
      </c>
      <c r="K16" s="248" t="e">
        <f t="shared" si="1"/>
        <v>#REF!</v>
      </c>
      <c r="L16" s="248" t="e">
        <f t="shared" si="2"/>
        <v>#REF!</v>
      </c>
      <c r="M16" s="248" t="e">
        <f t="shared" si="3"/>
        <v>#REF!</v>
      </c>
      <c r="O16" s="272" t="s">
        <v>757</v>
      </c>
      <c r="P16" s="273">
        <v>0</v>
      </c>
      <c r="Q16" s="273">
        <v>0</v>
      </c>
      <c r="R16" s="274"/>
      <c r="S16" s="274"/>
      <c r="T16" s="274"/>
    </row>
    <row r="17" spans="1:21">
      <c r="A17" s="434" t="e">
        <f t="shared" si="0"/>
        <v>#REF!</v>
      </c>
      <c r="B17" s="26" t="s">
        <v>270</v>
      </c>
      <c r="C17" s="451" t="s">
        <v>2437</v>
      </c>
      <c r="D17" s="26">
        <v>1</v>
      </c>
      <c r="E17" s="6" t="e">
        <f xml:space="preserve"> [1]!'600050.SH-PreClose'</f>
        <v>#REF!</v>
      </c>
      <c r="F17" s="449">
        <v>2329600</v>
      </c>
      <c r="G17" s="74" t="e">
        <f t="shared" si="4"/>
        <v>#REF!</v>
      </c>
      <c r="H17" s="6" t="e">
        <f xml:space="preserve"> [1]!'600050.SH-Price'</f>
        <v>#REF!</v>
      </c>
      <c r="I17" s="6" t="e">
        <f xml:space="preserve"> [1]!'600050.SH-BestBid1'</f>
        <v>#REF!</v>
      </c>
      <c r="J17" s="6" t="e">
        <f xml:space="preserve"> [1]!'600050.SH-BestAsk1'</f>
        <v>#REF!</v>
      </c>
      <c r="K17" s="248" t="e">
        <f t="shared" si="1"/>
        <v>#REF!</v>
      </c>
      <c r="L17" s="248" t="e">
        <f t="shared" si="2"/>
        <v>#REF!</v>
      </c>
      <c r="M17" s="248" t="e">
        <f t="shared" si="3"/>
        <v>#REF!</v>
      </c>
      <c r="O17" s="6" t="s">
        <v>758</v>
      </c>
      <c r="P17" s="71">
        <v>0</v>
      </c>
      <c r="Q17" s="277">
        <f>P17</f>
        <v>0</v>
      </c>
      <c r="R17" s="244" t="e">
        <f>Q17/$Q$26</f>
        <v>#REF!</v>
      </c>
      <c r="S17" s="244"/>
      <c r="T17" s="244" t="e">
        <f>R17</f>
        <v>#REF!</v>
      </c>
      <c r="U17" s="23" t="s">
        <v>825</v>
      </c>
    </row>
    <row r="18" spans="1:21">
      <c r="A18" s="434" t="e">
        <f t="shared" si="0"/>
        <v>#REF!</v>
      </c>
      <c r="B18" s="26" t="s">
        <v>271</v>
      </c>
      <c r="C18" s="452" t="s">
        <v>2438</v>
      </c>
      <c r="D18" s="26">
        <v>1</v>
      </c>
      <c r="E18" s="6" t="e">
        <f xml:space="preserve"> [1]!'600019.SH-PreClose'</f>
        <v>#REF!</v>
      </c>
      <c r="F18" s="450">
        <v>2270789</v>
      </c>
      <c r="G18" s="74" t="e">
        <f t="shared" si="4"/>
        <v>#REF!</v>
      </c>
      <c r="H18" s="6" t="e">
        <f xml:space="preserve"> [1]!'600100.SH-Price'</f>
        <v>#REF!</v>
      </c>
      <c r="I18" s="6" t="e">
        <f xml:space="preserve"> [1]!'600100.SH-BestBid1'</f>
        <v>#REF!</v>
      </c>
      <c r="J18" s="6" t="e">
        <f xml:space="preserve"> [1]!'600100.SH-BestAsk1'</f>
        <v>#REF!</v>
      </c>
      <c r="K18" s="248" t="e">
        <f t="shared" si="1"/>
        <v>#REF!</v>
      </c>
      <c r="L18" s="248" t="e">
        <f t="shared" si="2"/>
        <v>#REF!</v>
      </c>
      <c r="M18" s="248" t="e">
        <f t="shared" si="3"/>
        <v>#REF!</v>
      </c>
      <c r="O18" s="6" t="s">
        <v>761</v>
      </c>
      <c r="P18" s="71">
        <v>4308729</v>
      </c>
      <c r="Q18" s="290" t="e">
        <f>P18*O2</f>
        <v>#REF!</v>
      </c>
      <c r="R18" s="244" t="e">
        <f>Q18/$Q$26</f>
        <v>#REF!</v>
      </c>
      <c r="S18" s="244" t="e">
        <f>R18</f>
        <v>#REF!</v>
      </c>
      <c r="T18" s="244"/>
      <c r="U18" s="24" t="e">
        <f>S18</f>
        <v>#REF!</v>
      </c>
    </row>
    <row r="19" spans="1:21">
      <c r="A19" s="434" t="e">
        <f t="shared" si="0"/>
        <v>#REF!</v>
      </c>
      <c r="B19" s="26" t="s">
        <v>272</v>
      </c>
      <c r="C19" s="451" t="s">
        <v>2439</v>
      </c>
      <c r="D19" s="26">
        <v>1</v>
      </c>
      <c r="E19" s="6" t="e">
        <f xml:space="preserve"> [1]!'600104.SH-PreClose'</f>
        <v>#REF!</v>
      </c>
      <c r="F19" s="449">
        <v>900290</v>
      </c>
      <c r="G19" s="74" t="e">
        <f t="shared" si="4"/>
        <v>#REF!</v>
      </c>
      <c r="H19" s="6" t="e">
        <f xml:space="preserve"> [1]!'600104.SH-Price'</f>
        <v>#REF!</v>
      </c>
      <c r="I19" s="6" t="e">
        <f xml:space="preserve"> [1]!'600104.SH-BestBid1'</f>
        <v>#REF!</v>
      </c>
      <c r="J19" s="6" t="e">
        <f xml:space="preserve"> [1]!'600104.SH-BestAsk1'</f>
        <v>#REF!</v>
      </c>
      <c r="K19" s="248" t="e">
        <f t="shared" si="1"/>
        <v>#REF!</v>
      </c>
      <c r="L19" s="248" t="e">
        <f t="shared" si="2"/>
        <v>#REF!</v>
      </c>
      <c r="M19" s="248" t="e">
        <f t="shared" si="3"/>
        <v>#REF!</v>
      </c>
      <c r="O19" s="6" t="s">
        <v>783</v>
      </c>
      <c r="P19" s="71">
        <v>8507470</v>
      </c>
      <c r="Q19" s="290" t="e">
        <f>P19*O3</f>
        <v>#REF!</v>
      </c>
      <c r="R19" s="244" t="e">
        <f t="shared" ref="R19:R23" si="5">Q19/$Q$26</f>
        <v>#REF!</v>
      </c>
      <c r="S19" s="244" t="e">
        <f t="shared" ref="S19:S23" si="6">R19</f>
        <v>#REF!</v>
      </c>
      <c r="T19" s="244"/>
      <c r="U19" s="23" t="s">
        <v>826</v>
      </c>
    </row>
    <row r="20" spans="1:21">
      <c r="A20" s="434" t="e">
        <f t="shared" si="0"/>
        <v>#REF!</v>
      </c>
      <c r="B20" s="26" t="s">
        <v>273</v>
      </c>
      <c r="C20" s="451" t="s">
        <v>2440</v>
      </c>
      <c r="D20" s="26">
        <v>1</v>
      </c>
      <c r="E20" s="6" t="e">
        <f xml:space="preserve"> [1]!'600111.SH-PreClose'</f>
        <v>#REF!</v>
      </c>
      <c r="F20" s="449">
        <v>559868</v>
      </c>
      <c r="G20" s="74" t="e">
        <f t="shared" si="4"/>
        <v>#REF!</v>
      </c>
      <c r="H20" s="6" t="e">
        <f xml:space="preserve"> [1]!'600111.SH-Price'</f>
        <v>#REF!</v>
      </c>
      <c r="I20" s="6" t="e">
        <f xml:space="preserve"> [1]!'600111.SH-BestBid1'</f>
        <v>#REF!</v>
      </c>
      <c r="J20" s="6" t="e">
        <f xml:space="preserve"> [1]!'600111.SH-BestAsk1'</f>
        <v>#REF!</v>
      </c>
      <c r="K20" s="248" t="e">
        <f t="shared" si="1"/>
        <v>#REF!</v>
      </c>
      <c r="L20" s="248" t="e">
        <f t="shared" si="2"/>
        <v>#REF!</v>
      </c>
      <c r="M20" s="248" t="e">
        <f t="shared" si="3"/>
        <v>#REF!</v>
      </c>
      <c r="O20" s="6" t="s">
        <v>784</v>
      </c>
      <c r="P20" s="71">
        <v>4982965</v>
      </c>
      <c r="Q20" s="290" t="e">
        <f>P20*O4</f>
        <v>#REF!</v>
      </c>
      <c r="R20" s="244" t="e">
        <f t="shared" si="5"/>
        <v>#REF!</v>
      </c>
      <c r="S20" s="244" t="e">
        <f t="shared" si="6"/>
        <v>#REF!</v>
      </c>
      <c r="T20" s="244"/>
      <c r="U20" s="24" t="e">
        <f>S19+S20+S23</f>
        <v>#REF!</v>
      </c>
    </row>
    <row r="21" spans="1:21">
      <c r="A21" s="434" t="e">
        <f t="shared" si="0"/>
        <v>#REF!</v>
      </c>
      <c r="B21" s="26" t="s">
        <v>274</v>
      </c>
      <c r="C21" s="451" t="s">
        <v>2441</v>
      </c>
      <c r="D21" s="26">
        <v>1</v>
      </c>
      <c r="E21" s="6" t="e">
        <f xml:space="preserve"> [1]!'600340.SH-PreClose'</f>
        <v>#REF!</v>
      </c>
      <c r="F21" s="449">
        <v>303602</v>
      </c>
      <c r="G21" s="74" t="e">
        <f t="shared" si="4"/>
        <v>#REF!</v>
      </c>
      <c r="H21" s="6" t="e">
        <f xml:space="preserve"> [1]!'600340.SH-Price'</f>
        <v>#REF!</v>
      </c>
      <c r="I21" s="6" t="e">
        <f xml:space="preserve"> [1]!'600340.SH-BestBid1'</f>
        <v>#REF!</v>
      </c>
      <c r="J21" s="6" t="e">
        <f xml:space="preserve"> [1]!'600340.SH-BestAsk1'</f>
        <v>#REF!</v>
      </c>
      <c r="K21" s="248" t="e">
        <f t="shared" si="1"/>
        <v>#REF!</v>
      </c>
      <c r="L21" s="248" t="e">
        <f t="shared" si="2"/>
        <v>#REF!</v>
      </c>
      <c r="M21" s="248" t="e">
        <f t="shared" si="3"/>
        <v>#REF!</v>
      </c>
      <c r="O21" s="6" t="s">
        <v>785</v>
      </c>
      <c r="P21" s="71">
        <v>47232643</v>
      </c>
      <c r="Q21" s="277">
        <f>P21</f>
        <v>47232643</v>
      </c>
      <c r="R21" s="244" t="e">
        <f t="shared" si="5"/>
        <v>#REF!</v>
      </c>
      <c r="S21" s="244"/>
      <c r="T21" s="244" t="e">
        <f>R21</f>
        <v>#REF!</v>
      </c>
    </row>
    <row r="22" spans="1:21">
      <c r="A22" s="434" t="e">
        <f t="shared" si="0"/>
        <v>#REF!</v>
      </c>
      <c r="B22" s="26" t="s">
        <v>275</v>
      </c>
      <c r="C22" s="451" t="s">
        <v>2442</v>
      </c>
      <c r="D22" s="26">
        <v>1</v>
      </c>
      <c r="E22" s="6" t="e">
        <f xml:space="preserve"> [1]!'600485.SH-PreClose'</f>
        <v>#REF!</v>
      </c>
      <c r="F22" s="449">
        <v>361400</v>
      </c>
      <c r="G22" s="74" t="e">
        <f t="shared" si="4"/>
        <v>#REF!</v>
      </c>
      <c r="H22" s="6" t="e">
        <f xml:space="preserve"> [1]!'600485.SH-Price'</f>
        <v>#REF!</v>
      </c>
      <c r="I22" s="6" t="e">
        <f xml:space="preserve"> [1]!'600485.SH-BestBid1'</f>
        <v>#REF!</v>
      </c>
      <c r="J22" s="6" t="e">
        <f xml:space="preserve"> [1]!'600485.SH-BestAsk1'</f>
        <v>#REF!</v>
      </c>
      <c r="K22" s="248" t="e">
        <f t="shared" si="1"/>
        <v>#REF!</v>
      </c>
      <c r="L22" s="248" t="e">
        <f t="shared" si="2"/>
        <v>#REF!</v>
      </c>
      <c r="M22" s="248" t="e">
        <f t="shared" si="3"/>
        <v>#REF!</v>
      </c>
      <c r="O22" s="6" t="s">
        <v>2429</v>
      </c>
      <c r="P22" s="71">
        <v>4001960</v>
      </c>
      <c r="Q22" s="277" t="e">
        <f>P22*O2</f>
        <v>#REF!</v>
      </c>
      <c r="R22" s="244" t="e">
        <f t="shared" si="5"/>
        <v>#REF!</v>
      </c>
      <c r="S22" s="244" t="e">
        <f t="shared" si="6"/>
        <v>#REF!</v>
      </c>
      <c r="T22" s="244"/>
    </row>
    <row r="23" spans="1:21">
      <c r="A23" s="434" t="e">
        <f t="shared" si="0"/>
        <v>#REF!</v>
      </c>
      <c r="B23" s="26" t="s">
        <v>276</v>
      </c>
      <c r="C23" s="451" t="s">
        <v>2443</v>
      </c>
      <c r="D23" s="26">
        <v>1</v>
      </c>
      <c r="E23" s="6" t="e">
        <f xml:space="preserve"> [1]!'600518.SH-PreClose'</f>
        <v>#REF!</v>
      </c>
      <c r="F23" s="449">
        <v>762323</v>
      </c>
      <c r="G23" s="74" t="e">
        <f t="shared" si="4"/>
        <v>#REF!</v>
      </c>
      <c r="H23" s="6" t="e">
        <f xml:space="preserve"> [1]!'600518.SH-Price'</f>
        <v>#REF!</v>
      </c>
      <c r="I23" s="6" t="e">
        <f xml:space="preserve"> [1]!'600518.SH-BestBid1'</f>
        <v>#REF!</v>
      </c>
      <c r="J23" s="6" t="e">
        <f xml:space="preserve"> [1]!'600518.SH-BestAsk1'</f>
        <v>#REF!</v>
      </c>
      <c r="K23" s="248" t="e">
        <f t="shared" si="1"/>
        <v>#REF!</v>
      </c>
      <c r="L23" s="248" t="e">
        <f t="shared" si="2"/>
        <v>#REF!</v>
      </c>
      <c r="M23" s="248" t="e">
        <f t="shared" si="3"/>
        <v>#REF!</v>
      </c>
      <c r="O23" s="275" t="s">
        <v>786</v>
      </c>
      <c r="P23" s="245" t="e">
        <f>G60</f>
        <v>#REF!</v>
      </c>
      <c r="Q23" s="290" t="e">
        <f>P23*O3</f>
        <v>#REF!</v>
      </c>
      <c r="R23" s="244" t="e">
        <f t="shared" si="5"/>
        <v>#REF!</v>
      </c>
      <c r="S23" s="244" t="e">
        <f t="shared" si="6"/>
        <v>#REF!</v>
      </c>
      <c r="T23" s="244"/>
    </row>
    <row r="24" spans="1:21">
      <c r="A24" s="434" t="e">
        <f t="shared" si="0"/>
        <v>#REF!</v>
      </c>
      <c r="B24" s="26" t="s">
        <v>277</v>
      </c>
      <c r="C24" s="451" t="s">
        <v>2444</v>
      </c>
      <c r="D24" s="26">
        <v>1</v>
      </c>
      <c r="E24" s="6" t="e">
        <f xml:space="preserve"> [1]!'600519.SH-PreClose'</f>
        <v>#REF!</v>
      </c>
      <c r="F24" s="449">
        <v>129125</v>
      </c>
      <c r="G24" s="74" t="e">
        <f t="shared" si="4"/>
        <v>#REF!</v>
      </c>
      <c r="H24" s="6" t="e">
        <f xml:space="preserve"> [1]!'600519.SH-Price'</f>
        <v>#REF!</v>
      </c>
      <c r="I24" s="6" t="e">
        <f xml:space="preserve"> [1]!'600519.SH-BestBid1'</f>
        <v>#REF!</v>
      </c>
      <c r="J24" s="6" t="e">
        <f xml:space="preserve"> [1]!'600519.SH-BestAsk1'</f>
        <v>#REF!</v>
      </c>
      <c r="K24" s="248" t="e">
        <f t="shared" si="1"/>
        <v>#REF!</v>
      </c>
      <c r="L24" s="248" t="e">
        <f t="shared" si="2"/>
        <v>#REF!</v>
      </c>
      <c r="M24" s="248" t="e">
        <f t="shared" si="3"/>
        <v>#REF!</v>
      </c>
      <c r="O24" s="276" t="s">
        <v>762</v>
      </c>
      <c r="P24" s="245">
        <v>0</v>
      </c>
      <c r="Q24" s="6"/>
      <c r="R24" s="244" t="e">
        <f>Q24/$Q$26</f>
        <v>#REF!</v>
      </c>
      <c r="S24" s="244"/>
      <c r="T24" s="244"/>
    </row>
    <row r="25" spans="1:21">
      <c r="A25" s="434" t="e">
        <f t="shared" si="0"/>
        <v>#REF!</v>
      </c>
      <c r="B25" s="26" t="s">
        <v>278</v>
      </c>
      <c r="C25" s="451" t="s">
        <v>2445</v>
      </c>
      <c r="D25" s="26">
        <v>1</v>
      </c>
      <c r="E25" s="6" t="e">
        <f xml:space="preserve"> [1]!'600547.SH-PreClose'</f>
        <v>#REF!</v>
      </c>
      <c r="F25" s="449">
        <v>190800</v>
      </c>
      <c r="G25" s="74" t="e">
        <f t="shared" si="4"/>
        <v>#REF!</v>
      </c>
      <c r="H25" s="6" t="e">
        <f xml:space="preserve"> [1]!'600547.SH-Price'</f>
        <v>#REF!</v>
      </c>
      <c r="I25" s="6" t="e">
        <f xml:space="preserve"> [1]!'600547.SH-BestBid1'</f>
        <v>#REF!</v>
      </c>
      <c r="J25" s="6" t="e">
        <f xml:space="preserve"> [1]!'600547.SH-BestAsk1'</f>
        <v>#REF!</v>
      </c>
      <c r="K25" s="248" t="e">
        <f t="shared" si="1"/>
        <v>#REF!</v>
      </c>
      <c r="L25" s="248" t="e">
        <f t="shared" si="2"/>
        <v>#REF!</v>
      </c>
      <c r="M25" s="248" t="e">
        <f t="shared" si="3"/>
        <v>#REF!</v>
      </c>
      <c r="O25" s="276" t="s">
        <v>824</v>
      </c>
      <c r="P25" s="293">
        <v>-49701552</v>
      </c>
      <c r="Q25" s="294">
        <v>-49701552</v>
      </c>
      <c r="R25" s="295" t="e">
        <f>Q25/$Q$26</f>
        <v>#REF!</v>
      </c>
      <c r="S25" s="294"/>
      <c r="T25" s="295" t="e">
        <f>R25</f>
        <v>#REF!</v>
      </c>
      <c r="U25" s="24" t="e">
        <f>S26+T26</f>
        <v>#REF!</v>
      </c>
    </row>
    <row r="26" spans="1:21">
      <c r="A26" s="434" t="e">
        <f t="shared" si="0"/>
        <v>#REF!</v>
      </c>
      <c r="B26" s="26" t="s">
        <v>279</v>
      </c>
      <c r="C26" s="451" t="s">
        <v>2446</v>
      </c>
      <c r="D26" s="26">
        <v>1</v>
      </c>
      <c r="E26" s="6" t="e">
        <f xml:space="preserve"> [1]!'600606.SH-PreClose'</f>
        <v>#REF!</v>
      </c>
      <c r="F26" s="449">
        <v>937581</v>
      </c>
      <c r="G26" s="74" t="e">
        <f t="shared" si="4"/>
        <v>#REF!</v>
      </c>
      <c r="H26" s="6" t="e">
        <f xml:space="preserve"> [1]!'600606.SH-Price'</f>
        <v>#REF!</v>
      </c>
      <c r="I26" s="6" t="e">
        <f xml:space="preserve"> [1]!'600606.SH-BestBid1'</f>
        <v>#REF!</v>
      </c>
      <c r="J26" s="6" t="e">
        <f xml:space="preserve"> [1]!'600606.SH-BestAsk1'</f>
        <v>#REF!</v>
      </c>
      <c r="K26" s="248" t="e">
        <f t="shared" si="1"/>
        <v>#REF!</v>
      </c>
      <c r="L26" s="248" t="e">
        <f t="shared" si="2"/>
        <v>#REF!</v>
      </c>
      <c r="M26" s="248" t="e">
        <f t="shared" si="3"/>
        <v>#REF!</v>
      </c>
      <c r="O26" s="6" t="s">
        <v>763</v>
      </c>
      <c r="P26" s="277"/>
      <c r="Q26" s="277" t="e">
        <f>SUM(Q17:Q25)</f>
        <v>#REF!</v>
      </c>
      <c r="R26" s="243" t="e">
        <f>SUM(R17:R23)</f>
        <v>#REF!</v>
      </c>
      <c r="S26" s="244" t="e">
        <f>SUM(S17:S25)</f>
        <v>#REF!</v>
      </c>
      <c r="T26" s="244" t="e">
        <f>SUM(T17:T25)</f>
        <v>#REF!</v>
      </c>
    </row>
    <row r="27" spans="1:21">
      <c r="A27" s="434" t="e">
        <f t="shared" si="0"/>
        <v>#REF!</v>
      </c>
      <c r="B27" s="26" t="s">
        <v>280</v>
      </c>
      <c r="C27" s="451" t="s">
        <v>2447</v>
      </c>
      <c r="D27" s="26">
        <v>1</v>
      </c>
      <c r="E27" s="6" t="e">
        <f xml:space="preserve"> [1]!'600837.SH-PreClose'</f>
        <v>#REF!</v>
      </c>
      <c r="F27" s="449">
        <v>2078364</v>
      </c>
      <c r="G27" s="74" t="e">
        <f t="shared" si="4"/>
        <v>#REF!</v>
      </c>
      <c r="H27" s="6" t="e">
        <f xml:space="preserve"> [1]!'600837.SH-Price'</f>
        <v>#REF!</v>
      </c>
      <c r="I27" s="6" t="e">
        <f xml:space="preserve"> [1]!'600837.SH-BestBid1'</f>
        <v>#REF!</v>
      </c>
      <c r="J27" s="6" t="e">
        <f xml:space="preserve"> [1]!'600837.SH-BestAsk1'</f>
        <v>#REF!</v>
      </c>
      <c r="K27" s="248" t="e">
        <f t="shared" si="1"/>
        <v>#REF!</v>
      </c>
      <c r="L27" s="248" t="e">
        <f t="shared" si="2"/>
        <v>#REF!</v>
      </c>
      <c r="M27" s="248" t="e">
        <f t="shared" si="3"/>
        <v>#REF!</v>
      </c>
      <c r="T27" s="24"/>
    </row>
    <row r="28" spans="1:21">
      <c r="A28" s="434" t="e">
        <f t="shared" si="0"/>
        <v>#REF!</v>
      </c>
      <c r="B28" s="26" t="s">
        <v>281</v>
      </c>
      <c r="C28" s="451" t="s">
        <v>2448</v>
      </c>
      <c r="D28" s="26">
        <v>1</v>
      </c>
      <c r="E28" s="6" t="e">
        <f xml:space="preserve"> [1]!'600887.SH-PreClose'</f>
        <v>#REF!</v>
      </c>
      <c r="F28" s="449">
        <v>1561278</v>
      </c>
      <c r="G28" s="74" t="e">
        <f t="shared" si="4"/>
        <v>#REF!</v>
      </c>
      <c r="H28" s="6" t="e">
        <f xml:space="preserve"> [1]!'600887.SH-Price'</f>
        <v>#REF!</v>
      </c>
      <c r="I28" s="6" t="e">
        <f xml:space="preserve"> [1]!'600887.SH-BestBid1'</f>
        <v>#REF!</v>
      </c>
      <c r="J28" s="6" t="e">
        <f xml:space="preserve"> [1]!'600887.SH-BestAsk1'</f>
        <v>#REF!</v>
      </c>
      <c r="K28" s="248" t="e">
        <f t="shared" si="1"/>
        <v>#REF!</v>
      </c>
      <c r="L28" s="248" t="e">
        <f t="shared" si="2"/>
        <v>#REF!</v>
      </c>
      <c r="M28" s="248" t="e">
        <f t="shared" si="3"/>
        <v>#REF!</v>
      </c>
      <c r="U28" s="397" t="s">
        <v>2308</v>
      </c>
    </row>
    <row r="29" spans="1:21">
      <c r="A29" s="434" t="e">
        <f t="shared" si="0"/>
        <v>#REF!</v>
      </c>
      <c r="B29" s="26" t="s">
        <v>282</v>
      </c>
      <c r="C29" s="451" t="s">
        <v>2449</v>
      </c>
      <c r="D29" s="26">
        <v>1</v>
      </c>
      <c r="E29" s="6" t="e">
        <f xml:space="preserve"> [1]!'600919.SH-PreClose'</f>
        <v>#REF!</v>
      </c>
      <c r="F29" s="449">
        <v>1779084</v>
      </c>
      <c r="G29" s="74" t="e">
        <f t="shared" si="4"/>
        <v>#REF!</v>
      </c>
      <c r="H29" s="6" t="e">
        <f xml:space="preserve"> [1]!'600919.SH-Price'</f>
        <v>#REF!</v>
      </c>
      <c r="I29" s="6" t="e">
        <f xml:space="preserve"> [1]!'600919.SH-BestBid1'</f>
        <v>#REF!</v>
      </c>
      <c r="J29" s="6" t="e">
        <f xml:space="preserve"> [1]!'600919.SH-BestAsk1'</f>
        <v>#REF!</v>
      </c>
      <c r="K29" s="248" t="e">
        <f t="shared" si="1"/>
        <v>#REF!</v>
      </c>
      <c r="L29" s="248" t="e">
        <f t="shared" si="2"/>
        <v>#REF!</v>
      </c>
      <c r="M29" s="248" t="e">
        <f t="shared" si="3"/>
        <v>#REF!</v>
      </c>
      <c r="O29" s="397" t="s">
        <v>2403</v>
      </c>
      <c r="P29" s="397" t="s">
        <v>2404</v>
      </c>
      <c r="Q29" s="397" t="s">
        <v>2405</v>
      </c>
      <c r="R29" s="397" t="s">
        <v>2305</v>
      </c>
      <c r="S29" s="397" t="s">
        <v>2306</v>
      </c>
      <c r="T29" s="397" t="s">
        <v>2307</v>
      </c>
      <c r="U29" s="397" t="s">
        <v>2412</v>
      </c>
    </row>
    <row r="30" spans="1:21">
      <c r="A30" s="434" t="e">
        <f t="shared" si="0"/>
        <v>#REF!</v>
      </c>
      <c r="B30" s="26" t="s">
        <v>283</v>
      </c>
      <c r="C30" s="451" t="s">
        <v>2450</v>
      </c>
      <c r="D30" s="26">
        <v>1</v>
      </c>
      <c r="E30" s="6" t="e">
        <f xml:space="preserve"> [1]!'600958.SH-PreClose'</f>
        <v>#REF!</v>
      </c>
      <c r="F30" s="449">
        <v>766296</v>
      </c>
      <c r="G30" s="74" t="e">
        <f t="shared" si="4"/>
        <v>#REF!</v>
      </c>
      <c r="H30" s="6" t="e">
        <f xml:space="preserve"> [1]!'600958.SH-Price'</f>
        <v>#REF!</v>
      </c>
      <c r="I30" s="6" t="e">
        <f xml:space="preserve"> [1]!'600958.SH-BestBid1'</f>
        <v>#REF!</v>
      </c>
      <c r="J30" s="6" t="e">
        <f xml:space="preserve"> [1]!'600958.SH-BestAsk1'</f>
        <v>#REF!</v>
      </c>
      <c r="K30" s="248" t="e">
        <f t="shared" si="1"/>
        <v>#REF!</v>
      </c>
      <c r="L30" s="248" t="e">
        <f t="shared" si="2"/>
        <v>#REF!</v>
      </c>
      <c r="M30" s="248" t="e">
        <f t="shared" si="3"/>
        <v>#REF!</v>
      </c>
      <c r="O30" s="397" t="s">
        <v>2406</v>
      </c>
      <c r="P30" s="397" t="s">
        <v>2407</v>
      </c>
      <c r="Q30" s="397" t="s">
        <v>2408</v>
      </c>
      <c r="R30" s="397" t="s">
        <v>2409</v>
      </c>
      <c r="S30" s="397" t="s">
        <v>2410</v>
      </c>
      <c r="T30" s="397" t="s">
        <v>2411</v>
      </c>
      <c r="U30" s="397" t="s">
        <v>2314</v>
      </c>
    </row>
    <row r="31" spans="1:21">
      <c r="A31" s="434" t="e">
        <f t="shared" si="0"/>
        <v>#REF!</v>
      </c>
      <c r="B31" s="26" t="s">
        <v>284</v>
      </c>
      <c r="C31" s="451" t="s">
        <v>2451</v>
      </c>
      <c r="D31" s="26">
        <v>1</v>
      </c>
      <c r="E31" s="6" t="e">
        <f xml:space="preserve"> [1]!'600999.SH-PreClose'</f>
        <v>#REF!</v>
      </c>
      <c r="F31" s="449">
        <v>587568</v>
      </c>
      <c r="G31" s="74" t="e">
        <f t="shared" si="4"/>
        <v>#REF!</v>
      </c>
      <c r="H31" s="6" t="e">
        <f xml:space="preserve"> [1]!'600999.SH-Price'</f>
        <v>#REF!</v>
      </c>
      <c r="I31" s="6" t="e">
        <f xml:space="preserve"> [1]!'600999.SH-BestBid1'</f>
        <v>#REF!</v>
      </c>
      <c r="J31" s="6" t="e">
        <f xml:space="preserve"> [1]!'600999.SH-BestAsk1'</f>
        <v>#REF!</v>
      </c>
      <c r="K31" s="248" t="e">
        <f t="shared" si="1"/>
        <v>#REF!</v>
      </c>
      <c r="L31" s="248" t="e">
        <f t="shared" si="2"/>
        <v>#REF!</v>
      </c>
      <c r="M31" s="248" t="e">
        <f t="shared" si="3"/>
        <v>#REF!</v>
      </c>
      <c r="O31" s="397" t="s">
        <v>2301</v>
      </c>
      <c r="P31" s="397" t="s">
        <v>2309</v>
      </c>
      <c r="Q31" s="397" t="s">
        <v>2310</v>
      </c>
      <c r="R31" s="397" t="s">
        <v>2311</v>
      </c>
      <c r="S31" s="397" t="s">
        <v>2312</v>
      </c>
      <c r="T31" s="397" t="s">
        <v>2313</v>
      </c>
      <c r="U31" s="397" t="s">
        <v>2418</v>
      </c>
    </row>
    <row r="32" spans="1:21">
      <c r="A32" s="434" t="e">
        <f t="shared" si="0"/>
        <v>#REF!</v>
      </c>
      <c r="B32" s="26" t="s">
        <v>285</v>
      </c>
      <c r="C32" s="451" t="s">
        <v>2452</v>
      </c>
      <c r="D32" s="26">
        <v>1</v>
      </c>
      <c r="E32" s="6" t="e">
        <f xml:space="preserve"> [1]!'601006.SH-PreClose'</f>
        <v>#REF!</v>
      </c>
      <c r="F32" s="449">
        <v>1527416</v>
      </c>
      <c r="G32" s="74" t="e">
        <f t="shared" si="4"/>
        <v>#REF!</v>
      </c>
      <c r="H32" s="6" t="e">
        <f xml:space="preserve"> [1]!'601006.SH-Price'</f>
        <v>#REF!</v>
      </c>
      <c r="I32" s="6" t="e">
        <f xml:space="preserve"> [1]!'601006.SH-BestBid1'</f>
        <v>#REF!</v>
      </c>
      <c r="J32" s="6" t="e">
        <f xml:space="preserve"> [1]!'601006.SH-BestAsk1'</f>
        <v>#REF!</v>
      </c>
      <c r="K32" s="248" t="e">
        <f t="shared" si="1"/>
        <v>#REF!</v>
      </c>
      <c r="L32" s="248" t="e">
        <f t="shared" si="2"/>
        <v>#REF!</v>
      </c>
      <c r="M32" s="248" t="e">
        <f t="shared" si="3"/>
        <v>#REF!</v>
      </c>
      <c r="O32" s="397" t="s">
        <v>2302</v>
      </c>
      <c r="P32" s="397" t="s">
        <v>2413</v>
      </c>
      <c r="Q32" s="397" t="s">
        <v>2414</v>
      </c>
      <c r="R32" s="397" t="s">
        <v>2415</v>
      </c>
      <c r="S32" s="397" t="s">
        <v>2416</v>
      </c>
      <c r="T32" s="397" t="s">
        <v>2417</v>
      </c>
    </row>
    <row r="33" spans="1:22">
      <c r="A33" s="434" t="e">
        <f t="shared" si="0"/>
        <v>#REF!</v>
      </c>
      <c r="B33" s="26" t="s">
        <v>286</v>
      </c>
      <c r="C33" s="451" t="s">
        <v>2453</v>
      </c>
      <c r="D33" s="26">
        <v>1</v>
      </c>
      <c r="E33" s="6" t="e">
        <f xml:space="preserve"> [1]!'601088.SH-PreClose'</f>
        <v>#REF!</v>
      </c>
      <c r="F33" s="449">
        <v>508360</v>
      </c>
      <c r="G33" s="74" t="e">
        <f t="shared" si="4"/>
        <v>#REF!</v>
      </c>
      <c r="H33" s="6" t="e">
        <f xml:space="preserve"> [1]!'601088.SH-Price'</f>
        <v>#REF!</v>
      </c>
      <c r="I33" s="6" t="e">
        <f xml:space="preserve"> [1]!'601088.SH-BestBid1'</f>
        <v>#REF!</v>
      </c>
      <c r="J33" s="6" t="e">
        <f xml:space="preserve"> [1]!'601088.SH-BestAsk1'</f>
        <v>#REF!</v>
      </c>
      <c r="K33" s="248" t="e">
        <f t="shared" si="1"/>
        <v>#REF!</v>
      </c>
      <c r="L33" s="248" t="e">
        <f t="shared" si="2"/>
        <v>#REF!</v>
      </c>
      <c r="M33" s="248" t="e">
        <f t="shared" si="3"/>
        <v>#REF!</v>
      </c>
    </row>
    <row r="34" spans="1:22">
      <c r="A34" s="434" t="e">
        <f t="shared" si="0"/>
        <v>#REF!</v>
      </c>
      <c r="B34" s="26" t="s">
        <v>287</v>
      </c>
      <c r="C34" s="451" t="s">
        <v>2454</v>
      </c>
      <c r="D34" s="26">
        <v>1</v>
      </c>
      <c r="E34" s="6" t="e">
        <f xml:space="preserve"> [1]!'601166.SH-PreClose'</f>
        <v>#REF!</v>
      </c>
      <c r="F34" s="449">
        <v>3201376</v>
      </c>
      <c r="G34" s="74" t="e">
        <f t="shared" si="4"/>
        <v>#REF!</v>
      </c>
      <c r="H34" s="6" t="e">
        <f xml:space="preserve"> [1]!'601166.SH-Price'</f>
        <v>#REF!</v>
      </c>
      <c r="I34" s="6" t="e">
        <f xml:space="preserve"> [1]!'601166.SH-BestBid1'</f>
        <v>#REF!</v>
      </c>
      <c r="J34" s="6" t="e">
        <f xml:space="preserve"> [1]!'601166.SH-BestAsk1'</f>
        <v>#REF!</v>
      </c>
      <c r="K34" s="248" t="e">
        <f t="shared" si="1"/>
        <v>#REF!</v>
      </c>
      <c r="L34" s="248" t="e">
        <f t="shared" si="2"/>
        <v>#REF!</v>
      </c>
      <c r="M34" s="248" t="e">
        <f t="shared" si="3"/>
        <v>#REF!</v>
      </c>
    </row>
    <row r="35" spans="1:22">
      <c r="A35" s="434" t="e">
        <f t="shared" si="0"/>
        <v>#REF!</v>
      </c>
      <c r="B35" s="26" t="s">
        <v>288</v>
      </c>
      <c r="C35" s="451" t="s">
        <v>2455</v>
      </c>
      <c r="D35" s="26">
        <v>1</v>
      </c>
      <c r="E35" s="6" t="e">
        <f xml:space="preserve"> [1]!'601169.SH-PreClose'</f>
        <v>#REF!</v>
      </c>
      <c r="F35" s="449">
        <v>3801249</v>
      </c>
      <c r="G35" s="74" t="e">
        <f t="shared" si="4"/>
        <v>#REF!</v>
      </c>
      <c r="H35" s="6" t="e">
        <f xml:space="preserve"> [1]!'601169.SH-Price'</f>
        <v>#REF!</v>
      </c>
      <c r="I35" s="6" t="e">
        <f xml:space="preserve"> [1]!'601169.SH-BestBid1'</f>
        <v>#REF!</v>
      </c>
      <c r="J35" s="6" t="e">
        <f xml:space="preserve"> [1]!'601169.SH-BestAsk1'</f>
        <v>#REF!</v>
      </c>
      <c r="K35" s="248" t="e">
        <f t="shared" si="1"/>
        <v>#REF!</v>
      </c>
      <c r="L35" s="248" t="e">
        <f t="shared" si="2"/>
        <v>#REF!</v>
      </c>
      <c r="M35" s="248" t="e">
        <f t="shared" si="3"/>
        <v>#REF!</v>
      </c>
    </row>
    <row r="36" spans="1:22">
      <c r="A36" s="434" t="e">
        <f t="shared" si="0"/>
        <v>#REF!</v>
      </c>
      <c r="B36" s="26" t="s">
        <v>289</v>
      </c>
      <c r="C36" s="451" t="s">
        <v>2456</v>
      </c>
      <c r="D36" s="26">
        <v>1</v>
      </c>
      <c r="E36" s="6" t="e">
        <f xml:space="preserve"> [1]!'601186.SH-PreClose'</f>
        <v>#REF!</v>
      </c>
      <c r="F36" s="449">
        <v>1181799</v>
      </c>
      <c r="G36" s="74" t="e">
        <f t="shared" si="4"/>
        <v>#REF!</v>
      </c>
      <c r="H36" s="6" t="e">
        <f xml:space="preserve"> [1]!'601186.SH-Price'</f>
        <v>#REF!</v>
      </c>
      <c r="I36" s="6" t="e">
        <f xml:space="preserve"> [1]!'601186.SH-BestBid1'</f>
        <v>#REF!</v>
      </c>
      <c r="J36" s="6" t="e">
        <f xml:space="preserve"> [1]!'601186.SH-BestAsk1'</f>
        <v>#REF!</v>
      </c>
      <c r="K36" s="248" t="e">
        <f t="shared" si="1"/>
        <v>#REF!</v>
      </c>
      <c r="L36" s="248" t="e">
        <f t="shared" si="2"/>
        <v>#REF!</v>
      </c>
      <c r="M36" s="248" t="e">
        <f t="shared" si="3"/>
        <v>#REF!</v>
      </c>
    </row>
    <row r="37" spans="1:22">
      <c r="A37" s="434" t="e">
        <f t="shared" si="0"/>
        <v>#REF!</v>
      </c>
      <c r="B37" s="26" t="s">
        <v>290</v>
      </c>
      <c r="C37" s="452" t="s">
        <v>2457</v>
      </c>
      <c r="D37" s="26">
        <v>1</v>
      </c>
      <c r="E37" s="6" t="e">
        <f xml:space="preserve"> [1]!'601669.SH-PreClose'</f>
        <v>#REF!</v>
      </c>
      <c r="F37" s="450">
        <v>1178900</v>
      </c>
      <c r="G37" s="74" t="e">
        <f t="shared" si="4"/>
        <v>#REF!</v>
      </c>
      <c r="H37" s="6" t="e">
        <f xml:space="preserve"> [1]!'601198.SH-Price'</f>
        <v>#REF!</v>
      </c>
      <c r="I37" s="6" t="e">
        <f xml:space="preserve"> [1]!'601198.SH-BestBid1'</f>
        <v>#REF!</v>
      </c>
      <c r="J37" s="6" t="e">
        <f xml:space="preserve"> [1]!'601198.SH-BestAsk1'</f>
        <v>#REF!</v>
      </c>
      <c r="K37" s="248" t="e">
        <f t="shared" si="1"/>
        <v>#REF!</v>
      </c>
      <c r="L37" s="248" t="e">
        <f t="shared" si="2"/>
        <v>#REF!</v>
      </c>
      <c r="M37" s="248" t="e">
        <f t="shared" si="3"/>
        <v>#REF!</v>
      </c>
    </row>
    <row r="38" spans="1:22">
      <c r="A38" s="434" t="e">
        <f t="shared" si="0"/>
        <v>#REF!</v>
      </c>
      <c r="B38" s="26" t="s">
        <v>291</v>
      </c>
      <c r="C38" s="451" t="s">
        <v>2458</v>
      </c>
      <c r="D38" s="26">
        <v>1</v>
      </c>
      <c r="E38" s="6" t="e">
        <f xml:space="preserve"> [1]!'601211.SH-PreClose'</f>
        <v>#REF!</v>
      </c>
      <c r="F38" s="449">
        <v>965269</v>
      </c>
      <c r="G38" s="74" t="e">
        <f t="shared" si="4"/>
        <v>#REF!</v>
      </c>
      <c r="H38" s="6" t="e">
        <f xml:space="preserve"> [1]!'601211.SH-Price'</f>
        <v>#REF!</v>
      </c>
      <c r="I38" s="6" t="e">
        <f xml:space="preserve"> [1]!'601211.SH-BestBid1'</f>
        <v>#REF!</v>
      </c>
      <c r="J38" s="6" t="e">
        <f xml:space="preserve"> [1]!'601211.SH-BestAsk1'</f>
        <v>#REF!</v>
      </c>
      <c r="K38" s="248" t="e">
        <f t="shared" si="1"/>
        <v>#REF!</v>
      </c>
      <c r="L38" s="248" t="e">
        <f t="shared" si="2"/>
        <v>#REF!</v>
      </c>
      <c r="M38" s="248" t="e">
        <f t="shared" si="3"/>
        <v>#REF!</v>
      </c>
    </row>
    <row r="39" spans="1:22">
      <c r="A39" s="434" t="e">
        <f t="shared" si="0"/>
        <v>#REF!</v>
      </c>
      <c r="B39" s="26" t="s">
        <v>292</v>
      </c>
      <c r="C39" s="451" t="s">
        <v>2459</v>
      </c>
      <c r="D39" s="26">
        <v>1</v>
      </c>
      <c r="E39" s="6" t="e">
        <f xml:space="preserve"> [1]!'601229.SH-PreClose'</f>
        <v>#REF!</v>
      </c>
      <c r="F39" s="449">
        <v>220575</v>
      </c>
      <c r="G39" s="74" t="e">
        <f t="shared" si="4"/>
        <v>#REF!</v>
      </c>
      <c r="H39" s="6" t="e">
        <f xml:space="preserve"> [1]!'601229.SH-Price'</f>
        <v>#REF!</v>
      </c>
      <c r="I39" s="6" t="e">
        <f xml:space="preserve"> [1]!'601229.SH-BestBid1'</f>
        <v>#REF!</v>
      </c>
      <c r="J39" s="6" t="e">
        <f xml:space="preserve"> [1]!'601229.SH-BestAsk1'</f>
        <v>#REF!</v>
      </c>
      <c r="K39" s="248" t="e">
        <f t="shared" si="1"/>
        <v>#REF!</v>
      </c>
      <c r="L39" s="248" t="e">
        <f t="shared" si="2"/>
        <v>#REF!</v>
      </c>
      <c r="M39" s="248" t="e">
        <f t="shared" si="3"/>
        <v>#REF!</v>
      </c>
    </row>
    <row r="40" spans="1:22">
      <c r="A40" s="434" t="e">
        <f t="shared" si="0"/>
        <v>#REF!</v>
      </c>
      <c r="B40" s="26" t="s">
        <v>293</v>
      </c>
      <c r="C40" s="451" t="s">
        <v>2460</v>
      </c>
      <c r="D40" s="26">
        <v>1</v>
      </c>
      <c r="E40" s="6" t="e">
        <f xml:space="preserve"> [1]!'601288.SH-PreClose'</f>
        <v>#REF!</v>
      </c>
      <c r="F40" s="449">
        <v>9818212</v>
      </c>
      <c r="G40" s="74" t="e">
        <f t="shared" si="4"/>
        <v>#REF!</v>
      </c>
      <c r="H40" s="6" t="e">
        <f xml:space="preserve"> [1]!'601288.SH-Price'</f>
        <v>#REF!</v>
      </c>
      <c r="I40" s="6" t="e">
        <f xml:space="preserve"> [1]!'601288.SH-BestBid1'</f>
        <v>#REF!</v>
      </c>
      <c r="J40" s="6" t="e">
        <f xml:space="preserve"> [1]!'601288.SH-BestAsk1'</f>
        <v>#REF!</v>
      </c>
      <c r="K40" s="248" t="e">
        <f t="shared" si="1"/>
        <v>#REF!</v>
      </c>
      <c r="L40" s="248" t="e">
        <f t="shared" si="2"/>
        <v>#REF!</v>
      </c>
      <c r="M40" s="248" t="e">
        <f t="shared" si="3"/>
        <v>#REF!</v>
      </c>
    </row>
    <row r="41" spans="1:22">
      <c r="A41" s="434" t="e">
        <f t="shared" si="0"/>
        <v>#REF!</v>
      </c>
      <c r="B41" s="26" t="s">
        <v>294</v>
      </c>
      <c r="C41" s="451" t="s">
        <v>2461</v>
      </c>
      <c r="D41" s="26">
        <v>1</v>
      </c>
      <c r="E41" s="6" t="e">
        <f xml:space="preserve"> [1]!'601318.SH-PreClose'</f>
        <v>#REF!</v>
      </c>
      <c r="F41" s="449">
        <v>2782297</v>
      </c>
      <c r="G41" s="74" t="e">
        <f t="shared" si="4"/>
        <v>#REF!</v>
      </c>
      <c r="H41" s="6" t="e">
        <f xml:space="preserve"> [1]!'601318.SH-Price'</f>
        <v>#REF!</v>
      </c>
      <c r="I41" s="6" t="e">
        <f xml:space="preserve"> [1]!'601318.SH-BestBid1'</f>
        <v>#REF!</v>
      </c>
      <c r="J41" s="6" t="e">
        <f xml:space="preserve"> [1]!'601318.SH-BestAsk1'</f>
        <v>#REF!</v>
      </c>
      <c r="K41" s="248" t="e">
        <f t="shared" si="1"/>
        <v>#REF!</v>
      </c>
      <c r="L41" s="248" t="e">
        <f t="shared" si="2"/>
        <v>#REF!</v>
      </c>
      <c r="M41" s="248" t="e">
        <f t="shared" si="3"/>
        <v>#REF!</v>
      </c>
    </row>
    <row r="42" spans="1:22">
      <c r="A42" s="434" t="e">
        <f t="shared" si="0"/>
        <v>#REF!</v>
      </c>
      <c r="B42" s="26" t="s">
        <v>295</v>
      </c>
      <c r="C42" s="451" t="s">
        <v>2462</v>
      </c>
      <c r="D42" s="26">
        <v>1</v>
      </c>
      <c r="E42" s="6" t="e">
        <f xml:space="preserve"> [1]!'601328.SH-PreClose'</f>
        <v>#REF!</v>
      </c>
      <c r="F42" s="449">
        <v>7056744</v>
      </c>
      <c r="G42" s="74" t="e">
        <f t="shared" si="4"/>
        <v>#REF!</v>
      </c>
      <c r="H42" s="6" t="e">
        <f xml:space="preserve"> [1]!'601328.SH-Price'</f>
        <v>#REF!</v>
      </c>
      <c r="I42" s="6" t="e">
        <f xml:space="preserve"> [1]!'601328.SH-BestBid1'</f>
        <v>#REF!</v>
      </c>
      <c r="J42" s="6" t="e">
        <f xml:space="preserve"> [1]!'601328.SH-BestAsk1'</f>
        <v>#REF!</v>
      </c>
      <c r="K42" s="248" t="e">
        <f t="shared" si="1"/>
        <v>#REF!</v>
      </c>
      <c r="L42" s="248" t="e">
        <f t="shared" si="2"/>
        <v>#REF!</v>
      </c>
      <c r="M42" s="248" t="e">
        <f t="shared" si="3"/>
        <v>#REF!</v>
      </c>
      <c r="V42" s="23"/>
    </row>
    <row r="43" spans="1:22">
      <c r="A43" s="434" t="e">
        <f t="shared" si="0"/>
        <v>#REF!</v>
      </c>
      <c r="B43" s="26" t="s">
        <v>296</v>
      </c>
      <c r="C43" s="451" t="s">
        <v>2463</v>
      </c>
      <c r="D43" s="26">
        <v>1</v>
      </c>
      <c r="E43" s="6" t="e">
        <f xml:space="preserve"> [1]!'601336.SH-PreClose'</f>
        <v>#REF!</v>
      </c>
      <c r="F43" s="449">
        <v>214328</v>
      </c>
      <c r="G43" s="74" t="e">
        <f t="shared" si="4"/>
        <v>#REF!</v>
      </c>
      <c r="H43" s="6" t="e">
        <f xml:space="preserve"> [1]!'601336.SH-Price'</f>
        <v>#REF!</v>
      </c>
      <c r="I43" s="6" t="e">
        <f xml:space="preserve"> [1]!'601336.SH-BestBid1'</f>
        <v>#REF!</v>
      </c>
      <c r="J43" s="6" t="e">
        <f xml:space="preserve"> [1]!'601336.SH-BestAsk1'</f>
        <v>#REF!</v>
      </c>
      <c r="K43" s="248" t="e">
        <f t="shared" si="1"/>
        <v>#REF!</v>
      </c>
      <c r="L43" s="248" t="e">
        <f t="shared" si="2"/>
        <v>#REF!</v>
      </c>
      <c r="M43" s="248" t="e">
        <f t="shared" si="3"/>
        <v>#REF!</v>
      </c>
      <c r="Q43" s="240"/>
      <c r="R43" s="240"/>
      <c r="S43" s="240"/>
      <c r="T43" s="240"/>
    </row>
    <row r="44" spans="1:22">
      <c r="A44" s="434" t="e">
        <f t="shared" si="0"/>
        <v>#REF!</v>
      </c>
      <c r="B44" s="26" t="s">
        <v>297</v>
      </c>
      <c r="C44" s="451" t="s">
        <v>2464</v>
      </c>
      <c r="D44" s="26">
        <v>1</v>
      </c>
      <c r="E44" s="6" t="e">
        <f xml:space="preserve"> [1]!'601390.SH-PreClose'</f>
        <v>#REF!</v>
      </c>
      <c r="F44" s="449">
        <v>1436060</v>
      </c>
      <c r="G44" s="74" t="e">
        <f t="shared" si="4"/>
        <v>#REF!</v>
      </c>
      <c r="H44" s="6" t="e">
        <f xml:space="preserve"> [1]!'601390.SH-Price'</f>
        <v>#REF!</v>
      </c>
      <c r="I44" s="6" t="e">
        <f xml:space="preserve"> [1]!'601390.SH-BestBid1'</f>
        <v>#REF!</v>
      </c>
      <c r="J44" s="6" t="e">
        <f xml:space="preserve"> [1]!'601390.SH-BestAsk1'</f>
        <v>#REF!</v>
      </c>
      <c r="K44" s="248" t="e">
        <f t="shared" si="1"/>
        <v>#REF!</v>
      </c>
      <c r="L44" s="248" t="e">
        <f t="shared" si="2"/>
        <v>#REF!</v>
      </c>
      <c r="M44" s="248" t="e">
        <f t="shared" si="3"/>
        <v>#REF!</v>
      </c>
    </row>
    <row r="45" spans="1:22">
      <c r="A45" s="434" t="e">
        <f t="shared" si="0"/>
        <v>#REF!</v>
      </c>
      <c r="B45" s="26" t="s">
        <v>298</v>
      </c>
      <c r="C45" s="451" t="s">
        <v>2465</v>
      </c>
      <c r="D45" s="26">
        <v>1</v>
      </c>
      <c r="E45" s="6" t="e">
        <f xml:space="preserve"> [1]!'601398.SH-PreClose'</f>
        <v>#REF!</v>
      </c>
      <c r="F45" s="449">
        <v>5539763</v>
      </c>
      <c r="G45" s="74" t="e">
        <f t="shared" si="4"/>
        <v>#REF!</v>
      </c>
      <c r="H45" s="6" t="e">
        <f xml:space="preserve"> [1]!'601398.SH-Price'</f>
        <v>#REF!</v>
      </c>
      <c r="I45" s="6" t="e">
        <f xml:space="preserve"> [1]!'601398.SH-BestBid1'</f>
        <v>#REF!</v>
      </c>
      <c r="J45" s="6" t="e">
        <f xml:space="preserve"> [1]!'601398.SH-BestAsk1'</f>
        <v>#REF!</v>
      </c>
      <c r="K45" s="248" t="e">
        <f t="shared" si="1"/>
        <v>#REF!</v>
      </c>
      <c r="L45" s="248" t="e">
        <f t="shared" si="2"/>
        <v>#REF!</v>
      </c>
      <c r="M45" s="248" t="e">
        <f t="shared" si="3"/>
        <v>#REF!</v>
      </c>
    </row>
    <row r="46" spans="1:22">
      <c r="A46" s="434" t="e">
        <f t="shared" si="0"/>
        <v>#REF!</v>
      </c>
      <c r="B46" s="26" t="s">
        <v>299</v>
      </c>
      <c r="C46" s="451" t="s">
        <v>2466</v>
      </c>
      <c r="D46" s="26">
        <v>1</v>
      </c>
      <c r="E46" s="6" t="e">
        <f xml:space="preserve"> [1]!'601601.SH-PreClose'</f>
        <v>#REF!</v>
      </c>
      <c r="F46" s="449">
        <v>807426</v>
      </c>
      <c r="G46" s="74" t="e">
        <f t="shared" si="4"/>
        <v>#REF!</v>
      </c>
      <c r="H46" s="6" t="e">
        <f xml:space="preserve"> [1]!'601601.SH-Price'</f>
        <v>#REF!</v>
      </c>
      <c r="I46" s="6" t="e">
        <f xml:space="preserve"> [1]!'601601.SH-BestBid1'</f>
        <v>#REF!</v>
      </c>
      <c r="J46" s="6" t="e">
        <f xml:space="preserve"> [1]!'601601.SH-BestAsk1'</f>
        <v>#REF!</v>
      </c>
      <c r="K46" s="248" t="e">
        <f t="shared" si="1"/>
        <v>#REF!</v>
      </c>
      <c r="L46" s="248" t="e">
        <f t="shared" si="2"/>
        <v>#REF!</v>
      </c>
      <c r="M46" s="248" t="e">
        <f t="shared" si="3"/>
        <v>#REF!</v>
      </c>
    </row>
    <row r="47" spans="1:22">
      <c r="A47" s="434" t="e">
        <f t="shared" si="0"/>
        <v>#REF!</v>
      </c>
      <c r="B47" s="26" t="s">
        <v>300</v>
      </c>
      <c r="C47" s="451" t="s">
        <v>2467</v>
      </c>
      <c r="D47" s="26">
        <v>1</v>
      </c>
      <c r="E47" s="6" t="e">
        <f xml:space="preserve"> [1]!'601628.SH-PreClose'</f>
        <v>#REF!</v>
      </c>
      <c r="F47" s="449">
        <v>427862</v>
      </c>
      <c r="G47" s="74" t="e">
        <f t="shared" si="4"/>
        <v>#REF!</v>
      </c>
      <c r="H47" s="6" t="e">
        <f xml:space="preserve"> [1]!'601628.SH-Price'</f>
        <v>#REF!</v>
      </c>
      <c r="I47" s="6" t="e">
        <f xml:space="preserve"> [1]!'601628.SH-BestBid1'</f>
        <v>#REF!</v>
      </c>
      <c r="J47" s="6" t="e">
        <f xml:space="preserve"> [1]!'601628.SH-BestAsk1'</f>
        <v>#REF!</v>
      </c>
      <c r="K47" s="248" t="e">
        <f t="shared" si="1"/>
        <v>#REF!</v>
      </c>
      <c r="L47" s="248" t="e">
        <f t="shared" si="2"/>
        <v>#REF!</v>
      </c>
      <c r="M47" s="248" t="e">
        <f t="shared" si="3"/>
        <v>#REF!</v>
      </c>
    </row>
    <row r="48" spans="1:22">
      <c r="A48" s="434" t="e">
        <f t="shared" si="0"/>
        <v>#REF!</v>
      </c>
      <c r="B48" s="26" t="s">
        <v>301</v>
      </c>
      <c r="C48" s="451" t="s">
        <v>2468</v>
      </c>
      <c r="D48" s="26">
        <v>1</v>
      </c>
      <c r="E48" s="6" t="e">
        <f xml:space="preserve"> [1]!'601668.SH-PreClose'</f>
        <v>#REF!</v>
      </c>
      <c r="F48" s="449">
        <v>3852575</v>
      </c>
      <c r="G48" s="74" t="e">
        <f t="shared" si="4"/>
        <v>#REF!</v>
      </c>
      <c r="H48" s="6" t="e">
        <f xml:space="preserve"> [1]!'601668.SH-Price'</f>
        <v>#REF!</v>
      </c>
      <c r="I48" s="6" t="e">
        <f xml:space="preserve"> [1]!'601668.SH-BestBid1'</f>
        <v>#REF!</v>
      </c>
      <c r="J48" s="6" t="e">
        <f xml:space="preserve"> [1]!'601668.SH-BestAsk1'</f>
        <v>#REF!</v>
      </c>
      <c r="K48" s="248" t="e">
        <f t="shared" si="1"/>
        <v>#REF!</v>
      </c>
      <c r="L48" s="248" t="e">
        <f t="shared" si="2"/>
        <v>#REF!</v>
      </c>
      <c r="M48" s="248" t="e">
        <f t="shared" si="3"/>
        <v>#REF!</v>
      </c>
    </row>
    <row r="49" spans="1:21">
      <c r="A49" s="434" t="e">
        <f t="shared" si="0"/>
        <v>#REF!</v>
      </c>
      <c r="B49" s="26" t="s">
        <v>302</v>
      </c>
      <c r="C49" s="451" t="s">
        <v>2469</v>
      </c>
      <c r="D49" s="26">
        <v>1</v>
      </c>
      <c r="E49" s="6" t="e">
        <f xml:space="preserve"> [1]!'601688.SH-PreClose'</f>
        <v>#REF!</v>
      </c>
      <c r="F49" s="449">
        <v>838905</v>
      </c>
      <c r="G49" s="74" t="e">
        <f t="shared" si="4"/>
        <v>#REF!</v>
      </c>
      <c r="H49" s="6" t="e">
        <f xml:space="preserve"> [1]!'601688.SH-Price'</f>
        <v>#REF!</v>
      </c>
      <c r="I49" s="6" t="e">
        <f xml:space="preserve"> [1]!'601688.SH-BestBid1'</f>
        <v>#REF!</v>
      </c>
      <c r="J49" s="6" t="e">
        <f xml:space="preserve"> [1]!'601688.SH-BestAsk1'</f>
        <v>#REF!</v>
      </c>
      <c r="K49" s="248" t="e">
        <f t="shared" si="1"/>
        <v>#REF!</v>
      </c>
      <c r="L49" s="248" t="e">
        <f t="shared" si="2"/>
        <v>#REF!</v>
      </c>
      <c r="M49" s="248" t="e">
        <f t="shared" si="3"/>
        <v>#REF!</v>
      </c>
    </row>
    <row r="50" spans="1:21">
      <c r="A50" s="434" t="e">
        <f t="shared" si="0"/>
        <v>#REF!</v>
      </c>
      <c r="B50" s="26" t="s">
        <v>303</v>
      </c>
      <c r="C50" s="451" t="s">
        <v>2470</v>
      </c>
      <c r="D50" s="26">
        <v>1</v>
      </c>
      <c r="E50" s="6" t="e">
        <f xml:space="preserve"> [1]!'601766.SH-PreClose'</f>
        <v>#REF!</v>
      </c>
      <c r="F50" s="449">
        <v>1874502</v>
      </c>
      <c r="G50" s="74" t="e">
        <f t="shared" si="4"/>
        <v>#REF!</v>
      </c>
      <c r="H50" s="6" t="e">
        <f xml:space="preserve"> [1]!'601766.SH-Price'</f>
        <v>#REF!</v>
      </c>
      <c r="I50" s="6" t="e">
        <f xml:space="preserve"> [1]!'601766.SH-BestBid1'</f>
        <v>#REF!</v>
      </c>
      <c r="J50" s="6" t="e">
        <f xml:space="preserve"> [1]!'601766.SH-BestAsk1'</f>
        <v>#REF!</v>
      </c>
      <c r="K50" s="248" t="e">
        <f t="shared" si="1"/>
        <v>#REF!</v>
      </c>
      <c r="L50" s="248" t="e">
        <f t="shared" si="2"/>
        <v>#REF!</v>
      </c>
      <c r="M50" s="248" t="e">
        <f t="shared" si="3"/>
        <v>#REF!</v>
      </c>
    </row>
    <row r="51" spans="1:21">
      <c r="A51" s="434" t="e">
        <f t="shared" si="0"/>
        <v>#REF!</v>
      </c>
      <c r="B51" s="26" t="s">
        <v>304</v>
      </c>
      <c r="C51" s="452" t="s">
        <v>2471</v>
      </c>
      <c r="D51" s="26">
        <v>1</v>
      </c>
      <c r="E51" s="6" t="e">
        <f xml:space="preserve"> [1]!'601878.SH-PreClose'</f>
        <v>#REF!</v>
      </c>
      <c r="F51" s="450">
        <v>94247</v>
      </c>
      <c r="G51" s="74" t="e">
        <f t="shared" si="4"/>
        <v>#REF!</v>
      </c>
      <c r="H51" s="6" t="e">
        <f xml:space="preserve"> [1]!'601788.SH-Price'</f>
        <v>#REF!</v>
      </c>
      <c r="I51" s="6" t="e">
        <f xml:space="preserve"> [1]!'601788.SH-BestBid1'</f>
        <v>#REF!</v>
      </c>
      <c r="J51" s="6" t="e">
        <f xml:space="preserve"> [1]!'601788.SH-BestAsk1'</f>
        <v>#REF!</v>
      </c>
      <c r="K51" s="248" t="e">
        <f t="shared" si="1"/>
        <v>#REF!</v>
      </c>
      <c r="L51" s="248" t="e">
        <f t="shared" si="2"/>
        <v>#REF!</v>
      </c>
      <c r="M51" s="248" t="e">
        <f t="shared" si="3"/>
        <v>#REF!</v>
      </c>
    </row>
    <row r="52" spans="1:21">
      <c r="A52" s="434" t="e">
        <f t="shared" si="0"/>
        <v>#REF!</v>
      </c>
      <c r="B52" s="26" t="s">
        <v>305</v>
      </c>
      <c r="C52" s="451" t="s">
        <v>2472</v>
      </c>
      <c r="D52" s="26">
        <v>1</v>
      </c>
      <c r="E52" s="6" t="e">
        <f xml:space="preserve"> [1]!'601800.SH-PreClose'</f>
        <v>#REF!</v>
      </c>
      <c r="F52" s="449">
        <v>392315</v>
      </c>
      <c r="G52" s="74" t="e">
        <f t="shared" si="4"/>
        <v>#REF!</v>
      </c>
      <c r="H52" s="6" t="e">
        <f xml:space="preserve"> [1]!'601800.SH-Price'</f>
        <v>#REF!</v>
      </c>
      <c r="I52" s="6" t="e">
        <f xml:space="preserve"> [1]!'601800.SH-BestBid1'</f>
        <v>#REF!</v>
      </c>
      <c r="J52" s="6" t="e">
        <f xml:space="preserve"> [1]!'601800.SH-BestAsk1'</f>
        <v>#REF!</v>
      </c>
      <c r="K52" s="248" t="e">
        <f t="shared" si="1"/>
        <v>#REF!</v>
      </c>
      <c r="L52" s="248" t="e">
        <f t="shared" si="2"/>
        <v>#REF!</v>
      </c>
      <c r="M52" s="248" t="e">
        <f t="shared" si="3"/>
        <v>#REF!</v>
      </c>
    </row>
    <row r="53" spans="1:21">
      <c r="A53" s="434" t="e">
        <f t="shared" si="0"/>
        <v>#REF!</v>
      </c>
      <c r="B53" s="26" t="s">
        <v>306</v>
      </c>
      <c r="C53" s="451" t="s">
        <v>2473</v>
      </c>
      <c r="D53" s="26">
        <v>1</v>
      </c>
      <c r="E53" s="6" t="e">
        <f xml:space="preserve"> [1]!'601818.SH-PreClose'</f>
        <v>#REF!</v>
      </c>
      <c r="F53" s="449">
        <v>4089940</v>
      </c>
      <c r="G53" s="74" t="e">
        <f t="shared" si="4"/>
        <v>#REF!</v>
      </c>
      <c r="H53" s="6" t="e">
        <f xml:space="preserve"> [1]!'601818.SH-Price'</f>
        <v>#REF!</v>
      </c>
      <c r="I53" s="6" t="e">
        <f xml:space="preserve"> [1]!'601818.SH-BestBid1'</f>
        <v>#REF!</v>
      </c>
      <c r="J53" s="6" t="e">
        <f xml:space="preserve"> [1]!'601818.SH-BestAsk1'</f>
        <v>#REF!</v>
      </c>
      <c r="K53" s="248" t="e">
        <f t="shared" si="1"/>
        <v>#REF!</v>
      </c>
      <c r="L53" s="248" t="e">
        <f t="shared" si="2"/>
        <v>#REF!</v>
      </c>
      <c r="M53" s="248" t="e">
        <f t="shared" si="3"/>
        <v>#REF!</v>
      </c>
    </row>
    <row r="54" spans="1:21">
      <c r="A54" s="434" t="e">
        <f t="shared" si="0"/>
        <v>#REF!</v>
      </c>
      <c r="B54" s="26" t="s">
        <v>307</v>
      </c>
      <c r="C54" s="451" t="s">
        <v>2474</v>
      </c>
      <c r="D54" s="26">
        <v>1</v>
      </c>
      <c r="E54" s="6" t="e">
        <f xml:space="preserve"> [1]!'601857.SH-PreClose'</f>
        <v>#REF!</v>
      </c>
      <c r="F54" s="449">
        <v>1663520</v>
      </c>
      <c r="G54" s="74" t="e">
        <f t="shared" si="4"/>
        <v>#REF!</v>
      </c>
      <c r="H54" s="6" t="e">
        <f xml:space="preserve"> [1]!'601857.SH-Price'</f>
        <v>#REF!</v>
      </c>
      <c r="I54" s="6" t="e">
        <f xml:space="preserve"> [1]!'601857.SH-BestBid1'</f>
        <v>#REF!</v>
      </c>
      <c r="J54" s="6" t="e">
        <f xml:space="preserve"> [1]!'601857.SH-BestAsk1'</f>
        <v>#REF!</v>
      </c>
      <c r="K54" s="248" t="e">
        <f t="shared" si="1"/>
        <v>#REF!</v>
      </c>
      <c r="L54" s="248" t="e">
        <f t="shared" si="2"/>
        <v>#REF!</v>
      </c>
      <c r="M54" s="248" t="e">
        <f t="shared" si="3"/>
        <v>#REF!</v>
      </c>
    </row>
    <row r="55" spans="1:21">
      <c r="A55" s="434" t="e">
        <f t="shared" si="0"/>
        <v>#REF!</v>
      </c>
      <c r="B55" s="26" t="s">
        <v>308</v>
      </c>
      <c r="C55" s="451" t="s">
        <v>2475</v>
      </c>
      <c r="D55" s="26">
        <v>1</v>
      </c>
      <c r="E55" s="6" t="e">
        <f xml:space="preserve"> [1]!'601881.SH-PreClose'</f>
        <v>#REF!</v>
      </c>
      <c r="F55" s="449">
        <v>165636</v>
      </c>
      <c r="G55" s="74" t="e">
        <f t="shared" si="4"/>
        <v>#REF!</v>
      </c>
      <c r="H55" s="6" t="e">
        <f xml:space="preserve"> [1]!'601881.SH-Price'</f>
        <v>#REF!</v>
      </c>
      <c r="I55" s="6" t="e">
        <f xml:space="preserve"> [1]!'601881.SH-BestBid1'</f>
        <v>#REF!</v>
      </c>
      <c r="J55" s="6" t="e">
        <f xml:space="preserve"> [1]!'601881.SH-BestAsk1'</f>
        <v>#REF!</v>
      </c>
      <c r="K55" s="248" t="e">
        <f t="shared" si="1"/>
        <v>#REF!</v>
      </c>
      <c r="L55" s="248" t="e">
        <f t="shared" si="2"/>
        <v>#REF!</v>
      </c>
      <c r="M55" s="248" t="e">
        <f t="shared" si="3"/>
        <v>#REF!</v>
      </c>
    </row>
    <row r="56" spans="1:21">
      <c r="A56" s="434" t="e">
        <f t="shared" si="0"/>
        <v>#REF!</v>
      </c>
      <c r="B56" s="26" t="s">
        <v>309</v>
      </c>
      <c r="C56" s="452" t="s">
        <v>2476</v>
      </c>
      <c r="D56" s="26">
        <v>1</v>
      </c>
      <c r="E56" s="6" t="e">
        <f xml:space="preserve"> [1]!'603993.SH-PreClose'</f>
        <v>#REF!</v>
      </c>
      <c r="F56" s="450">
        <v>680600</v>
      </c>
      <c r="G56" s="74" t="e">
        <f t="shared" si="4"/>
        <v>#REF!</v>
      </c>
      <c r="H56" s="6" t="e">
        <f xml:space="preserve"> [1]!'601901.SH-Price'</f>
        <v>#REF!</v>
      </c>
      <c r="I56" s="6" t="e">
        <f xml:space="preserve"> [1]!'601901.SH-BestBid1'</f>
        <v>#REF!</v>
      </c>
      <c r="J56" s="6" t="e">
        <f xml:space="preserve"> [1]!'601901.SH-BestAsk1'</f>
        <v>#REF!</v>
      </c>
      <c r="K56" s="248" t="e">
        <f t="shared" si="1"/>
        <v>#REF!</v>
      </c>
      <c r="L56" s="248" t="e">
        <f t="shared" si="2"/>
        <v>#REF!</v>
      </c>
      <c r="M56" s="248" t="e">
        <f t="shared" si="3"/>
        <v>#REF!</v>
      </c>
    </row>
    <row r="57" spans="1:21">
      <c r="A57" s="434" t="e">
        <f t="shared" si="0"/>
        <v>#REF!</v>
      </c>
      <c r="B57" s="26" t="s">
        <v>310</v>
      </c>
      <c r="C57" s="451" t="s">
        <v>2477</v>
      </c>
      <c r="D57" s="26">
        <v>1</v>
      </c>
      <c r="E57" s="6" t="e">
        <f xml:space="preserve"> [1]!'601985.SH-PreClose'</f>
        <v>#REF!</v>
      </c>
      <c r="F57" s="449">
        <v>1199400</v>
      </c>
      <c r="G57" s="74" t="e">
        <f t="shared" si="4"/>
        <v>#REF!</v>
      </c>
      <c r="H57" s="6" t="e">
        <f xml:space="preserve"> [1]!'601985.SH-Price'</f>
        <v>#REF!</v>
      </c>
      <c r="I57" s="6" t="e">
        <f xml:space="preserve"> [1]!'601985.SH-BestBid1'</f>
        <v>#REF!</v>
      </c>
      <c r="J57" s="6" t="e">
        <f xml:space="preserve"> [1]!'601985.SH-BestAsk1'</f>
        <v>#REF!</v>
      </c>
      <c r="K57" s="248" t="e">
        <f t="shared" si="1"/>
        <v>#REF!</v>
      </c>
      <c r="L57" s="248" t="e">
        <f t="shared" si="2"/>
        <v>#REF!</v>
      </c>
      <c r="M57" s="248" t="e">
        <f t="shared" si="3"/>
        <v>#REF!</v>
      </c>
    </row>
    <row r="58" spans="1:21">
      <c r="A58" s="434" t="e">
        <f t="shared" si="0"/>
        <v>#REF!</v>
      </c>
      <c r="B58" s="26" t="s">
        <v>311</v>
      </c>
      <c r="C58" s="451" t="s">
        <v>2478</v>
      </c>
      <c r="D58" s="26">
        <v>1</v>
      </c>
      <c r="E58" s="6" t="e">
        <f xml:space="preserve"> [1]!'601988.SH-PreClose'</f>
        <v>#REF!</v>
      </c>
      <c r="F58" s="449">
        <v>5413313</v>
      </c>
      <c r="G58" s="74" t="e">
        <f t="shared" si="4"/>
        <v>#REF!</v>
      </c>
      <c r="H58" s="6" t="e">
        <f xml:space="preserve"> [1]!'601988.SH-Price'</f>
        <v>#REF!</v>
      </c>
      <c r="I58" s="6" t="e">
        <f xml:space="preserve"> [1]!'601988.SH-BestBid1'</f>
        <v>#REF!</v>
      </c>
      <c r="J58" s="6" t="e">
        <f xml:space="preserve"> [1]!'601988.SH-BestAsk1'</f>
        <v>#REF!</v>
      </c>
      <c r="K58" s="248" t="e">
        <f t="shared" si="1"/>
        <v>#REF!</v>
      </c>
      <c r="L58" s="248" t="e">
        <f t="shared" si="2"/>
        <v>#REF!</v>
      </c>
      <c r="M58" s="248" t="e">
        <f t="shared" si="3"/>
        <v>#REF!</v>
      </c>
    </row>
    <row r="59" spans="1:21">
      <c r="A59" s="434" t="e">
        <f t="shared" si="0"/>
        <v>#REF!</v>
      </c>
      <c r="B59" s="26" t="s">
        <v>312</v>
      </c>
      <c r="C59" s="451" t="s">
        <v>2479</v>
      </c>
      <c r="D59" s="26">
        <v>1</v>
      </c>
      <c r="E59" s="6" t="e">
        <f xml:space="preserve"> [1]!'601989.SH-PreClose'</f>
        <v>#REF!</v>
      </c>
      <c r="F59" s="449">
        <v>2350618</v>
      </c>
      <c r="G59" s="74" t="e">
        <f t="shared" si="4"/>
        <v>#REF!</v>
      </c>
      <c r="H59" s="6" t="e">
        <f xml:space="preserve"> [1]!'601989.SH-Price'</f>
        <v>#REF!</v>
      </c>
      <c r="I59" s="6" t="e">
        <f xml:space="preserve"> [1]!'601989.SH-BestBid1'</f>
        <v>#REF!</v>
      </c>
      <c r="J59" s="6" t="e">
        <f xml:space="preserve"> [1]!'601989.SH-BestAsk1'</f>
        <v>#REF!</v>
      </c>
      <c r="K59" s="248" t="e">
        <f t="shared" si="1"/>
        <v>#REF!</v>
      </c>
      <c r="L59" s="248" t="e">
        <f t="shared" si="2"/>
        <v>#REF!</v>
      </c>
      <c r="M59" s="248" t="e">
        <f t="shared" si="3"/>
        <v>#REF!</v>
      </c>
    </row>
    <row r="60" spans="1:21">
      <c r="A60" s="23" t="e">
        <f t="shared" si="0"/>
        <v>#REF!</v>
      </c>
      <c r="G60" s="73" t="e">
        <f>SUM(G10:G59)</f>
        <v>#REF!</v>
      </c>
      <c r="J60" s="1"/>
      <c r="L60" s="1"/>
    </row>
    <row r="61" spans="1:21">
      <c r="B61" s="24" t="e">
        <f>SUM(A8:A59)</f>
        <v>#N/A</v>
      </c>
      <c r="C61" s="54"/>
      <c r="D61" s="23"/>
      <c r="F61" s="72"/>
      <c r="G61" s="73"/>
      <c r="K61" s="1"/>
      <c r="L61" s="1"/>
    </row>
    <row r="62" spans="1:21">
      <c r="B62" s="75"/>
      <c r="C62" s="54"/>
      <c r="D62" s="79"/>
      <c r="E62" s="23"/>
      <c r="F62" s="78"/>
      <c r="K62" s="1"/>
      <c r="L62" s="1"/>
    </row>
    <row r="63" spans="1:21">
      <c r="B63" s="75"/>
      <c r="C63" s="54"/>
      <c r="D63" s="79"/>
      <c r="E63" s="23"/>
      <c r="F63" s="78"/>
      <c r="K63" s="1"/>
      <c r="L63" s="1"/>
    </row>
    <row r="64" spans="1:21" s="54" customFormat="1">
      <c r="A64" s="23"/>
      <c r="B64" s="75"/>
      <c r="D64" s="79"/>
      <c r="E64" s="23"/>
      <c r="F64" s="78"/>
      <c r="K64" s="1"/>
      <c r="L64" s="1"/>
      <c r="O64"/>
      <c r="P64"/>
      <c r="Q64"/>
      <c r="R64"/>
      <c r="S64"/>
      <c r="T64"/>
      <c r="U64" s="23"/>
    </row>
    <row r="65" spans="1:21" s="54" customFormat="1">
      <c r="A65" s="23"/>
      <c r="B65" s="75"/>
      <c r="D65" s="79"/>
      <c r="E65" s="23"/>
      <c r="F65" s="78"/>
      <c r="K65" s="1"/>
      <c r="L65" s="1"/>
      <c r="U65" s="23"/>
    </row>
    <row r="66" spans="1:21" s="54" customFormat="1">
      <c r="U66" s="23"/>
    </row>
    <row r="67" spans="1:21" s="54" customFormat="1">
      <c r="A67" s="23"/>
      <c r="B67" s="75"/>
      <c r="D67" s="79"/>
      <c r="E67" s="23"/>
      <c r="F67" s="78"/>
      <c r="K67" s="1"/>
      <c r="L67" s="1"/>
      <c r="U67" s="23"/>
    </row>
    <row r="68" spans="1:21" s="54" customFormat="1">
      <c r="A68" s="23"/>
      <c r="B68" s="75"/>
      <c r="D68" s="79"/>
      <c r="E68" s="23"/>
      <c r="F68" s="78"/>
      <c r="K68" s="1"/>
      <c r="L68" s="1"/>
      <c r="U68" s="23"/>
    </row>
    <row r="69" spans="1:21" s="54" customFormat="1">
      <c r="A69" s="23"/>
      <c r="B69" s="75"/>
      <c r="D69" s="79"/>
      <c r="E69" s="23"/>
      <c r="F69" s="78"/>
      <c r="K69" s="1"/>
      <c r="L69" s="1"/>
      <c r="U69" s="23"/>
    </row>
    <row r="70" spans="1:21" s="54" customFormat="1">
      <c r="A70" s="23"/>
      <c r="B70" s="75"/>
      <c r="D70" s="79"/>
      <c r="E70" s="23"/>
      <c r="F70" s="78"/>
      <c r="K70" s="1"/>
      <c r="L70" s="1"/>
      <c r="U70" s="23"/>
    </row>
    <row r="71" spans="1:21" s="54" customFormat="1">
      <c r="A71" s="23"/>
      <c r="B71" s="75"/>
      <c r="D71" s="77"/>
      <c r="E71" s="23"/>
      <c r="F71" s="78"/>
      <c r="K71" s="1"/>
      <c r="L71" s="1"/>
      <c r="U71" s="23"/>
    </row>
    <row r="72" spans="1:21" s="54" customFormat="1">
      <c r="A72" s="24"/>
      <c r="B72" s="23"/>
      <c r="D72" s="76"/>
      <c r="F72" s="80"/>
      <c r="K72" s="1"/>
      <c r="L72" s="1"/>
      <c r="U72" s="23"/>
    </row>
    <row r="73" spans="1:21">
      <c r="C73" s="54"/>
      <c r="K73" s="1"/>
      <c r="L73" s="1"/>
      <c r="O73" s="54"/>
      <c r="P73" s="54"/>
      <c r="Q73" s="54"/>
      <c r="R73" s="54"/>
      <c r="S73" s="54"/>
      <c r="T73" s="54"/>
    </row>
    <row r="74" spans="1:21">
      <c r="C74" s="54"/>
    </row>
  </sheetData>
  <mergeCells count="1">
    <mergeCell ref="F1:F2"/>
  </mergeCells>
  <phoneticPr fontId="0" type="noConversion"/>
  <conditionalFormatting sqref="P25:Q25 T25">
    <cfRule type="cellIs" dxfId="2" priority="2" operator="lessThan">
      <formula>0</formula>
    </cfRule>
  </conditionalFormatting>
  <conditionalFormatting sqref="R25:S25">
    <cfRule type="cellIs" dxfId="1" priority="1" operator="lessThan">
      <formula>0</formula>
    </cfRule>
  </conditionalFormatting>
  <pageMargins left="0.75" right="0.75" top="1" bottom="1" header="0.5" footer="0.5"/>
  <pageSetup paperSize="9" scale="22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26" r:id="rId4" name="CommandButton1">
          <controlPr defaultSize="0" autoLine="0" r:id="rId5">
            <anchor moveWithCells="1">
              <from>
                <xdr:col>13</xdr:col>
                <xdr:colOff>209550</xdr:colOff>
                <xdr:row>9</xdr:row>
                <xdr:rowOff>171450</xdr:rowOff>
              </from>
              <to>
                <xdr:col>14</xdr:col>
                <xdr:colOff>0</xdr:colOff>
                <xdr:row>11</xdr:row>
                <xdr:rowOff>133350</xdr:rowOff>
              </to>
            </anchor>
          </controlPr>
        </control>
      </mc:Choice>
      <mc:Fallback>
        <control shapeId="102426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A1:X49"/>
  <sheetViews>
    <sheetView workbookViewId="0">
      <selection activeCell="A2" sqref="A2"/>
    </sheetView>
  </sheetViews>
  <sheetFormatPr defaultRowHeight="16.5"/>
  <cols>
    <col min="1" max="1" width="11" customWidth="1"/>
    <col min="2" max="2" width="15.875" customWidth="1"/>
    <col min="3" max="3" width="16.5" customWidth="1"/>
    <col min="4" max="4" width="19.25" customWidth="1"/>
    <col min="5" max="5" width="12.125" customWidth="1"/>
    <col min="6" max="6" width="14" customWidth="1"/>
    <col min="7" max="7" width="18.125" customWidth="1"/>
    <col min="8" max="8" width="13.125" customWidth="1"/>
    <col min="9" max="9" width="11.875" customWidth="1"/>
    <col min="10" max="10" width="23.5" customWidth="1"/>
    <col min="11" max="11" width="21.75" customWidth="1"/>
    <col min="12" max="12" width="22.375" customWidth="1"/>
    <col min="13" max="13" width="19" customWidth="1"/>
    <col min="14" max="14" width="12" customWidth="1"/>
    <col min="15" max="15" width="14.375" customWidth="1"/>
    <col min="16" max="16" width="14.375" style="271" customWidth="1"/>
    <col min="17" max="17" width="13.625" customWidth="1"/>
    <col min="18" max="18" width="19" customWidth="1"/>
    <col min="19" max="19" width="16.875" customWidth="1"/>
    <col min="20" max="20" width="15.625" customWidth="1"/>
    <col min="21" max="22" width="14" customWidth="1"/>
    <col min="23" max="23" width="11.75" customWidth="1"/>
  </cols>
  <sheetData>
    <row r="1" spans="1:24" s="23" customFormat="1">
      <c r="A1" s="17" t="s">
        <v>137</v>
      </c>
      <c r="B1" s="82" t="s">
        <v>350</v>
      </c>
      <c r="C1" s="18" t="s">
        <v>138</v>
      </c>
      <c r="D1" s="18" t="s">
        <v>139</v>
      </c>
      <c r="E1" s="87" t="s">
        <v>140</v>
      </c>
      <c r="F1" s="514" t="s">
        <v>349</v>
      </c>
      <c r="G1" s="62" t="s">
        <v>157</v>
      </c>
      <c r="H1" s="9" t="s">
        <v>52</v>
      </c>
      <c r="I1" s="262" t="s">
        <v>53</v>
      </c>
      <c r="J1" s="82" t="s">
        <v>354</v>
      </c>
      <c r="K1" s="82" t="s">
        <v>356</v>
      </c>
      <c r="L1" s="82" t="s">
        <v>358</v>
      </c>
      <c r="M1" s="282" t="s">
        <v>49</v>
      </c>
      <c r="N1" s="234" t="s">
        <v>341</v>
      </c>
      <c r="O1" s="235" t="s">
        <v>713</v>
      </c>
      <c r="P1" s="75" t="s">
        <v>336</v>
      </c>
    </row>
    <row r="2" spans="1:24" ht="17.25" thickBot="1">
      <c r="A2" s="13" t="s">
        <v>74</v>
      </c>
      <c r="B2" s="14">
        <f>C2/100000000</f>
        <v>341.44749000000002</v>
      </c>
      <c r="C2" s="86">
        <f>'ETF Update'!D32*1000</f>
        <v>34144749000</v>
      </c>
      <c r="D2" s="15">
        <f>'ETF Update'!E32</f>
        <v>1845606</v>
      </c>
      <c r="E2" s="16">
        <f>'ETF Update'!C32</f>
        <v>18.5</v>
      </c>
      <c r="F2" s="515"/>
      <c r="G2" s="63" t="e">
        <f>J2/(D2*1000)</f>
        <v>#REF!</v>
      </c>
      <c r="H2" s="64" t="e">
        <f>K2/(D2*1000)</f>
        <v>#REF!</v>
      </c>
      <c r="I2" s="280" t="e">
        <f>L2/(D2*1000)</f>
        <v>#REF!</v>
      </c>
      <c r="J2" s="112" t="e">
        <f>C2+(SUM(K11:K15)-SUM(G11:G15))-N11+C2*O11*(N2/O2-1)+C2*P11*(N3/O3-1)</f>
        <v>#REF!</v>
      </c>
      <c r="K2" s="112" t="e">
        <f>C2+(SUM(L11:L15)-SUM(G11:G15))-N11+C2*O11*(N2/O2-1)+C2*P11*(N3/O3-1)</f>
        <v>#REF!</v>
      </c>
      <c r="L2" s="112" t="e">
        <f>C2+(SUM(M11:M15)-SUM(G11:G15))-N11+C2*O11*(N2/O2-1)+C2*P11*(N3/O3-1)</f>
        <v>#REF!</v>
      </c>
      <c r="M2" s="114" t="s">
        <v>338</v>
      </c>
      <c r="N2" s="116" t="e">
        <f>匯率報價!D16</f>
        <v>#REF!</v>
      </c>
      <c r="O2" s="236">
        <v>29.184000000000001</v>
      </c>
      <c r="P2" s="278"/>
    </row>
    <row r="3" spans="1:24" s="23" customFormat="1">
      <c r="A3" s="17" t="s">
        <v>137</v>
      </c>
      <c r="B3" s="82" t="s">
        <v>350</v>
      </c>
      <c r="C3" s="18" t="s">
        <v>138</v>
      </c>
      <c r="D3" s="18" t="s">
        <v>23</v>
      </c>
      <c r="E3" s="87" t="s">
        <v>140</v>
      </c>
      <c r="F3" s="514" t="s">
        <v>349</v>
      </c>
      <c r="G3" s="62" t="s">
        <v>157</v>
      </c>
      <c r="H3" s="9" t="s">
        <v>52</v>
      </c>
      <c r="I3" s="262" t="s">
        <v>53</v>
      </c>
      <c r="J3" s="82" t="s">
        <v>353</v>
      </c>
      <c r="K3" s="82" t="s">
        <v>355</v>
      </c>
      <c r="L3" s="82" t="s">
        <v>357</v>
      </c>
      <c r="M3" s="114" t="s">
        <v>340</v>
      </c>
      <c r="N3" s="116" t="e">
        <f>匯率報價!D17</f>
        <v>#REF!</v>
      </c>
      <c r="O3" s="236">
        <v>4.6063000000000001</v>
      </c>
      <c r="P3" s="278"/>
    </row>
    <row r="4" spans="1:24" ht="17.25" thickBot="1">
      <c r="A4" s="13" t="s">
        <v>75</v>
      </c>
      <c r="B4" s="14">
        <f>C4/100000000</f>
        <v>7.2377399999999996</v>
      </c>
      <c r="C4" s="86">
        <f>'ETF Update'!D33*1000</f>
        <v>723774000</v>
      </c>
      <c r="D4" s="86">
        <f>'ETF Update'!E33</f>
        <v>59448</v>
      </c>
      <c r="E4" s="16">
        <f>'ETF Update'!C33</f>
        <v>12.17</v>
      </c>
      <c r="F4" s="515"/>
      <c r="G4" s="63" t="e">
        <f>J4/D4/1000</f>
        <v>#REF!</v>
      </c>
      <c r="H4" s="64" t="e">
        <f>K4/D4/1000</f>
        <v>#REF!</v>
      </c>
      <c r="I4" s="280" t="e">
        <f>L4/D4/1000</f>
        <v>#REF!</v>
      </c>
      <c r="J4" s="112" t="e">
        <f>C4+(SUM(K19:K20)-SUM(G19:G20))-N19+C4*O19*(N2/O2-1)+C4*O19*(N3/O3-1)</f>
        <v>#REF!</v>
      </c>
      <c r="K4" s="112" t="e">
        <f>C4+(SUM(L19:L20)-SUM(G19:G20))-N19+C4*O19*(N2/O2-1)+C4*O19*(N3/O3-1)</f>
        <v>#REF!</v>
      </c>
      <c r="L4" s="112" t="e">
        <f>C4+(SUM(M19:M20)-SUM(G19:G20))-N19+C4*O19*(N2/O2-1)+C4*O19*(N3/O3-1)</f>
        <v>#REF!</v>
      </c>
      <c r="M4" s="283" t="s">
        <v>346</v>
      </c>
      <c r="N4" s="237" t="e">
        <f>匯率報價!D18</f>
        <v>#REF!</v>
      </c>
      <c r="O4" s="238">
        <v>3.7168000000000001</v>
      </c>
      <c r="P4" s="278"/>
      <c r="R4" s="241" t="s">
        <v>791</v>
      </c>
      <c r="S4" s="74">
        <v>29793096272</v>
      </c>
      <c r="T4" s="240"/>
      <c r="U4" s="240"/>
      <c r="V4" s="240"/>
      <c r="W4" s="23"/>
    </row>
    <row r="5" spans="1:24" s="23" customFormat="1">
      <c r="A5" s="83" t="s">
        <v>137</v>
      </c>
      <c r="B5" s="82" t="s">
        <v>350</v>
      </c>
      <c r="C5" s="83" t="s">
        <v>138</v>
      </c>
      <c r="D5" s="83" t="s">
        <v>23</v>
      </c>
      <c r="E5" s="88" t="s">
        <v>140</v>
      </c>
      <c r="F5" s="514" t="s">
        <v>349</v>
      </c>
      <c r="G5" s="97" t="s">
        <v>157</v>
      </c>
      <c r="H5" s="12" t="s">
        <v>52</v>
      </c>
      <c r="I5" s="281" t="s">
        <v>53</v>
      </c>
      <c r="J5" s="82" t="s">
        <v>353</v>
      </c>
      <c r="K5" s="82" t="s">
        <v>355</v>
      </c>
      <c r="L5" s="82" t="s">
        <v>357</v>
      </c>
      <c r="R5" s="26" t="s">
        <v>753</v>
      </c>
      <c r="S5" s="26" t="s">
        <v>818</v>
      </c>
      <c r="T5" s="26" t="s">
        <v>816</v>
      </c>
      <c r="U5" s="26" t="s">
        <v>766</v>
      </c>
      <c r="V5" s="26" t="s">
        <v>767</v>
      </c>
      <c r="W5" s="26" t="s">
        <v>768</v>
      </c>
    </row>
    <row r="6" spans="1:24" ht="17.25" thickBot="1">
      <c r="A6" s="22" t="s">
        <v>155</v>
      </c>
      <c r="B6" s="3">
        <f>C6/100000000</f>
        <v>61.899819999999998</v>
      </c>
      <c r="C6" s="86">
        <f>'ETF Update'!D16*1000</f>
        <v>6189982000</v>
      </c>
      <c r="D6" s="86">
        <f>'ETF Update'!E16</f>
        <v>331116</v>
      </c>
      <c r="E6" s="8">
        <f>'ETF Update'!C16</f>
        <v>18.690000000000001</v>
      </c>
      <c r="F6" s="515"/>
      <c r="G6" s="63" t="e">
        <f>J6/D6/1000</f>
        <v>#REF!</v>
      </c>
      <c r="H6" s="64" t="e">
        <f>L6/D6/1000</f>
        <v>#REF!</v>
      </c>
      <c r="I6" s="280" t="e">
        <f>K6/D6/1000</f>
        <v>#REF!</v>
      </c>
      <c r="J6" s="112" t="e">
        <f>C6+(SUM(K26:K28)-SUM(G26:G28))-N26+C6*O26*(N2/O2-1)+C6*P26*(N4/O4-1)</f>
        <v>#REF!</v>
      </c>
      <c r="K6" s="112" t="e">
        <f>C6+(SUM(L26:L28)-SUM(G26:G28))-N26+C6*O26*(N2/O2-1)+C6*P26*(N4/O4-1)</f>
        <v>#REF!</v>
      </c>
      <c r="L6" s="112" t="e">
        <f>C6+(SUM(M26:M28)-SUM(G26:G28))-N26+C6*O26*(N2/O2-1)+C6*P26*(N4/O4-1)</f>
        <v>#REF!</v>
      </c>
      <c r="R6" s="272" t="s">
        <v>749</v>
      </c>
      <c r="S6" s="273">
        <v>0</v>
      </c>
      <c r="T6" s="289"/>
      <c r="U6" s="274" t="e">
        <f>T6/$T$17</f>
        <v>#REF!</v>
      </c>
      <c r="V6" s="274"/>
      <c r="W6" s="274"/>
      <c r="X6" s="23" t="s">
        <v>769</v>
      </c>
    </row>
    <row r="7" spans="1:24">
      <c r="R7" s="275" t="s">
        <v>750</v>
      </c>
      <c r="S7" s="242">
        <v>31927523</v>
      </c>
      <c r="T7" s="287">
        <f>S7</f>
        <v>31927523</v>
      </c>
      <c r="U7" s="243" t="e">
        <f t="shared" ref="U7:U15" si="0">T7/$T$17</f>
        <v>#REF!</v>
      </c>
      <c r="V7" s="243"/>
      <c r="W7" s="243" t="e">
        <f>U7</f>
        <v>#REF!</v>
      </c>
      <c r="X7" s="24" t="e">
        <f>U8+U10+U12+U14</f>
        <v>#REF!</v>
      </c>
    </row>
    <row r="8" spans="1:24" ht="17.25" thickBot="1">
      <c r="R8" s="275" t="s">
        <v>770</v>
      </c>
      <c r="S8" s="242">
        <v>335213267.68000001</v>
      </c>
      <c r="T8" s="287">
        <f>S8*O2</f>
        <v>9782864003.9731197</v>
      </c>
      <c r="U8" s="243" t="e">
        <f t="shared" si="0"/>
        <v>#REF!</v>
      </c>
      <c r="V8" s="243" t="e">
        <f>U8</f>
        <v>#REF!</v>
      </c>
      <c r="W8" s="243"/>
      <c r="X8" s="23" t="s">
        <v>810</v>
      </c>
    </row>
    <row r="9" spans="1:24">
      <c r="A9" s="94" t="s">
        <v>74</v>
      </c>
      <c r="G9" s="73"/>
      <c r="K9" s="271"/>
      <c r="L9" s="271"/>
      <c r="M9" s="271"/>
      <c r="R9" s="6" t="s">
        <v>771</v>
      </c>
      <c r="S9" s="242">
        <v>5275385195</v>
      </c>
      <c r="T9" s="287">
        <f>S9</f>
        <v>5275385195</v>
      </c>
      <c r="U9" s="243" t="e">
        <f t="shared" si="0"/>
        <v>#REF!</v>
      </c>
      <c r="V9" s="244"/>
      <c r="W9" s="244" t="e">
        <f>U9</f>
        <v>#REF!</v>
      </c>
      <c r="X9" s="23">
        <v>0</v>
      </c>
    </row>
    <row r="10" spans="1:24" s="23" customFormat="1">
      <c r="A10" s="82" t="s">
        <v>319</v>
      </c>
      <c r="B10" s="82" t="s">
        <v>320</v>
      </c>
      <c r="C10" s="82" t="s">
        <v>231</v>
      </c>
      <c r="D10" s="82" t="s">
        <v>321</v>
      </c>
      <c r="E10" s="82" t="s">
        <v>322</v>
      </c>
      <c r="F10" s="82" t="s">
        <v>323</v>
      </c>
      <c r="G10" s="82" t="s">
        <v>324</v>
      </c>
      <c r="H10" s="82" t="s">
        <v>232</v>
      </c>
      <c r="I10" s="82" t="s">
        <v>325</v>
      </c>
      <c r="J10" s="82" t="s">
        <v>326</v>
      </c>
      <c r="K10" s="82" t="s">
        <v>327</v>
      </c>
      <c r="L10" s="82" t="s">
        <v>328</v>
      </c>
      <c r="M10" s="82" t="s">
        <v>329</v>
      </c>
      <c r="N10" s="250" t="s">
        <v>787</v>
      </c>
      <c r="O10" s="250" t="s">
        <v>788</v>
      </c>
      <c r="P10" s="250" t="s">
        <v>789</v>
      </c>
      <c r="R10" s="6" t="s">
        <v>759</v>
      </c>
      <c r="S10" s="242">
        <v>67500705.75</v>
      </c>
      <c r="T10" s="288">
        <f>S10*O2</f>
        <v>1969940596.608</v>
      </c>
      <c r="U10" s="243" t="e">
        <f t="shared" si="0"/>
        <v>#REF!</v>
      </c>
      <c r="V10" s="244" t="e">
        <f>U10</f>
        <v>#REF!</v>
      </c>
      <c r="W10" s="244"/>
    </row>
    <row r="11" spans="1:24" s="23" customFormat="1">
      <c r="A11" s="25">
        <f>G11/$C$2</f>
        <v>1.9239799201921208</v>
      </c>
      <c r="B11" s="26" t="s">
        <v>330</v>
      </c>
      <c r="C11" s="84" t="s">
        <v>313</v>
      </c>
      <c r="D11" s="26">
        <v>1</v>
      </c>
      <c r="E11" s="146">
        <f xml:space="preserve"> [1]!'CN*1.SG-PreClose'</f>
        <v>13742.5</v>
      </c>
      <c r="F11" s="112">
        <v>163800</v>
      </c>
      <c r="G11" s="93">
        <f>D11*E11*F11*O2</f>
        <v>65693811456</v>
      </c>
      <c r="H11" s="146">
        <f xml:space="preserve"> [1]!'CN*1.SG-Price'</f>
        <v>13517.5</v>
      </c>
      <c r="I11" s="146">
        <f xml:space="preserve"> [1]!'CN*1.SG-BestBid1'</f>
        <v>13515</v>
      </c>
      <c r="J11" s="146">
        <f xml:space="preserve"> [1]!'CN*1.SG-BestAsk1'</f>
        <v>13517.5</v>
      </c>
      <c r="K11" s="286" t="e">
        <f>IF(ISNUMBER(H11)=TRUE,H11*F11*D11,E11*F11*D11)*N2</f>
        <v>#REF!</v>
      </c>
      <c r="L11" s="286" t="e">
        <f>IF(ISNUMBER(I11)=TRUE,I11*F11*D11,E11*F11*D11)*N2</f>
        <v>#REF!</v>
      </c>
      <c r="M11" s="286" t="e">
        <f>IF(ISNUMBER(J11)=TRUE,J11*F11*D11,E11*F11*D11)*N2</f>
        <v>#REF!</v>
      </c>
      <c r="N11" s="69" t="e">
        <f>1.04%/365*(C2+SUM(K11:K15)-SUM(G11:G15))</f>
        <v>#REF!</v>
      </c>
      <c r="O11" s="98" t="e">
        <f>X7</f>
        <v>#REF!</v>
      </c>
      <c r="P11" s="98">
        <f>X9</f>
        <v>0</v>
      </c>
      <c r="R11" s="6" t="s">
        <v>814</v>
      </c>
      <c r="S11" s="242">
        <v>7500000000</v>
      </c>
      <c r="T11" s="288">
        <f>S11</f>
        <v>7500000000</v>
      </c>
      <c r="U11" s="243" t="e">
        <f t="shared" si="0"/>
        <v>#REF!</v>
      </c>
      <c r="V11" s="244"/>
      <c r="W11" s="244" t="e">
        <f>U11</f>
        <v>#REF!</v>
      </c>
    </row>
    <row r="12" spans="1:24" s="23" customFormat="1">
      <c r="A12" s="25">
        <f>G12/$C$2</f>
        <v>0</v>
      </c>
      <c r="B12" s="26" t="s">
        <v>663</v>
      </c>
      <c r="C12" s="84" t="s">
        <v>333</v>
      </c>
      <c r="D12" s="26">
        <v>1</v>
      </c>
      <c r="E12" s="146">
        <f xml:space="preserve"> [1]!'CN*2.SG-PreClose'</f>
        <v>13732.5</v>
      </c>
      <c r="F12" s="112">
        <v>0</v>
      </c>
      <c r="G12" s="93">
        <f>D12*E12*F12*O2</f>
        <v>0</v>
      </c>
      <c r="H12" s="146">
        <f xml:space="preserve"> [1]!'CN*2.SG-Price'</f>
        <v>13502.5</v>
      </c>
      <c r="I12" s="146">
        <f xml:space="preserve"> [1]!'CN*2.SG-BestBid1'</f>
        <v>13500</v>
      </c>
      <c r="J12" s="146">
        <f xml:space="preserve"> [1]!'CN*2.SG-BestAsk1'</f>
        <v>13505</v>
      </c>
      <c r="K12" s="286" t="e">
        <f>IF(ISNUMBER(H12)=TRUE,H12*F12*D12,E12*F12*D12)*N2</f>
        <v>#REF!</v>
      </c>
      <c r="L12" s="286" t="e">
        <f>IF(ISNUMBER(I12)=TRUE,I12*F12*D12,E12*F12*D12)*N2</f>
        <v>#REF!</v>
      </c>
      <c r="M12" s="286" t="e">
        <f>IF(ISNUMBER(J12)=TRUE,J12*F12*D12,E12*F12*D12)*N2</f>
        <v>#REF!</v>
      </c>
      <c r="N12" s="46"/>
      <c r="O12" s="46"/>
      <c r="P12" s="46"/>
      <c r="R12" s="6" t="s">
        <v>815</v>
      </c>
      <c r="S12" s="242">
        <v>150010632.47</v>
      </c>
      <c r="T12" s="288">
        <f>S12*O2</f>
        <v>4377910298.0044804</v>
      </c>
      <c r="U12" s="243" t="e">
        <f t="shared" si="0"/>
        <v>#REF!</v>
      </c>
      <c r="V12" s="244" t="e">
        <f>U12</f>
        <v>#REF!</v>
      </c>
      <c r="W12" s="244"/>
      <c r="X12" s="24"/>
    </row>
    <row r="13" spans="1:24" s="23" customFormat="1">
      <c r="A13" s="25" t="e">
        <f>G13/$C$2</f>
        <v>#REF!</v>
      </c>
      <c r="B13" s="26" t="s">
        <v>819</v>
      </c>
      <c r="C13" s="84" t="s">
        <v>334</v>
      </c>
      <c r="D13" s="26">
        <v>10000</v>
      </c>
      <c r="E13" s="146" t="e">
        <f xml:space="preserve"> [1]!'FINZF*1.TF-PreClose'</f>
        <v>#REF!</v>
      </c>
      <c r="F13" s="112">
        <v>123</v>
      </c>
      <c r="G13" s="93" t="e">
        <f>D13*E13*F13</f>
        <v>#REF!</v>
      </c>
      <c r="H13" s="146" t="e">
        <f xml:space="preserve"> [1]!'FINZF*1.TF-Price'</f>
        <v>#REF!</v>
      </c>
      <c r="I13" s="146" t="e">
        <f xml:space="preserve"> [1]!'FINZF*1.TF-BestBid1'</f>
        <v>#REF!</v>
      </c>
      <c r="J13" s="146" t="e">
        <f xml:space="preserve"> [1]!'FINZF*1.TF-BestAsk1'</f>
        <v>#REF!</v>
      </c>
      <c r="K13" s="286" t="e">
        <f>IF(ISNUMBER(H13)=TRUE,H13*F13*D13,E13*F13*D13)</f>
        <v>#REF!</v>
      </c>
      <c r="L13" s="286" t="e">
        <f>IF(ISNUMBER(I13)=TRUE,I13*F13*D13,E13*F13*D13)</f>
        <v>#REF!</v>
      </c>
      <c r="M13" s="286" t="e">
        <f>IF(ISNUMBER(J13)=TRUE,J13*F13*D13,E13*F13*D13)</f>
        <v>#REF!</v>
      </c>
      <c r="N13" s="46"/>
      <c r="O13" s="46"/>
      <c r="P13" s="46"/>
      <c r="R13" s="6" t="s">
        <v>812</v>
      </c>
      <c r="S13" s="242">
        <v>308419</v>
      </c>
      <c r="T13" s="288">
        <f>S13</f>
        <v>308419</v>
      </c>
      <c r="U13" s="243" t="e">
        <f t="shared" si="0"/>
        <v>#REF!</v>
      </c>
      <c r="V13" s="244"/>
      <c r="W13" s="244" t="e">
        <f>U13</f>
        <v>#REF!</v>
      </c>
    </row>
    <row r="14" spans="1:24" s="23" customFormat="1">
      <c r="A14" s="25" t="e">
        <f>G14/$C$2</f>
        <v>#REF!</v>
      </c>
      <c r="B14" s="26" t="s">
        <v>820</v>
      </c>
      <c r="C14" s="84" t="s">
        <v>335</v>
      </c>
      <c r="D14" s="26">
        <v>10000</v>
      </c>
      <c r="E14" s="146" t="e">
        <f xml:space="preserve"> [1]!'FINZF*2.TF-PreClose'</f>
        <v>#REF!</v>
      </c>
      <c r="F14" s="112">
        <v>0</v>
      </c>
      <c r="G14" s="93" t="e">
        <f>D14*E14*F14</f>
        <v>#REF!</v>
      </c>
      <c r="H14" s="146" t="e">
        <f xml:space="preserve"> [1]!'FINZF*2.TF-Price'</f>
        <v>#REF!</v>
      </c>
      <c r="I14" s="146" t="e">
        <f xml:space="preserve"> [1]!'FINZF*2.TF-BestBid1'</f>
        <v>#REF!</v>
      </c>
      <c r="J14" s="146" t="e">
        <f xml:space="preserve"> [1]!'FINZF*2.TF-BestAsk1'</f>
        <v>#REF!</v>
      </c>
      <c r="K14" s="286" t="e">
        <f>IF(ISNUMBER(H14)=TRUE,H14*F14*D14,E14*F14*D14)</f>
        <v>#REF!</v>
      </c>
      <c r="L14" s="286" t="e">
        <f>IF(ISNUMBER(I14)=TRUE,I14*F14*D14,E14*F14*D14)</f>
        <v>#REF!</v>
      </c>
      <c r="M14" s="286" t="e">
        <f>IF(ISNUMBER(J14)=TRUE,J14*F14*D14,E14*F14*D14)</f>
        <v>#REF!</v>
      </c>
      <c r="N14" s="46"/>
      <c r="O14" s="46"/>
      <c r="P14" s="46"/>
      <c r="R14" s="6" t="s">
        <v>813</v>
      </c>
      <c r="S14" s="242">
        <v>270945.75</v>
      </c>
      <c r="T14" s="288">
        <f>S14*O2</f>
        <v>7907280.7680000002</v>
      </c>
      <c r="U14" s="243" t="e">
        <f t="shared" si="0"/>
        <v>#REF!</v>
      </c>
      <c r="V14" s="244" t="e">
        <f>U14</f>
        <v>#REF!</v>
      </c>
      <c r="W14" s="244"/>
    </row>
    <row r="15" spans="1:24" s="23" customFormat="1">
      <c r="A15" s="25" t="e">
        <f>G15/$C$2</f>
        <v>#REF!</v>
      </c>
      <c r="B15" s="26" t="s">
        <v>332</v>
      </c>
      <c r="C15" s="84" t="s">
        <v>331</v>
      </c>
      <c r="D15" s="26">
        <v>1</v>
      </c>
      <c r="E15" s="146" t="e">
        <f xml:space="preserve"> [1]!'0061.TW-PreClose'</f>
        <v>#REF!</v>
      </c>
      <c r="F15" s="112">
        <v>18700000</v>
      </c>
      <c r="G15" s="93" t="e">
        <f>D15*E15*F15</f>
        <v>#REF!</v>
      </c>
      <c r="H15" s="146" t="e">
        <f xml:space="preserve"> [1]!'0061.TW-Price'</f>
        <v>#REF!</v>
      </c>
      <c r="I15" s="146" t="e">
        <f xml:space="preserve"> [1]!'0061.TW-BestBid1'</f>
        <v>#REF!</v>
      </c>
      <c r="J15" s="146" t="e">
        <f xml:space="preserve"> [1]!'0061.TW-BestAsk1'</f>
        <v>#REF!</v>
      </c>
      <c r="K15" s="286" t="e">
        <f>IF(ISNUMBER(H15)=TRUE,H15*F15*D15,E15*F15*D15)</f>
        <v>#REF!</v>
      </c>
      <c r="L15" s="286" t="e">
        <f>IF(ISNUMBER(I15)=TRUE,I15*F15*D15,E15*F15*D15)</f>
        <v>#REF!</v>
      </c>
      <c r="M15" s="286" t="e">
        <f>IF(ISNUMBER(J15)=TRUE,J15*F15*D15,E15*F15*D15)</f>
        <v>#REF!</v>
      </c>
      <c r="N15" s="46"/>
      <c r="O15" s="46"/>
      <c r="P15" s="46"/>
      <c r="R15" s="275" t="s">
        <v>811</v>
      </c>
      <c r="S15" s="242" t="e">
        <f>G15</f>
        <v>#REF!</v>
      </c>
      <c r="T15" s="288" t="e">
        <f>S15</f>
        <v>#REF!</v>
      </c>
      <c r="U15" s="243" t="e">
        <f t="shared" si="0"/>
        <v>#REF!</v>
      </c>
      <c r="V15" s="244" t="e">
        <f>U15</f>
        <v>#REF!</v>
      </c>
      <c r="W15" s="244"/>
    </row>
    <row r="16" spans="1:24" ht="17.25" thickBot="1">
      <c r="A16" s="81"/>
      <c r="B16" s="81"/>
      <c r="C16" s="81"/>
      <c r="D16" s="81"/>
      <c r="R16" s="276" t="s">
        <v>772</v>
      </c>
      <c r="S16" s="242">
        <v>0</v>
      </c>
      <c r="T16" s="287">
        <f>S16</f>
        <v>0</v>
      </c>
      <c r="U16" s="243" t="e">
        <f>T16/$T$17</f>
        <v>#REF!</v>
      </c>
      <c r="V16" s="244"/>
      <c r="W16" s="244" t="e">
        <f>U16</f>
        <v>#REF!</v>
      </c>
    </row>
    <row r="17" spans="1:24">
      <c r="A17" s="94" t="s">
        <v>75</v>
      </c>
      <c r="B17" s="81"/>
      <c r="C17" s="81"/>
      <c r="D17" s="81"/>
      <c r="E17" s="81"/>
      <c r="G17" s="1"/>
      <c r="K17" s="1"/>
      <c r="L17" s="1"/>
      <c r="M17" s="1"/>
      <c r="R17" s="6" t="s">
        <v>763</v>
      </c>
      <c r="S17" s="285"/>
      <c r="T17" s="285" t="e">
        <f>SUM(T7:T16)</f>
        <v>#REF!</v>
      </c>
      <c r="U17" s="284" t="e">
        <f>SUM(U7:U16)</f>
        <v>#REF!</v>
      </c>
      <c r="V17" s="244" t="e">
        <f>SUM(V7:V16)</f>
        <v>#REF!</v>
      </c>
      <c r="W17" s="244" t="e">
        <f>SUM(W7:W16)</f>
        <v>#REF!</v>
      </c>
      <c r="X17" s="4" t="e">
        <f>V17+W17</f>
        <v>#REF!</v>
      </c>
    </row>
    <row r="18" spans="1:24">
      <c r="A18" s="82" t="s">
        <v>319</v>
      </c>
      <c r="B18" s="82" t="s">
        <v>320</v>
      </c>
      <c r="C18" s="82" t="s">
        <v>231</v>
      </c>
      <c r="D18" s="82" t="s">
        <v>321</v>
      </c>
      <c r="E18" s="82" t="s">
        <v>322</v>
      </c>
      <c r="F18" s="82" t="s">
        <v>323</v>
      </c>
      <c r="G18" s="82" t="s">
        <v>324</v>
      </c>
      <c r="H18" s="82" t="s">
        <v>232</v>
      </c>
      <c r="I18" s="82" t="s">
        <v>325</v>
      </c>
      <c r="J18" s="82" t="s">
        <v>326</v>
      </c>
      <c r="K18" s="82" t="s">
        <v>327</v>
      </c>
      <c r="L18" s="82" t="s">
        <v>328</v>
      </c>
      <c r="M18" s="82" t="s">
        <v>329</v>
      </c>
      <c r="N18" s="250" t="s">
        <v>787</v>
      </c>
      <c r="O18" s="250" t="s">
        <v>788</v>
      </c>
      <c r="P18" s="250" t="s">
        <v>789</v>
      </c>
    </row>
    <row r="19" spans="1:24">
      <c r="A19" s="25">
        <f>G19/C4</f>
        <v>0</v>
      </c>
      <c r="B19" s="26" t="s">
        <v>330</v>
      </c>
      <c r="C19" s="84" t="s">
        <v>313</v>
      </c>
      <c r="D19" s="26">
        <v>1</v>
      </c>
      <c r="E19" s="146">
        <f xml:space="preserve"> [1]!'CN*1.SG-PreClose'</f>
        <v>13742.5</v>
      </c>
      <c r="F19" s="112">
        <v>0</v>
      </c>
      <c r="G19" s="112">
        <f>D19*E19*F19*O2</f>
        <v>0</v>
      </c>
      <c r="H19" s="146">
        <f xml:space="preserve"> [1]!'CN*1.SG-Price'</f>
        <v>13517.5</v>
      </c>
      <c r="I19" s="146">
        <f xml:space="preserve"> [1]!'CN*1.SG-BestBid1'</f>
        <v>13515</v>
      </c>
      <c r="J19" s="146">
        <f xml:space="preserve"> [1]!'CN*1.SG-BestAsk1'</f>
        <v>13517.5</v>
      </c>
      <c r="K19" s="112" t="e">
        <f>IF(ISNUMBER(H19)=TRUE,H19*F19*D19,E19*F19*D19)*N2</f>
        <v>#REF!</v>
      </c>
      <c r="L19" s="112" t="e">
        <f>IF(ISNUMBER(I19)=TRUE,I19*F19*D19,E19*F19*D19)*N2</f>
        <v>#REF!</v>
      </c>
      <c r="M19" s="112" t="e">
        <f>IF(ISNUMBER(J19)=TRUE,J19*F19*D19,E19*F19*D19)*N2</f>
        <v>#REF!</v>
      </c>
      <c r="N19" s="69" t="e">
        <f>1.04%/365*(C4+SUM(K19:K22)-SUM(G19:G22))</f>
        <v>#REF!</v>
      </c>
      <c r="O19" s="98">
        <f>X23</f>
        <v>0.32677487843191499</v>
      </c>
      <c r="P19" s="98">
        <f>X25</f>
        <v>0</v>
      </c>
    </row>
    <row r="20" spans="1:24">
      <c r="A20" s="25">
        <f>G20/$C$2</f>
        <v>-1.2911098218938439E-3</v>
      </c>
      <c r="B20" s="26" t="s">
        <v>663</v>
      </c>
      <c r="C20" s="84" t="s">
        <v>333</v>
      </c>
      <c r="D20" s="26">
        <v>1</v>
      </c>
      <c r="E20" s="146">
        <f xml:space="preserve"> [1]!'CN*2.SG-PreClose'</f>
        <v>13732.5</v>
      </c>
      <c r="F20" s="112">
        <v>-110</v>
      </c>
      <c r="G20" s="112">
        <f>D20*E20*F20*O2</f>
        <v>-44084620.800000004</v>
      </c>
      <c r="H20" s="146">
        <f xml:space="preserve"> [1]!'CN*2.SG-Price'</f>
        <v>13502.5</v>
      </c>
      <c r="I20" s="146">
        <f xml:space="preserve"> [1]!'CN*2.SG-BestBid1'</f>
        <v>13500</v>
      </c>
      <c r="J20" s="146">
        <f xml:space="preserve"> [1]!'CN*2.SG-BestAsk1'</f>
        <v>13505</v>
      </c>
      <c r="K20" s="112" t="e">
        <f>IF(ISNUMBER(H20)=TRUE,H20*F20*D20,E20*F20*D20)*N2</f>
        <v>#REF!</v>
      </c>
      <c r="L20" s="112" t="e">
        <f>IF(ISNUMBER(I20)=TRUE,I20*F20*D20,E20*F20*D20)*N2</f>
        <v>#REF!</v>
      </c>
      <c r="M20" s="112" t="e">
        <f>IF(ISNUMBER(J20)=TRUE,J20*F20*D20,E20*F20*D20)*N2</f>
        <v>#REF!</v>
      </c>
      <c r="N20" s="38"/>
      <c r="O20" s="38"/>
      <c r="P20" s="38"/>
      <c r="R20" s="241" t="s">
        <v>790</v>
      </c>
      <c r="S20" s="74">
        <v>100527988</v>
      </c>
      <c r="T20" s="240"/>
      <c r="U20" s="240"/>
      <c r="V20" s="240"/>
      <c r="W20" s="23"/>
    </row>
    <row r="21" spans="1:24" s="81" customFormat="1">
      <c r="A21" s="25" t="e">
        <f>G21/C4</f>
        <v>#REF!</v>
      </c>
      <c r="B21" s="26" t="s">
        <v>819</v>
      </c>
      <c r="C21" s="84" t="s">
        <v>334</v>
      </c>
      <c r="D21" s="26">
        <v>10000</v>
      </c>
      <c r="E21" s="146" t="e">
        <f xml:space="preserve"> [1]!'FINZF*1.TF-PreClose'</f>
        <v>#REF!</v>
      </c>
      <c r="F21" s="112">
        <v>-380</v>
      </c>
      <c r="G21" s="112" t="e">
        <f>D21*E21*F21</f>
        <v>#REF!</v>
      </c>
      <c r="H21" s="146" t="e">
        <f xml:space="preserve"> [1]!'FINZF*1.TF-Price'</f>
        <v>#REF!</v>
      </c>
      <c r="I21" s="146" t="e">
        <f xml:space="preserve"> [1]!'FINZF*1.TF-BestBid1'</f>
        <v>#REF!</v>
      </c>
      <c r="J21" s="146" t="e">
        <f xml:space="preserve"> [1]!'FINZF*1.TF-BestAsk1'</f>
        <v>#REF!</v>
      </c>
      <c r="K21" s="112" t="e">
        <f>IF(ISNUMBER(H21)=TRUE,H21*F21*D21,E21*F21*D21)</f>
        <v>#REF!</v>
      </c>
      <c r="L21" s="112" t="e">
        <f>IF(ISNUMBER(I21)=TRUE,I21*F21*D21,E21*F21*D21)</f>
        <v>#REF!</v>
      </c>
      <c r="M21" s="112" t="e">
        <f>IF(ISNUMBER(J21)=TRUE,J21*F21*D21,E21*F21*D21)</f>
        <v>#REF!</v>
      </c>
      <c r="N21" s="38"/>
      <c r="O21" s="38"/>
      <c r="P21" s="38"/>
      <c r="R21" s="26" t="s">
        <v>827</v>
      </c>
      <c r="S21" s="26" t="s">
        <v>822</v>
      </c>
      <c r="T21" s="26" t="s">
        <v>823</v>
      </c>
      <c r="U21" s="26" t="s">
        <v>839</v>
      </c>
      <c r="V21" s="26" t="s">
        <v>840</v>
      </c>
      <c r="W21" s="26" t="s">
        <v>841</v>
      </c>
      <c r="X21" s="23"/>
    </row>
    <row r="22" spans="1:24" s="81" customFormat="1">
      <c r="A22" s="25" t="e">
        <f>G22/$C$2</f>
        <v>#REF!</v>
      </c>
      <c r="B22" s="26" t="s">
        <v>821</v>
      </c>
      <c r="C22" s="84" t="s">
        <v>335</v>
      </c>
      <c r="D22" s="26">
        <v>10000</v>
      </c>
      <c r="E22" s="146" t="e">
        <f xml:space="preserve"> [1]!'FINZF*2.TF-PreClose'</f>
        <v>#REF!</v>
      </c>
      <c r="F22" s="112">
        <v>0</v>
      </c>
      <c r="G22" s="112" t="e">
        <f>D22*E22*F22</f>
        <v>#REF!</v>
      </c>
      <c r="H22" s="146" t="e">
        <f xml:space="preserve"> [1]!'FINZF*2.TF-Price'</f>
        <v>#REF!</v>
      </c>
      <c r="I22" s="146" t="e">
        <f xml:space="preserve"> [1]!'FINZF*2.TF-BestBid1'</f>
        <v>#REF!</v>
      </c>
      <c r="J22" s="146" t="e">
        <f xml:space="preserve"> [1]!'FINZF*2.TF-BestAsk1'</f>
        <v>#REF!</v>
      </c>
      <c r="K22" s="112" t="e">
        <f>IF(ISNUMBER(H22)=TRUE,H22*F22*D22,E22*F22*D22)</f>
        <v>#REF!</v>
      </c>
      <c r="L22" s="112" t="e">
        <f>IF(ISNUMBER(I22)=TRUE,I22*F22*D22,E22*F22*D22)</f>
        <v>#REF!</v>
      </c>
      <c r="M22" s="112" t="e">
        <f>IF(ISNUMBER(J22)=TRUE,J22*F22*D22,E22*F22*D22)</f>
        <v>#REF!</v>
      </c>
      <c r="N22" s="38"/>
      <c r="O22" s="38"/>
      <c r="P22" s="38"/>
      <c r="R22" s="272" t="s">
        <v>828</v>
      </c>
      <c r="S22" s="273">
        <v>0</v>
      </c>
      <c r="T22" s="289">
        <v>0</v>
      </c>
      <c r="U22" s="296">
        <f>T22/$T$32</f>
        <v>0</v>
      </c>
      <c r="V22" s="274"/>
      <c r="W22" s="274"/>
      <c r="X22" s="23" t="s">
        <v>842</v>
      </c>
    </row>
    <row r="23" spans="1:24" ht="17.25" thickBot="1">
      <c r="R23" s="275" t="s">
        <v>829</v>
      </c>
      <c r="S23" s="242">
        <v>20464949</v>
      </c>
      <c r="T23" s="287">
        <f>S23</f>
        <v>20464949</v>
      </c>
      <c r="U23" s="243">
        <f t="shared" ref="U23:U31" si="1">T23/$T$32</f>
        <v>0.20546849849347396</v>
      </c>
      <c r="V23" s="243"/>
      <c r="W23" s="243">
        <f>U23</f>
        <v>0.20546849849347396</v>
      </c>
      <c r="X23" s="24">
        <f>V24+V26+V28+V30</f>
        <v>0.32677487843191499</v>
      </c>
    </row>
    <row r="24" spans="1:24" ht="17.25" thickBot="1">
      <c r="A24" s="95" t="s">
        <v>155</v>
      </c>
      <c r="G24" s="73"/>
      <c r="H24" s="73"/>
      <c r="I24" s="73"/>
      <c r="J24" s="73"/>
      <c r="K24" s="73"/>
      <c r="L24" s="73"/>
      <c r="M24" s="73"/>
      <c r="R24" s="275" t="s">
        <v>830</v>
      </c>
      <c r="S24" s="242">
        <v>790367.16</v>
      </c>
      <c r="T24" s="287">
        <f>S24*O2</f>
        <v>23066075.197440002</v>
      </c>
      <c r="U24" s="243">
        <f t="shared" si="1"/>
        <v>0.23158385769520159</v>
      </c>
      <c r="V24" s="243">
        <f>U24</f>
        <v>0.23158385769520159</v>
      </c>
      <c r="W24" s="243"/>
      <c r="X24" s="23" t="s">
        <v>843</v>
      </c>
    </row>
    <row r="25" spans="1:24">
      <c r="A25" s="17" t="s">
        <v>319</v>
      </c>
      <c r="B25" s="82" t="s">
        <v>320</v>
      </c>
      <c r="C25" s="82" t="s">
        <v>231</v>
      </c>
      <c r="D25" s="82" t="s">
        <v>321</v>
      </c>
      <c r="E25" s="82" t="s">
        <v>322</v>
      </c>
      <c r="F25" s="82" t="s">
        <v>323</v>
      </c>
      <c r="G25" s="82" t="s">
        <v>324</v>
      </c>
      <c r="H25" s="82" t="s">
        <v>232</v>
      </c>
      <c r="I25" s="82" t="s">
        <v>325</v>
      </c>
      <c r="J25" s="82" t="s">
        <v>326</v>
      </c>
      <c r="K25" s="82" t="s">
        <v>327</v>
      </c>
      <c r="L25" s="82" t="s">
        <v>328</v>
      </c>
      <c r="M25" s="82" t="s">
        <v>329</v>
      </c>
      <c r="N25" s="250" t="s">
        <v>787</v>
      </c>
      <c r="O25" s="250" t="s">
        <v>788</v>
      </c>
      <c r="P25" s="250" t="s">
        <v>809</v>
      </c>
      <c r="R25" s="6" t="s">
        <v>831</v>
      </c>
      <c r="S25" s="242">
        <v>6589212</v>
      </c>
      <c r="T25" s="287">
        <f>S25</f>
        <v>6589212</v>
      </c>
      <c r="U25" s="243">
        <f t="shared" si="1"/>
        <v>6.6155820661716797E-2</v>
      </c>
      <c r="V25" s="244"/>
      <c r="W25" s="244">
        <f>U25</f>
        <v>6.6155820661716797E-2</v>
      </c>
      <c r="X25" s="23">
        <v>0</v>
      </c>
    </row>
    <row r="26" spans="1:24">
      <c r="A26" s="41">
        <f>G26/C6</f>
        <v>0.16197992175098408</v>
      </c>
      <c r="B26" s="26" t="s">
        <v>330</v>
      </c>
      <c r="C26" s="84" t="s">
        <v>313</v>
      </c>
      <c r="D26" s="85">
        <v>1</v>
      </c>
      <c r="E26" s="146">
        <f xml:space="preserve"> [1]!'CN*1.SG-PreClose'</f>
        <v>13742.5</v>
      </c>
      <c r="F26" s="112">
        <v>2500</v>
      </c>
      <c r="G26" s="93">
        <f>D26*E26*F26*O2</f>
        <v>1002652800</v>
      </c>
      <c r="H26" s="146">
        <f xml:space="preserve"> [1]!'CN*1.SG-Price'</f>
        <v>13517.5</v>
      </c>
      <c r="I26" s="146">
        <f xml:space="preserve"> [1]!'CN*1.SG-BestBid1'</f>
        <v>13515</v>
      </c>
      <c r="J26" s="146">
        <f xml:space="preserve"> [1]!'CN*1.SG-BestAsk1'</f>
        <v>13517.5</v>
      </c>
      <c r="K26" s="93" t="e">
        <f>IF(ISNUMBER(H26)=TRUE,H26*F26*D26,E26*F26*D26)*N2</f>
        <v>#REF!</v>
      </c>
      <c r="L26" s="93" t="e">
        <f>IF(ISNUMBER(I26)=TRUE,I26*F26*D26,E26*F26*D26)*N2</f>
        <v>#REF!</v>
      </c>
      <c r="M26" s="279" t="e">
        <f>IF(ISNUMBER(J26)=TRUE,J26*F26*D26,E26*F26*D26)*N2</f>
        <v>#REF!</v>
      </c>
      <c r="N26" s="69" t="e">
        <f>1.04%/365*(C17+SUM(K26:K28)-SUM(G26:G28))</f>
        <v>#REF!</v>
      </c>
      <c r="O26" s="98" t="e">
        <f>X39</f>
        <v>#REF!</v>
      </c>
      <c r="P26" s="98" t="e">
        <f>X41</f>
        <v>#REF!</v>
      </c>
      <c r="R26" s="6" t="s">
        <v>832</v>
      </c>
      <c r="S26" s="242">
        <v>324875.21999999997</v>
      </c>
      <c r="T26" s="288">
        <f>S26*O2</f>
        <v>9481158.4204799999</v>
      </c>
      <c r="U26" s="243">
        <f t="shared" si="1"/>
        <v>9.5191020736713428E-2</v>
      </c>
      <c r="V26" s="244">
        <f>U26</f>
        <v>9.5191020736713428E-2</v>
      </c>
      <c r="W26" s="244"/>
      <c r="X26" s="23"/>
    </row>
    <row r="27" spans="1:24" ht="19.5" customHeight="1">
      <c r="A27" s="41">
        <f>G27/C6</f>
        <v>0</v>
      </c>
      <c r="B27" s="26" t="s">
        <v>663</v>
      </c>
      <c r="C27" s="84" t="s">
        <v>333</v>
      </c>
      <c r="D27" s="85">
        <v>1</v>
      </c>
      <c r="E27" s="146">
        <f xml:space="preserve"> [1]!'CN*2.SG-PreClose'</f>
        <v>13732.5</v>
      </c>
      <c r="F27" s="112">
        <v>0</v>
      </c>
      <c r="G27" s="93">
        <f>D27*E27*F27*O2</f>
        <v>0</v>
      </c>
      <c r="H27" s="146">
        <f xml:space="preserve"> [1]!'CN*2.SG-Price'</f>
        <v>13502.5</v>
      </c>
      <c r="I27" s="146">
        <f xml:space="preserve"> [1]!'CN*2.SG-BestBid1'</f>
        <v>13500</v>
      </c>
      <c r="J27" s="146">
        <f xml:space="preserve"> [1]!'CN*2.SG-BestAsk1'</f>
        <v>13505</v>
      </c>
      <c r="K27" s="93" t="e">
        <f>IF(ISNUMBER(H27)=TRUE,H27*F27*D27,E27*F27*D27)*N2</f>
        <v>#REF!</v>
      </c>
      <c r="L27" s="93" t="e">
        <f>IF(ISNUMBER(I27)=TRUE,I27*F27*D27,E27*F27*D27)*N2</f>
        <v>#REF!</v>
      </c>
      <c r="M27" s="96" t="e">
        <f>IF(ISNUMBER(J27)=TRUE,J27*F27*D27,E27*F27*D27)*N2</f>
        <v>#REF!</v>
      </c>
      <c r="N27" s="46"/>
      <c r="O27" s="46"/>
      <c r="P27" s="46"/>
      <c r="R27" s="6" t="s">
        <v>833</v>
      </c>
      <c r="S27" s="242">
        <v>40000000</v>
      </c>
      <c r="T27" s="288">
        <f>S27</f>
        <v>40000000</v>
      </c>
      <c r="U27" s="243">
        <f t="shared" si="1"/>
        <v>0.40160080241289425</v>
      </c>
      <c r="V27" s="244"/>
      <c r="W27" s="244">
        <f>U27</f>
        <v>0.40160080241289425</v>
      </c>
      <c r="X27" s="23"/>
    </row>
    <row r="28" spans="1:24" ht="28.5" customHeight="1">
      <c r="A28" s="41" t="e">
        <f>G28/C6</f>
        <v>#REF!</v>
      </c>
      <c r="B28" s="251" t="s">
        <v>801</v>
      </c>
      <c r="C28" s="26" t="s">
        <v>344</v>
      </c>
      <c r="D28" s="85">
        <v>1</v>
      </c>
      <c r="E28" s="6" t="e">
        <f xml:space="preserve"> [1]!'2827.HK-PreClose'</f>
        <v>#REF!</v>
      </c>
      <c r="F28" s="112">
        <v>49174000</v>
      </c>
      <c r="G28" s="74" t="e">
        <f>D28*E28*F28*O4</f>
        <v>#REF!</v>
      </c>
      <c r="H28" s="99" t="e">
        <f xml:space="preserve"> [1]!'2827.HK-Price'</f>
        <v>#REF!</v>
      </c>
      <c r="I28" s="99" t="e">
        <f xml:space="preserve"> [1]!'2827.HK-BestBid1'</f>
        <v>#REF!</v>
      </c>
      <c r="J28" s="99" t="e">
        <f xml:space="preserve"> [1]!'2827.HK-BestAsk1'</f>
        <v>#REF!</v>
      </c>
      <c r="K28" s="74" t="e">
        <f>IF(ISNUMBER(H28)=TRUE,H28*F28*D28,E28*F28*D28)*N4</f>
        <v>#REF!</v>
      </c>
      <c r="L28" s="74" t="e">
        <f>IF(ISNUMBER(I28)=TRUE,I28*F28*D28,E28*F28*D28)*N4</f>
        <v>#REF!</v>
      </c>
      <c r="M28" s="74" t="e">
        <f>IF(ISNUMBER(J28)=TRUE,J28*F28*D28,E28*F28*D28)*N4</f>
        <v>#REF!</v>
      </c>
      <c r="N28" s="46"/>
      <c r="O28" s="46"/>
      <c r="P28" s="46"/>
      <c r="R28" s="6" t="s">
        <v>834</v>
      </c>
      <c r="S28" s="242">
        <v>0</v>
      </c>
      <c r="T28" s="288"/>
      <c r="U28" s="243">
        <f t="shared" si="1"/>
        <v>0</v>
      </c>
      <c r="V28" s="244">
        <f>U28</f>
        <v>0</v>
      </c>
      <c r="W28" s="244"/>
      <c r="X28" s="24"/>
    </row>
    <row r="29" spans="1:24">
      <c r="R29" s="6" t="s">
        <v>835</v>
      </c>
      <c r="S29" s="242">
        <v>0</v>
      </c>
      <c r="T29" s="288"/>
      <c r="U29" s="243">
        <f t="shared" si="1"/>
        <v>0</v>
      </c>
      <c r="V29" s="244"/>
      <c r="W29" s="244">
        <f>U29</f>
        <v>0</v>
      </c>
      <c r="X29" s="23"/>
    </row>
    <row r="30" spans="1:24">
      <c r="R30" s="6" t="s">
        <v>836</v>
      </c>
      <c r="S30" s="242">
        <v>0</v>
      </c>
      <c r="T30" s="288"/>
      <c r="U30" s="243">
        <f t="shared" si="1"/>
        <v>0</v>
      </c>
      <c r="V30" s="244">
        <f>U30</f>
        <v>0</v>
      </c>
      <c r="W30" s="244"/>
      <c r="X30" s="23"/>
    </row>
    <row r="31" spans="1:24">
      <c r="R31" s="276" t="s">
        <v>837</v>
      </c>
      <c r="S31" s="242"/>
      <c r="T31" s="287"/>
      <c r="U31" s="243">
        <f t="shared" si="1"/>
        <v>0</v>
      </c>
      <c r="V31" s="244"/>
      <c r="W31" s="244">
        <f>U31</f>
        <v>0</v>
      </c>
      <c r="X31" s="23"/>
    </row>
    <row r="32" spans="1:24">
      <c r="R32" s="6" t="s">
        <v>838</v>
      </c>
      <c r="S32" s="285"/>
      <c r="T32" s="285">
        <f>SUM(T23:T31)</f>
        <v>99601394.617919996</v>
      </c>
      <c r="U32" s="21">
        <f>SUM(U23:U31)</f>
        <v>1</v>
      </c>
      <c r="V32" s="21">
        <f>SUM(V23:V31)</f>
        <v>0.32677487843191499</v>
      </c>
      <c r="W32" s="21">
        <f>SUM(W23:W31)</f>
        <v>0.67322512156808501</v>
      </c>
      <c r="X32" s="4">
        <f>V32+W32</f>
        <v>1</v>
      </c>
    </row>
    <row r="33" spans="18:24">
      <c r="X33" s="4"/>
    </row>
    <row r="35" spans="18:24">
      <c r="R35" s="241" t="s">
        <v>331</v>
      </c>
      <c r="S35" s="74">
        <v>10486591337</v>
      </c>
      <c r="T35" s="240"/>
      <c r="U35" s="240"/>
      <c r="V35" s="240"/>
      <c r="W35" s="23"/>
    </row>
    <row r="36" spans="18:24">
      <c r="R36" s="26" t="s">
        <v>773</v>
      </c>
      <c r="S36" s="26" t="s">
        <v>822</v>
      </c>
      <c r="T36" s="26" t="s">
        <v>823</v>
      </c>
      <c r="U36" s="26" t="s">
        <v>774</v>
      </c>
      <c r="V36" s="26" t="s">
        <v>767</v>
      </c>
      <c r="W36" s="26" t="s">
        <v>775</v>
      </c>
      <c r="X36" s="23"/>
    </row>
    <row r="37" spans="18:24">
      <c r="R37" s="272" t="s">
        <v>802</v>
      </c>
      <c r="S37" s="273">
        <v>0</v>
      </c>
      <c r="T37" s="292"/>
      <c r="U37" s="274" t="e">
        <f t="shared" ref="U37" si="2">S37/$S$44</f>
        <v>#REF!</v>
      </c>
      <c r="V37" s="274"/>
      <c r="W37" s="274"/>
      <c r="X37" s="23"/>
    </row>
    <row r="38" spans="18:24">
      <c r="R38" s="6" t="s">
        <v>803</v>
      </c>
      <c r="S38" s="74">
        <v>8508</v>
      </c>
      <c r="T38" s="277">
        <f>S38</f>
        <v>8508</v>
      </c>
      <c r="U38" s="244" t="e">
        <f>T38/$T$44</f>
        <v>#REF!</v>
      </c>
      <c r="V38" s="244"/>
      <c r="W38" s="244" t="e">
        <f>U38</f>
        <v>#REF!</v>
      </c>
      <c r="X38" s="23" t="s">
        <v>776</v>
      </c>
    </row>
    <row r="39" spans="18:24">
      <c r="R39" s="6" t="s">
        <v>804</v>
      </c>
      <c r="S39" s="71">
        <v>6641785</v>
      </c>
      <c r="T39" s="277">
        <f>S39*O2</f>
        <v>193833853.44</v>
      </c>
      <c r="U39" s="244" t="e">
        <f t="shared" ref="U39:U43" si="3">T39/$T$44</f>
        <v>#REF!</v>
      </c>
      <c r="V39" s="244" t="e">
        <f>U39</f>
        <v>#REF!</v>
      </c>
      <c r="W39" s="244"/>
      <c r="X39" s="24" t="e">
        <f>U39</f>
        <v>#REF!</v>
      </c>
    </row>
    <row r="40" spans="18:24">
      <c r="R40" s="6" t="s">
        <v>805</v>
      </c>
      <c r="S40" s="71">
        <v>36569953</v>
      </c>
      <c r="T40" s="277">
        <f>S40*O4</f>
        <v>135923201.31040001</v>
      </c>
      <c r="U40" s="244" t="e">
        <f t="shared" si="3"/>
        <v>#REF!</v>
      </c>
      <c r="V40" s="244" t="e">
        <f>U40</f>
        <v>#REF!</v>
      </c>
      <c r="W40" s="244"/>
      <c r="X40" s="23" t="s">
        <v>808</v>
      </c>
    </row>
    <row r="41" spans="18:24">
      <c r="R41" s="6" t="s">
        <v>806</v>
      </c>
      <c r="S41" s="71">
        <v>111537762</v>
      </c>
      <c r="T41" s="277">
        <f>S41</f>
        <v>111537762</v>
      </c>
      <c r="U41" s="244" t="e">
        <f t="shared" si="3"/>
        <v>#REF!</v>
      </c>
      <c r="V41" s="244"/>
      <c r="W41" s="244" t="e">
        <f>U41</f>
        <v>#REF!</v>
      </c>
      <c r="X41" s="24" t="e">
        <f>V40+V42</f>
        <v>#REF!</v>
      </c>
    </row>
    <row r="42" spans="18:24">
      <c r="R42" s="275" t="s">
        <v>807</v>
      </c>
      <c r="S42" s="245" t="e">
        <f>E28*F28</f>
        <v>#REF!</v>
      </c>
      <c r="T42" s="277" t="e">
        <f>S42*O4</f>
        <v>#REF!</v>
      </c>
      <c r="U42" s="244" t="e">
        <f t="shared" si="3"/>
        <v>#REF!</v>
      </c>
      <c r="V42" s="244" t="e">
        <f>U42</f>
        <v>#REF!</v>
      </c>
      <c r="W42" s="244"/>
      <c r="X42" s="23"/>
    </row>
    <row r="43" spans="18:24">
      <c r="R43" s="276" t="s">
        <v>778</v>
      </c>
      <c r="S43" s="245">
        <v>-9717483</v>
      </c>
      <c r="T43" s="277">
        <f>S43</f>
        <v>-9717483</v>
      </c>
      <c r="U43" s="244" t="e">
        <f t="shared" si="3"/>
        <v>#REF!</v>
      </c>
      <c r="V43" s="244"/>
      <c r="W43" s="244" t="e">
        <f>U43</f>
        <v>#REF!</v>
      </c>
      <c r="X43" s="23"/>
    </row>
    <row r="44" spans="18:24">
      <c r="R44" s="6" t="s">
        <v>777</v>
      </c>
      <c r="S44" s="277" t="e">
        <f>SUM(S38:S43)</f>
        <v>#REF!</v>
      </c>
      <c r="T44" s="277" t="e">
        <f>SUM(T38:T43)</f>
        <v>#REF!</v>
      </c>
      <c r="U44" s="243" t="e">
        <f>SUM(U38:U43)</f>
        <v>#REF!</v>
      </c>
      <c r="V44" s="244" t="e">
        <f>SUM(V38:V42)</f>
        <v>#REF!</v>
      </c>
      <c r="W44" s="244" t="e">
        <f>SUM(W38:W43)</f>
        <v>#REF!</v>
      </c>
      <c r="X44" s="24" t="e">
        <f>V44+W44</f>
        <v>#REF!</v>
      </c>
    </row>
    <row r="48" spans="18:24">
      <c r="T48" s="73">
        <f>T38+T41+T43</f>
        <v>101828787</v>
      </c>
    </row>
    <row r="49" spans="20:20">
      <c r="T49" t="e">
        <f>T48/T44</f>
        <v>#REF!</v>
      </c>
    </row>
  </sheetData>
  <mergeCells count="3">
    <mergeCell ref="F1:F2"/>
    <mergeCell ref="F3:F4"/>
    <mergeCell ref="F5:F6"/>
  </mergeCells>
  <phoneticPr fontId="5" type="noConversion"/>
  <conditionalFormatting sqref="S38:W43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643969" r:id="rId3" name="CommandButton1">
          <controlPr defaultSize="0" autoLine="0" r:id="rId4">
            <anchor moveWithCells="1">
              <from>
                <xdr:col>13</xdr:col>
                <xdr:colOff>247650</xdr:colOff>
                <xdr:row>26</xdr:row>
                <xdr:rowOff>209550</xdr:rowOff>
              </from>
              <to>
                <xdr:col>14</xdr:col>
                <xdr:colOff>523875</xdr:colOff>
                <xdr:row>29</xdr:row>
                <xdr:rowOff>9525</xdr:rowOff>
              </to>
            </anchor>
          </controlPr>
        </control>
      </mc:Choice>
      <mc:Fallback>
        <control shapeId="34643969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FF00"/>
  </sheetPr>
  <dimension ref="A1:W528"/>
  <sheetViews>
    <sheetView workbookViewId="0">
      <selection activeCell="A2" sqref="A2"/>
    </sheetView>
  </sheetViews>
  <sheetFormatPr defaultColWidth="9" defaultRowHeight="16.5"/>
  <cols>
    <col min="1" max="1" width="11" style="139" customWidth="1"/>
    <col min="2" max="2" width="15.875" style="139" customWidth="1"/>
    <col min="3" max="3" width="16.5" style="23" customWidth="1"/>
    <col min="4" max="4" width="19.25" style="139" customWidth="1"/>
    <col min="5" max="5" width="12.125" style="139" customWidth="1"/>
    <col min="6" max="6" width="14" style="139" customWidth="1"/>
    <col min="7" max="7" width="18.125" style="139" customWidth="1"/>
    <col min="8" max="8" width="13.125" style="139" customWidth="1"/>
    <col min="9" max="9" width="11.875" style="139" customWidth="1"/>
    <col min="10" max="10" width="23.5" style="139" customWidth="1"/>
    <col min="11" max="11" width="21.75" style="139" customWidth="1"/>
    <col min="12" max="12" width="22.375" style="139" customWidth="1"/>
    <col min="13" max="13" width="19" style="139" customWidth="1"/>
    <col min="14" max="14" width="12" style="139" customWidth="1"/>
    <col min="15" max="15" width="14.25" style="139" customWidth="1"/>
    <col min="16" max="16" width="9" style="139"/>
    <col min="17" max="17" width="20.375" style="297" customWidth="1"/>
    <col min="18" max="18" width="20.75" style="297" customWidth="1"/>
    <col min="19" max="19" width="16.875" style="297" customWidth="1"/>
    <col min="20" max="20" width="13.25" style="297" customWidth="1"/>
    <col min="21" max="21" width="11.375" style="297" customWidth="1"/>
    <col min="22" max="22" width="10.875" style="297" customWidth="1"/>
    <col min="23" max="23" width="10.25" style="23" customWidth="1"/>
    <col min="24" max="16384" width="9" style="139"/>
  </cols>
  <sheetData>
    <row r="1" spans="1:23" s="23" customFormat="1">
      <c r="A1" s="82" t="s">
        <v>137</v>
      </c>
      <c r="B1" s="82" t="s">
        <v>350</v>
      </c>
      <c r="C1" s="82" t="s">
        <v>138</v>
      </c>
      <c r="D1" s="82" t="s">
        <v>139</v>
      </c>
      <c r="E1" s="28" t="s">
        <v>140</v>
      </c>
      <c r="F1" s="516" t="s">
        <v>348</v>
      </c>
      <c r="G1" s="32" t="s">
        <v>157</v>
      </c>
      <c r="H1" s="47" t="s">
        <v>52</v>
      </c>
      <c r="I1" s="47" t="s">
        <v>53</v>
      </c>
      <c r="J1" s="82" t="s">
        <v>262</v>
      </c>
      <c r="K1" s="82" t="s">
        <v>256</v>
      </c>
      <c r="L1" s="82" t="s">
        <v>257</v>
      </c>
      <c r="M1" s="114" t="s">
        <v>49</v>
      </c>
      <c r="N1" s="102" t="s">
        <v>151</v>
      </c>
      <c r="O1" s="115" t="s">
        <v>712</v>
      </c>
      <c r="P1" s="75" t="s">
        <v>336</v>
      </c>
      <c r="Q1" s="297"/>
      <c r="R1" s="297"/>
      <c r="S1" s="297"/>
      <c r="T1" s="297"/>
      <c r="U1" s="297"/>
      <c r="V1" s="297"/>
    </row>
    <row r="2" spans="1:23" ht="17.25" thickBot="1">
      <c r="A2" s="22" t="s">
        <v>447</v>
      </c>
      <c r="B2" s="3">
        <f>C2/100000000</f>
        <v>1.65</v>
      </c>
      <c r="C2" s="33">
        <f>'ETF Update'!D39*1000</f>
        <v>165000000</v>
      </c>
      <c r="D2" s="142">
        <f>'ETF Update'!E39</f>
        <v>4416</v>
      </c>
      <c r="E2" s="8">
        <f>'ETF Update'!C39</f>
        <v>37.36</v>
      </c>
      <c r="F2" s="517"/>
      <c r="G2" s="144" t="e">
        <f>J2/(D2*1000)</f>
        <v>#REF!</v>
      </c>
      <c r="H2" s="143" t="e">
        <f>K2/(D2*1000)</f>
        <v>#REF!</v>
      </c>
      <c r="I2" s="143" t="e">
        <f>L2/(D2*1000)</f>
        <v>#REF!</v>
      </c>
      <c r="J2" s="112" t="e">
        <f>C2+(SUM(K11:K12)-SUM(G11:G12))-N11+C2*O11*(N2/O2-1)</f>
        <v>#REF!</v>
      </c>
      <c r="K2" s="112" t="e">
        <f>C2+(SUM(L11:L12)-SUM(G11:G12))-N11+C2*O11*(N2/O2-1)</f>
        <v>#REF!</v>
      </c>
      <c r="L2" s="112" t="e">
        <f>C2+(SUM(M11:M12)-SUM(G11:G12))-N11+C2*O11*(N2/O2-1)</f>
        <v>#REF!</v>
      </c>
      <c r="M2" s="114" t="s">
        <v>337</v>
      </c>
      <c r="N2" s="116" t="e">
        <f>匯率報價!D16</f>
        <v>#REF!</v>
      </c>
      <c r="O2" s="116">
        <v>30.15</v>
      </c>
    </row>
    <row r="3" spans="1:23" s="23" customFormat="1">
      <c r="A3" s="82" t="s">
        <v>137</v>
      </c>
      <c r="B3" s="82" t="s">
        <v>350</v>
      </c>
      <c r="C3" s="82" t="s">
        <v>138</v>
      </c>
      <c r="D3" s="82" t="s">
        <v>23</v>
      </c>
      <c r="E3" s="28" t="s">
        <v>140</v>
      </c>
      <c r="F3" s="516" t="s">
        <v>348</v>
      </c>
      <c r="G3" s="32" t="s">
        <v>157</v>
      </c>
      <c r="H3" s="47" t="s">
        <v>52</v>
      </c>
      <c r="I3" s="47" t="s">
        <v>53</v>
      </c>
      <c r="J3" s="82" t="s">
        <v>353</v>
      </c>
      <c r="K3" s="82" t="s">
        <v>355</v>
      </c>
      <c r="L3" s="82" t="s">
        <v>357</v>
      </c>
      <c r="M3" s="114" t="s">
        <v>847</v>
      </c>
      <c r="N3" s="116" t="e">
        <f>匯率報價!D2</f>
        <v>#REF!</v>
      </c>
      <c r="O3" s="116">
        <v>111.39</v>
      </c>
    </row>
    <row r="4" spans="1:23" ht="17.25" thickBot="1">
      <c r="A4" s="22" t="s">
        <v>448</v>
      </c>
      <c r="B4" s="3">
        <f>C4/100000000</f>
        <v>0</v>
      </c>
      <c r="C4" s="33">
        <f>'ETF Update'!D40*1000</f>
        <v>0</v>
      </c>
      <c r="D4" s="141">
        <f>'ETF Update'!E40</f>
        <v>0</v>
      </c>
      <c r="E4" s="8">
        <f>'ETF Update'!C40</f>
        <v>12.1</v>
      </c>
      <c r="F4" s="517"/>
      <c r="G4" s="144" t="e">
        <f>J4/D4/1000</f>
        <v>#REF!</v>
      </c>
      <c r="H4" s="143" t="e">
        <f>K4/D4/1000</f>
        <v>#REF!</v>
      </c>
      <c r="I4" s="143" t="e">
        <f>L4/D4/1000</f>
        <v>#REF!</v>
      </c>
      <c r="J4" s="112" t="e">
        <f>C4+(SUM(K16:K17)-SUM(G16:G17))-N16+C4*O16*(N2/O2-1)</f>
        <v>#REF!</v>
      </c>
      <c r="K4" s="112" t="e">
        <f>C4+(SUM(L16:L17)-SUM(G16:G17))-N16+C4*O16*(N2/O2-1)</f>
        <v>#REF!</v>
      </c>
      <c r="L4" s="112" t="e">
        <f>C4+(SUM(M16:M17)-SUM(G16:G17))-N16+C4*O16*(N2/O2-1)</f>
        <v>#REF!</v>
      </c>
      <c r="M4" s="114" t="s">
        <v>848</v>
      </c>
      <c r="N4" s="116" t="e">
        <f>匯率報價!D7</f>
        <v>#REF!</v>
      </c>
      <c r="O4" s="116">
        <v>1.2</v>
      </c>
    </row>
    <row r="5" spans="1:23" s="23" customFormat="1">
      <c r="A5" s="82" t="s">
        <v>137</v>
      </c>
      <c r="B5" s="82" t="s">
        <v>350</v>
      </c>
      <c r="C5" s="82" t="s">
        <v>138</v>
      </c>
      <c r="D5" s="82" t="s">
        <v>23</v>
      </c>
      <c r="E5" s="28" t="s">
        <v>140</v>
      </c>
      <c r="F5" s="518" t="s">
        <v>348</v>
      </c>
      <c r="G5" s="32" t="s">
        <v>157</v>
      </c>
      <c r="H5" s="47" t="s">
        <v>52</v>
      </c>
      <c r="I5" s="47" t="s">
        <v>53</v>
      </c>
      <c r="J5" s="82" t="s">
        <v>353</v>
      </c>
      <c r="K5" s="82" t="s">
        <v>355</v>
      </c>
      <c r="L5" s="82" t="s">
        <v>357</v>
      </c>
      <c r="M5" s="114" t="s">
        <v>339</v>
      </c>
      <c r="N5" s="116" t="e">
        <f>匯率報價!D17</f>
        <v>#REF!</v>
      </c>
      <c r="O5" s="116">
        <v>4.5869999999999997</v>
      </c>
    </row>
    <row r="6" spans="1:23" ht="17.25" thickBot="1">
      <c r="A6" s="22" t="s">
        <v>446</v>
      </c>
      <c r="B6" s="3">
        <f>C6/100000000</f>
        <v>43.753779999999999</v>
      </c>
      <c r="C6" s="33">
        <f>'ETF Update'!D38*1000</f>
        <v>4375378000</v>
      </c>
      <c r="D6" s="141">
        <f>'ETF Update'!E38</f>
        <v>154985</v>
      </c>
      <c r="E6" s="8">
        <f>'ETF Update'!C38</f>
        <v>28.23</v>
      </c>
      <c r="F6" s="517"/>
      <c r="G6" s="144" t="e">
        <f>J6/D6/1000</f>
        <v>#REF!</v>
      </c>
      <c r="H6" s="143" t="e">
        <f>L6/D6/1000</f>
        <v>#REF!</v>
      </c>
      <c r="I6" s="143" t="e">
        <f>K6/D6/1000</f>
        <v>#REF!</v>
      </c>
      <c r="J6" s="112" t="e">
        <f>C6+(SUM(K22:K600)-SUM(G22:G600))-N22+C6*O22*(N2/O2-1)</f>
        <v>#REF!</v>
      </c>
      <c r="K6" s="112" t="e">
        <f>C6+(SUM(L22:L600)-SUM(G22:G600))-N22+C6*O22*(N2/O2-1)</f>
        <v>#REF!</v>
      </c>
      <c r="L6" s="112" t="e">
        <f>C6+(SUM(M22:M600)-SUM(G22:G600))-N22+C6*O22*(N2/O2-1)</f>
        <v>#REF!</v>
      </c>
      <c r="M6" s="114" t="s">
        <v>345</v>
      </c>
      <c r="N6" s="116" t="e">
        <f>匯率報價!D18</f>
        <v>#REF!</v>
      </c>
      <c r="O6" s="116">
        <v>3.8610000000000002</v>
      </c>
    </row>
    <row r="8" spans="1:23" ht="17.25" thickBot="1">
      <c r="Q8" s="241" t="s">
        <v>867</v>
      </c>
      <c r="R8" s="74">
        <v>95108336</v>
      </c>
      <c r="V8" s="23"/>
    </row>
    <row r="9" spans="1:23">
      <c r="A9" s="95" t="s">
        <v>447</v>
      </c>
      <c r="G9" s="73"/>
      <c r="K9" s="73"/>
      <c r="L9" s="73"/>
      <c r="M9" s="73"/>
      <c r="Q9" s="26" t="s">
        <v>753</v>
      </c>
      <c r="R9" s="26" t="s">
        <v>818</v>
      </c>
      <c r="S9" s="26" t="s">
        <v>779</v>
      </c>
      <c r="T9" s="26" t="s">
        <v>766</v>
      </c>
      <c r="U9" s="26" t="s">
        <v>767</v>
      </c>
      <c r="V9" s="26" t="s">
        <v>747</v>
      </c>
    </row>
    <row r="10" spans="1:23" s="23" customFormat="1">
      <c r="A10" s="82" t="s">
        <v>319</v>
      </c>
      <c r="B10" s="82" t="s">
        <v>320</v>
      </c>
      <c r="C10" s="82" t="s">
        <v>231</v>
      </c>
      <c r="D10" s="82" t="s">
        <v>321</v>
      </c>
      <c r="E10" s="82" t="s">
        <v>322</v>
      </c>
      <c r="F10" s="82" t="s">
        <v>323</v>
      </c>
      <c r="G10" s="82" t="s">
        <v>324</v>
      </c>
      <c r="H10" s="82" t="s">
        <v>232</v>
      </c>
      <c r="I10" s="82" t="s">
        <v>325</v>
      </c>
      <c r="J10" s="82" t="s">
        <v>326</v>
      </c>
      <c r="K10" s="82" t="s">
        <v>327</v>
      </c>
      <c r="L10" s="82" t="s">
        <v>328</v>
      </c>
      <c r="M10" s="82" t="s">
        <v>329</v>
      </c>
      <c r="N10" s="250" t="s">
        <v>787</v>
      </c>
      <c r="O10" s="250" t="s">
        <v>788</v>
      </c>
      <c r="Q10" s="272" t="s">
        <v>749</v>
      </c>
      <c r="R10" s="273">
        <v>0</v>
      </c>
      <c r="S10" s="289"/>
      <c r="T10" s="298">
        <f t="shared" ref="T10:T18" si="0">S10/$S$19</f>
        <v>0</v>
      </c>
      <c r="U10" s="274"/>
      <c r="V10" s="274"/>
      <c r="W10" s="23" t="s">
        <v>851</v>
      </c>
    </row>
    <row r="11" spans="1:23" s="23" customFormat="1">
      <c r="A11" s="25">
        <f>G11/$C$2</f>
        <v>1.5774388636363637</v>
      </c>
      <c r="B11" s="26" t="s">
        <v>635</v>
      </c>
      <c r="C11" s="26" t="s">
        <v>633</v>
      </c>
      <c r="D11" s="26">
        <v>50</v>
      </c>
      <c r="E11" s="145">
        <f>群益海期報價!K16</f>
        <v>2466.5</v>
      </c>
      <c r="F11" s="112">
        <v>70</v>
      </c>
      <c r="G11" s="93">
        <f>D11*E11*F11*O2</f>
        <v>260277412.5</v>
      </c>
      <c r="H11" s="145">
        <f>群益海期報價!H16</f>
        <v>2460.25</v>
      </c>
      <c r="I11" s="145">
        <f>群益海期報價!L16</f>
        <v>2460</v>
      </c>
      <c r="J11" s="145">
        <f>群益海期報價!N16</f>
        <v>2460.25</v>
      </c>
      <c r="K11" s="93" t="e">
        <f>IF(ISNUMBER(H11)=TRUE,H11*F11*D11,E11*F11*D11)*N2</f>
        <v>#REF!</v>
      </c>
      <c r="L11" s="93" t="e">
        <f>IF(ISNUMBER(I11)=TRUE,I11*F11*D11,E11*F11*D11)*N2</f>
        <v>#REF!</v>
      </c>
      <c r="M11" s="93" t="e">
        <f>IF(ISNUMBER(J11)=TRUE,J11*F11*D11,E11*F11*D11)*N2</f>
        <v>#REF!</v>
      </c>
      <c r="N11" s="91" t="e">
        <f>1.04%/365*(C2+SUM(K11:K12)-SUM(G11:G12))</f>
        <v>#REF!</v>
      </c>
      <c r="O11" s="98">
        <f>W11</f>
        <v>0.93208065545669261</v>
      </c>
      <c r="Q11" s="275" t="s">
        <v>750</v>
      </c>
      <c r="R11" s="242">
        <v>0</v>
      </c>
      <c r="S11" s="287">
        <f>R11</f>
        <v>0</v>
      </c>
      <c r="T11" s="244">
        <f t="shared" si="0"/>
        <v>0</v>
      </c>
      <c r="U11" s="243"/>
      <c r="V11" s="243">
        <f>T11</f>
        <v>0</v>
      </c>
      <c r="W11" s="24">
        <f>U12+U14+U16</f>
        <v>0.93208065545669261</v>
      </c>
    </row>
    <row r="12" spans="1:23" s="23" customFormat="1">
      <c r="A12" s="25">
        <f>G12/$C$2</f>
        <v>0</v>
      </c>
      <c r="B12" s="26" t="s">
        <v>636</v>
      </c>
      <c r="C12" s="26" t="s">
        <v>634</v>
      </c>
      <c r="D12" s="26">
        <v>50</v>
      </c>
      <c r="E12" s="145">
        <f>群益海期報價!K17</f>
        <v>2464.75</v>
      </c>
      <c r="F12" s="112">
        <v>0</v>
      </c>
      <c r="G12" s="93">
        <f>D12*E12*F12*O2</f>
        <v>0</v>
      </c>
      <c r="H12" s="145">
        <f>群益海期報價!H17</f>
        <v>2458.5</v>
      </c>
      <c r="I12" s="145">
        <f>群益海期報價!L17</f>
        <v>2458.25</v>
      </c>
      <c r="J12" s="145">
        <f>群益海期報價!N17</f>
        <v>2458.5</v>
      </c>
      <c r="K12" s="93" t="e">
        <f>IF(ISNUMBER(H12)=TRUE,H12*F12*D12,E12*F12*D12)*N2</f>
        <v>#REF!</v>
      </c>
      <c r="L12" s="93" t="e">
        <f>IF(ISNUMBER(I12)=TRUE,I12*F12*D12,E12*F12*D12)*N2</f>
        <v>#REF!</v>
      </c>
      <c r="M12" s="93" t="e">
        <f>IF(ISNUMBER(J12)=TRUE,J12*F12*D12,E12*F12*D12)*N2</f>
        <v>#REF!</v>
      </c>
      <c r="N12" s="46"/>
      <c r="O12" s="46"/>
      <c r="Q12" s="275" t="s">
        <v>770</v>
      </c>
      <c r="R12" s="242">
        <v>1444588.03</v>
      </c>
      <c r="S12" s="287">
        <f>R12*O2</f>
        <v>43554329.104499996</v>
      </c>
      <c r="T12" s="244">
        <f t="shared" si="0"/>
        <v>0.45726043987689935</v>
      </c>
      <c r="U12" s="243">
        <f>T12</f>
        <v>0.45726043987689935</v>
      </c>
      <c r="V12" s="243"/>
    </row>
    <row r="13" spans="1:23" ht="17.25" thickBot="1">
      <c r="Q13" s="6" t="s">
        <v>771</v>
      </c>
      <c r="R13" s="242">
        <v>6469358</v>
      </c>
      <c r="S13" s="287">
        <f>R13</f>
        <v>6469358</v>
      </c>
      <c r="T13" s="244">
        <f t="shared" si="0"/>
        <v>6.7919344543307433E-2</v>
      </c>
      <c r="U13" s="244"/>
      <c r="V13" s="244">
        <f>T13</f>
        <v>6.7919344543307433E-2</v>
      </c>
    </row>
    <row r="14" spans="1:23">
      <c r="A14" s="95" t="s">
        <v>448</v>
      </c>
      <c r="G14" s="1"/>
      <c r="K14" s="1"/>
      <c r="L14" s="1"/>
      <c r="M14" s="1"/>
      <c r="Q14" s="6" t="s">
        <v>759</v>
      </c>
      <c r="R14" s="242">
        <v>1500063.29</v>
      </c>
      <c r="S14" s="288">
        <f>R14*O2</f>
        <v>45226908.193499997</v>
      </c>
      <c r="T14" s="244">
        <f t="shared" si="0"/>
        <v>0.47482021557979326</v>
      </c>
      <c r="U14" s="244">
        <f>T14</f>
        <v>0.47482021557979326</v>
      </c>
      <c r="V14" s="244"/>
    </row>
    <row r="15" spans="1:23">
      <c r="A15" s="82" t="s">
        <v>319</v>
      </c>
      <c r="B15" s="82" t="s">
        <v>320</v>
      </c>
      <c r="C15" s="82" t="s">
        <v>231</v>
      </c>
      <c r="D15" s="82" t="s">
        <v>321</v>
      </c>
      <c r="E15" s="82" t="s">
        <v>322</v>
      </c>
      <c r="F15" s="82" t="s">
        <v>323</v>
      </c>
      <c r="G15" s="82" t="s">
        <v>324</v>
      </c>
      <c r="H15" s="82" t="s">
        <v>232</v>
      </c>
      <c r="I15" s="82" t="s">
        <v>325</v>
      </c>
      <c r="J15" s="82" t="s">
        <v>326</v>
      </c>
      <c r="K15" s="82" t="s">
        <v>327</v>
      </c>
      <c r="L15" s="82" t="s">
        <v>328</v>
      </c>
      <c r="M15" s="82" t="s">
        <v>329</v>
      </c>
      <c r="N15" s="250" t="s">
        <v>787</v>
      </c>
      <c r="O15" s="250" t="s">
        <v>788</v>
      </c>
      <c r="Q15" s="6" t="s">
        <v>849</v>
      </c>
      <c r="R15" s="242">
        <v>0</v>
      </c>
      <c r="S15" s="288">
        <f>R15</f>
        <v>0</v>
      </c>
      <c r="T15" s="244">
        <f t="shared" si="0"/>
        <v>0</v>
      </c>
      <c r="U15" s="244"/>
      <c r="V15" s="244">
        <f>T15</f>
        <v>0</v>
      </c>
    </row>
    <row r="16" spans="1:23">
      <c r="A16" s="25">
        <f>G16/$C$2</f>
        <v>-16.788456477272728</v>
      </c>
      <c r="B16" s="26" t="s">
        <v>635</v>
      </c>
      <c r="C16" s="26" t="s">
        <v>633</v>
      </c>
      <c r="D16" s="26">
        <v>50</v>
      </c>
      <c r="E16" s="145">
        <f>群益海期報價!K16</f>
        <v>2466.5</v>
      </c>
      <c r="F16" s="112">
        <v>-745</v>
      </c>
      <c r="G16" s="112">
        <f>D16*E16*F16*O2</f>
        <v>-2770095318.75</v>
      </c>
      <c r="H16" s="145">
        <f>群益海期報價!H16</f>
        <v>2460.25</v>
      </c>
      <c r="I16" s="145">
        <f>群益海期報價!L16</f>
        <v>2460</v>
      </c>
      <c r="J16" s="145">
        <f>群益海期報價!N16</f>
        <v>2460.25</v>
      </c>
      <c r="K16" s="112" t="e">
        <f>IF(ISNUMBER(H16)=TRUE,H16*F16*D16,E16*F16*D16)*N2</f>
        <v>#REF!</v>
      </c>
      <c r="L16" s="112" t="e">
        <f>IF(ISNUMBER(I16)=TRUE,I16*F16*D16,E16*F16*D16)*N2</f>
        <v>#REF!</v>
      </c>
      <c r="M16" s="112" t="e">
        <f>IF(ISNUMBER(J16)=TRUE,J16*F16*D16,E16*F16*D16)*N2</f>
        <v>#REF!</v>
      </c>
      <c r="N16" s="91" t="e">
        <f>1.04%/365*(C4+SUM(K16:K18)-SUM(G16:G18))</f>
        <v>#REF!</v>
      </c>
      <c r="O16" s="98">
        <f>W25</f>
        <v>0.29669671332140024</v>
      </c>
      <c r="Q16" s="6" t="s">
        <v>850</v>
      </c>
      <c r="R16" s="242">
        <v>0</v>
      </c>
      <c r="S16" s="288">
        <f>R16</f>
        <v>0</v>
      </c>
      <c r="T16" s="244">
        <f t="shared" si="0"/>
        <v>0</v>
      </c>
      <c r="U16" s="244">
        <f>T16</f>
        <v>0</v>
      </c>
      <c r="V16" s="244"/>
    </row>
    <row r="17" spans="1:23">
      <c r="A17" s="25">
        <f>G17/$C$2</f>
        <v>0</v>
      </c>
      <c r="B17" s="26" t="s">
        <v>636</v>
      </c>
      <c r="C17" s="26" t="s">
        <v>634</v>
      </c>
      <c r="D17" s="26">
        <v>50</v>
      </c>
      <c r="E17" s="145">
        <f>群益海期報價!K17</f>
        <v>2464.75</v>
      </c>
      <c r="F17" s="112">
        <v>0</v>
      </c>
      <c r="G17" s="112">
        <f>D17*E17*F17*O2</f>
        <v>0</v>
      </c>
      <c r="H17" s="145">
        <f>群益海期報價!H17</f>
        <v>2458.5</v>
      </c>
      <c r="I17" s="145">
        <f>群益海期報價!L17</f>
        <v>2458.25</v>
      </c>
      <c r="J17" s="145">
        <f>群益海期報價!N17</f>
        <v>2458.5</v>
      </c>
      <c r="K17" s="112" t="e">
        <f>IF(ISNUMBER(H17)=TRUE,H17*F17*D17,E17*F17*D17)*N2</f>
        <v>#REF!</v>
      </c>
      <c r="L17" s="112" t="e">
        <f>IF(ISNUMBER(I17)=TRUE,I17*F17*D17,E17*F17*D17)*N2</f>
        <v>#REF!</v>
      </c>
      <c r="M17" s="112" t="e">
        <f>IF(ISNUMBER(J17)=TRUE,J17*F17*D17,E17*F17*D17)*N2</f>
        <v>#REF!</v>
      </c>
      <c r="N17" s="38"/>
      <c r="O17" s="38"/>
      <c r="Q17" s="6" t="s">
        <v>812</v>
      </c>
      <c r="R17" s="242">
        <v>0</v>
      </c>
      <c r="S17" s="288">
        <f>R17</f>
        <v>0</v>
      </c>
      <c r="T17" s="244">
        <f t="shared" si="0"/>
        <v>0</v>
      </c>
      <c r="U17" s="244"/>
      <c r="V17" s="244">
        <f>T17</f>
        <v>0</v>
      </c>
    </row>
    <row r="18" spans="1:23">
      <c r="A18" s="301"/>
      <c r="B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8"/>
      <c r="O18" s="38"/>
      <c r="Q18" s="276" t="s">
        <v>772</v>
      </c>
      <c r="R18" s="299">
        <v>0</v>
      </c>
      <c r="S18" s="299">
        <f>R18</f>
        <v>0</v>
      </c>
      <c r="T18" s="21">
        <f t="shared" si="0"/>
        <v>0</v>
      </c>
      <c r="U18" s="21"/>
      <c r="V18" s="21">
        <f>T18</f>
        <v>0</v>
      </c>
    </row>
    <row r="19" spans="1:23" ht="17.25" thickBot="1">
      <c r="Q19" s="6" t="s">
        <v>763</v>
      </c>
      <c r="R19" s="285"/>
      <c r="S19" s="285">
        <f>SUM(S11:S18)</f>
        <v>95250595.297999993</v>
      </c>
      <c r="T19" s="244">
        <f>SUM(T11:T18)</f>
        <v>1</v>
      </c>
      <c r="U19" s="244">
        <f>SUM(U11:U18)</f>
        <v>0.93208065545669261</v>
      </c>
      <c r="V19" s="244">
        <f>SUM(V11:V18)</f>
        <v>6.7919344543307433E-2</v>
      </c>
      <c r="W19" s="24">
        <f>U19+V19</f>
        <v>1</v>
      </c>
    </row>
    <row r="20" spans="1:23" ht="17.25" thickBot="1">
      <c r="A20" s="95" t="s">
        <v>446</v>
      </c>
      <c r="B20" s="154"/>
      <c r="G20" s="73"/>
      <c r="H20" s="73"/>
      <c r="I20" s="73"/>
      <c r="J20" s="73"/>
      <c r="K20" s="73"/>
      <c r="L20" s="73"/>
      <c r="M20" s="73"/>
      <c r="Q20" s="23"/>
      <c r="R20" s="23"/>
      <c r="S20" s="23"/>
      <c r="T20" s="23"/>
      <c r="U20" s="23"/>
      <c r="V20" s="23"/>
    </row>
    <row r="21" spans="1:23">
      <c r="A21" s="17" t="s">
        <v>319</v>
      </c>
      <c r="B21" s="18" t="s">
        <v>320</v>
      </c>
      <c r="C21" s="18" t="s">
        <v>231</v>
      </c>
      <c r="D21" s="18" t="s">
        <v>321</v>
      </c>
      <c r="E21" s="18" t="s">
        <v>322</v>
      </c>
      <c r="F21" s="18" t="s">
        <v>323</v>
      </c>
      <c r="G21" s="18" t="s">
        <v>324</v>
      </c>
      <c r="H21" s="18" t="s">
        <v>232</v>
      </c>
      <c r="I21" s="18" t="s">
        <v>325</v>
      </c>
      <c r="J21" s="18" t="s">
        <v>326</v>
      </c>
      <c r="K21" s="18" t="s">
        <v>327</v>
      </c>
      <c r="L21" s="18" t="s">
        <v>328</v>
      </c>
      <c r="M21" s="18" t="s">
        <v>329</v>
      </c>
      <c r="N21" s="250" t="s">
        <v>787</v>
      </c>
      <c r="O21" s="250" t="s">
        <v>788</v>
      </c>
    </row>
    <row r="22" spans="1:23">
      <c r="A22" s="25">
        <f>G22/$C$6</f>
        <v>0.73083832414022287</v>
      </c>
      <c r="B22" s="26" t="s">
        <v>635</v>
      </c>
      <c r="C22" s="26" t="s">
        <v>633</v>
      </c>
      <c r="D22" s="26">
        <v>50</v>
      </c>
      <c r="E22" s="145">
        <f>群益海期報價!K16</f>
        <v>2466.5</v>
      </c>
      <c r="F22" s="112">
        <v>860</v>
      </c>
      <c r="G22" s="93">
        <f>D22*E22*F22*$O$2</f>
        <v>3197693925</v>
      </c>
      <c r="H22" s="145">
        <f>群益海期報價!H16</f>
        <v>2460.25</v>
      </c>
      <c r="I22" s="145">
        <f>群益海期報價!L16</f>
        <v>2460</v>
      </c>
      <c r="J22" s="145">
        <f>群益海期報價!N16</f>
        <v>2460.25</v>
      </c>
      <c r="K22" s="93" t="e">
        <f>IF(ISNUMBER(H22)=TRUE,H22*F22*D22,E22*F22*D22)*$N$2</f>
        <v>#REF!</v>
      </c>
      <c r="L22" s="93" t="e">
        <f>IF(ISNUMBER(I22)=TRUE,I22*F22*D22,E22*F22*D22)*$N$2</f>
        <v>#REF!</v>
      </c>
      <c r="M22" s="96" t="e">
        <f>IF(ISNUMBER(J22)=TRUE,J22*F22*D22,E22*F22*D22)*$N$2</f>
        <v>#REF!</v>
      </c>
      <c r="N22" s="91" t="e">
        <f>1.04%/365*(C14+SUM(K22:K24)-SUM(G22:G24))</f>
        <v>#REF!</v>
      </c>
      <c r="O22" s="92">
        <f>W40</f>
        <v>0.99242660979824204</v>
      </c>
      <c r="Q22" s="241" t="s">
        <v>868</v>
      </c>
      <c r="R22" s="74">
        <v>2560631796</v>
      </c>
      <c r="V22" s="23"/>
    </row>
    <row r="23" spans="1:23" s="140" customFormat="1">
      <c r="A23" s="25">
        <f t="shared" ref="A23:A86" si="1">G23/$C$6</f>
        <v>0</v>
      </c>
      <c r="B23" s="26" t="s">
        <v>636</v>
      </c>
      <c r="C23" s="26" t="s">
        <v>634</v>
      </c>
      <c r="D23" s="85">
        <v>50</v>
      </c>
      <c r="E23" s="145">
        <f>群益海期報價!K17</f>
        <v>2464.75</v>
      </c>
      <c r="F23" s="112">
        <v>0</v>
      </c>
      <c r="G23" s="93">
        <f>D23*E23*F23*$O$2</f>
        <v>0</v>
      </c>
      <c r="H23" s="145">
        <f>群益海期報價!H17</f>
        <v>2458.5</v>
      </c>
      <c r="I23" s="145">
        <f>群益海期報價!L17</f>
        <v>2458.25</v>
      </c>
      <c r="J23" s="145">
        <f>群益海期報價!N17</f>
        <v>2458.5</v>
      </c>
      <c r="K23" s="93" t="e">
        <f t="shared" ref="K23:K86" si="2">IF(ISNUMBER(H23)=TRUE,H23*F23*D23,E23*F23*D23)*$N$2</f>
        <v>#REF!</v>
      </c>
      <c r="L23" s="93" t="e">
        <f t="shared" ref="L23:L86" si="3">IF(ISNUMBER(I23)=TRUE,I23*F23*D23,E23*F23*D23)*$N$2</f>
        <v>#REF!</v>
      </c>
      <c r="M23" s="96" t="e">
        <f t="shared" ref="M23:M86" si="4">IF(ISNUMBER(J23)=TRUE,J23*F23*D23,E23*F23*D23)*$N$2</f>
        <v>#REF!</v>
      </c>
      <c r="N23" s="297"/>
      <c r="O23" s="297"/>
      <c r="Q23" s="26" t="s">
        <v>753</v>
      </c>
      <c r="R23" s="26" t="s">
        <v>818</v>
      </c>
      <c r="S23" s="26" t="s">
        <v>779</v>
      </c>
      <c r="T23" s="26" t="s">
        <v>766</v>
      </c>
      <c r="U23" s="26" t="s">
        <v>767</v>
      </c>
      <c r="V23" s="26" t="s">
        <v>747</v>
      </c>
      <c r="W23" s="23"/>
    </row>
    <row r="24" spans="1:23" ht="18" customHeight="1">
      <c r="A24" s="25" t="e">
        <f t="shared" si="1"/>
        <v>#REF!</v>
      </c>
      <c r="B24" s="300" t="s">
        <v>1200</v>
      </c>
      <c r="C24" s="26" t="s">
        <v>870</v>
      </c>
      <c r="D24" s="26">
        <v>1</v>
      </c>
      <c r="E24" s="6" t="e">
        <f xml:space="preserve"> [1]!'A.US-PreClose'</f>
        <v>#REF!</v>
      </c>
      <c r="F24" s="112">
        <v>1384</v>
      </c>
      <c r="G24" s="74" t="e">
        <f>D24*E24*F24*$O$2</f>
        <v>#REF!</v>
      </c>
      <c r="H24" s="99" t="e">
        <f xml:space="preserve"> [1]!'A.US-Price'</f>
        <v>#REF!</v>
      </c>
      <c r="I24" s="99" t="e">
        <f xml:space="preserve"> [1]!'A.US-BestBid1'</f>
        <v>#REF!</v>
      </c>
      <c r="J24" s="99" t="e">
        <f xml:space="preserve"> [1]!'A.US-BestAsk1'</f>
        <v>#REF!</v>
      </c>
      <c r="K24" s="93" t="e">
        <f t="shared" si="2"/>
        <v>#REF!</v>
      </c>
      <c r="L24" s="93" t="e">
        <f t="shared" si="3"/>
        <v>#REF!</v>
      </c>
      <c r="M24" s="96" t="e">
        <f t="shared" si="4"/>
        <v>#REF!</v>
      </c>
      <c r="N24" s="297"/>
      <c r="O24" s="297"/>
      <c r="Q24" s="272" t="s">
        <v>749</v>
      </c>
      <c r="R24" s="273">
        <v>0</v>
      </c>
      <c r="S24" s="289"/>
      <c r="T24" s="274"/>
      <c r="U24" s="274"/>
      <c r="V24" s="274"/>
      <c r="W24" s="23" t="s">
        <v>851</v>
      </c>
    </row>
    <row r="25" spans="1:23">
      <c r="A25" s="25" t="e">
        <f t="shared" si="1"/>
        <v>#REF!</v>
      </c>
      <c r="B25" s="300" t="s">
        <v>1201</v>
      </c>
      <c r="C25" s="26" t="s">
        <v>871</v>
      </c>
      <c r="D25" s="26">
        <v>1</v>
      </c>
      <c r="E25" s="6" t="e">
        <f xml:space="preserve"> [1]!'AAL.US-PreClose'</f>
        <v>#REF!</v>
      </c>
      <c r="F25" s="6">
        <v>2098</v>
      </c>
      <c r="G25" s="74" t="e">
        <f t="shared" ref="G25:G88" si="5">D25*E25*F25*$O$2</f>
        <v>#REF!</v>
      </c>
      <c r="H25" s="6" t="e">
        <f xml:space="preserve"> [1]!'AAL.US-Price'</f>
        <v>#REF!</v>
      </c>
      <c r="I25" s="6" t="e">
        <f xml:space="preserve"> [1]!'AAL.US-BestBid1'</f>
        <v>#REF!</v>
      </c>
      <c r="J25" s="6" t="e">
        <f xml:space="preserve"> [1]!'AAL.US-BestAsk1'</f>
        <v>#REF!</v>
      </c>
      <c r="K25" s="93" t="e">
        <f t="shared" si="2"/>
        <v>#REF!</v>
      </c>
      <c r="L25" s="93" t="e">
        <f t="shared" si="3"/>
        <v>#REF!</v>
      </c>
      <c r="M25" s="96" t="e">
        <f t="shared" si="4"/>
        <v>#REF!</v>
      </c>
      <c r="Q25" s="275" t="s">
        <v>750</v>
      </c>
      <c r="R25" s="242">
        <v>0</v>
      </c>
      <c r="S25" s="287">
        <f>R25</f>
        <v>0</v>
      </c>
      <c r="T25" s="243">
        <f t="shared" ref="T25:T33" si="6">S25/$S$34</f>
        <v>0</v>
      </c>
      <c r="U25" s="243"/>
      <c r="V25" s="243">
        <f>T25</f>
        <v>0</v>
      </c>
      <c r="W25" s="24">
        <f>U26+U28+U30+U32</f>
        <v>0.29669671332140024</v>
      </c>
    </row>
    <row r="26" spans="1:23">
      <c r="A26" s="25" t="e">
        <f t="shared" si="1"/>
        <v>#REF!</v>
      </c>
      <c r="B26" s="300" t="s">
        <v>1202</v>
      </c>
      <c r="C26" s="26" t="s">
        <v>872</v>
      </c>
      <c r="D26" s="26">
        <v>1</v>
      </c>
      <c r="E26" s="6" t="e">
        <f xml:space="preserve"> [1]!'AAP.US-PreClose'</f>
        <v>#REF!</v>
      </c>
      <c r="F26" s="6">
        <v>318</v>
      </c>
      <c r="G26" s="74" t="e">
        <f t="shared" si="5"/>
        <v>#REF!</v>
      </c>
      <c r="H26" s="6" t="e">
        <f xml:space="preserve"> [1]!'AAP.US-Price'</f>
        <v>#REF!</v>
      </c>
      <c r="I26" s="6" t="e">
        <f xml:space="preserve"> [1]!'AAP.US-BestBid1'</f>
        <v>#REF!</v>
      </c>
      <c r="J26" s="6" t="e">
        <f xml:space="preserve"> [1]!'AAP.US-BestAsk1'</f>
        <v>#REF!</v>
      </c>
      <c r="K26" s="93" t="e">
        <f t="shared" si="2"/>
        <v>#REF!</v>
      </c>
      <c r="L26" s="93" t="e">
        <f t="shared" si="3"/>
        <v>#REF!</v>
      </c>
      <c r="M26" s="96" t="e">
        <f t="shared" si="4"/>
        <v>#REF!</v>
      </c>
      <c r="Q26" s="275" t="s">
        <v>770</v>
      </c>
      <c r="R26" s="242">
        <v>18707710.629999999</v>
      </c>
      <c r="S26" s="287">
        <f>R26*O2</f>
        <v>564037475.49449992</v>
      </c>
      <c r="T26" s="243">
        <f t="shared" si="6"/>
        <v>0.22010744234604895</v>
      </c>
      <c r="U26" s="243">
        <f>T26</f>
        <v>0.22010744234604895</v>
      </c>
      <c r="V26" s="243"/>
    </row>
    <row r="27" spans="1:23">
      <c r="A27" s="25" t="e">
        <f t="shared" si="1"/>
        <v>#REF!</v>
      </c>
      <c r="B27" s="300" t="s">
        <v>1203</v>
      </c>
      <c r="C27" s="26" t="s">
        <v>467</v>
      </c>
      <c r="D27" s="26">
        <v>1</v>
      </c>
      <c r="E27" s="6" t="e">
        <f xml:space="preserve"> [1]!'AAPL.US-PreClose'</f>
        <v>#REF!</v>
      </c>
      <c r="F27" s="6">
        <v>22243</v>
      </c>
      <c r="G27" s="74" t="e">
        <f t="shared" si="5"/>
        <v>#REF!</v>
      </c>
      <c r="H27" s="6" t="e">
        <f xml:space="preserve"> [1]!'AAPL.US-Price'</f>
        <v>#REF!</v>
      </c>
      <c r="I27" s="6" t="e">
        <f xml:space="preserve"> [1]!'AAPL.US-BestBid1'</f>
        <v>#REF!</v>
      </c>
      <c r="J27" s="6" t="e">
        <f xml:space="preserve"> [1]!'AAPL.US-BestAsk1'</f>
        <v>#REF!</v>
      </c>
      <c r="K27" s="93" t="e">
        <f t="shared" si="2"/>
        <v>#REF!</v>
      </c>
      <c r="L27" s="93" t="e">
        <f t="shared" si="3"/>
        <v>#REF!</v>
      </c>
      <c r="M27" s="96" t="e">
        <f t="shared" si="4"/>
        <v>#REF!</v>
      </c>
      <c r="Q27" s="6" t="s">
        <v>771</v>
      </c>
      <c r="R27" s="242">
        <v>1832428033</v>
      </c>
      <c r="S27" s="287">
        <f>R27</f>
        <v>1832428033</v>
      </c>
      <c r="T27" s="243">
        <f t="shared" si="6"/>
        <v>0.71507845692916971</v>
      </c>
      <c r="U27" s="244"/>
      <c r="V27" s="244">
        <f>T27</f>
        <v>0.71507845692916971</v>
      </c>
    </row>
    <row r="28" spans="1:23">
      <c r="A28" s="25" t="e">
        <f t="shared" si="1"/>
        <v>#VALUE!</v>
      </c>
      <c r="B28" s="300" t="s">
        <v>1204</v>
      </c>
      <c r="C28" s="26" t="s">
        <v>468</v>
      </c>
      <c r="D28" s="26">
        <v>1</v>
      </c>
      <c r="E28" s="6" t="str">
        <f xml:space="preserve"> [1]!'ABBV.US-PreClose'</f>
        <v>N/A</v>
      </c>
      <c r="F28" s="6">
        <v>6865</v>
      </c>
      <c r="G28" s="74" t="e">
        <f t="shared" si="5"/>
        <v>#VALUE!</v>
      </c>
      <c r="H28" s="6" t="str">
        <f xml:space="preserve"> [1]!'ABBV.US-Price'</f>
        <v>N/A</v>
      </c>
      <c r="I28" s="6" t="str">
        <f xml:space="preserve"> [1]!'ABBV.US-BestBid1'</f>
        <v>N/A</v>
      </c>
      <c r="J28" s="6" t="str">
        <f xml:space="preserve"> [1]!'ABBV.US-BestAsk1'</f>
        <v>N/A</v>
      </c>
      <c r="K28" s="93" t="e">
        <f t="shared" si="2"/>
        <v>#VALUE!</v>
      </c>
      <c r="L28" s="93" t="e">
        <f t="shared" si="3"/>
        <v>#VALUE!</v>
      </c>
      <c r="M28" s="96" t="e">
        <f t="shared" si="4"/>
        <v>#VALUE!</v>
      </c>
      <c r="Q28" s="6" t="s">
        <v>759</v>
      </c>
      <c r="R28" s="242">
        <v>6509593.2400000002</v>
      </c>
      <c r="S28" s="288">
        <f>R28*O2</f>
        <v>196264236.18599999</v>
      </c>
      <c r="T28" s="243">
        <f t="shared" si="6"/>
        <v>7.6589270975351315E-2</v>
      </c>
      <c r="U28" s="244">
        <f>T28</f>
        <v>7.6589270975351315E-2</v>
      </c>
      <c r="V28" s="244"/>
    </row>
    <row r="29" spans="1:23">
      <c r="A29" s="25" t="e">
        <f t="shared" si="1"/>
        <v>#REF!</v>
      </c>
      <c r="B29" s="300" t="s">
        <v>1205</v>
      </c>
      <c r="C29" s="26" t="s">
        <v>873</v>
      </c>
      <c r="D29" s="26">
        <v>1</v>
      </c>
      <c r="E29" s="6" t="e">
        <f xml:space="preserve"> [1]!'ABC.US-PreClose'</f>
        <v>#REF!</v>
      </c>
      <c r="F29" s="6">
        <v>717</v>
      </c>
      <c r="G29" s="74" t="e">
        <f t="shared" si="5"/>
        <v>#REF!</v>
      </c>
      <c r="H29" s="6" t="e">
        <f xml:space="preserve"> [1]!'ABC.US-Price'</f>
        <v>#REF!</v>
      </c>
      <c r="I29" s="6" t="e">
        <f xml:space="preserve"> [1]!'ABC.US-BestBid1'</f>
        <v>#REF!</v>
      </c>
      <c r="J29" s="6" t="e">
        <f xml:space="preserve"> [1]!'ABC.US-BestAsk1'</f>
        <v>#REF!</v>
      </c>
      <c r="K29" s="93" t="e">
        <f t="shared" si="2"/>
        <v>#REF!</v>
      </c>
      <c r="L29" s="93" t="e">
        <f t="shared" si="3"/>
        <v>#REF!</v>
      </c>
      <c r="M29" s="96" t="e">
        <f t="shared" si="4"/>
        <v>#REF!</v>
      </c>
      <c r="Q29" s="6" t="s">
        <v>814</v>
      </c>
      <c r="R29" s="242">
        <v>0</v>
      </c>
      <c r="S29" s="288">
        <f>R29</f>
        <v>0</v>
      </c>
      <c r="T29" s="243">
        <f t="shared" si="6"/>
        <v>0</v>
      </c>
      <c r="U29" s="244"/>
      <c r="V29" s="244">
        <f>T29</f>
        <v>0</v>
      </c>
    </row>
    <row r="30" spans="1:23">
      <c r="A30" s="25" t="e">
        <f t="shared" si="1"/>
        <v>#REF!</v>
      </c>
      <c r="B30" s="300" t="s">
        <v>1206</v>
      </c>
      <c r="C30" s="26" t="s">
        <v>874</v>
      </c>
      <c r="D30" s="26">
        <v>1</v>
      </c>
      <c r="E30" s="6" t="e">
        <f xml:space="preserve"> [1]!'ABT.US-PreClose'</f>
        <v>#REF!</v>
      </c>
      <c r="F30" s="6">
        <v>7482</v>
      </c>
      <c r="G30" s="74" t="e">
        <f t="shared" si="5"/>
        <v>#REF!</v>
      </c>
      <c r="H30" s="6" t="e">
        <f xml:space="preserve"> [1]!'ABT.US-Price'</f>
        <v>#REF!</v>
      </c>
      <c r="I30" s="6" t="e">
        <f xml:space="preserve"> [1]!'ABT.US-BestBid1'</f>
        <v>#REF!</v>
      </c>
      <c r="J30" s="6" t="e">
        <f xml:space="preserve"> [1]!'ABT.US-BestAsk1'</f>
        <v>#REF!</v>
      </c>
      <c r="K30" s="93" t="e">
        <f t="shared" si="2"/>
        <v>#REF!</v>
      </c>
      <c r="L30" s="93" t="e">
        <f t="shared" si="3"/>
        <v>#REF!</v>
      </c>
      <c r="M30" s="96" t="e">
        <f t="shared" si="4"/>
        <v>#REF!</v>
      </c>
      <c r="Q30" s="6" t="s">
        <v>815</v>
      </c>
      <c r="R30" s="242">
        <v>0</v>
      </c>
      <c r="S30" s="288">
        <f>R30*O2</f>
        <v>0</v>
      </c>
      <c r="T30" s="243">
        <f t="shared" si="6"/>
        <v>0</v>
      </c>
      <c r="U30" s="244">
        <f>T30</f>
        <v>0</v>
      </c>
      <c r="V30" s="244"/>
    </row>
    <row r="31" spans="1:23">
      <c r="A31" s="25" t="e">
        <f t="shared" si="1"/>
        <v>#REF!</v>
      </c>
      <c r="B31" s="300" t="s">
        <v>1207</v>
      </c>
      <c r="C31" s="26" t="s">
        <v>1706</v>
      </c>
      <c r="D31" s="26">
        <v>1</v>
      </c>
      <c r="E31" s="6" t="e">
        <f xml:space="preserve"> [1]!'ACN.US-PreClose'</f>
        <v>#REF!</v>
      </c>
      <c r="F31" s="6">
        <v>2661</v>
      </c>
      <c r="G31" s="74" t="e">
        <f t="shared" si="5"/>
        <v>#REF!</v>
      </c>
      <c r="H31" s="6" t="e">
        <f xml:space="preserve"> [1]!'ACN.US-Price'</f>
        <v>#REF!</v>
      </c>
      <c r="I31" s="6" t="e">
        <f xml:space="preserve"> [1]!'ACN.US-BestBid1'</f>
        <v>#REF!</v>
      </c>
      <c r="J31" s="6" t="e">
        <f xml:space="preserve"> [1]!'ACN.US-BestAsk1'</f>
        <v>#REF!</v>
      </c>
      <c r="K31" s="93" t="e">
        <f t="shared" si="2"/>
        <v>#REF!</v>
      </c>
      <c r="L31" s="93" t="e">
        <f t="shared" si="3"/>
        <v>#REF!</v>
      </c>
      <c r="M31" s="96" t="e">
        <f t="shared" si="4"/>
        <v>#REF!</v>
      </c>
      <c r="Q31" s="6" t="s">
        <v>812</v>
      </c>
      <c r="R31" s="242">
        <v>0</v>
      </c>
      <c r="S31" s="288">
        <f>R31</f>
        <v>0</v>
      </c>
      <c r="T31" s="243">
        <f t="shared" si="6"/>
        <v>0</v>
      </c>
      <c r="U31" s="244"/>
      <c r="V31" s="244">
        <f>T31</f>
        <v>0</v>
      </c>
    </row>
    <row r="32" spans="1:23">
      <c r="A32" s="25" t="e">
        <f t="shared" si="1"/>
        <v>#REF!</v>
      </c>
      <c r="B32" s="300" t="s">
        <v>1208</v>
      </c>
      <c r="C32" s="26" t="s">
        <v>1705</v>
      </c>
      <c r="D32" s="26">
        <v>1</v>
      </c>
      <c r="E32" s="6" t="e">
        <f xml:space="preserve"> [1]!'ADBE.US-PreClose'</f>
        <v>#REF!</v>
      </c>
      <c r="F32" s="6">
        <v>2125</v>
      </c>
      <c r="G32" s="74" t="e">
        <f t="shared" si="5"/>
        <v>#REF!</v>
      </c>
      <c r="H32" s="6" t="e">
        <f xml:space="preserve"> [1]!'ADBE.US-Price'</f>
        <v>#REF!</v>
      </c>
      <c r="I32" s="6" t="e">
        <f xml:space="preserve"> [1]!'ADBE.US-BestBid1'</f>
        <v>#REF!</v>
      </c>
      <c r="J32" s="6" t="e">
        <f xml:space="preserve"> [1]!'ADBE.US-BestAsk1'</f>
        <v>#REF!</v>
      </c>
      <c r="K32" s="93" t="e">
        <f t="shared" si="2"/>
        <v>#REF!</v>
      </c>
      <c r="L32" s="93" t="e">
        <f t="shared" si="3"/>
        <v>#REF!</v>
      </c>
      <c r="M32" s="96" t="e">
        <f t="shared" si="4"/>
        <v>#REF!</v>
      </c>
      <c r="Q32" s="6" t="s">
        <v>813</v>
      </c>
      <c r="R32" s="242">
        <v>0</v>
      </c>
      <c r="S32" s="242">
        <f>R32*O2</f>
        <v>0</v>
      </c>
      <c r="T32" s="243">
        <f t="shared" si="6"/>
        <v>0</v>
      </c>
      <c r="U32" s="244">
        <f>T32</f>
        <v>0</v>
      </c>
      <c r="V32" s="244"/>
    </row>
    <row r="33" spans="1:23">
      <c r="A33" s="25" t="e">
        <f t="shared" si="1"/>
        <v>#REF!</v>
      </c>
      <c r="B33" s="300" t="s">
        <v>1209</v>
      </c>
      <c r="C33" s="26" t="s">
        <v>875</v>
      </c>
      <c r="D33" s="26">
        <v>1</v>
      </c>
      <c r="E33" s="6" t="e">
        <f xml:space="preserve"> [1]!'ADI.US-PreClose'</f>
        <v>#REF!</v>
      </c>
      <c r="F33" s="6">
        <v>1583</v>
      </c>
      <c r="G33" s="74" t="e">
        <f t="shared" si="5"/>
        <v>#REF!</v>
      </c>
      <c r="H33" s="6" t="e">
        <f xml:space="preserve"> [1]!'ADI.US-Price'</f>
        <v>#REF!</v>
      </c>
      <c r="I33" s="6" t="e">
        <f xml:space="preserve"> [1]!'ADI.US-BestBid1'</f>
        <v>#REF!</v>
      </c>
      <c r="J33" s="6" t="e">
        <f xml:space="preserve"> [1]!'ADI.US-BestAsk1'</f>
        <v>#REF!</v>
      </c>
      <c r="K33" s="93" t="e">
        <f t="shared" si="2"/>
        <v>#REF!</v>
      </c>
      <c r="L33" s="93" t="e">
        <f t="shared" si="3"/>
        <v>#REF!</v>
      </c>
      <c r="M33" s="96" t="e">
        <f t="shared" si="4"/>
        <v>#REF!</v>
      </c>
      <c r="Q33" s="276" t="s">
        <v>772</v>
      </c>
      <c r="R33" s="242">
        <v>-30174524</v>
      </c>
      <c r="S33" s="242">
        <f>R33</f>
        <v>-30174524</v>
      </c>
      <c r="T33" s="243">
        <f t="shared" si="6"/>
        <v>-1.1775170250570052E-2</v>
      </c>
      <c r="U33" s="244"/>
      <c r="V33" s="244">
        <f>T33</f>
        <v>-1.1775170250570052E-2</v>
      </c>
    </row>
    <row r="34" spans="1:23">
      <c r="A34" s="25" t="e">
        <f t="shared" si="1"/>
        <v>#VALUE!</v>
      </c>
      <c r="B34" s="300" t="s">
        <v>1210</v>
      </c>
      <c r="C34" s="26" t="s">
        <v>876</v>
      </c>
      <c r="D34" s="26">
        <v>1</v>
      </c>
      <c r="E34" s="6" t="str">
        <f xml:space="preserve"> [1]!'ADM.US-PreClose'</f>
        <v>N/A</v>
      </c>
      <c r="F34" s="6">
        <v>2423</v>
      </c>
      <c r="G34" s="74" t="e">
        <f t="shared" si="5"/>
        <v>#VALUE!</v>
      </c>
      <c r="H34" s="6" t="str">
        <f xml:space="preserve"> [1]!'ADM.US-Price'</f>
        <v>N/A</v>
      </c>
      <c r="I34" s="6" t="str">
        <f xml:space="preserve"> [1]!'ADM.US-BestBid1'</f>
        <v>N/A</v>
      </c>
      <c r="J34" s="6" t="str">
        <f xml:space="preserve"> [1]!'ADM.US-BestAsk1'</f>
        <v>N/A</v>
      </c>
      <c r="K34" s="93" t="e">
        <f t="shared" si="2"/>
        <v>#VALUE!</v>
      </c>
      <c r="L34" s="93" t="e">
        <f t="shared" si="3"/>
        <v>#VALUE!</v>
      </c>
      <c r="M34" s="96" t="e">
        <f t="shared" si="4"/>
        <v>#VALUE!</v>
      </c>
      <c r="Q34" s="6" t="s">
        <v>763</v>
      </c>
      <c r="R34" s="285"/>
      <c r="S34" s="285">
        <f>SUM(S25:S33)</f>
        <v>2562555220.6805</v>
      </c>
      <c r="T34" s="284">
        <f>SUM(T25:T33)</f>
        <v>0.99999999999999989</v>
      </c>
      <c r="U34" s="244">
        <f>SUM(U25:U33)</f>
        <v>0.29669671332140024</v>
      </c>
      <c r="V34" s="244">
        <f>SUM(V25:V33)</f>
        <v>0.70330328667859965</v>
      </c>
      <c r="W34" s="24">
        <f>U34+V34</f>
        <v>0.99999999999999989</v>
      </c>
    </row>
    <row r="35" spans="1:23">
      <c r="A35" s="25" t="e">
        <f t="shared" si="1"/>
        <v>#REF!</v>
      </c>
      <c r="B35" s="300" t="s">
        <v>1211</v>
      </c>
      <c r="C35" s="26" t="s">
        <v>877</v>
      </c>
      <c r="D35" s="26">
        <v>1</v>
      </c>
      <c r="E35" s="6" t="e">
        <f xml:space="preserve"> [1]!'ADP.US-PreClose'</f>
        <v>#REF!</v>
      </c>
      <c r="F35" s="6">
        <v>1914</v>
      </c>
      <c r="G35" s="74" t="e">
        <f t="shared" si="5"/>
        <v>#REF!</v>
      </c>
      <c r="H35" s="6" t="e">
        <f xml:space="preserve"> [1]!'ADP.US-Price'</f>
        <v>#REF!</v>
      </c>
      <c r="I35" s="6" t="e">
        <f xml:space="preserve"> [1]!'ADP.US-BestBid1'</f>
        <v>#REF!</v>
      </c>
      <c r="J35" s="6" t="e">
        <f xml:space="preserve"> [1]!'ADP.US-BestAsk1'</f>
        <v>#REF!</v>
      </c>
      <c r="K35" s="93" t="e">
        <f t="shared" si="2"/>
        <v>#REF!</v>
      </c>
      <c r="L35" s="93" t="e">
        <f t="shared" si="3"/>
        <v>#REF!</v>
      </c>
      <c r="M35" s="96" t="e">
        <f t="shared" si="4"/>
        <v>#REF!</v>
      </c>
    </row>
    <row r="36" spans="1:23">
      <c r="A36" s="25" t="e">
        <f t="shared" si="1"/>
        <v>#REF!</v>
      </c>
      <c r="B36" s="300" t="s">
        <v>1212</v>
      </c>
      <c r="C36" s="26" t="s">
        <v>878</v>
      </c>
      <c r="D36" s="26">
        <v>1</v>
      </c>
      <c r="E36" s="6" t="e">
        <f xml:space="preserve"> [1]!'ADS.US-PreClose'</f>
        <v>#REF!</v>
      </c>
      <c r="F36" s="6">
        <v>239</v>
      </c>
      <c r="G36" s="74" t="e">
        <f t="shared" si="5"/>
        <v>#REF!</v>
      </c>
      <c r="H36" s="6" t="e">
        <f xml:space="preserve"> [1]!'ADS.US-Price'</f>
        <v>#REF!</v>
      </c>
      <c r="I36" s="6" t="e">
        <f xml:space="preserve"> [1]!'ADS.US-BestBid1'</f>
        <v>#REF!</v>
      </c>
      <c r="J36" s="6" t="e">
        <f xml:space="preserve"> [1]!'ADS.US-BestAsk1'</f>
        <v>#REF!</v>
      </c>
      <c r="K36" s="93" t="e">
        <f t="shared" si="2"/>
        <v>#REF!</v>
      </c>
      <c r="L36" s="93" t="e">
        <f t="shared" si="3"/>
        <v>#REF!</v>
      </c>
      <c r="M36" s="96" t="e">
        <f t="shared" si="4"/>
        <v>#REF!</v>
      </c>
    </row>
    <row r="37" spans="1:23">
      <c r="A37" s="25" t="e">
        <f t="shared" si="1"/>
        <v>#REF!</v>
      </c>
      <c r="B37" s="300" t="s">
        <v>1213</v>
      </c>
      <c r="C37" s="26" t="s">
        <v>469</v>
      </c>
      <c r="D37" s="26">
        <v>1</v>
      </c>
      <c r="E37" s="6" t="e">
        <f xml:space="preserve"> [1]!'ADSK.US-PreClose'</f>
        <v>#REF!</v>
      </c>
      <c r="F37" s="6">
        <v>831</v>
      </c>
      <c r="G37" s="74" t="e">
        <f t="shared" si="5"/>
        <v>#REF!</v>
      </c>
      <c r="H37" s="6" t="e">
        <f xml:space="preserve"> [1]!'ADSK.US-Price'</f>
        <v>#REF!</v>
      </c>
      <c r="I37" s="6" t="e">
        <f xml:space="preserve"> [1]!'ADSK.US-BestBid1'</f>
        <v>#REF!</v>
      </c>
      <c r="J37" s="6" t="e">
        <f xml:space="preserve"> [1]!'ADSK.US-BestAsk1'</f>
        <v>#REF!</v>
      </c>
      <c r="K37" s="93" t="e">
        <f t="shared" si="2"/>
        <v>#REF!</v>
      </c>
      <c r="L37" s="93" t="e">
        <f t="shared" si="3"/>
        <v>#REF!</v>
      </c>
      <c r="M37" s="96" t="e">
        <f t="shared" si="4"/>
        <v>#REF!</v>
      </c>
      <c r="Q37" s="241" t="s">
        <v>866</v>
      </c>
      <c r="R37" s="74">
        <v>2894725430</v>
      </c>
      <c r="V37" s="23"/>
    </row>
    <row r="38" spans="1:23">
      <c r="A38" s="25" t="e">
        <f t="shared" si="1"/>
        <v>#REF!</v>
      </c>
      <c r="B38" s="300" t="s">
        <v>1214</v>
      </c>
      <c r="C38" s="26" t="s">
        <v>879</v>
      </c>
      <c r="D38" s="26">
        <v>1</v>
      </c>
      <c r="E38" s="6" t="e">
        <f xml:space="preserve"> [1]!'AEE.US-PreClose'</f>
        <v>#REF!</v>
      </c>
      <c r="F38" s="6">
        <v>1045</v>
      </c>
      <c r="G38" s="74" t="e">
        <f t="shared" si="5"/>
        <v>#REF!</v>
      </c>
      <c r="H38" s="6" t="e">
        <f xml:space="preserve"> [1]!'AEE.US-Price'</f>
        <v>#REF!</v>
      </c>
      <c r="I38" s="6" t="e">
        <f xml:space="preserve"> [1]!'AEE.US-BestBid1'</f>
        <v>#REF!</v>
      </c>
      <c r="J38" s="6" t="e">
        <f xml:space="preserve"> [1]!'AEE.US-BestAsk1'</f>
        <v>#REF!</v>
      </c>
      <c r="K38" s="93" t="e">
        <f t="shared" si="2"/>
        <v>#REF!</v>
      </c>
      <c r="L38" s="93" t="e">
        <f t="shared" si="3"/>
        <v>#REF!</v>
      </c>
      <c r="M38" s="96" t="e">
        <f t="shared" si="4"/>
        <v>#REF!</v>
      </c>
      <c r="Q38" s="26" t="s">
        <v>773</v>
      </c>
      <c r="R38" s="26" t="s">
        <v>817</v>
      </c>
      <c r="S38" s="26" t="s">
        <v>765</v>
      </c>
      <c r="T38" s="26" t="s">
        <v>766</v>
      </c>
      <c r="U38" s="26" t="s">
        <v>852</v>
      </c>
      <c r="V38" s="26" t="s">
        <v>747</v>
      </c>
    </row>
    <row r="39" spans="1:23">
      <c r="A39" s="25" t="e">
        <f t="shared" si="1"/>
        <v>#REF!</v>
      </c>
      <c r="B39" s="300" t="s">
        <v>1215</v>
      </c>
      <c r="C39" s="26" t="s">
        <v>880</v>
      </c>
      <c r="D39" s="26">
        <v>1</v>
      </c>
      <c r="E39" s="6" t="e">
        <f xml:space="preserve"> [1]!'AEP.US-PreClose'</f>
        <v>#REF!</v>
      </c>
      <c r="F39" s="6">
        <v>2118</v>
      </c>
      <c r="G39" s="74" t="e">
        <f t="shared" si="5"/>
        <v>#REF!</v>
      </c>
      <c r="H39" s="6" t="e">
        <f xml:space="preserve"> [1]!'AEP.US-Price'</f>
        <v>#REF!</v>
      </c>
      <c r="I39" s="6" t="e">
        <f xml:space="preserve"> [1]!'AEP.US-BestBid1'</f>
        <v>#REF!</v>
      </c>
      <c r="J39" s="6" t="e">
        <f xml:space="preserve"> [1]!'AEP.US-BestAsk1'</f>
        <v>#REF!</v>
      </c>
      <c r="K39" s="93" t="e">
        <f t="shared" si="2"/>
        <v>#REF!</v>
      </c>
      <c r="L39" s="93" t="e">
        <f t="shared" si="3"/>
        <v>#REF!</v>
      </c>
      <c r="M39" s="96" t="e">
        <f t="shared" si="4"/>
        <v>#REF!</v>
      </c>
      <c r="Q39" s="272" t="s">
        <v>748</v>
      </c>
      <c r="R39" s="273">
        <v>0</v>
      </c>
      <c r="S39" s="289"/>
      <c r="T39" s="274"/>
      <c r="U39" s="274"/>
      <c r="V39" s="274"/>
      <c r="W39" s="23" t="s">
        <v>851</v>
      </c>
    </row>
    <row r="40" spans="1:23">
      <c r="A40" s="25" t="e">
        <f t="shared" si="1"/>
        <v>#REF!</v>
      </c>
      <c r="B40" s="300" t="s">
        <v>1216</v>
      </c>
      <c r="C40" s="26" t="s">
        <v>881</v>
      </c>
      <c r="D40" s="26">
        <v>1</v>
      </c>
      <c r="E40" s="6" t="e">
        <f xml:space="preserve"> [1]!'AES.US-PreClose'</f>
        <v>#REF!</v>
      </c>
      <c r="F40" s="6">
        <v>2843</v>
      </c>
      <c r="G40" s="74" t="e">
        <f t="shared" si="5"/>
        <v>#REF!</v>
      </c>
      <c r="H40" s="6" t="e">
        <f xml:space="preserve"> [1]!'AES.US-Price'</f>
        <v>#REF!</v>
      </c>
      <c r="I40" s="6" t="e">
        <f xml:space="preserve"> [1]!'AES.US-BestBid1'</f>
        <v>#REF!</v>
      </c>
      <c r="J40" s="6" t="e">
        <f xml:space="preserve"> [1]!'AES.US-BestAsk1'</f>
        <v>#REF!</v>
      </c>
      <c r="K40" s="93" t="e">
        <f t="shared" si="2"/>
        <v>#REF!</v>
      </c>
      <c r="L40" s="93" t="e">
        <f t="shared" si="3"/>
        <v>#REF!</v>
      </c>
      <c r="M40" s="96" t="e">
        <f t="shared" si="4"/>
        <v>#REF!</v>
      </c>
      <c r="Q40" s="275" t="s">
        <v>758</v>
      </c>
      <c r="R40" s="242">
        <v>0</v>
      </c>
      <c r="S40" s="287">
        <f>R40</f>
        <v>0</v>
      </c>
      <c r="T40" s="243">
        <f t="shared" ref="T40:T49" si="7">S40/$S$50</f>
        <v>0</v>
      </c>
      <c r="U40" s="243"/>
      <c r="V40" s="243">
        <f>T40</f>
        <v>0</v>
      </c>
      <c r="W40" s="24">
        <f>U41+U43+U45+U47+U48</f>
        <v>0.99242660979824204</v>
      </c>
    </row>
    <row r="41" spans="1:23">
      <c r="A41" s="25" t="e">
        <f t="shared" si="1"/>
        <v>#REF!</v>
      </c>
      <c r="B41" s="300" t="s">
        <v>1217</v>
      </c>
      <c r="C41" s="26" t="s">
        <v>882</v>
      </c>
      <c r="D41" s="26">
        <v>1</v>
      </c>
      <c r="E41" s="6" t="e">
        <f xml:space="preserve"> [1]!'AET.US-PreClose'</f>
        <v>#REF!</v>
      </c>
      <c r="F41" s="6">
        <v>1428</v>
      </c>
      <c r="G41" s="74" t="e">
        <f t="shared" si="5"/>
        <v>#REF!</v>
      </c>
      <c r="H41" s="6" t="e">
        <f xml:space="preserve"> [1]!'AET.US-Price'</f>
        <v>#REF!</v>
      </c>
      <c r="I41" s="6" t="e">
        <f xml:space="preserve"> [1]!'AET.US-BestBid1'</f>
        <v>#REF!</v>
      </c>
      <c r="J41" s="6" t="e">
        <f xml:space="preserve"> [1]!'AET.US-BestAsk1'</f>
        <v>#REF!</v>
      </c>
      <c r="K41" s="93" t="e">
        <f t="shared" si="2"/>
        <v>#REF!</v>
      </c>
      <c r="L41" s="93" t="e">
        <f t="shared" si="3"/>
        <v>#REF!</v>
      </c>
      <c r="M41" s="96" t="e">
        <f t="shared" si="4"/>
        <v>#REF!</v>
      </c>
      <c r="Q41" s="275" t="s">
        <v>770</v>
      </c>
      <c r="R41" s="242">
        <v>957956.14</v>
      </c>
      <c r="S41" s="287">
        <f>R41*O2</f>
        <v>28882377.620999999</v>
      </c>
      <c r="T41" s="243">
        <f t="shared" si="7"/>
        <v>9.9811124069436527E-3</v>
      </c>
      <c r="U41" s="243">
        <f>T41</f>
        <v>9.9811124069436527E-3</v>
      </c>
      <c r="V41" s="243"/>
    </row>
    <row r="42" spans="1:23">
      <c r="A42" s="25" t="e">
        <f t="shared" si="1"/>
        <v>#REF!</v>
      </c>
      <c r="B42" s="300" t="s">
        <v>1218</v>
      </c>
      <c r="C42" s="26" t="s">
        <v>883</v>
      </c>
      <c r="D42" s="26">
        <v>1</v>
      </c>
      <c r="E42" s="6" t="e">
        <f xml:space="preserve"> [1]!'AFL.US-PreClose'</f>
        <v>#REF!</v>
      </c>
      <c r="F42" s="6">
        <v>1702</v>
      </c>
      <c r="G42" s="74" t="e">
        <f t="shared" si="5"/>
        <v>#REF!</v>
      </c>
      <c r="H42" s="6" t="e">
        <f xml:space="preserve"> [1]!'AFL.US-Price'</f>
        <v>#REF!</v>
      </c>
      <c r="I42" s="6" t="e">
        <f xml:space="preserve"> [1]!'AFL.US-BestBid1'</f>
        <v>#REF!</v>
      </c>
      <c r="J42" s="6" t="e">
        <f xml:space="preserve"> [1]!'AFL.US-BestAsk1'</f>
        <v>#REF!</v>
      </c>
      <c r="K42" s="93" t="e">
        <f t="shared" si="2"/>
        <v>#REF!</v>
      </c>
      <c r="L42" s="93" t="e">
        <f t="shared" si="3"/>
        <v>#REF!</v>
      </c>
      <c r="M42" s="96" t="e">
        <f t="shared" si="4"/>
        <v>#REF!</v>
      </c>
      <c r="Q42" s="6" t="s">
        <v>751</v>
      </c>
      <c r="R42" s="242">
        <v>21915144</v>
      </c>
      <c r="S42" s="287">
        <f>R42</f>
        <v>21915144</v>
      </c>
      <c r="T42" s="243">
        <f t="shared" si="7"/>
        <v>7.573390201758028E-3</v>
      </c>
      <c r="U42" s="244"/>
      <c r="V42" s="244">
        <f>T42</f>
        <v>7.573390201758028E-3</v>
      </c>
    </row>
    <row r="43" spans="1:23">
      <c r="A43" s="25" t="e">
        <f t="shared" si="1"/>
        <v>#REF!</v>
      </c>
      <c r="B43" s="300" t="s">
        <v>1219</v>
      </c>
      <c r="C43" s="26" t="s">
        <v>884</v>
      </c>
      <c r="D43" s="26">
        <v>1</v>
      </c>
      <c r="E43" s="6" t="e">
        <f xml:space="preserve"> [1]!'AGN.US-PreClose'</f>
        <v>#REF!</v>
      </c>
      <c r="F43" s="6">
        <v>1440</v>
      </c>
      <c r="G43" s="74" t="e">
        <f t="shared" si="5"/>
        <v>#REF!</v>
      </c>
      <c r="H43" s="6" t="e">
        <f xml:space="preserve"> [1]!'AGN.US-Price'</f>
        <v>#REF!</v>
      </c>
      <c r="I43" s="6" t="e">
        <f xml:space="preserve"> [1]!'AGN.US-BestBid1'</f>
        <v>#REF!</v>
      </c>
      <c r="J43" s="6" t="e">
        <f xml:space="preserve"> [1]!'AGN.US-BestAsk1'</f>
        <v>#REF!</v>
      </c>
      <c r="K43" s="93" t="e">
        <f t="shared" si="2"/>
        <v>#REF!</v>
      </c>
      <c r="L43" s="93" t="e">
        <f t="shared" si="3"/>
        <v>#REF!</v>
      </c>
      <c r="M43" s="96" t="e">
        <f t="shared" si="4"/>
        <v>#REF!</v>
      </c>
      <c r="Q43" s="6" t="s">
        <v>780</v>
      </c>
      <c r="R43" s="242">
        <v>1910576.4</v>
      </c>
      <c r="S43" s="288">
        <f>R43*O2</f>
        <v>57603878.459999993</v>
      </c>
      <c r="T43" s="243">
        <f t="shared" si="7"/>
        <v>1.9906629347825607E-2</v>
      </c>
      <c r="U43" s="244">
        <f>T43</f>
        <v>1.9906629347825607E-2</v>
      </c>
      <c r="V43" s="244"/>
    </row>
    <row r="44" spans="1:23">
      <c r="A44" s="25" t="e">
        <f t="shared" si="1"/>
        <v>#REF!</v>
      </c>
      <c r="B44" s="300" t="s">
        <v>1220</v>
      </c>
      <c r="C44" s="26" t="s">
        <v>885</v>
      </c>
      <c r="D44" s="26">
        <v>1</v>
      </c>
      <c r="E44" s="6" t="e">
        <f xml:space="preserve"> [1]!'AIG.US-PreClose'</f>
        <v>#REF!</v>
      </c>
      <c r="F44" s="6">
        <v>3696</v>
      </c>
      <c r="G44" s="74" t="e">
        <f t="shared" si="5"/>
        <v>#REF!</v>
      </c>
      <c r="H44" s="6" t="e">
        <f xml:space="preserve"> [1]!'AIG.US-Price'</f>
        <v>#REF!</v>
      </c>
      <c r="I44" s="6" t="e">
        <f xml:space="preserve"> [1]!'AIG.US-BestBid1'</f>
        <v>#REF!</v>
      </c>
      <c r="J44" s="6" t="e">
        <f xml:space="preserve"> [1]!'AIG.US-BestAsk1'</f>
        <v>#REF!</v>
      </c>
      <c r="K44" s="93" t="e">
        <f t="shared" si="2"/>
        <v>#REF!</v>
      </c>
      <c r="L44" s="93" t="e">
        <f t="shared" si="3"/>
        <v>#REF!</v>
      </c>
      <c r="M44" s="96" t="e">
        <f t="shared" si="4"/>
        <v>#REF!</v>
      </c>
      <c r="Q44" s="6" t="s">
        <v>814</v>
      </c>
      <c r="R44" s="242">
        <v>0</v>
      </c>
      <c r="S44" s="288">
        <f>R44</f>
        <v>0</v>
      </c>
      <c r="T44" s="243">
        <f t="shared" si="7"/>
        <v>0</v>
      </c>
      <c r="U44" s="244"/>
      <c r="V44" s="244">
        <f>T44</f>
        <v>0</v>
      </c>
    </row>
    <row r="45" spans="1:23">
      <c r="A45" s="25" t="e">
        <f t="shared" si="1"/>
        <v>#REF!</v>
      </c>
      <c r="B45" s="300" t="s">
        <v>1221</v>
      </c>
      <c r="C45" s="26" t="s">
        <v>886</v>
      </c>
      <c r="D45" s="26">
        <v>1</v>
      </c>
      <c r="E45" s="6" t="e">
        <f xml:space="preserve"> [1]!'AIV.US-PreClose'</f>
        <v>#REF!</v>
      </c>
      <c r="F45" s="6">
        <v>676</v>
      </c>
      <c r="G45" s="74" t="e">
        <f t="shared" si="5"/>
        <v>#REF!</v>
      </c>
      <c r="H45" s="6" t="e">
        <f xml:space="preserve"> [1]!'AIV.US-Price'</f>
        <v>#REF!</v>
      </c>
      <c r="I45" s="6" t="e">
        <f xml:space="preserve"> [1]!'AIV.US-BestBid1'</f>
        <v>#REF!</v>
      </c>
      <c r="J45" s="6" t="e">
        <f xml:space="preserve"> [1]!'AIV.US-BestAsk1'</f>
        <v>#REF!</v>
      </c>
      <c r="K45" s="93" t="e">
        <f t="shared" si="2"/>
        <v>#REF!</v>
      </c>
      <c r="L45" s="93" t="e">
        <f t="shared" si="3"/>
        <v>#REF!</v>
      </c>
      <c r="M45" s="96" t="e">
        <f t="shared" si="4"/>
        <v>#REF!</v>
      </c>
      <c r="Q45" s="6" t="s">
        <v>815</v>
      </c>
      <c r="R45" s="242">
        <v>0</v>
      </c>
      <c r="S45" s="288">
        <f>R45*O2</f>
        <v>0</v>
      </c>
      <c r="T45" s="243">
        <f t="shared" si="7"/>
        <v>0</v>
      </c>
      <c r="U45" s="244">
        <f>T45</f>
        <v>0</v>
      </c>
      <c r="V45" s="244"/>
    </row>
    <row r="46" spans="1:23">
      <c r="A46" s="25" t="e">
        <f t="shared" si="1"/>
        <v>#REF!</v>
      </c>
      <c r="B46" s="300" t="s">
        <v>1222</v>
      </c>
      <c r="C46" s="26" t="s">
        <v>887</v>
      </c>
      <c r="D46" s="26">
        <v>1</v>
      </c>
      <c r="E46" s="6" t="e">
        <f xml:space="preserve"> [1]!'AIZ.US-PreClose'</f>
        <v>#REF!</v>
      </c>
      <c r="F46" s="6">
        <v>233</v>
      </c>
      <c r="G46" s="74" t="e">
        <f t="shared" si="5"/>
        <v>#REF!</v>
      </c>
      <c r="H46" s="6" t="e">
        <f xml:space="preserve"> [1]!'AIZ.US-Price'</f>
        <v>#REF!</v>
      </c>
      <c r="I46" s="6" t="e">
        <f xml:space="preserve"> [1]!'AIZ.US-BestBid1'</f>
        <v>#REF!</v>
      </c>
      <c r="J46" s="6" t="e">
        <f xml:space="preserve"> [1]!'AIZ.US-BestAsk1'</f>
        <v>#REF!</v>
      </c>
      <c r="K46" s="93" t="e">
        <f t="shared" si="2"/>
        <v>#REF!</v>
      </c>
      <c r="L46" s="93" t="e">
        <f t="shared" si="3"/>
        <v>#REF!</v>
      </c>
      <c r="M46" s="96" t="e">
        <f t="shared" si="4"/>
        <v>#REF!</v>
      </c>
      <c r="Q46" s="6" t="s">
        <v>812</v>
      </c>
      <c r="R46" s="242">
        <v>0</v>
      </c>
      <c r="S46" s="288">
        <f>R46</f>
        <v>0</v>
      </c>
      <c r="T46" s="243">
        <f t="shared" si="7"/>
        <v>0</v>
      </c>
      <c r="U46" s="244"/>
      <c r="V46" s="244">
        <f>T46</f>
        <v>0</v>
      </c>
    </row>
    <row r="47" spans="1:23">
      <c r="A47" s="25" t="e">
        <f t="shared" si="1"/>
        <v>#REF!</v>
      </c>
      <c r="B47" s="300" t="s">
        <v>1223</v>
      </c>
      <c r="C47" s="26" t="s">
        <v>888</v>
      </c>
      <c r="D47" s="26">
        <v>1</v>
      </c>
      <c r="E47" s="6" t="e">
        <f xml:space="preserve"> [1]!'AJG.US-PreClose'</f>
        <v>#REF!</v>
      </c>
      <c r="F47" s="6">
        <v>776</v>
      </c>
      <c r="G47" s="74" t="e">
        <f t="shared" si="5"/>
        <v>#REF!</v>
      </c>
      <c r="H47" s="6" t="e">
        <f xml:space="preserve"> [1]!'AJG.US-Price'</f>
        <v>#REF!</v>
      </c>
      <c r="I47" s="6" t="e">
        <f xml:space="preserve"> [1]!'AJG.US-BestBid1'</f>
        <v>#REF!</v>
      </c>
      <c r="J47" s="6" t="e">
        <f xml:space="preserve"> [1]!'AJG.US-BestAsk1'</f>
        <v>#REF!</v>
      </c>
      <c r="K47" s="93" t="e">
        <f t="shared" si="2"/>
        <v>#REF!</v>
      </c>
      <c r="L47" s="93" t="e">
        <f t="shared" si="3"/>
        <v>#REF!</v>
      </c>
      <c r="M47" s="96" t="e">
        <f t="shared" si="4"/>
        <v>#REF!</v>
      </c>
      <c r="Q47" s="6" t="s">
        <v>813</v>
      </c>
      <c r="R47" s="242">
        <v>0</v>
      </c>
      <c r="S47" s="242">
        <f>R47*O2</f>
        <v>0</v>
      </c>
      <c r="T47" s="243">
        <f t="shared" si="7"/>
        <v>0</v>
      </c>
      <c r="U47" s="244">
        <f>T47</f>
        <v>0</v>
      </c>
      <c r="V47" s="244"/>
    </row>
    <row r="48" spans="1:23">
      <c r="A48" s="25" t="e">
        <f t="shared" si="1"/>
        <v>#REF!</v>
      </c>
      <c r="B48" s="300" t="s">
        <v>1224</v>
      </c>
      <c r="C48" s="26" t="s">
        <v>470</v>
      </c>
      <c r="D48" s="26">
        <v>1</v>
      </c>
      <c r="E48" s="6" t="e">
        <f xml:space="preserve"> [1]!'AKAM.US-PreClose'</f>
        <v>#REF!</v>
      </c>
      <c r="F48" s="6">
        <v>738</v>
      </c>
      <c r="G48" s="74" t="e">
        <f t="shared" si="5"/>
        <v>#REF!</v>
      </c>
      <c r="H48" s="6" t="e">
        <f xml:space="preserve"> [1]!'AKAM.US-Price'</f>
        <v>#REF!</v>
      </c>
      <c r="I48" s="6" t="e">
        <f xml:space="preserve"> [1]!'AKAM.US-BestBid1'</f>
        <v>#REF!</v>
      </c>
      <c r="J48" s="6" t="e">
        <f xml:space="preserve"> [1]!'AKAM.US-BestAsk1'</f>
        <v>#REF!</v>
      </c>
      <c r="K48" s="93" t="e">
        <f t="shared" si="2"/>
        <v>#REF!</v>
      </c>
      <c r="L48" s="93" t="e">
        <f t="shared" si="3"/>
        <v>#REF!</v>
      </c>
      <c r="M48" s="96" t="e">
        <f t="shared" si="4"/>
        <v>#REF!</v>
      </c>
      <c r="Q48" s="6" t="s">
        <v>869</v>
      </c>
      <c r="R48" s="242">
        <f>S48/O2</f>
        <v>92381488.258706465</v>
      </c>
      <c r="S48" s="242">
        <v>2785301871</v>
      </c>
      <c r="T48" s="243">
        <f t="shared" si="7"/>
        <v>0.96253886804347277</v>
      </c>
      <c r="U48" s="244">
        <f>T48</f>
        <v>0.96253886804347277</v>
      </c>
      <c r="V48" s="244"/>
    </row>
    <row r="49" spans="1:23">
      <c r="A49" s="25" t="e">
        <f t="shared" si="1"/>
        <v>#REF!</v>
      </c>
      <c r="B49" s="300" t="s">
        <v>1225</v>
      </c>
      <c r="C49" s="26" t="s">
        <v>889</v>
      </c>
      <c r="D49" s="26">
        <v>1</v>
      </c>
      <c r="E49" s="6" t="e">
        <f xml:space="preserve"> [1]!'ALB.US-PreClose'</f>
        <v>#REF!</v>
      </c>
      <c r="F49" s="6">
        <v>476</v>
      </c>
      <c r="G49" s="74" t="e">
        <f t="shared" si="5"/>
        <v>#REF!</v>
      </c>
      <c r="H49" s="6" t="e">
        <f xml:space="preserve"> [1]!'ALB.US-Price'</f>
        <v>#REF!</v>
      </c>
      <c r="I49" s="6" t="e">
        <f xml:space="preserve"> [1]!'ALB.US-BestBid1'</f>
        <v>#REF!</v>
      </c>
      <c r="J49" s="6" t="e">
        <f xml:space="preserve"> [1]!'ALB.US-BestAsk1'</f>
        <v>#REF!</v>
      </c>
      <c r="K49" s="93" t="e">
        <f t="shared" si="2"/>
        <v>#REF!</v>
      </c>
      <c r="L49" s="93" t="e">
        <f t="shared" si="3"/>
        <v>#REF!</v>
      </c>
      <c r="M49" s="96" t="e">
        <f t="shared" si="4"/>
        <v>#REF!</v>
      </c>
      <c r="Q49" s="276" t="s">
        <v>762</v>
      </c>
      <c r="R49" s="242">
        <v>0</v>
      </c>
      <c r="S49" s="242">
        <f>R49</f>
        <v>0</v>
      </c>
      <c r="T49" s="243">
        <f t="shared" si="7"/>
        <v>0</v>
      </c>
      <c r="U49" s="244"/>
      <c r="V49" s="244">
        <f>T49</f>
        <v>0</v>
      </c>
    </row>
    <row r="50" spans="1:23">
      <c r="A50" s="25" t="e">
        <f t="shared" si="1"/>
        <v>#REF!</v>
      </c>
      <c r="B50" s="300" t="s">
        <v>1226</v>
      </c>
      <c r="C50" s="26" t="s">
        <v>471</v>
      </c>
      <c r="D50" s="26">
        <v>1</v>
      </c>
      <c r="E50" s="6" t="e">
        <f xml:space="preserve"> [1]!'ALGN.US-PreClose'</f>
        <v>#REF!</v>
      </c>
      <c r="F50" s="6">
        <v>324</v>
      </c>
      <c r="G50" s="74" t="e">
        <f t="shared" si="5"/>
        <v>#REF!</v>
      </c>
      <c r="H50" s="6" t="e">
        <f xml:space="preserve"> [1]!'ALGN.US-Price'</f>
        <v>#REF!</v>
      </c>
      <c r="I50" s="6" t="e">
        <f xml:space="preserve"> [1]!'ALGN.US-BestBid1'</f>
        <v>#REF!</v>
      </c>
      <c r="J50" s="6" t="e">
        <f xml:space="preserve"> [1]!'ALGN.US-BestAsk1'</f>
        <v>#REF!</v>
      </c>
      <c r="K50" s="93" t="e">
        <f t="shared" si="2"/>
        <v>#REF!</v>
      </c>
      <c r="L50" s="93" t="e">
        <f t="shared" si="3"/>
        <v>#REF!</v>
      </c>
      <c r="M50" s="96" t="e">
        <f t="shared" si="4"/>
        <v>#REF!</v>
      </c>
      <c r="Q50" s="6" t="s">
        <v>752</v>
      </c>
      <c r="R50" s="285"/>
      <c r="S50" s="285">
        <f>SUM(S40:S49)</f>
        <v>2893703271.0809999</v>
      </c>
      <c r="T50" s="243">
        <f>SUM(T40:T49)</f>
        <v>1</v>
      </c>
      <c r="U50" s="244">
        <f>SUM(U40:U49)</f>
        <v>0.99242660979824204</v>
      </c>
      <c r="V50" s="244">
        <f>SUM(V40:V49)</f>
        <v>7.573390201758028E-3</v>
      </c>
      <c r="W50" s="24">
        <f>U50+V50</f>
        <v>1</v>
      </c>
    </row>
    <row r="51" spans="1:23">
      <c r="A51" s="25" t="e">
        <f t="shared" si="1"/>
        <v>#REF!</v>
      </c>
      <c r="B51" s="300" t="s">
        <v>1227</v>
      </c>
      <c r="C51" s="26" t="s">
        <v>890</v>
      </c>
      <c r="D51" s="26">
        <v>1</v>
      </c>
      <c r="E51" s="6" t="e">
        <f xml:space="preserve"> [1]!'ALK.US-PreClose'</f>
        <v>#REF!</v>
      </c>
      <c r="F51" s="6">
        <v>532</v>
      </c>
      <c r="G51" s="74" t="e">
        <f t="shared" si="5"/>
        <v>#REF!</v>
      </c>
      <c r="H51" s="6" t="e">
        <f xml:space="preserve"> [1]!'ALK.US-Price'</f>
        <v>#REF!</v>
      </c>
      <c r="I51" s="6" t="e">
        <f xml:space="preserve"> [1]!'ALK.US-BestBid1'</f>
        <v>#REF!</v>
      </c>
      <c r="J51" s="6" t="e">
        <f xml:space="preserve"> [1]!'ALK.US-BestAsk1'</f>
        <v>#REF!</v>
      </c>
      <c r="K51" s="93" t="e">
        <f t="shared" si="2"/>
        <v>#REF!</v>
      </c>
      <c r="L51" s="93" t="e">
        <f t="shared" si="3"/>
        <v>#REF!</v>
      </c>
      <c r="M51" s="96" t="e">
        <f t="shared" si="4"/>
        <v>#REF!</v>
      </c>
    </row>
    <row r="52" spans="1:23">
      <c r="A52" s="25" t="e">
        <f t="shared" si="1"/>
        <v>#REF!</v>
      </c>
      <c r="B52" s="300" t="s">
        <v>1228</v>
      </c>
      <c r="C52" s="26" t="s">
        <v>891</v>
      </c>
      <c r="D52" s="26">
        <v>1</v>
      </c>
      <c r="E52" s="6" t="e">
        <f xml:space="preserve"> [1]!'ALL.US-PreClose'</f>
        <v>#REF!</v>
      </c>
      <c r="F52" s="6">
        <v>1556</v>
      </c>
      <c r="G52" s="74" t="e">
        <f t="shared" si="5"/>
        <v>#REF!</v>
      </c>
      <c r="H52" s="6" t="e">
        <f xml:space="preserve"> [1]!'ALL.US-Price'</f>
        <v>#REF!</v>
      </c>
      <c r="I52" s="6" t="e">
        <f xml:space="preserve"> [1]!'ALL.US-BestBid1'</f>
        <v>#REF!</v>
      </c>
      <c r="J52" s="6" t="e">
        <f xml:space="preserve"> [1]!'ALL.US-BestAsk1'</f>
        <v>#REF!</v>
      </c>
      <c r="K52" s="93" t="e">
        <f t="shared" si="2"/>
        <v>#REF!</v>
      </c>
      <c r="L52" s="93" t="e">
        <f t="shared" si="3"/>
        <v>#REF!</v>
      </c>
      <c r="M52" s="96" t="e">
        <f t="shared" si="4"/>
        <v>#REF!</v>
      </c>
    </row>
    <row r="53" spans="1:23">
      <c r="A53" s="25" t="e">
        <f t="shared" si="1"/>
        <v>#REF!</v>
      </c>
      <c r="B53" s="300" t="s">
        <v>1229</v>
      </c>
      <c r="C53" s="26" t="s">
        <v>472</v>
      </c>
      <c r="D53" s="26">
        <v>1</v>
      </c>
      <c r="E53" s="6" t="e">
        <f xml:space="preserve"> [1]!'ALLE.US-PreClose'</f>
        <v>#REF!</v>
      </c>
      <c r="F53" s="6">
        <v>409</v>
      </c>
      <c r="G53" s="74" t="e">
        <f t="shared" si="5"/>
        <v>#REF!</v>
      </c>
      <c r="H53" s="6" t="e">
        <f xml:space="preserve"> [1]!'ALLE.US-Price'</f>
        <v>#REF!</v>
      </c>
      <c r="I53" s="6" t="e">
        <f xml:space="preserve"> [1]!'ALLE.US-BestBid1'</f>
        <v>#REF!</v>
      </c>
      <c r="J53" s="6" t="e">
        <f xml:space="preserve"> [1]!'ALLE.US-BestAsk1'</f>
        <v>#REF!</v>
      </c>
      <c r="K53" s="93" t="e">
        <f t="shared" si="2"/>
        <v>#REF!</v>
      </c>
      <c r="L53" s="93" t="e">
        <f t="shared" si="3"/>
        <v>#REF!</v>
      </c>
      <c r="M53" s="96" t="e">
        <f t="shared" si="4"/>
        <v>#REF!</v>
      </c>
    </row>
    <row r="54" spans="1:23">
      <c r="A54" s="25" t="e">
        <f t="shared" si="1"/>
        <v>#REF!</v>
      </c>
      <c r="B54" s="300" t="s">
        <v>1230</v>
      </c>
      <c r="C54" s="26" t="s">
        <v>473</v>
      </c>
      <c r="D54" s="26">
        <v>1</v>
      </c>
      <c r="E54" s="6" t="e">
        <f xml:space="preserve"> [1]!'ALXN.US-PreClose'</f>
        <v>#REF!</v>
      </c>
      <c r="F54" s="6">
        <v>961</v>
      </c>
      <c r="G54" s="74" t="e">
        <f t="shared" si="5"/>
        <v>#REF!</v>
      </c>
      <c r="H54" s="6" t="e">
        <f xml:space="preserve"> [1]!'ALXN.US-Price'</f>
        <v>#REF!</v>
      </c>
      <c r="I54" s="6" t="e">
        <f xml:space="preserve"> [1]!'ALXN.US-BestBid1'</f>
        <v>#REF!</v>
      </c>
      <c r="J54" s="6" t="e">
        <f xml:space="preserve"> [1]!'ALXN.US-BestAsk1'</f>
        <v>#REF!</v>
      </c>
      <c r="K54" s="93" t="e">
        <f t="shared" si="2"/>
        <v>#REF!</v>
      </c>
      <c r="L54" s="93" t="e">
        <f t="shared" si="3"/>
        <v>#REF!</v>
      </c>
      <c r="M54" s="96" t="e">
        <f t="shared" si="4"/>
        <v>#REF!</v>
      </c>
    </row>
    <row r="55" spans="1:23">
      <c r="A55" s="25" t="e">
        <f t="shared" si="1"/>
        <v>#REF!</v>
      </c>
      <c r="B55" s="300" t="s">
        <v>1231</v>
      </c>
      <c r="C55" s="26" t="s">
        <v>474</v>
      </c>
      <c r="D55" s="26">
        <v>1</v>
      </c>
      <c r="E55" s="6" t="e">
        <f xml:space="preserve"> [1]!'AMAT.US-PreClose'</f>
        <v>#REF!</v>
      </c>
      <c r="F55" s="6">
        <v>4593</v>
      </c>
      <c r="G55" s="74" t="e">
        <f t="shared" si="5"/>
        <v>#REF!</v>
      </c>
      <c r="H55" s="6" t="e">
        <f xml:space="preserve"> [1]!'AMAT.US-Price'</f>
        <v>#REF!</v>
      </c>
      <c r="I55" s="6" t="e">
        <f xml:space="preserve"> [1]!'AMAT.US-BestBid1'</f>
        <v>#REF!</v>
      </c>
      <c r="J55" s="6" t="e">
        <f xml:space="preserve"> [1]!'AMAT.US-BestAsk1'</f>
        <v>#REF!</v>
      </c>
      <c r="K55" s="93" t="e">
        <f t="shared" si="2"/>
        <v>#REF!</v>
      </c>
      <c r="L55" s="93" t="e">
        <f t="shared" si="3"/>
        <v>#REF!</v>
      </c>
      <c r="M55" s="96" t="e">
        <f t="shared" si="4"/>
        <v>#REF!</v>
      </c>
    </row>
    <row r="56" spans="1:23">
      <c r="A56" s="25" t="e">
        <f t="shared" si="1"/>
        <v>#REF!</v>
      </c>
      <c r="B56" s="300" t="s">
        <v>1232</v>
      </c>
      <c r="C56" s="26" t="s">
        <v>892</v>
      </c>
      <c r="D56" s="26">
        <v>1</v>
      </c>
      <c r="E56" s="6" t="e">
        <f xml:space="preserve"> [1]!'AMD.US-PreClose'</f>
        <v>#REF!</v>
      </c>
      <c r="F56" s="6">
        <v>3343</v>
      </c>
      <c r="G56" s="74" t="e">
        <f t="shared" si="5"/>
        <v>#REF!</v>
      </c>
      <c r="H56" s="6" t="e">
        <f xml:space="preserve"> [1]!'AMD.US-Price'</f>
        <v>#REF!</v>
      </c>
      <c r="I56" s="6" t="e">
        <f xml:space="preserve"> [1]!'AMD.US-BestBid1'</f>
        <v>#REF!</v>
      </c>
      <c r="J56" s="6" t="e">
        <f xml:space="preserve"> [1]!'AMD.US-BestAsk1'</f>
        <v>#REF!</v>
      </c>
      <c r="K56" s="93" t="e">
        <f t="shared" si="2"/>
        <v>#REF!</v>
      </c>
      <c r="L56" s="93" t="e">
        <f t="shared" si="3"/>
        <v>#REF!</v>
      </c>
      <c r="M56" s="96" t="e">
        <f t="shared" si="4"/>
        <v>#REF!</v>
      </c>
    </row>
    <row r="57" spans="1:23">
      <c r="A57" s="25" t="e">
        <f t="shared" si="1"/>
        <v>#REF!</v>
      </c>
      <c r="B57" s="300" t="s">
        <v>1233</v>
      </c>
      <c r="C57" s="26" t="s">
        <v>893</v>
      </c>
      <c r="D57" s="26">
        <v>1</v>
      </c>
      <c r="E57" s="6" t="e">
        <f xml:space="preserve"> [1]!'AME.US-PreClose'</f>
        <v>#REF!</v>
      </c>
      <c r="F57" s="6">
        <v>994</v>
      </c>
      <c r="G57" s="74" t="e">
        <f t="shared" si="5"/>
        <v>#REF!</v>
      </c>
      <c r="H57" s="6" t="e">
        <f xml:space="preserve"> [1]!'AME.US-Price'</f>
        <v>#REF!</v>
      </c>
      <c r="I57" s="6" t="e">
        <f xml:space="preserve"> [1]!'AME.US-BestBid1'</f>
        <v>#REF!</v>
      </c>
      <c r="J57" s="6" t="e">
        <f xml:space="preserve"> [1]!'AME.US-BestAsk1'</f>
        <v>#REF!</v>
      </c>
      <c r="K57" s="93" t="e">
        <f t="shared" si="2"/>
        <v>#REF!</v>
      </c>
      <c r="L57" s="93" t="e">
        <f t="shared" si="3"/>
        <v>#REF!</v>
      </c>
      <c r="M57" s="96" t="e">
        <f t="shared" si="4"/>
        <v>#REF!</v>
      </c>
    </row>
    <row r="58" spans="1:23">
      <c r="A58" s="25" t="e">
        <f t="shared" si="1"/>
        <v>#REF!</v>
      </c>
      <c r="B58" s="300" t="s">
        <v>1234</v>
      </c>
      <c r="C58" s="26" t="s">
        <v>894</v>
      </c>
      <c r="D58" s="26">
        <v>1</v>
      </c>
      <c r="E58" s="6" t="e">
        <f xml:space="preserve"> [1]!'AMG.US-PreClose'</f>
        <v>#REF!</v>
      </c>
      <c r="F58" s="6">
        <v>241</v>
      </c>
      <c r="G58" s="74" t="e">
        <f t="shared" si="5"/>
        <v>#REF!</v>
      </c>
      <c r="H58" s="6" t="e">
        <f xml:space="preserve"> [1]!'AMG.US-Price'</f>
        <v>#REF!</v>
      </c>
      <c r="I58" s="6" t="e">
        <f xml:space="preserve"> [1]!'AMG.US-BestBid1'</f>
        <v>#REF!</v>
      </c>
      <c r="J58" s="6" t="e">
        <f xml:space="preserve"> [1]!'AMG.US-BestAsk1'</f>
        <v>#REF!</v>
      </c>
      <c r="K58" s="93" t="e">
        <f t="shared" si="2"/>
        <v>#REF!</v>
      </c>
      <c r="L58" s="93" t="e">
        <f t="shared" si="3"/>
        <v>#REF!</v>
      </c>
      <c r="M58" s="96" t="e">
        <f t="shared" si="4"/>
        <v>#REF!</v>
      </c>
    </row>
    <row r="59" spans="1:23">
      <c r="A59" s="25" t="e">
        <f t="shared" si="1"/>
        <v>#REF!</v>
      </c>
      <c r="B59" s="300" t="s">
        <v>1235</v>
      </c>
      <c r="C59" s="26" t="s">
        <v>475</v>
      </c>
      <c r="D59" s="26">
        <v>1</v>
      </c>
      <c r="E59" s="6" t="e">
        <f xml:space="preserve"> [1]!'AMGN.US-PreClose'</f>
        <v>#REF!</v>
      </c>
      <c r="F59" s="6">
        <v>3142</v>
      </c>
      <c r="G59" s="74" t="e">
        <f t="shared" si="5"/>
        <v>#REF!</v>
      </c>
      <c r="H59" s="6" t="e">
        <f xml:space="preserve"> [1]!'AMGN.US-Price'</f>
        <v>#REF!</v>
      </c>
      <c r="I59" s="6" t="e">
        <f xml:space="preserve"> [1]!'AMGN.US-BestBid1'</f>
        <v>#REF!</v>
      </c>
      <c r="J59" s="6" t="e">
        <f xml:space="preserve"> [1]!'AMGN.US-BestAsk1'</f>
        <v>#REF!</v>
      </c>
      <c r="K59" s="93" t="e">
        <f t="shared" si="2"/>
        <v>#REF!</v>
      </c>
      <c r="L59" s="93" t="e">
        <f t="shared" si="3"/>
        <v>#REF!</v>
      </c>
      <c r="M59" s="96" t="e">
        <f t="shared" si="4"/>
        <v>#REF!</v>
      </c>
    </row>
    <row r="60" spans="1:23">
      <c r="A60" s="25" t="e">
        <f t="shared" si="1"/>
        <v>#REF!</v>
      </c>
      <c r="B60" s="300" t="s">
        <v>1236</v>
      </c>
      <c r="C60" s="26" t="s">
        <v>895</v>
      </c>
      <c r="D60" s="26">
        <v>1</v>
      </c>
      <c r="E60" s="6" t="e">
        <f xml:space="preserve"> [1]!'AMP.US-PreClose'</f>
        <v>#REF!</v>
      </c>
      <c r="F60" s="6">
        <v>646</v>
      </c>
      <c r="G60" s="74" t="e">
        <f t="shared" si="5"/>
        <v>#REF!</v>
      </c>
      <c r="H60" s="6" t="e">
        <f xml:space="preserve"> [1]!'AMP.US-Price'</f>
        <v>#REF!</v>
      </c>
      <c r="I60" s="6" t="e">
        <f xml:space="preserve"> [1]!'AMP.US-BestBid1'</f>
        <v>#REF!</v>
      </c>
      <c r="J60" s="6" t="e">
        <f xml:space="preserve"> [1]!'AMP.US-BestAsk1'</f>
        <v>#REF!</v>
      </c>
      <c r="K60" s="93" t="e">
        <f t="shared" si="2"/>
        <v>#REF!</v>
      </c>
      <c r="L60" s="93" t="e">
        <f t="shared" si="3"/>
        <v>#REF!</v>
      </c>
      <c r="M60" s="96" t="e">
        <f t="shared" si="4"/>
        <v>#REF!</v>
      </c>
    </row>
    <row r="61" spans="1:23">
      <c r="A61" s="25" t="e">
        <f t="shared" si="1"/>
        <v>#REF!</v>
      </c>
      <c r="B61" s="300" t="s">
        <v>1237</v>
      </c>
      <c r="C61" s="26" t="s">
        <v>896</v>
      </c>
      <c r="D61" s="26">
        <v>1</v>
      </c>
      <c r="E61" s="6" t="e">
        <f xml:space="preserve"> [1]!'AMT.US-PreClose'</f>
        <v>#REF!</v>
      </c>
      <c r="F61" s="6">
        <v>1848</v>
      </c>
      <c r="G61" s="74" t="e">
        <f t="shared" si="5"/>
        <v>#REF!</v>
      </c>
      <c r="H61" s="6" t="e">
        <f xml:space="preserve"> [1]!'AMT.US-Price'</f>
        <v>#REF!</v>
      </c>
      <c r="I61" s="6" t="e">
        <f xml:space="preserve"> [1]!'AMT.US-BestBid1'</f>
        <v>#REF!</v>
      </c>
      <c r="J61" s="6" t="e">
        <f xml:space="preserve"> [1]!'AMT.US-BestAsk1'</f>
        <v>#REF!</v>
      </c>
      <c r="K61" s="93" t="e">
        <f t="shared" si="2"/>
        <v>#REF!</v>
      </c>
      <c r="L61" s="93" t="e">
        <f t="shared" si="3"/>
        <v>#REF!</v>
      </c>
      <c r="M61" s="96" t="e">
        <f t="shared" si="4"/>
        <v>#REF!</v>
      </c>
    </row>
    <row r="62" spans="1:23">
      <c r="A62" s="25" t="e">
        <f t="shared" si="1"/>
        <v>#REF!</v>
      </c>
      <c r="B62" s="300" t="s">
        <v>1238</v>
      </c>
      <c r="C62" s="26" t="s">
        <v>476</v>
      </c>
      <c r="D62" s="26">
        <v>1</v>
      </c>
      <c r="E62" s="6" t="e">
        <f xml:space="preserve"> [1]!'AMZN.US-PreClose'</f>
        <v>#REF!</v>
      </c>
      <c r="F62" s="6">
        <v>1717</v>
      </c>
      <c r="G62" s="74" t="e">
        <f t="shared" si="5"/>
        <v>#REF!</v>
      </c>
      <c r="H62" s="6" t="e">
        <f xml:space="preserve"> [1]!'AMZN.US-Price'</f>
        <v>#REF!</v>
      </c>
      <c r="I62" s="6" t="e">
        <f xml:space="preserve"> [1]!'AMZN.US-BestBid1'</f>
        <v>#REF!</v>
      </c>
      <c r="J62" s="6" t="e">
        <f xml:space="preserve"> [1]!'AMZN.US-BestAsk1'</f>
        <v>#REF!</v>
      </c>
      <c r="K62" s="93" t="e">
        <f t="shared" si="2"/>
        <v>#REF!</v>
      </c>
      <c r="L62" s="93" t="e">
        <f t="shared" si="3"/>
        <v>#REF!</v>
      </c>
      <c r="M62" s="96" t="e">
        <f t="shared" si="4"/>
        <v>#REF!</v>
      </c>
    </row>
    <row r="63" spans="1:23">
      <c r="A63" s="25" t="e">
        <f t="shared" si="1"/>
        <v>#REF!</v>
      </c>
      <c r="B63" s="300" t="s">
        <v>1239</v>
      </c>
      <c r="C63" s="26" t="s">
        <v>477</v>
      </c>
      <c r="D63" s="26">
        <v>1</v>
      </c>
      <c r="E63" s="6" t="e">
        <f xml:space="preserve"> [1]!'ANDV.US-PreClose'</f>
        <v>#REF!</v>
      </c>
      <c r="F63" s="6">
        <v>622</v>
      </c>
      <c r="G63" s="74" t="e">
        <f t="shared" si="5"/>
        <v>#REF!</v>
      </c>
      <c r="H63" s="6" t="e">
        <f xml:space="preserve"> [1]!'ANDV.US-Price'</f>
        <v>#REF!</v>
      </c>
      <c r="I63" s="6" t="e">
        <f xml:space="preserve"> [1]!'ANDV.US-BestBid1'</f>
        <v>#REF!</v>
      </c>
      <c r="J63" s="6" t="e">
        <f xml:space="preserve"> [1]!'ANDV.US-BestAsk1'</f>
        <v>#REF!</v>
      </c>
      <c r="K63" s="93" t="e">
        <f t="shared" si="2"/>
        <v>#REF!</v>
      </c>
      <c r="L63" s="93" t="e">
        <f t="shared" si="3"/>
        <v>#REF!</v>
      </c>
      <c r="M63" s="96" t="e">
        <f t="shared" si="4"/>
        <v>#REF!</v>
      </c>
    </row>
    <row r="64" spans="1:23">
      <c r="A64" s="25" t="e">
        <f t="shared" si="1"/>
        <v>#REF!</v>
      </c>
      <c r="B64" s="300" t="s">
        <v>1240</v>
      </c>
      <c r="C64" s="26" t="s">
        <v>478</v>
      </c>
      <c r="D64" s="26">
        <v>1</v>
      </c>
      <c r="E64" s="6" t="e">
        <f xml:space="preserve"> [1]!'ANSS.US-PreClose'</f>
        <v>#REF!</v>
      </c>
      <c r="F64" s="6">
        <v>365</v>
      </c>
      <c r="G64" s="74" t="e">
        <f t="shared" si="5"/>
        <v>#REF!</v>
      </c>
      <c r="H64" s="6" t="e">
        <f xml:space="preserve"> [1]!'ANSS.US-Price'</f>
        <v>#REF!</v>
      </c>
      <c r="I64" s="6" t="e">
        <f xml:space="preserve"> [1]!'ANSS.US-BestBid1'</f>
        <v>#REF!</v>
      </c>
      <c r="J64" s="6" t="e">
        <f xml:space="preserve"> [1]!'ANSS.US-BestAsk1'</f>
        <v>#REF!</v>
      </c>
      <c r="K64" s="93" t="e">
        <f t="shared" si="2"/>
        <v>#REF!</v>
      </c>
      <c r="L64" s="93" t="e">
        <f t="shared" si="3"/>
        <v>#REF!</v>
      </c>
      <c r="M64" s="96" t="e">
        <f t="shared" si="4"/>
        <v>#REF!</v>
      </c>
    </row>
    <row r="65" spans="1:13">
      <c r="A65" s="25" t="e">
        <f t="shared" si="1"/>
        <v>#REF!</v>
      </c>
      <c r="B65" s="300" t="s">
        <v>1241</v>
      </c>
      <c r="C65" s="26" t="s">
        <v>479</v>
      </c>
      <c r="D65" s="26">
        <v>1</v>
      </c>
      <c r="E65" s="6" t="e">
        <f xml:space="preserve"> [1]!'ANTM.US-PreClose'</f>
        <v>#REF!</v>
      </c>
      <c r="F65" s="6">
        <v>1131</v>
      </c>
      <c r="G65" s="74" t="e">
        <f t="shared" si="5"/>
        <v>#REF!</v>
      </c>
      <c r="H65" s="6" t="e">
        <f xml:space="preserve"> [1]!'ANTM.US-Price'</f>
        <v>#REF!</v>
      </c>
      <c r="I65" s="6" t="e">
        <f xml:space="preserve"> [1]!'ANTM.US-BestBid1'</f>
        <v>#REF!</v>
      </c>
      <c r="J65" s="6" t="e">
        <f xml:space="preserve"> [1]!'ANTM.US-BestAsk1'</f>
        <v>#REF!</v>
      </c>
      <c r="K65" s="93" t="e">
        <f t="shared" si="2"/>
        <v>#REF!</v>
      </c>
      <c r="L65" s="93" t="e">
        <f t="shared" si="3"/>
        <v>#REF!</v>
      </c>
      <c r="M65" s="96" t="e">
        <f t="shared" si="4"/>
        <v>#REF!</v>
      </c>
    </row>
    <row r="66" spans="1:13">
      <c r="A66" s="25" t="e">
        <f t="shared" si="1"/>
        <v>#REF!</v>
      </c>
      <c r="B66" s="300" t="s">
        <v>1242</v>
      </c>
      <c r="C66" s="26" t="s">
        <v>897</v>
      </c>
      <c r="D66" s="26">
        <v>1</v>
      </c>
      <c r="E66" s="6" t="e">
        <f xml:space="preserve"> [1]!'AON.US-PreClose'</f>
        <v>#REF!</v>
      </c>
      <c r="F66" s="6">
        <v>1096</v>
      </c>
      <c r="G66" s="74" t="e">
        <f t="shared" si="5"/>
        <v>#REF!</v>
      </c>
      <c r="H66" s="6" t="e">
        <f xml:space="preserve"> [1]!'AON.US-Price'</f>
        <v>#REF!</v>
      </c>
      <c r="I66" s="6" t="e">
        <f xml:space="preserve"> [1]!'AON.US-BestBid1'</f>
        <v>#REF!</v>
      </c>
      <c r="J66" s="6" t="e">
        <f xml:space="preserve"> [1]!'AON.US-BestAsk1'</f>
        <v>#REF!</v>
      </c>
      <c r="K66" s="93" t="e">
        <f t="shared" si="2"/>
        <v>#REF!</v>
      </c>
      <c r="L66" s="93" t="e">
        <f t="shared" si="3"/>
        <v>#REF!</v>
      </c>
      <c r="M66" s="96" t="e">
        <f t="shared" si="4"/>
        <v>#REF!</v>
      </c>
    </row>
    <row r="67" spans="1:13">
      <c r="A67" s="25" t="e">
        <f t="shared" si="1"/>
        <v>#REF!</v>
      </c>
      <c r="B67" s="300" t="s">
        <v>1243</v>
      </c>
      <c r="C67" s="26" t="s">
        <v>898</v>
      </c>
      <c r="D67" s="26">
        <v>1</v>
      </c>
      <c r="E67" s="6" t="e">
        <f xml:space="preserve"> [1]!'AOS.US-PreClose'</f>
        <v>#REF!</v>
      </c>
      <c r="F67" s="6">
        <v>631</v>
      </c>
      <c r="G67" s="74" t="e">
        <f t="shared" si="5"/>
        <v>#REF!</v>
      </c>
      <c r="H67" s="6" t="e">
        <f xml:space="preserve"> [1]!'AOS.US-Price'</f>
        <v>#REF!</v>
      </c>
      <c r="I67" s="6" t="e">
        <f xml:space="preserve"> [1]!'AOS.US-BestBid1'</f>
        <v>#REF!</v>
      </c>
      <c r="J67" s="6" t="e">
        <f xml:space="preserve"> [1]!'AOS.US-BestAsk1'</f>
        <v>#REF!</v>
      </c>
      <c r="K67" s="93" t="e">
        <f t="shared" si="2"/>
        <v>#REF!</v>
      </c>
      <c r="L67" s="93" t="e">
        <f t="shared" si="3"/>
        <v>#REF!</v>
      </c>
      <c r="M67" s="96" t="e">
        <f t="shared" si="4"/>
        <v>#REF!</v>
      </c>
    </row>
    <row r="68" spans="1:13">
      <c r="A68" s="25" t="e">
        <f t="shared" si="1"/>
        <v>#REF!</v>
      </c>
      <c r="B68" s="300" t="s">
        <v>1244</v>
      </c>
      <c r="C68" s="26" t="s">
        <v>899</v>
      </c>
      <c r="D68" s="26">
        <v>1</v>
      </c>
      <c r="E68" s="6" t="e">
        <f xml:space="preserve"> [1]!'APA.US-PreClose'</f>
        <v>#REF!</v>
      </c>
      <c r="F68" s="6">
        <v>1640</v>
      </c>
      <c r="G68" s="74" t="e">
        <f t="shared" si="5"/>
        <v>#REF!</v>
      </c>
      <c r="H68" s="6" t="e">
        <f xml:space="preserve"> [1]!'APA.US-Price'</f>
        <v>#REF!</v>
      </c>
      <c r="I68" s="6" t="e">
        <f xml:space="preserve"> [1]!'APA.US-BestBid1'</f>
        <v>#REF!</v>
      </c>
      <c r="J68" s="6" t="e">
        <f xml:space="preserve"> [1]!'APA.US-BestAsk1'</f>
        <v>#REF!</v>
      </c>
      <c r="K68" s="93" t="e">
        <f t="shared" si="2"/>
        <v>#REF!</v>
      </c>
      <c r="L68" s="93" t="e">
        <f t="shared" si="3"/>
        <v>#REF!</v>
      </c>
      <c r="M68" s="96" t="e">
        <f t="shared" si="4"/>
        <v>#REF!</v>
      </c>
    </row>
    <row r="69" spans="1:13">
      <c r="A69" s="25" t="e">
        <f t="shared" si="1"/>
        <v>#REF!</v>
      </c>
      <c r="B69" s="300" t="s">
        <v>1245</v>
      </c>
      <c r="C69" s="26" t="s">
        <v>900</v>
      </c>
      <c r="D69" s="26">
        <v>1</v>
      </c>
      <c r="E69" s="6" t="e">
        <f xml:space="preserve"> [1]!'APC.US-PreClose'</f>
        <v>#REF!</v>
      </c>
      <c r="F69" s="6">
        <v>2413</v>
      </c>
      <c r="G69" s="74" t="e">
        <f t="shared" si="5"/>
        <v>#REF!</v>
      </c>
      <c r="H69" s="6" t="e">
        <f xml:space="preserve"> [1]!'APC.US-Price'</f>
        <v>#REF!</v>
      </c>
      <c r="I69" s="6" t="e">
        <f xml:space="preserve"> [1]!'APC.US-BestBid1'</f>
        <v>#REF!</v>
      </c>
      <c r="J69" s="6" t="e">
        <f xml:space="preserve"> [1]!'APC.US-BestAsk1'</f>
        <v>#REF!</v>
      </c>
      <c r="K69" s="93" t="e">
        <f t="shared" si="2"/>
        <v>#REF!</v>
      </c>
      <c r="L69" s="93" t="e">
        <f t="shared" si="3"/>
        <v>#REF!</v>
      </c>
      <c r="M69" s="96" t="e">
        <f t="shared" si="4"/>
        <v>#REF!</v>
      </c>
    </row>
    <row r="70" spans="1:13">
      <c r="A70" s="25" t="e">
        <f t="shared" si="1"/>
        <v>#REF!</v>
      </c>
      <c r="B70" s="300" t="s">
        <v>1246</v>
      </c>
      <c r="C70" s="26" t="s">
        <v>901</v>
      </c>
      <c r="D70" s="26">
        <v>1</v>
      </c>
      <c r="E70" s="6" t="e">
        <f xml:space="preserve"> [1]!'APD.US-PreClose'</f>
        <v>#REF!</v>
      </c>
      <c r="F70" s="6">
        <v>939</v>
      </c>
      <c r="G70" s="74" t="e">
        <f t="shared" si="5"/>
        <v>#REF!</v>
      </c>
      <c r="H70" s="6" t="e">
        <f xml:space="preserve"> [1]!'APD.US-Price'</f>
        <v>#REF!</v>
      </c>
      <c r="I70" s="6" t="e">
        <f xml:space="preserve"> [1]!'APD.US-BestBid1'</f>
        <v>#REF!</v>
      </c>
      <c r="J70" s="6" t="e">
        <f xml:space="preserve"> [1]!'APD.US-BestAsk1'</f>
        <v>#REF!</v>
      </c>
      <c r="K70" s="93" t="e">
        <f t="shared" si="2"/>
        <v>#REF!</v>
      </c>
      <c r="L70" s="93" t="e">
        <f t="shared" si="3"/>
        <v>#REF!</v>
      </c>
      <c r="M70" s="96" t="e">
        <f t="shared" si="4"/>
        <v>#REF!</v>
      </c>
    </row>
    <row r="71" spans="1:13">
      <c r="A71" s="25" t="e">
        <f t="shared" si="1"/>
        <v>#REF!</v>
      </c>
      <c r="B71" s="300" t="s">
        <v>1247</v>
      </c>
      <c r="C71" s="26" t="s">
        <v>902</v>
      </c>
      <c r="D71" s="26">
        <v>1</v>
      </c>
      <c r="E71" s="6" t="e">
        <f xml:space="preserve"> [1]!'APH.US-PreClose'</f>
        <v>#REF!</v>
      </c>
      <c r="F71" s="6">
        <v>1315</v>
      </c>
      <c r="G71" s="74" t="e">
        <f t="shared" si="5"/>
        <v>#REF!</v>
      </c>
      <c r="H71" s="6" t="e">
        <f xml:space="preserve"> [1]!'APH.US-Price'</f>
        <v>#REF!</v>
      </c>
      <c r="I71" s="6" t="e">
        <f xml:space="preserve"> [1]!'APH.US-BestBid1'</f>
        <v>#REF!</v>
      </c>
      <c r="J71" s="6" t="e">
        <f xml:space="preserve"> [1]!'APH.US-BestAsk1'</f>
        <v>#REF!</v>
      </c>
      <c r="K71" s="93" t="e">
        <f t="shared" si="2"/>
        <v>#REF!</v>
      </c>
      <c r="L71" s="93" t="e">
        <f t="shared" si="3"/>
        <v>#REF!</v>
      </c>
      <c r="M71" s="96" t="e">
        <f t="shared" si="4"/>
        <v>#REF!</v>
      </c>
    </row>
    <row r="72" spans="1:13">
      <c r="A72" s="25" t="e">
        <f t="shared" si="1"/>
        <v>#REF!</v>
      </c>
      <c r="B72" s="300" t="s">
        <v>1248</v>
      </c>
      <c r="C72" s="26" t="s">
        <v>903</v>
      </c>
      <c r="D72" s="26">
        <v>1</v>
      </c>
      <c r="E72" s="6" t="e">
        <f xml:space="preserve"> [1]!'ARE.US-PreClose'</f>
        <v>#REF!</v>
      </c>
      <c r="F72" s="6">
        <v>403</v>
      </c>
      <c r="G72" s="74" t="e">
        <f t="shared" si="5"/>
        <v>#REF!</v>
      </c>
      <c r="H72" s="6" t="e">
        <f xml:space="preserve"> [1]!'ARE.US-Price'</f>
        <v>#REF!</v>
      </c>
      <c r="I72" s="6" t="e">
        <f xml:space="preserve"> [1]!'ARE.US-BestBid1'</f>
        <v>#REF!</v>
      </c>
      <c r="J72" s="6" t="e">
        <f xml:space="preserve"> [1]!'ARE.US-BestAsk1'</f>
        <v>#REF!</v>
      </c>
      <c r="K72" s="93" t="e">
        <f t="shared" si="2"/>
        <v>#REF!</v>
      </c>
      <c r="L72" s="93" t="e">
        <f t="shared" si="3"/>
        <v>#REF!</v>
      </c>
      <c r="M72" s="96" t="e">
        <f t="shared" si="4"/>
        <v>#REF!</v>
      </c>
    </row>
    <row r="73" spans="1:13">
      <c r="A73" s="25" t="e">
        <f t="shared" si="1"/>
        <v>#REF!</v>
      </c>
      <c r="B73" s="300" t="s">
        <v>1249</v>
      </c>
      <c r="C73" s="26" t="s">
        <v>480</v>
      </c>
      <c r="D73" s="26">
        <v>1</v>
      </c>
      <c r="E73" s="6" t="e">
        <f xml:space="preserve"> [1]!'ARNC.US-PreClose'</f>
        <v>#REF!</v>
      </c>
      <c r="F73" s="6">
        <v>1899</v>
      </c>
      <c r="G73" s="74" t="e">
        <f t="shared" si="5"/>
        <v>#REF!</v>
      </c>
      <c r="H73" s="6" t="e">
        <f xml:space="preserve"> [1]!'ARNC.US-Price'</f>
        <v>#REF!</v>
      </c>
      <c r="I73" s="6" t="e">
        <f xml:space="preserve"> [1]!'ARNC.US-BestBid1'</f>
        <v>#REF!</v>
      </c>
      <c r="J73" s="6" t="e">
        <f xml:space="preserve"> [1]!'ARNC.US-BestAsk1'</f>
        <v>#REF!</v>
      </c>
      <c r="K73" s="93" t="e">
        <f t="shared" si="2"/>
        <v>#REF!</v>
      </c>
      <c r="L73" s="93" t="e">
        <f t="shared" si="3"/>
        <v>#REF!</v>
      </c>
      <c r="M73" s="96" t="e">
        <f t="shared" si="4"/>
        <v>#REF!</v>
      </c>
    </row>
    <row r="74" spans="1:13">
      <c r="A74" s="25" t="e">
        <f t="shared" si="1"/>
        <v>#REF!</v>
      </c>
      <c r="B74" s="300" t="s">
        <v>1250</v>
      </c>
      <c r="C74" s="26" t="s">
        <v>481</v>
      </c>
      <c r="D74" s="26">
        <v>1</v>
      </c>
      <c r="E74" s="6" t="e">
        <f xml:space="preserve"> [1]!'ATVI.US-PreClose'</f>
        <v>#REF!</v>
      </c>
      <c r="F74" s="6">
        <v>2991</v>
      </c>
      <c r="G74" s="74" t="e">
        <f t="shared" si="5"/>
        <v>#REF!</v>
      </c>
      <c r="H74" s="6" t="e">
        <f xml:space="preserve"> [1]!'ATVI.US-Price'</f>
        <v>#REF!</v>
      </c>
      <c r="I74" s="6" t="e">
        <f xml:space="preserve"> [1]!'ATVI.US-BestBid1'</f>
        <v>#REF!</v>
      </c>
      <c r="J74" s="6" t="e">
        <f xml:space="preserve"> [1]!'ATVI.US-BestAsk1'</f>
        <v>#REF!</v>
      </c>
      <c r="K74" s="93" t="e">
        <f t="shared" si="2"/>
        <v>#REF!</v>
      </c>
      <c r="L74" s="93" t="e">
        <f t="shared" si="3"/>
        <v>#REF!</v>
      </c>
      <c r="M74" s="96" t="e">
        <f t="shared" si="4"/>
        <v>#REF!</v>
      </c>
    </row>
    <row r="75" spans="1:13">
      <c r="A75" s="25" t="e">
        <f t="shared" si="1"/>
        <v>#REF!</v>
      </c>
      <c r="B75" s="300" t="s">
        <v>1251</v>
      </c>
      <c r="C75" s="26" t="s">
        <v>904</v>
      </c>
      <c r="D75" s="26">
        <v>1</v>
      </c>
      <c r="E75" s="6" t="e">
        <f xml:space="preserve"> [1]!'AVB.US-PreClose'</f>
        <v>#REF!</v>
      </c>
      <c r="F75" s="6">
        <v>595</v>
      </c>
      <c r="G75" s="74" t="e">
        <f t="shared" si="5"/>
        <v>#REF!</v>
      </c>
      <c r="H75" s="6" t="e">
        <f xml:space="preserve"> [1]!'AVB.US-Price'</f>
        <v>#REF!</v>
      </c>
      <c r="I75" s="6" t="e">
        <f xml:space="preserve"> [1]!'AVB.US-BestBid1'</f>
        <v>#REF!</v>
      </c>
      <c r="J75" s="6" t="e">
        <f xml:space="preserve"> [1]!'AVB.US-BestAsk1'</f>
        <v>#REF!</v>
      </c>
      <c r="K75" s="93" t="e">
        <f t="shared" si="2"/>
        <v>#REF!</v>
      </c>
      <c r="L75" s="93" t="e">
        <f t="shared" si="3"/>
        <v>#REF!</v>
      </c>
      <c r="M75" s="96" t="e">
        <f t="shared" si="4"/>
        <v>#REF!</v>
      </c>
    </row>
    <row r="76" spans="1:13">
      <c r="A76" s="25" t="e">
        <f t="shared" si="1"/>
        <v>#REF!</v>
      </c>
      <c r="B76" s="300" t="s">
        <v>1252</v>
      </c>
      <c r="C76" s="26" t="s">
        <v>482</v>
      </c>
      <c r="D76" s="26">
        <v>1</v>
      </c>
      <c r="E76" s="6" t="e">
        <f xml:space="preserve"> [1]!'AVGO.US-PreClose'</f>
        <v>#REF!</v>
      </c>
      <c r="F76" s="6">
        <v>1751</v>
      </c>
      <c r="G76" s="74" t="e">
        <f t="shared" si="5"/>
        <v>#REF!</v>
      </c>
      <c r="H76" s="6" t="e">
        <f xml:space="preserve"> [1]!'AVGO.US-Price'</f>
        <v>#REF!</v>
      </c>
      <c r="I76" s="6" t="e">
        <f xml:space="preserve"> [1]!'AVGO.US-BestBid1'</f>
        <v>#REF!</v>
      </c>
      <c r="J76" s="6" t="e">
        <f xml:space="preserve"> [1]!'AVGO.US-BestAsk1'</f>
        <v>#REF!</v>
      </c>
      <c r="K76" s="93" t="e">
        <f t="shared" si="2"/>
        <v>#REF!</v>
      </c>
      <c r="L76" s="93" t="e">
        <f t="shared" si="3"/>
        <v>#REF!</v>
      </c>
      <c r="M76" s="96" t="e">
        <f t="shared" si="4"/>
        <v>#REF!</v>
      </c>
    </row>
    <row r="77" spans="1:13">
      <c r="A77" s="25" t="e">
        <f t="shared" si="1"/>
        <v>#REF!</v>
      </c>
      <c r="B77" s="300" t="s">
        <v>1253</v>
      </c>
      <c r="C77" s="26" t="s">
        <v>905</v>
      </c>
      <c r="D77" s="26">
        <v>1</v>
      </c>
      <c r="E77" s="6" t="e">
        <f xml:space="preserve"> [1]!'AVY.US-PreClose'</f>
        <v>#REF!</v>
      </c>
      <c r="F77" s="6">
        <v>381</v>
      </c>
      <c r="G77" s="74" t="e">
        <f t="shared" si="5"/>
        <v>#REF!</v>
      </c>
      <c r="H77" s="6" t="e">
        <f xml:space="preserve"> [1]!'AVY.US-Price'</f>
        <v>#REF!</v>
      </c>
      <c r="I77" s="6" t="e">
        <f xml:space="preserve"> [1]!'AVY.US-BestBid1'</f>
        <v>#REF!</v>
      </c>
      <c r="J77" s="6" t="e">
        <f xml:space="preserve"> [1]!'AVY.US-BestAsk1'</f>
        <v>#REF!</v>
      </c>
      <c r="K77" s="93" t="e">
        <f t="shared" si="2"/>
        <v>#REF!</v>
      </c>
      <c r="L77" s="93" t="e">
        <f t="shared" si="3"/>
        <v>#REF!</v>
      </c>
      <c r="M77" s="96" t="e">
        <f t="shared" si="4"/>
        <v>#REF!</v>
      </c>
    </row>
    <row r="78" spans="1:13">
      <c r="A78" s="25" t="e">
        <f t="shared" si="1"/>
        <v>#REF!</v>
      </c>
      <c r="B78" s="300" t="s">
        <v>1254</v>
      </c>
      <c r="C78" s="26" t="s">
        <v>906</v>
      </c>
      <c r="D78" s="26">
        <v>1</v>
      </c>
      <c r="E78" s="6" t="e">
        <f xml:space="preserve"> [1]!'AWK.US-PreClose'</f>
        <v>#REF!</v>
      </c>
      <c r="F78" s="6">
        <v>768</v>
      </c>
      <c r="G78" s="74" t="e">
        <f t="shared" si="5"/>
        <v>#REF!</v>
      </c>
      <c r="H78" s="6" t="e">
        <f xml:space="preserve"> [1]!'AWK.US-Price'</f>
        <v>#REF!</v>
      </c>
      <c r="I78" s="6" t="e">
        <f xml:space="preserve"> [1]!'AWK.US-BestBid1'</f>
        <v>#REF!</v>
      </c>
      <c r="J78" s="6" t="e">
        <f xml:space="preserve"> [1]!'AWK.US-BestAsk1'</f>
        <v>#REF!</v>
      </c>
      <c r="K78" s="93" t="e">
        <f t="shared" si="2"/>
        <v>#REF!</v>
      </c>
      <c r="L78" s="93" t="e">
        <f t="shared" si="3"/>
        <v>#REF!</v>
      </c>
      <c r="M78" s="96" t="e">
        <f t="shared" si="4"/>
        <v>#REF!</v>
      </c>
    </row>
    <row r="79" spans="1:13">
      <c r="A79" s="25" t="e">
        <f t="shared" si="1"/>
        <v>#VALUE!</v>
      </c>
      <c r="B79" s="300" t="s">
        <v>1255</v>
      </c>
      <c r="C79" s="26" t="s">
        <v>907</v>
      </c>
      <c r="D79" s="26">
        <v>1</v>
      </c>
      <c r="E79" s="6" t="str">
        <f xml:space="preserve"> [1]!'AXP.US-PreClose'</f>
        <v>N/A</v>
      </c>
      <c r="F79" s="6">
        <v>3198</v>
      </c>
      <c r="G79" s="74" t="e">
        <f t="shared" si="5"/>
        <v>#VALUE!</v>
      </c>
      <c r="H79" s="6" t="str">
        <f xml:space="preserve"> [1]!'AXP.US-Price'</f>
        <v>N/A</v>
      </c>
      <c r="I79" s="6" t="str">
        <f xml:space="preserve"> [1]!'AXP.US-BestBid1'</f>
        <v>N/A</v>
      </c>
      <c r="J79" s="6" t="str">
        <f xml:space="preserve"> [1]!'AXP.US-BestAsk1'</f>
        <v>N/A</v>
      </c>
      <c r="K79" s="93" t="e">
        <f t="shared" si="2"/>
        <v>#VALUE!</v>
      </c>
      <c r="L79" s="93" t="e">
        <f t="shared" si="3"/>
        <v>#VALUE!</v>
      </c>
      <c r="M79" s="96" t="e">
        <f t="shared" si="4"/>
        <v>#VALUE!</v>
      </c>
    </row>
    <row r="80" spans="1:13">
      <c r="A80" s="25" t="e">
        <f t="shared" si="1"/>
        <v>#REF!</v>
      </c>
      <c r="B80" s="300" t="s">
        <v>1256</v>
      </c>
      <c r="C80" s="26" t="s">
        <v>908</v>
      </c>
      <c r="D80" s="26">
        <v>1</v>
      </c>
      <c r="E80" s="6" t="e">
        <f xml:space="preserve"> [1]!'AYI.US-PreClose'</f>
        <v>#REF!</v>
      </c>
      <c r="F80" s="6">
        <v>182</v>
      </c>
      <c r="G80" s="74" t="e">
        <f t="shared" si="5"/>
        <v>#REF!</v>
      </c>
      <c r="H80" s="6" t="e">
        <f xml:space="preserve"> [1]!'AYI.US-Price'</f>
        <v>#REF!</v>
      </c>
      <c r="I80" s="6" t="e">
        <f xml:space="preserve"> [1]!'AYI.US-BestBid1'</f>
        <v>#REF!</v>
      </c>
      <c r="J80" s="6" t="e">
        <f xml:space="preserve"> [1]!'AYI.US-BestAsk1'</f>
        <v>#REF!</v>
      </c>
      <c r="K80" s="93" t="e">
        <f t="shared" si="2"/>
        <v>#REF!</v>
      </c>
      <c r="L80" s="93" t="e">
        <f t="shared" si="3"/>
        <v>#REF!</v>
      </c>
      <c r="M80" s="96" t="e">
        <f t="shared" si="4"/>
        <v>#REF!</v>
      </c>
    </row>
    <row r="81" spans="1:13">
      <c r="A81" s="25" t="e">
        <f t="shared" si="1"/>
        <v>#REF!</v>
      </c>
      <c r="B81" s="300" t="s">
        <v>1257</v>
      </c>
      <c r="C81" s="26" t="s">
        <v>909</v>
      </c>
      <c r="D81" s="26">
        <v>1</v>
      </c>
      <c r="E81" s="6" t="e">
        <f xml:space="preserve"> [1]!'AZO.US-PreClose'</f>
        <v>#REF!</v>
      </c>
      <c r="F81" s="6">
        <v>121</v>
      </c>
      <c r="G81" s="74" t="e">
        <f t="shared" si="5"/>
        <v>#REF!</v>
      </c>
      <c r="H81" s="6" t="e">
        <f xml:space="preserve"> [1]!'AZO.US-Price'</f>
        <v>#REF!</v>
      </c>
      <c r="I81" s="6" t="e">
        <f xml:space="preserve"> [1]!'AZO.US-BestBid1'</f>
        <v>#REF!</v>
      </c>
      <c r="J81" s="6" t="e">
        <f xml:space="preserve"> [1]!'AZO.US-BestAsk1'</f>
        <v>#REF!</v>
      </c>
      <c r="K81" s="93" t="e">
        <f t="shared" si="2"/>
        <v>#REF!</v>
      </c>
      <c r="L81" s="93" t="e">
        <f t="shared" si="3"/>
        <v>#REF!</v>
      </c>
      <c r="M81" s="96" t="e">
        <f t="shared" si="4"/>
        <v>#REF!</v>
      </c>
    </row>
    <row r="82" spans="1:13">
      <c r="A82" s="25" t="e">
        <f t="shared" si="1"/>
        <v>#VALUE!</v>
      </c>
      <c r="B82" s="300" t="s">
        <v>1258</v>
      </c>
      <c r="C82" s="26" t="s">
        <v>910</v>
      </c>
      <c r="D82" s="26">
        <v>1</v>
      </c>
      <c r="E82" s="6" t="str">
        <f xml:space="preserve"> [1]!'BA.US-PreClose'</f>
        <v>N/A</v>
      </c>
      <c r="F82" s="6">
        <v>2368</v>
      </c>
      <c r="G82" s="74" t="e">
        <f t="shared" si="5"/>
        <v>#VALUE!</v>
      </c>
      <c r="H82" s="6" t="str">
        <f xml:space="preserve"> [1]!'BA.US-Price'</f>
        <v>N/A</v>
      </c>
      <c r="I82" s="6" t="str">
        <f xml:space="preserve"> [1]!'BA.US-BestBid1'</f>
        <v>N/A</v>
      </c>
      <c r="J82" s="6" t="str">
        <f xml:space="preserve"> [1]!'BA.US-BestAsk1'</f>
        <v>N/A</v>
      </c>
      <c r="K82" s="93" t="e">
        <f t="shared" si="2"/>
        <v>#VALUE!</v>
      </c>
      <c r="L82" s="93" t="e">
        <f t="shared" si="3"/>
        <v>#VALUE!</v>
      </c>
      <c r="M82" s="96" t="e">
        <f t="shared" si="4"/>
        <v>#VALUE!</v>
      </c>
    </row>
    <row r="83" spans="1:13">
      <c r="A83" s="25" t="e">
        <f t="shared" si="1"/>
        <v>#REF!</v>
      </c>
      <c r="B83" s="300" t="s">
        <v>1259</v>
      </c>
      <c r="C83" s="26" t="s">
        <v>911</v>
      </c>
      <c r="D83" s="26">
        <v>1</v>
      </c>
      <c r="E83" s="6" t="e">
        <f xml:space="preserve"> [1]!'BAC.US-PreClose'</f>
        <v>#REF!</v>
      </c>
      <c r="F83" s="6">
        <v>45435</v>
      </c>
      <c r="G83" s="74" t="e">
        <f t="shared" si="5"/>
        <v>#REF!</v>
      </c>
      <c r="H83" s="6" t="e">
        <f xml:space="preserve"> [1]!'BAC.US-Price'</f>
        <v>#REF!</v>
      </c>
      <c r="I83" s="6" t="e">
        <f xml:space="preserve"> [1]!'BAC.US-BestBid1'</f>
        <v>#REF!</v>
      </c>
      <c r="J83" s="6" t="e">
        <f xml:space="preserve"> [1]!'BAC.US-BestAsk1'</f>
        <v>#REF!</v>
      </c>
      <c r="K83" s="93" t="e">
        <f t="shared" si="2"/>
        <v>#REF!</v>
      </c>
      <c r="L83" s="93" t="e">
        <f t="shared" si="3"/>
        <v>#REF!</v>
      </c>
      <c r="M83" s="96" t="e">
        <f t="shared" si="4"/>
        <v>#REF!</v>
      </c>
    </row>
    <row r="84" spans="1:13">
      <c r="A84" s="25" t="e">
        <f t="shared" si="1"/>
        <v>#REF!</v>
      </c>
      <c r="B84" s="300" t="s">
        <v>1260</v>
      </c>
      <c r="C84" s="26" t="s">
        <v>912</v>
      </c>
      <c r="D84" s="26">
        <v>1</v>
      </c>
      <c r="E84" s="6" t="e">
        <f xml:space="preserve"> [1]!'BAX.US-PreClose'</f>
        <v>#REF!</v>
      </c>
      <c r="F84" s="6">
        <v>2112</v>
      </c>
      <c r="G84" s="74" t="e">
        <f t="shared" si="5"/>
        <v>#REF!</v>
      </c>
      <c r="H84" s="6" t="e">
        <f xml:space="preserve"> [1]!'BAX.US-Price'</f>
        <v>#REF!</v>
      </c>
      <c r="I84" s="6" t="e">
        <f xml:space="preserve"> [1]!'BAX.US-BestBid1'</f>
        <v>#REF!</v>
      </c>
      <c r="J84" s="6" t="e">
        <f xml:space="preserve"> [1]!'BAX.US-BestAsk1'</f>
        <v>#REF!</v>
      </c>
      <c r="K84" s="93" t="e">
        <f t="shared" si="2"/>
        <v>#REF!</v>
      </c>
      <c r="L84" s="93" t="e">
        <f t="shared" si="3"/>
        <v>#REF!</v>
      </c>
      <c r="M84" s="96" t="e">
        <f t="shared" si="4"/>
        <v>#REF!</v>
      </c>
    </row>
    <row r="85" spans="1:13">
      <c r="A85" s="25" t="e">
        <f t="shared" si="1"/>
        <v>#REF!</v>
      </c>
      <c r="B85" s="300" t="s">
        <v>1261</v>
      </c>
      <c r="C85" s="26" t="s">
        <v>913</v>
      </c>
      <c r="D85" s="26">
        <v>1</v>
      </c>
      <c r="E85" s="6" t="e">
        <f xml:space="preserve"> [1]!'BBT.US-PreClose'</f>
        <v>#REF!</v>
      </c>
      <c r="F85" s="6">
        <v>3480</v>
      </c>
      <c r="G85" s="74" t="e">
        <f t="shared" si="5"/>
        <v>#REF!</v>
      </c>
      <c r="H85" s="6" t="e">
        <f xml:space="preserve"> [1]!'BBT.US-Price'</f>
        <v>#REF!</v>
      </c>
      <c r="I85" s="6" t="e">
        <f xml:space="preserve"> [1]!'BBT.US-BestBid1'</f>
        <v>#REF!</v>
      </c>
      <c r="J85" s="6" t="e">
        <f xml:space="preserve"> [1]!'BBT.US-BestAsk1'</f>
        <v>#REF!</v>
      </c>
      <c r="K85" s="93" t="e">
        <f t="shared" si="2"/>
        <v>#REF!</v>
      </c>
      <c r="L85" s="93" t="e">
        <f t="shared" si="3"/>
        <v>#REF!</v>
      </c>
      <c r="M85" s="96" t="e">
        <f t="shared" si="4"/>
        <v>#REF!</v>
      </c>
    </row>
    <row r="86" spans="1:13">
      <c r="A86" s="25" t="e">
        <f t="shared" si="1"/>
        <v>#REF!</v>
      </c>
      <c r="B86" s="300" t="s">
        <v>1262</v>
      </c>
      <c r="C86" s="26" t="s">
        <v>914</v>
      </c>
      <c r="D86" s="26">
        <v>1</v>
      </c>
      <c r="E86" s="6" t="e">
        <f xml:space="preserve"> [1]!'BBY.US-PreClose'</f>
        <v>#REF!</v>
      </c>
      <c r="F86" s="6">
        <v>1143</v>
      </c>
      <c r="G86" s="74" t="e">
        <f t="shared" si="5"/>
        <v>#REF!</v>
      </c>
      <c r="H86" s="6" t="e">
        <f xml:space="preserve"> [1]!'BBY.US-Price'</f>
        <v>#REF!</v>
      </c>
      <c r="I86" s="6" t="e">
        <f xml:space="preserve"> [1]!'BBY.US-BestBid1'</f>
        <v>#REF!</v>
      </c>
      <c r="J86" s="6" t="e">
        <f xml:space="preserve"> [1]!'BBY.US-BestAsk1'</f>
        <v>#REF!</v>
      </c>
      <c r="K86" s="93" t="e">
        <f t="shared" si="2"/>
        <v>#REF!</v>
      </c>
      <c r="L86" s="93" t="e">
        <f t="shared" si="3"/>
        <v>#REF!</v>
      </c>
      <c r="M86" s="96" t="e">
        <f t="shared" si="4"/>
        <v>#REF!</v>
      </c>
    </row>
    <row r="87" spans="1:13">
      <c r="A87" s="25" t="e">
        <f t="shared" ref="A87:A150" si="8">G87/$C$6</f>
        <v>#REF!</v>
      </c>
      <c r="B87" s="300" t="s">
        <v>1263</v>
      </c>
      <c r="C87" s="26" t="s">
        <v>915</v>
      </c>
      <c r="D87" s="26">
        <v>1</v>
      </c>
      <c r="E87" s="6" t="e">
        <f xml:space="preserve"> [1]!'BCR.US-PreClose'</f>
        <v>#REF!</v>
      </c>
      <c r="F87" s="6">
        <v>313</v>
      </c>
      <c r="G87" s="74" t="e">
        <f t="shared" si="5"/>
        <v>#REF!</v>
      </c>
      <c r="H87" s="6" t="e">
        <f xml:space="preserve"> [1]!'BCR.US-Price'</f>
        <v>#REF!</v>
      </c>
      <c r="I87" s="6" t="e">
        <f xml:space="preserve"> [1]!'BCR.US-BestBid1'</f>
        <v>#REF!</v>
      </c>
      <c r="J87" s="6" t="e">
        <f xml:space="preserve"> [1]!'BCR.US-BestAsk1'</f>
        <v>#REF!</v>
      </c>
      <c r="K87" s="93" t="e">
        <f t="shared" ref="K87:K150" si="9">IF(ISNUMBER(H87)=TRUE,H87*F87*D87,E87*F87*D87)*$N$2</f>
        <v>#REF!</v>
      </c>
      <c r="L87" s="93" t="e">
        <f t="shared" ref="L87:L150" si="10">IF(ISNUMBER(I87)=TRUE,I87*F87*D87,E87*F87*D87)*$N$2</f>
        <v>#REF!</v>
      </c>
      <c r="M87" s="96" t="e">
        <f t="shared" ref="M87:M150" si="11">IF(ISNUMBER(J87)=TRUE,J87*F87*D87,E87*F87*D87)*$N$2</f>
        <v>#REF!</v>
      </c>
    </row>
    <row r="88" spans="1:13">
      <c r="A88" s="25" t="e">
        <f t="shared" si="8"/>
        <v>#REF!</v>
      </c>
      <c r="B88" s="300" t="s">
        <v>1264</v>
      </c>
      <c r="C88" s="26" t="s">
        <v>916</v>
      </c>
      <c r="D88" s="26">
        <v>1</v>
      </c>
      <c r="E88" s="6" t="e">
        <f xml:space="preserve"> [1]!'BDX.US-PreClose'</f>
        <v>#REF!</v>
      </c>
      <c r="F88" s="6">
        <v>980</v>
      </c>
      <c r="G88" s="74" t="e">
        <f t="shared" si="5"/>
        <v>#REF!</v>
      </c>
      <c r="H88" s="6" t="e">
        <f xml:space="preserve"> [1]!'BDX.US-Price'</f>
        <v>#REF!</v>
      </c>
      <c r="I88" s="6" t="e">
        <f xml:space="preserve"> [1]!'BDX.US-BestBid1'</f>
        <v>#REF!</v>
      </c>
      <c r="J88" s="6" t="e">
        <f xml:space="preserve"> [1]!'BDX.US-BestAsk1'</f>
        <v>#REF!</v>
      </c>
      <c r="K88" s="93" t="e">
        <f t="shared" si="9"/>
        <v>#REF!</v>
      </c>
      <c r="L88" s="93" t="e">
        <f t="shared" si="10"/>
        <v>#REF!</v>
      </c>
      <c r="M88" s="96" t="e">
        <f t="shared" si="11"/>
        <v>#REF!</v>
      </c>
    </row>
    <row r="89" spans="1:13">
      <c r="A89" s="25" t="e">
        <f t="shared" si="8"/>
        <v>#REF!</v>
      </c>
      <c r="B89" s="300" t="s">
        <v>1265</v>
      </c>
      <c r="C89" s="26" t="s">
        <v>917</v>
      </c>
      <c r="D89" s="26">
        <v>1</v>
      </c>
      <c r="E89" s="6" t="e">
        <f xml:space="preserve"> [1]!'BEN.US-PreClose'</f>
        <v>#REF!</v>
      </c>
      <c r="F89" s="6">
        <v>1465</v>
      </c>
      <c r="G89" s="74" t="e">
        <f t="shared" ref="G89:G152" si="12">D89*E89*F89*$O$2</f>
        <v>#REF!</v>
      </c>
      <c r="H89" s="6" t="e">
        <f xml:space="preserve"> [1]!'BEN.US-Price'</f>
        <v>#REF!</v>
      </c>
      <c r="I89" s="6" t="e">
        <f xml:space="preserve"> [1]!'BEN.US-BestBid1'</f>
        <v>#REF!</v>
      </c>
      <c r="J89" s="6" t="e">
        <f xml:space="preserve"> [1]!'BEN.US-BestAsk1'</f>
        <v>#REF!</v>
      </c>
      <c r="K89" s="93" t="e">
        <f t="shared" si="9"/>
        <v>#REF!</v>
      </c>
      <c r="L89" s="93" t="e">
        <f t="shared" si="10"/>
        <v>#REF!</v>
      </c>
      <c r="M89" s="96" t="e">
        <f t="shared" si="11"/>
        <v>#REF!</v>
      </c>
    </row>
    <row r="90" spans="1:13">
      <c r="A90" s="25" t="e">
        <f t="shared" si="8"/>
        <v>#REF!</v>
      </c>
      <c r="B90" s="300" t="s">
        <v>1266</v>
      </c>
      <c r="C90" s="26" t="s">
        <v>1707</v>
      </c>
      <c r="D90" s="26">
        <v>1</v>
      </c>
      <c r="E90" s="6" t="e">
        <f xml:space="preserve"> [1]!'BF.B.US-PreClose'</f>
        <v>#REF!</v>
      </c>
      <c r="F90" s="6">
        <v>760</v>
      </c>
      <c r="G90" s="74" t="e">
        <f t="shared" si="12"/>
        <v>#REF!</v>
      </c>
      <c r="H90" s="6" t="e">
        <f xml:space="preserve"> [1]!'BF.B.US-Price'</f>
        <v>#REF!</v>
      </c>
      <c r="I90" s="6" t="e">
        <f xml:space="preserve"> [1]!'BF.B.US-BestBid1'</f>
        <v>#REF!</v>
      </c>
      <c r="J90" s="6" t="e">
        <f xml:space="preserve"> [1]!'BF.B.US-BestAsk1'</f>
        <v>#REF!</v>
      </c>
      <c r="K90" s="93" t="e">
        <f t="shared" si="9"/>
        <v>#REF!</v>
      </c>
      <c r="L90" s="93" t="e">
        <f t="shared" si="10"/>
        <v>#REF!</v>
      </c>
      <c r="M90" s="96" t="e">
        <f t="shared" si="11"/>
        <v>#REF!</v>
      </c>
    </row>
    <row r="91" spans="1:13">
      <c r="A91" s="25" t="e">
        <f t="shared" si="8"/>
        <v>#REF!</v>
      </c>
      <c r="B91" s="300" t="s">
        <v>1267</v>
      </c>
      <c r="C91" s="26" t="s">
        <v>918</v>
      </c>
      <c r="D91" s="26">
        <v>1</v>
      </c>
      <c r="E91" s="6" t="e">
        <f xml:space="preserve"> [1]!'BHF.US-PreClose'</f>
        <v>#REF!</v>
      </c>
      <c r="F91" s="6">
        <v>516</v>
      </c>
      <c r="G91" s="74" t="e">
        <f t="shared" si="12"/>
        <v>#REF!</v>
      </c>
      <c r="H91" s="6" t="e">
        <f xml:space="preserve"> [1]!'BHF.US-Price'</f>
        <v>#REF!</v>
      </c>
      <c r="I91" s="6" t="e">
        <f xml:space="preserve"> [1]!'BHF.US-BestBid1'</f>
        <v>#REF!</v>
      </c>
      <c r="J91" s="6" t="e">
        <f xml:space="preserve"> [1]!'BHF.US-BestAsk1'</f>
        <v>#REF!</v>
      </c>
      <c r="K91" s="93" t="e">
        <f t="shared" si="9"/>
        <v>#REF!</v>
      </c>
      <c r="L91" s="93" t="e">
        <f t="shared" si="10"/>
        <v>#REF!</v>
      </c>
      <c r="M91" s="96" t="e">
        <f t="shared" si="11"/>
        <v>#REF!</v>
      </c>
    </row>
    <row r="92" spans="1:13">
      <c r="A92" s="25" t="e">
        <f t="shared" si="8"/>
        <v>#REF!</v>
      </c>
      <c r="B92" s="300" t="s">
        <v>1268</v>
      </c>
      <c r="C92" s="26" t="s">
        <v>483</v>
      </c>
      <c r="D92" s="26">
        <v>1</v>
      </c>
      <c r="E92" s="6" t="e">
        <f xml:space="preserve"> [1]!'BHGE.US-PreClose'</f>
        <v>#REF!</v>
      </c>
      <c r="F92" s="6">
        <v>1843</v>
      </c>
      <c r="G92" s="74" t="e">
        <f t="shared" si="12"/>
        <v>#REF!</v>
      </c>
      <c r="H92" s="6" t="e">
        <f xml:space="preserve"> [1]!'BHGE.US-Price'</f>
        <v>#REF!</v>
      </c>
      <c r="I92" s="6" t="e">
        <f xml:space="preserve"> [1]!'BHGE.US-BestBid1'</f>
        <v>#REF!</v>
      </c>
      <c r="J92" s="6" t="e">
        <f xml:space="preserve"> [1]!'BHGE.US-BestAsk1'</f>
        <v>#REF!</v>
      </c>
      <c r="K92" s="93" t="e">
        <f t="shared" si="9"/>
        <v>#REF!</v>
      </c>
      <c r="L92" s="93" t="e">
        <f t="shared" si="10"/>
        <v>#REF!</v>
      </c>
      <c r="M92" s="96" t="e">
        <f t="shared" si="11"/>
        <v>#REF!</v>
      </c>
    </row>
    <row r="93" spans="1:13">
      <c r="A93" s="25" t="e">
        <f t="shared" si="8"/>
        <v>#REF!</v>
      </c>
      <c r="B93" s="300" t="s">
        <v>1269</v>
      </c>
      <c r="C93" s="26" t="s">
        <v>484</v>
      </c>
      <c r="D93" s="26">
        <v>1</v>
      </c>
      <c r="E93" s="6" t="e">
        <f xml:space="preserve"> [1]!'BIIB.US-PreClose'</f>
        <v>#REF!</v>
      </c>
      <c r="F93" s="6">
        <v>911</v>
      </c>
      <c r="G93" s="74" t="e">
        <f t="shared" si="12"/>
        <v>#REF!</v>
      </c>
      <c r="H93" s="6" t="e">
        <f xml:space="preserve"> [1]!'BIIB.US-Price'</f>
        <v>#REF!</v>
      </c>
      <c r="I93" s="6" t="e">
        <f xml:space="preserve"> [1]!'BIIB.US-BestBid1'</f>
        <v>#REF!</v>
      </c>
      <c r="J93" s="6" t="e">
        <f xml:space="preserve"> [1]!'BIIB.US-BestAsk1'</f>
        <v>#REF!</v>
      </c>
      <c r="K93" s="93" t="e">
        <f t="shared" si="9"/>
        <v>#REF!</v>
      </c>
      <c r="L93" s="93" t="e">
        <f t="shared" si="10"/>
        <v>#REF!</v>
      </c>
      <c r="M93" s="96" t="e">
        <f t="shared" si="11"/>
        <v>#REF!</v>
      </c>
    </row>
    <row r="94" spans="1:13">
      <c r="A94" s="25" t="e">
        <f t="shared" si="8"/>
        <v>#REF!</v>
      </c>
      <c r="B94" s="300" t="s">
        <v>1270</v>
      </c>
      <c r="C94" s="26" t="s">
        <v>577</v>
      </c>
      <c r="D94" s="26">
        <v>1</v>
      </c>
      <c r="E94" s="6" t="e">
        <f xml:space="preserve"> [1]!'BK.US-PreClose'</f>
        <v>#REF!</v>
      </c>
      <c r="F94" s="6">
        <v>4449</v>
      </c>
      <c r="G94" s="74" t="e">
        <f t="shared" si="12"/>
        <v>#REF!</v>
      </c>
      <c r="H94" s="6" t="e">
        <f xml:space="preserve"> [1]!'BK.US-Price'</f>
        <v>#REF!</v>
      </c>
      <c r="I94" s="6" t="e">
        <f xml:space="preserve"> [1]!'BK.US-BestBid1'</f>
        <v>#REF!</v>
      </c>
      <c r="J94" s="6" t="e">
        <f xml:space="preserve"> [1]!'BK.US-BestAsk1'</f>
        <v>#REF!</v>
      </c>
      <c r="K94" s="93" t="e">
        <f t="shared" si="9"/>
        <v>#REF!</v>
      </c>
      <c r="L94" s="93" t="e">
        <f t="shared" si="10"/>
        <v>#REF!</v>
      </c>
      <c r="M94" s="96" t="e">
        <f t="shared" si="11"/>
        <v>#REF!</v>
      </c>
    </row>
    <row r="95" spans="1:13">
      <c r="A95" s="25" t="e">
        <f t="shared" si="8"/>
        <v>#REF!</v>
      </c>
      <c r="B95" s="300" t="s">
        <v>1271</v>
      </c>
      <c r="C95" s="26" t="s">
        <v>919</v>
      </c>
      <c r="D95" s="26">
        <v>1</v>
      </c>
      <c r="E95" s="6" t="e">
        <f xml:space="preserve"> [1]!'BLK.US-PreClose'</f>
        <v>#REF!</v>
      </c>
      <c r="F95" s="6">
        <v>520</v>
      </c>
      <c r="G95" s="74" t="e">
        <f t="shared" si="12"/>
        <v>#REF!</v>
      </c>
      <c r="H95" s="6" t="e">
        <f xml:space="preserve"> [1]!'BLK.US-Price'</f>
        <v>#REF!</v>
      </c>
      <c r="I95" s="6" t="e">
        <f xml:space="preserve"> [1]!'BLK.US-BestBid1'</f>
        <v>#REF!</v>
      </c>
      <c r="J95" s="6" t="e">
        <f xml:space="preserve"> [1]!'BLK.US-BestAsk1'</f>
        <v>#REF!</v>
      </c>
      <c r="K95" s="93" t="e">
        <f t="shared" si="9"/>
        <v>#REF!</v>
      </c>
      <c r="L95" s="93" t="e">
        <f t="shared" si="10"/>
        <v>#REF!</v>
      </c>
      <c r="M95" s="96" t="e">
        <f t="shared" si="11"/>
        <v>#REF!</v>
      </c>
    </row>
    <row r="96" spans="1:13">
      <c r="A96" s="25" t="e">
        <f t="shared" si="8"/>
        <v>#REF!</v>
      </c>
      <c r="B96" s="300" t="s">
        <v>1272</v>
      </c>
      <c r="C96" s="26" t="s">
        <v>920</v>
      </c>
      <c r="D96" s="26">
        <v>1</v>
      </c>
      <c r="E96" s="6" t="e">
        <f xml:space="preserve"> [1]!'BLL.US-PreClose'</f>
        <v>#REF!</v>
      </c>
      <c r="F96" s="6">
        <v>1515</v>
      </c>
      <c r="G96" s="74" t="e">
        <f t="shared" si="12"/>
        <v>#REF!</v>
      </c>
      <c r="H96" s="6" t="e">
        <f xml:space="preserve"> [1]!'BLL.US-Price'</f>
        <v>#REF!</v>
      </c>
      <c r="I96" s="6" t="e">
        <f xml:space="preserve"> [1]!'BLL.US-BestBid1'</f>
        <v>#REF!</v>
      </c>
      <c r="J96" s="6" t="e">
        <f xml:space="preserve"> [1]!'BLL.US-BestAsk1'</f>
        <v>#REF!</v>
      </c>
      <c r="K96" s="93" t="e">
        <f t="shared" si="9"/>
        <v>#REF!</v>
      </c>
      <c r="L96" s="93" t="e">
        <f t="shared" si="10"/>
        <v>#REF!</v>
      </c>
      <c r="M96" s="96" t="e">
        <f t="shared" si="11"/>
        <v>#REF!</v>
      </c>
    </row>
    <row r="97" spans="1:13">
      <c r="A97" s="25" t="e">
        <f t="shared" si="8"/>
        <v>#REF!</v>
      </c>
      <c r="B97" s="300" t="s">
        <v>1273</v>
      </c>
      <c r="C97" s="26" t="s">
        <v>921</v>
      </c>
      <c r="D97" s="26">
        <v>1</v>
      </c>
      <c r="E97" s="6" t="e">
        <f xml:space="preserve"> [1]!'BMY.US-PreClose'</f>
        <v>#REF!</v>
      </c>
      <c r="F97" s="6">
        <v>7062</v>
      </c>
      <c r="G97" s="74" t="e">
        <f t="shared" si="12"/>
        <v>#REF!</v>
      </c>
      <c r="H97" s="6" t="e">
        <f xml:space="preserve"> [1]!'BMY.US-Price'</f>
        <v>#REF!</v>
      </c>
      <c r="I97" s="6" t="e">
        <f xml:space="preserve"> [1]!'BMY.US-BestBid1'</f>
        <v>#REF!</v>
      </c>
      <c r="J97" s="6" t="e">
        <f xml:space="preserve"> [1]!'BMY.US-BestAsk1'</f>
        <v>#REF!</v>
      </c>
      <c r="K97" s="93" t="e">
        <f t="shared" si="9"/>
        <v>#REF!</v>
      </c>
      <c r="L97" s="93" t="e">
        <f t="shared" si="10"/>
        <v>#REF!</v>
      </c>
      <c r="M97" s="96" t="e">
        <f t="shared" si="11"/>
        <v>#REF!</v>
      </c>
    </row>
    <row r="98" spans="1:13">
      <c r="A98" s="25" t="e">
        <f t="shared" si="8"/>
        <v>#REF!</v>
      </c>
      <c r="B98" s="300" t="s">
        <v>1274</v>
      </c>
      <c r="C98" s="26" t="s">
        <v>578</v>
      </c>
      <c r="D98" s="26">
        <v>1</v>
      </c>
      <c r="E98" s="6" t="e">
        <f xml:space="preserve"> [1]!'BRK.B.US-PreClose'</f>
        <v>#REF!</v>
      </c>
      <c r="F98" s="6">
        <v>8286</v>
      </c>
      <c r="G98" s="74" t="e">
        <f t="shared" si="12"/>
        <v>#REF!</v>
      </c>
      <c r="H98" s="6" t="e">
        <f xml:space="preserve"> [1]!'BRK.B.US-Price'</f>
        <v>#REF!</v>
      </c>
      <c r="I98" s="6" t="e">
        <f xml:space="preserve"> [1]!'BRK.B.US-BestBid1'</f>
        <v>#REF!</v>
      </c>
      <c r="J98" s="6" t="e">
        <f xml:space="preserve"> [1]!'BRK.B.US-BestAsk1'</f>
        <v>#REF!</v>
      </c>
      <c r="K98" s="93" t="e">
        <f t="shared" si="9"/>
        <v>#REF!</v>
      </c>
      <c r="L98" s="93" t="e">
        <f t="shared" si="10"/>
        <v>#REF!</v>
      </c>
      <c r="M98" s="96" t="e">
        <f t="shared" si="11"/>
        <v>#REF!</v>
      </c>
    </row>
    <row r="99" spans="1:13">
      <c r="A99" s="25" t="e">
        <f t="shared" si="8"/>
        <v>#REF!</v>
      </c>
      <c r="B99" s="300" t="s">
        <v>1275</v>
      </c>
      <c r="C99" s="26" t="s">
        <v>922</v>
      </c>
      <c r="D99" s="26">
        <v>1</v>
      </c>
      <c r="E99" s="6" t="e">
        <f xml:space="preserve"> [1]!'BSX.US-PreClose'</f>
        <v>#REF!</v>
      </c>
      <c r="F99" s="6">
        <v>5909</v>
      </c>
      <c r="G99" s="74" t="e">
        <f t="shared" si="12"/>
        <v>#REF!</v>
      </c>
      <c r="H99" s="6" t="e">
        <f xml:space="preserve"> [1]!'BSX.US-Price'</f>
        <v>#REF!</v>
      </c>
      <c r="I99" s="6" t="e">
        <f xml:space="preserve"> [1]!'BSX.US-BestBid1'</f>
        <v>#REF!</v>
      </c>
      <c r="J99" s="6" t="e">
        <f xml:space="preserve"> [1]!'BSX.US-BestAsk1'</f>
        <v>#REF!</v>
      </c>
      <c r="K99" s="93" t="e">
        <f t="shared" si="9"/>
        <v>#REF!</v>
      </c>
      <c r="L99" s="93" t="e">
        <f t="shared" si="10"/>
        <v>#REF!</v>
      </c>
      <c r="M99" s="96" t="e">
        <f t="shared" si="11"/>
        <v>#REF!</v>
      </c>
    </row>
    <row r="100" spans="1:13">
      <c r="A100" s="25" t="e">
        <f t="shared" si="8"/>
        <v>#REF!</v>
      </c>
      <c r="B100" s="300" t="s">
        <v>1276</v>
      </c>
      <c r="C100" s="26" t="s">
        <v>923</v>
      </c>
      <c r="D100" s="26">
        <v>1</v>
      </c>
      <c r="E100" s="6" t="e">
        <f xml:space="preserve"> [1]!'BWA.US-PreClose'</f>
        <v>#REF!</v>
      </c>
      <c r="F100" s="6">
        <v>854</v>
      </c>
      <c r="G100" s="74" t="e">
        <f t="shared" si="12"/>
        <v>#REF!</v>
      </c>
      <c r="H100" s="6" t="e">
        <f xml:space="preserve"> [1]!'BWA.US-Price'</f>
        <v>#REF!</v>
      </c>
      <c r="I100" s="6" t="e">
        <f xml:space="preserve"> [1]!'BWA.US-BestBid1'</f>
        <v>#REF!</v>
      </c>
      <c r="J100" s="6" t="e">
        <f xml:space="preserve"> [1]!'BWA.US-BestAsk1'</f>
        <v>#REF!</v>
      </c>
      <c r="K100" s="93" t="e">
        <f t="shared" si="9"/>
        <v>#REF!</v>
      </c>
      <c r="L100" s="93" t="e">
        <f t="shared" si="10"/>
        <v>#REF!</v>
      </c>
      <c r="M100" s="96" t="e">
        <f t="shared" si="11"/>
        <v>#REF!</v>
      </c>
    </row>
    <row r="101" spans="1:13">
      <c r="A101" s="25" t="e">
        <f t="shared" si="8"/>
        <v>#REF!</v>
      </c>
      <c r="B101" s="300" t="s">
        <v>1277</v>
      </c>
      <c r="C101" s="26" t="s">
        <v>924</v>
      </c>
      <c r="D101" s="26">
        <v>1</v>
      </c>
      <c r="E101" s="6" t="e">
        <f xml:space="preserve"> [1]!'BXP.US-PreClose'</f>
        <v>#REF!</v>
      </c>
      <c r="F101" s="6">
        <v>665</v>
      </c>
      <c r="G101" s="74" t="e">
        <f t="shared" si="12"/>
        <v>#REF!</v>
      </c>
      <c r="H101" s="6" t="e">
        <f xml:space="preserve"> [1]!'BXP.US-Price'</f>
        <v>#REF!</v>
      </c>
      <c r="I101" s="6" t="e">
        <f xml:space="preserve"> [1]!'BXP.US-BestBid1'</f>
        <v>#REF!</v>
      </c>
      <c r="J101" s="6" t="e">
        <f xml:space="preserve"> [1]!'BXP.US-BestAsk1'</f>
        <v>#REF!</v>
      </c>
      <c r="K101" s="93" t="e">
        <f t="shared" si="9"/>
        <v>#REF!</v>
      </c>
      <c r="L101" s="93" t="e">
        <f t="shared" si="10"/>
        <v>#REF!</v>
      </c>
      <c r="M101" s="96" t="e">
        <f t="shared" si="11"/>
        <v>#REF!</v>
      </c>
    </row>
    <row r="102" spans="1:13">
      <c r="A102" s="25" t="e">
        <f t="shared" si="8"/>
        <v>#REF!</v>
      </c>
      <c r="B102" s="300" t="s">
        <v>1278</v>
      </c>
      <c r="C102" s="26" t="s">
        <v>579</v>
      </c>
      <c r="D102" s="26">
        <v>1</v>
      </c>
      <c r="E102" s="6" t="e">
        <f xml:space="preserve"> [1]!'C.US-PreClose'</f>
        <v>#REF!</v>
      </c>
      <c r="F102" s="6">
        <v>11733</v>
      </c>
      <c r="G102" s="74" t="e">
        <f t="shared" si="12"/>
        <v>#REF!</v>
      </c>
      <c r="H102" s="6" t="e">
        <f xml:space="preserve"> [1]!'C.US-Price'</f>
        <v>#REF!</v>
      </c>
      <c r="I102" s="6" t="e">
        <f xml:space="preserve"> [1]!'C.US-BestBid1'</f>
        <v>#REF!</v>
      </c>
      <c r="J102" s="6" t="e">
        <f xml:space="preserve"> [1]!'C.US-BestAsk1'</f>
        <v>#REF!</v>
      </c>
      <c r="K102" s="93" t="e">
        <f t="shared" si="9"/>
        <v>#REF!</v>
      </c>
      <c r="L102" s="93" t="e">
        <f t="shared" si="10"/>
        <v>#REF!</v>
      </c>
      <c r="M102" s="96" t="e">
        <f t="shared" si="11"/>
        <v>#REF!</v>
      </c>
    </row>
    <row r="103" spans="1:13">
      <c r="A103" s="25" t="e">
        <f t="shared" si="8"/>
        <v>#REF!</v>
      </c>
      <c r="B103" s="300" t="s">
        <v>1279</v>
      </c>
      <c r="C103" s="26" t="s">
        <v>580</v>
      </c>
      <c r="D103" s="26">
        <v>1</v>
      </c>
      <c r="E103" s="6" t="e">
        <f xml:space="preserve"> [1]!'CA.US-PreClose'</f>
        <v>#REF!</v>
      </c>
      <c r="F103" s="6">
        <v>1361</v>
      </c>
      <c r="G103" s="74" t="e">
        <f t="shared" si="12"/>
        <v>#REF!</v>
      </c>
      <c r="H103" s="6" t="e">
        <f xml:space="preserve"> [1]!'CA.US-Price'</f>
        <v>#REF!</v>
      </c>
      <c r="I103" s="6" t="e">
        <f xml:space="preserve"> [1]!'CA.US-BestBid1'</f>
        <v>#REF!</v>
      </c>
      <c r="J103" s="6" t="e">
        <f xml:space="preserve"> [1]!'CA.US-BestAsk1'</f>
        <v>#REF!</v>
      </c>
      <c r="K103" s="93" t="e">
        <f t="shared" si="9"/>
        <v>#REF!</v>
      </c>
      <c r="L103" s="93" t="e">
        <f t="shared" si="10"/>
        <v>#REF!</v>
      </c>
      <c r="M103" s="96" t="e">
        <f t="shared" si="11"/>
        <v>#REF!</v>
      </c>
    </row>
    <row r="104" spans="1:13">
      <c r="A104" s="25" t="e">
        <f t="shared" si="8"/>
        <v>#REF!</v>
      </c>
      <c r="B104" s="300" t="s">
        <v>1280</v>
      </c>
      <c r="C104" s="26" t="s">
        <v>925</v>
      </c>
      <c r="D104" s="26">
        <v>1</v>
      </c>
      <c r="E104" s="6" t="e">
        <f xml:space="preserve"> [1]!'CAG.US-PreClose'</f>
        <v>#REF!</v>
      </c>
      <c r="F104" s="6">
        <v>1701</v>
      </c>
      <c r="G104" s="74" t="e">
        <f t="shared" si="12"/>
        <v>#REF!</v>
      </c>
      <c r="H104" s="6" t="e">
        <f xml:space="preserve"> [1]!'CAG.US-Price'</f>
        <v>#REF!</v>
      </c>
      <c r="I104" s="6" t="e">
        <f xml:space="preserve"> [1]!'CAG.US-BestBid1'</f>
        <v>#REF!</v>
      </c>
      <c r="J104" s="6" t="e">
        <f xml:space="preserve"> [1]!'CAG.US-BestAsk1'</f>
        <v>#REF!</v>
      </c>
      <c r="K104" s="93" t="e">
        <f t="shared" si="9"/>
        <v>#REF!</v>
      </c>
      <c r="L104" s="93" t="e">
        <f t="shared" si="10"/>
        <v>#REF!</v>
      </c>
      <c r="M104" s="96" t="e">
        <f t="shared" si="11"/>
        <v>#REF!</v>
      </c>
    </row>
    <row r="105" spans="1:13">
      <c r="A105" s="25" t="e">
        <f t="shared" si="8"/>
        <v>#REF!</v>
      </c>
      <c r="B105" s="300" t="s">
        <v>1281</v>
      </c>
      <c r="C105" s="26" t="s">
        <v>926</v>
      </c>
      <c r="D105" s="26">
        <v>1</v>
      </c>
      <c r="E105" s="6" t="e">
        <f xml:space="preserve"> [1]!'CAH.US-PreClose'</f>
        <v>#REF!</v>
      </c>
      <c r="F105" s="6">
        <v>1363</v>
      </c>
      <c r="G105" s="74" t="e">
        <f t="shared" si="12"/>
        <v>#REF!</v>
      </c>
      <c r="H105" s="6" t="e">
        <f xml:space="preserve"> [1]!'CAH.US-Price'</f>
        <v>#REF!</v>
      </c>
      <c r="I105" s="6" t="e">
        <f xml:space="preserve"> [1]!'CAH.US-BestBid1'</f>
        <v>#REF!</v>
      </c>
      <c r="J105" s="6" t="e">
        <f xml:space="preserve"> [1]!'CAH.US-BestAsk1'</f>
        <v>#REF!</v>
      </c>
      <c r="K105" s="93" t="e">
        <f t="shared" si="9"/>
        <v>#REF!</v>
      </c>
      <c r="L105" s="93" t="e">
        <f t="shared" si="10"/>
        <v>#REF!</v>
      </c>
      <c r="M105" s="96" t="e">
        <f t="shared" si="11"/>
        <v>#REF!</v>
      </c>
    </row>
    <row r="106" spans="1:13">
      <c r="A106" s="25" t="e">
        <f t="shared" si="8"/>
        <v>#VALUE!</v>
      </c>
      <c r="B106" s="300" t="s">
        <v>1282</v>
      </c>
      <c r="C106" s="26" t="s">
        <v>927</v>
      </c>
      <c r="D106" s="26">
        <v>1</v>
      </c>
      <c r="E106" s="6" t="str">
        <f xml:space="preserve"> [1]!'CAT.US-PreClose'</f>
        <v>N/A</v>
      </c>
      <c r="F106" s="6">
        <v>2545</v>
      </c>
      <c r="G106" s="74" t="e">
        <f t="shared" si="12"/>
        <v>#VALUE!</v>
      </c>
      <c r="H106" s="6" t="str">
        <f xml:space="preserve"> [1]!'CAT.US-Price'</f>
        <v>N/A</v>
      </c>
      <c r="I106" s="6" t="str">
        <f xml:space="preserve"> [1]!'CAT.US-BestBid1'</f>
        <v>N/A</v>
      </c>
      <c r="J106" s="6" t="str">
        <f xml:space="preserve"> [1]!'CAT.US-BestAsk1'</f>
        <v>N/A</v>
      </c>
      <c r="K106" s="93" t="e">
        <f t="shared" si="9"/>
        <v>#VALUE!</v>
      </c>
      <c r="L106" s="93" t="e">
        <f t="shared" si="10"/>
        <v>#VALUE!</v>
      </c>
      <c r="M106" s="96" t="e">
        <f t="shared" si="11"/>
        <v>#VALUE!</v>
      </c>
    </row>
    <row r="107" spans="1:13">
      <c r="A107" s="25" t="e">
        <f t="shared" si="8"/>
        <v>#REF!</v>
      </c>
      <c r="B107" s="300" t="s">
        <v>1283</v>
      </c>
      <c r="C107" s="26" t="s">
        <v>581</v>
      </c>
      <c r="D107" s="26">
        <v>1</v>
      </c>
      <c r="E107" s="6" t="e">
        <f xml:space="preserve"> [1]!'CB.US-PreClose'</f>
        <v>#REF!</v>
      </c>
      <c r="F107" s="6">
        <v>2004</v>
      </c>
      <c r="G107" s="74" t="e">
        <f t="shared" si="12"/>
        <v>#REF!</v>
      </c>
      <c r="H107" s="6" t="e">
        <f xml:space="preserve"> [1]!'CB.US-Price'</f>
        <v>#REF!</v>
      </c>
      <c r="I107" s="6" t="e">
        <f xml:space="preserve"> [1]!'CB.US-BestBid1'</f>
        <v>#REF!</v>
      </c>
      <c r="J107" s="6" t="e">
        <f xml:space="preserve"> [1]!'CB.US-BestAsk1'</f>
        <v>#REF!</v>
      </c>
      <c r="K107" s="93" t="e">
        <f t="shared" si="9"/>
        <v>#REF!</v>
      </c>
      <c r="L107" s="93" t="e">
        <f t="shared" si="10"/>
        <v>#REF!</v>
      </c>
      <c r="M107" s="96" t="e">
        <f t="shared" si="11"/>
        <v>#REF!</v>
      </c>
    </row>
    <row r="108" spans="1:13">
      <c r="A108" s="25" t="e">
        <f t="shared" si="8"/>
        <v>#REF!</v>
      </c>
      <c r="B108" s="300" t="s">
        <v>1284</v>
      </c>
      <c r="C108" s="26" t="s">
        <v>928</v>
      </c>
      <c r="D108" s="26">
        <v>1</v>
      </c>
      <c r="E108" s="6" t="e">
        <f xml:space="preserve"> [1]!'CBG.US-PreClose'</f>
        <v>#REF!</v>
      </c>
      <c r="F108" s="6">
        <v>1295</v>
      </c>
      <c r="G108" s="74" t="e">
        <f t="shared" si="12"/>
        <v>#REF!</v>
      </c>
      <c r="H108" s="6" t="e">
        <f xml:space="preserve"> [1]!'CBG.US-Price'</f>
        <v>#REF!</v>
      </c>
      <c r="I108" s="6" t="e">
        <f xml:space="preserve"> [1]!'CBG.US-BestBid1'</f>
        <v>#REF!</v>
      </c>
      <c r="J108" s="6" t="e">
        <f xml:space="preserve"> [1]!'CBG.US-BestAsk1'</f>
        <v>#REF!</v>
      </c>
      <c r="K108" s="93" t="e">
        <f t="shared" si="9"/>
        <v>#REF!</v>
      </c>
      <c r="L108" s="93" t="e">
        <f t="shared" si="10"/>
        <v>#REF!</v>
      </c>
      <c r="M108" s="96" t="e">
        <f t="shared" si="11"/>
        <v>#REF!</v>
      </c>
    </row>
    <row r="109" spans="1:13">
      <c r="A109" s="25" t="e">
        <f t="shared" si="8"/>
        <v>#REF!</v>
      </c>
      <c r="B109" s="300" t="s">
        <v>1285</v>
      </c>
      <c r="C109" s="26" t="s">
        <v>485</v>
      </c>
      <c r="D109" s="26">
        <v>1</v>
      </c>
      <c r="E109" s="6" t="e">
        <f xml:space="preserve"> [1]!'CBOE.US-PreClose'</f>
        <v>#REF!</v>
      </c>
      <c r="F109" s="6">
        <v>398</v>
      </c>
      <c r="G109" s="74" t="e">
        <f t="shared" si="12"/>
        <v>#REF!</v>
      </c>
      <c r="H109" s="6" t="e">
        <f xml:space="preserve"> [1]!'CBOE.US-Price'</f>
        <v>#REF!</v>
      </c>
      <c r="I109" s="6" t="e">
        <f xml:space="preserve"> [1]!'CBOE.US-BestBid1'</f>
        <v>#REF!</v>
      </c>
      <c r="J109" s="6" t="e">
        <f xml:space="preserve"> [1]!'CBOE.US-BestAsk1'</f>
        <v>#REF!</v>
      </c>
      <c r="K109" s="93" t="e">
        <f t="shared" si="9"/>
        <v>#REF!</v>
      </c>
      <c r="L109" s="93" t="e">
        <f t="shared" si="10"/>
        <v>#REF!</v>
      </c>
      <c r="M109" s="96" t="e">
        <f t="shared" si="11"/>
        <v>#REF!</v>
      </c>
    </row>
    <row r="110" spans="1:13">
      <c r="A110" s="25" t="e">
        <f t="shared" si="8"/>
        <v>#REF!</v>
      </c>
      <c r="B110" s="300" t="s">
        <v>1286</v>
      </c>
      <c r="C110" s="26" t="s">
        <v>929</v>
      </c>
      <c r="D110" s="26">
        <v>1</v>
      </c>
      <c r="E110" s="6" t="e">
        <f xml:space="preserve"> [1]!'CBS.US-PreClose'</f>
        <v>#REF!</v>
      </c>
      <c r="F110" s="6">
        <v>1568</v>
      </c>
      <c r="G110" s="74" t="e">
        <f t="shared" si="12"/>
        <v>#REF!</v>
      </c>
      <c r="H110" s="6" t="e">
        <f xml:space="preserve"> [1]!'CBS.US-Price'</f>
        <v>#REF!</v>
      </c>
      <c r="I110" s="6" t="e">
        <f xml:space="preserve"> [1]!'CBS.US-BestBid1'</f>
        <v>#REF!</v>
      </c>
      <c r="J110" s="6" t="e">
        <f xml:space="preserve"> [1]!'CBS.US-BestAsk1'</f>
        <v>#REF!</v>
      </c>
      <c r="K110" s="93" t="e">
        <f t="shared" si="9"/>
        <v>#REF!</v>
      </c>
      <c r="L110" s="93" t="e">
        <f t="shared" si="10"/>
        <v>#REF!</v>
      </c>
      <c r="M110" s="96" t="e">
        <f t="shared" si="11"/>
        <v>#REF!</v>
      </c>
    </row>
    <row r="111" spans="1:13">
      <c r="A111" s="25" t="e">
        <f t="shared" si="8"/>
        <v>#REF!</v>
      </c>
      <c r="B111" s="300" t="s">
        <v>1287</v>
      </c>
      <c r="C111" s="26" t="s">
        <v>930</v>
      </c>
      <c r="D111" s="26">
        <v>1</v>
      </c>
      <c r="E111" s="6" t="e">
        <f xml:space="preserve"> [1]!'CCI.US-PreClose'</f>
        <v>#REF!</v>
      </c>
      <c r="F111" s="6">
        <v>1750</v>
      </c>
      <c r="G111" s="74" t="e">
        <f t="shared" si="12"/>
        <v>#REF!</v>
      </c>
      <c r="H111" s="6" t="e">
        <f xml:space="preserve"> [1]!'CCI.US-Price'</f>
        <v>#REF!</v>
      </c>
      <c r="I111" s="6" t="e">
        <f xml:space="preserve"> [1]!'CCI.US-BestBid1'</f>
        <v>#REF!</v>
      </c>
      <c r="J111" s="6" t="e">
        <f xml:space="preserve"> [1]!'CCI.US-BestAsk1'</f>
        <v>#REF!</v>
      </c>
      <c r="K111" s="93" t="e">
        <f t="shared" si="9"/>
        <v>#REF!</v>
      </c>
      <c r="L111" s="93" t="e">
        <f t="shared" si="10"/>
        <v>#REF!</v>
      </c>
      <c r="M111" s="96" t="e">
        <f t="shared" si="11"/>
        <v>#REF!</v>
      </c>
    </row>
    <row r="112" spans="1:13">
      <c r="A112" s="25" t="e">
        <f t="shared" si="8"/>
        <v>#REF!</v>
      </c>
      <c r="B112" s="300" t="s">
        <v>1288</v>
      </c>
      <c r="C112" s="26" t="s">
        <v>931</v>
      </c>
      <c r="D112" s="26">
        <v>1</v>
      </c>
      <c r="E112" s="6" t="e">
        <f xml:space="preserve"> [1]!'CCL.US-PreClose'</f>
        <v>#REF!</v>
      </c>
      <c r="F112" s="6">
        <v>1757</v>
      </c>
      <c r="G112" s="74" t="e">
        <f t="shared" si="12"/>
        <v>#REF!</v>
      </c>
      <c r="H112" s="6" t="e">
        <f xml:space="preserve"> [1]!'CCL.US-Price'</f>
        <v>#REF!</v>
      </c>
      <c r="I112" s="6" t="e">
        <f xml:space="preserve"> [1]!'CCL.US-BestBid1'</f>
        <v>#REF!</v>
      </c>
      <c r="J112" s="6" t="e">
        <f xml:space="preserve"> [1]!'CCL.US-BestAsk1'</f>
        <v>#REF!</v>
      </c>
      <c r="K112" s="93" t="e">
        <f t="shared" si="9"/>
        <v>#REF!</v>
      </c>
      <c r="L112" s="93" t="e">
        <f t="shared" si="10"/>
        <v>#REF!</v>
      </c>
      <c r="M112" s="96" t="e">
        <f t="shared" si="11"/>
        <v>#REF!</v>
      </c>
    </row>
    <row r="113" spans="1:13">
      <c r="A113" s="25" t="e">
        <f t="shared" si="8"/>
        <v>#REF!</v>
      </c>
      <c r="B113" s="300" t="s">
        <v>1289</v>
      </c>
      <c r="C113" s="26" t="s">
        <v>932</v>
      </c>
      <c r="D113" s="26">
        <v>1</v>
      </c>
      <c r="E113" s="6" t="e">
        <f xml:space="preserve"> [1]!'CDNS.US-PreClose'</f>
        <v>#REF!</v>
      </c>
      <c r="F113" s="6">
        <v>1189</v>
      </c>
      <c r="G113" s="74" t="e">
        <f t="shared" si="12"/>
        <v>#REF!</v>
      </c>
      <c r="H113" s="6" t="e">
        <f xml:space="preserve"> [1]!'CDNS.US-Price'</f>
        <v>#REF!</v>
      </c>
      <c r="I113" s="6" t="e">
        <f xml:space="preserve"> [1]!'CDNS.US-BestBid1'</f>
        <v>#REF!</v>
      </c>
      <c r="J113" s="6" t="e">
        <f xml:space="preserve"> [1]!'CDNS.US-BestAsk1'</f>
        <v>#REF!</v>
      </c>
      <c r="K113" s="93" t="e">
        <f t="shared" si="9"/>
        <v>#REF!</v>
      </c>
      <c r="L113" s="93" t="e">
        <f t="shared" si="10"/>
        <v>#REF!</v>
      </c>
      <c r="M113" s="96" t="e">
        <f t="shared" si="11"/>
        <v>#REF!</v>
      </c>
    </row>
    <row r="114" spans="1:13">
      <c r="A114" s="25" t="e">
        <f t="shared" si="8"/>
        <v>#REF!</v>
      </c>
      <c r="B114" s="300" t="s">
        <v>1290</v>
      </c>
      <c r="C114" s="26" t="s">
        <v>486</v>
      </c>
      <c r="D114" s="26">
        <v>1</v>
      </c>
      <c r="E114" s="6" t="e">
        <f xml:space="preserve"> [1]!'CELG.US-PreClose'</f>
        <v>#REF!</v>
      </c>
      <c r="F114" s="6">
        <v>3369</v>
      </c>
      <c r="G114" s="74" t="e">
        <f t="shared" si="12"/>
        <v>#REF!</v>
      </c>
      <c r="H114" s="6" t="e">
        <f xml:space="preserve"> [1]!'CELG.US-Price'</f>
        <v>#REF!</v>
      </c>
      <c r="I114" s="6" t="e">
        <f xml:space="preserve"> [1]!'CELG.US-BestBid1'</f>
        <v>#REF!</v>
      </c>
      <c r="J114" s="6" t="e">
        <f xml:space="preserve"> [1]!'CELG.US-BestAsk1'</f>
        <v>#REF!</v>
      </c>
      <c r="K114" s="93" t="e">
        <f t="shared" si="9"/>
        <v>#REF!</v>
      </c>
      <c r="L114" s="93" t="e">
        <f t="shared" si="10"/>
        <v>#REF!</v>
      </c>
      <c r="M114" s="96" t="e">
        <f t="shared" si="11"/>
        <v>#REF!</v>
      </c>
    </row>
    <row r="115" spans="1:13">
      <c r="A115" s="25" t="e">
        <f t="shared" si="8"/>
        <v>#REF!</v>
      </c>
      <c r="B115" s="300" t="s">
        <v>1291</v>
      </c>
      <c r="C115" s="26" t="s">
        <v>487</v>
      </c>
      <c r="D115" s="26">
        <v>1</v>
      </c>
      <c r="E115" s="6" t="e">
        <f xml:space="preserve"> [1]!'CERN.US-PreClose'</f>
        <v>#REF!</v>
      </c>
      <c r="F115" s="6">
        <v>1271</v>
      </c>
      <c r="G115" s="74" t="e">
        <f t="shared" si="12"/>
        <v>#REF!</v>
      </c>
      <c r="H115" s="6" t="e">
        <f xml:space="preserve"> [1]!'CERN.US-Price'</f>
        <v>#REF!</v>
      </c>
      <c r="I115" s="6" t="e">
        <f xml:space="preserve"> [1]!'CERN.US-BestBid1'</f>
        <v>#REF!</v>
      </c>
      <c r="J115" s="6" t="e">
        <f xml:space="preserve"> [1]!'CERN.US-BestAsk1'</f>
        <v>#REF!</v>
      </c>
      <c r="K115" s="93" t="e">
        <f t="shared" si="9"/>
        <v>#REF!</v>
      </c>
      <c r="L115" s="93" t="e">
        <f t="shared" si="10"/>
        <v>#REF!</v>
      </c>
      <c r="M115" s="96" t="e">
        <f t="shared" si="11"/>
        <v>#REF!</v>
      </c>
    </row>
    <row r="116" spans="1:13">
      <c r="A116" s="25" t="e">
        <f t="shared" si="8"/>
        <v>#REF!</v>
      </c>
      <c r="B116" s="300" t="s">
        <v>1292</v>
      </c>
      <c r="C116" s="26" t="s">
        <v>582</v>
      </c>
      <c r="D116" s="26">
        <v>1</v>
      </c>
      <c r="E116" s="6" t="e">
        <f xml:space="preserve"> [1]!'CF.US-PreClose'</f>
        <v>#REF!</v>
      </c>
      <c r="F116" s="6">
        <v>1004</v>
      </c>
      <c r="G116" s="74" t="e">
        <f t="shared" si="12"/>
        <v>#REF!</v>
      </c>
      <c r="H116" s="6" t="e">
        <f xml:space="preserve"> [1]!'CF.US-Price'</f>
        <v>#REF!</v>
      </c>
      <c r="I116" s="6" t="e">
        <f xml:space="preserve"> [1]!'CF.US-BestBid1'</f>
        <v>#REF!</v>
      </c>
      <c r="J116" s="6" t="e">
        <f xml:space="preserve"> [1]!'CF.US-BestAsk1'</f>
        <v>#REF!</v>
      </c>
      <c r="K116" s="93" t="e">
        <f t="shared" si="9"/>
        <v>#REF!</v>
      </c>
      <c r="L116" s="93" t="e">
        <f t="shared" si="10"/>
        <v>#REF!</v>
      </c>
      <c r="M116" s="96" t="e">
        <f t="shared" si="11"/>
        <v>#REF!</v>
      </c>
    </row>
    <row r="117" spans="1:13">
      <c r="A117" s="25" t="e">
        <f t="shared" si="8"/>
        <v>#REF!</v>
      </c>
      <c r="B117" s="300" t="s">
        <v>1293</v>
      </c>
      <c r="C117" s="26" t="s">
        <v>933</v>
      </c>
      <c r="D117" s="26">
        <v>1</v>
      </c>
      <c r="E117" s="6" t="e">
        <f xml:space="preserve"> [1]!'CFG.US-PreClose'</f>
        <v>#REF!</v>
      </c>
      <c r="F117" s="6">
        <v>2157</v>
      </c>
      <c r="G117" s="74" t="e">
        <f t="shared" si="12"/>
        <v>#REF!</v>
      </c>
      <c r="H117" s="6" t="e">
        <f xml:space="preserve"> [1]!'CFG.US-Price'</f>
        <v>#REF!</v>
      </c>
      <c r="I117" s="6" t="e">
        <f xml:space="preserve"> [1]!'CFG.US-BestBid1'</f>
        <v>#REF!</v>
      </c>
      <c r="J117" s="6" t="e">
        <f xml:space="preserve"> [1]!'CFG.US-BestAsk1'</f>
        <v>#REF!</v>
      </c>
      <c r="K117" s="93" t="e">
        <f t="shared" si="9"/>
        <v>#REF!</v>
      </c>
      <c r="L117" s="93" t="e">
        <f t="shared" si="10"/>
        <v>#REF!</v>
      </c>
      <c r="M117" s="96" t="e">
        <f t="shared" si="11"/>
        <v>#REF!</v>
      </c>
    </row>
    <row r="118" spans="1:13">
      <c r="A118" s="25" t="e">
        <f t="shared" si="8"/>
        <v>#REF!</v>
      </c>
      <c r="B118" s="300" t="s">
        <v>1294</v>
      </c>
      <c r="C118" s="26" t="s">
        <v>934</v>
      </c>
      <c r="D118" s="26">
        <v>1</v>
      </c>
      <c r="E118" s="6" t="e">
        <f xml:space="preserve"> [1]!'CHD.US-PreClose'</f>
        <v>#REF!</v>
      </c>
      <c r="F118" s="6">
        <v>1074</v>
      </c>
      <c r="G118" s="74" t="e">
        <f t="shared" si="12"/>
        <v>#REF!</v>
      </c>
      <c r="H118" s="6" t="e">
        <f xml:space="preserve"> [1]!'CHD.US-Price'</f>
        <v>#REF!</v>
      </c>
      <c r="I118" s="6" t="e">
        <f xml:space="preserve"> [1]!'CHD.US-BestBid1'</f>
        <v>#REF!</v>
      </c>
      <c r="J118" s="6" t="e">
        <f xml:space="preserve"> [1]!'CHD.US-BestAsk1'</f>
        <v>#REF!</v>
      </c>
      <c r="K118" s="93" t="e">
        <f t="shared" si="9"/>
        <v>#REF!</v>
      </c>
      <c r="L118" s="93" t="e">
        <f t="shared" si="10"/>
        <v>#REF!</v>
      </c>
      <c r="M118" s="96" t="e">
        <f t="shared" si="11"/>
        <v>#REF!</v>
      </c>
    </row>
    <row r="119" spans="1:13">
      <c r="A119" s="25" t="e">
        <f t="shared" si="8"/>
        <v>#REF!</v>
      </c>
      <c r="B119" s="300" t="s">
        <v>1295</v>
      </c>
      <c r="C119" s="26" t="s">
        <v>935</v>
      </c>
      <c r="D119" s="26">
        <v>1</v>
      </c>
      <c r="E119" s="6" t="e">
        <f xml:space="preserve"> [1]!'CHK.US-PreClose'</f>
        <v>#REF!</v>
      </c>
      <c r="F119" s="6">
        <v>3910</v>
      </c>
      <c r="G119" s="74" t="e">
        <f t="shared" si="12"/>
        <v>#REF!</v>
      </c>
      <c r="H119" s="6" t="e">
        <f xml:space="preserve"> [1]!'CHK.US-Price'</f>
        <v>#REF!</v>
      </c>
      <c r="I119" s="6" t="e">
        <f xml:space="preserve"> [1]!'CHK.US-BestBid1'</f>
        <v>#REF!</v>
      </c>
      <c r="J119" s="6" t="e">
        <f xml:space="preserve"> [1]!'CHK.US-BestAsk1'</f>
        <v>#REF!</v>
      </c>
      <c r="K119" s="93" t="e">
        <f t="shared" si="9"/>
        <v>#REF!</v>
      </c>
      <c r="L119" s="93" t="e">
        <f t="shared" si="10"/>
        <v>#REF!</v>
      </c>
      <c r="M119" s="96" t="e">
        <f t="shared" si="11"/>
        <v>#REF!</v>
      </c>
    </row>
    <row r="120" spans="1:13">
      <c r="A120" s="25" t="e">
        <f t="shared" si="8"/>
        <v>#REF!</v>
      </c>
      <c r="B120" s="300" t="s">
        <v>1296</v>
      </c>
      <c r="C120" s="26" t="s">
        <v>488</v>
      </c>
      <c r="D120" s="26">
        <v>1</v>
      </c>
      <c r="E120" s="6" t="e">
        <f xml:space="preserve"> [1]!'CHRW.US-PreClose'</f>
        <v>#REF!</v>
      </c>
      <c r="F120" s="6">
        <v>604</v>
      </c>
      <c r="G120" s="74" t="e">
        <f t="shared" si="12"/>
        <v>#REF!</v>
      </c>
      <c r="H120" s="6" t="e">
        <f xml:space="preserve"> [1]!'CHRW.US-Price'</f>
        <v>#REF!</v>
      </c>
      <c r="I120" s="6" t="e">
        <f xml:space="preserve"> [1]!'CHRW.US-BestBid1'</f>
        <v>#REF!</v>
      </c>
      <c r="J120" s="6" t="e">
        <f xml:space="preserve"> [1]!'CHRW.US-BestAsk1'</f>
        <v>#REF!</v>
      </c>
      <c r="K120" s="93" t="e">
        <f t="shared" si="9"/>
        <v>#REF!</v>
      </c>
      <c r="L120" s="93" t="e">
        <f t="shared" si="10"/>
        <v>#REF!</v>
      </c>
      <c r="M120" s="96" t="e">
        <f t="shared" si="11"/>
        <v>#REF!</v>
      </c>
    </row>
    <row r="121" spans="1:13">
      <c r="A121" s="25" t="e">
        <f t="shared" si="8"/>
        <v>#REF!</v>
      </c>
      <c r="B121" s="300" t="s">
        <v>1297</v>
      </c>
      <c r="C121" s="26" t="s">
        <v>489</v>
      </c>
      <c r="D121" s="26">
        <v>1</v>
      </c>
      <c r="E121" s="6" t="e">
        <f xml:space="preserve"> [1]!'CHTR.US-PreClose'</f>
        <v>#REF!</v>
      </c>
      <c r="F121" s="6">
        <v>889</v>
      </c>
      <c r="G121" s="74" t="e">
        <f t="shared" si="12"/>
        <v>#REF!</v>
      </c>
      <c r="H121" s="6" t="e">
        <f xml:space="preserve"> [1]!'CHTR.US-Price'</f>
        <v>#REF!</v>
      </c>
      <c r="I121" s="6" t="e">
        <f xml:space="preserve"> [1]!'CHTR.US-BestBid1'</f>
        <v>#REF!</v>
      </c>
      <c r="J121" s="6" t="e">
        <f xml:space="preserve"> [1]!'CHTR.US-BestAsk1'</f>
        <v>#REF!</v>
      </c>
      <c r="K121" s="93" t="e">
        <f t="shared" si="9"/>
        <v>#REF!</v>
      </c>
      <c r="L121" s="93" t="e">
        <f t="shared" si="10"/>
        <v>#REF!</v>
      </c>
      <c r="M121" s="96" t="e">
        <f t="shared" si="11"/>
        <v>#REF!</v>
      </c>
    </row>
    <row r="122" spans="1:13">
      <c r="A122" s="25" t="e">
        <f t="shared" si="8"/>
        <v>#REF!</v>
      </c>
      <c r="B122" s="300" t="s">
        <v>1298</v>
      </c>
      <c r="C122" s="26" t="s">
        <v>583</v>
      </c>
      <c r="D122" s="26">
        <v>1</v>
      </c>
      <c r="E122" s="6" t="e">
        <f xml:space="preserve"> [1]!'CI.US-PreClose'</f>
        <v>#REF!</v>
      </c>
      <c r="F122" s="6">
        <v>1085</v>
      </c>
      <c r="G122" s="74" t="e">
        <f t="shared" si="12"/>
        <v>#REF!</v>
      </c>
      <c r="H122" s="6" t="e">
        <f xml:space="preserve"> [1]!'CI.US-Price'</f>
        <v>#REF!</v>
      </c>
      <c r="I122" s="6" t="e">
        <f xml:space="preserve"> [1]!'CI.US-BestBid1'</f>
        <v>#REF!</v>
      </c>
      <c r="J122" s="6" t="e">
        <f xml:space="preserve"> [1]!'CI.US-BestAsk1'</f>
        <v>#REF!</v>
      </c>
      <c r="K122" s="93" t="e">
        <f t="shared" si="9"/>
        <v>#REF!</v>
      </c>
      <c r="L122" s="93" t="e">
        <f t="shared" si="10"/>
        <v>#REF!</v>
      </c>
      <c r="M122" s="96" t="e">
        <f t="shared" si="11"/>
        <v>#REF!</v>
      </c>
    </row>
    <row r="123" spans="1:13">
      <c r="A123" s="25" t="e">
        <f t="shared" si="8"/>
        <v>#REF!</v>
      </c>
      <c r="B123" s="300" t="s">
        <v>1299</v>
      </c>
      <c r="C123" s="26" t="s">
        <v>490</v>
      </c>
      <c r="D123" s="26">
        <v>1</v>
      </c>
      <c r="E123" s="6" t="e">
        <f xml:space="preserve"> [1]!'CINF.US-PreClose'</f>
        <v>#REF!</v>
      </c>
      <c r="F123" s="6">
        <v>643</v>
      </c>
      <c r="G123" s="74" t="e">
        <f t="shared" si="12"/>
        <v>#REF!</v>
      </c>
      <c r="H123" s="6" t="e">
        <f xml:space="preserve"> [1]!'CINF.US-Price'</f>
        <v>#REF!</v>
      </c>
      <c r="I123" s="6" t="e">
        <f xml:space="preserve"> [1]!'CINF.US-BestBid1'</f>
        <v>#REF!</v>
      </c>
      <c r="J123" s="6" t="e">
        <f xml:space="preserve"> [1]!'CINF.US-BestAsk1'</f>
        <v>#REF!</v>
      </c>
      <c r="K123" s="93" t="e">
        <f t="shared" si="9"/>
        <v>#REF!</v>
      </c>
      <c r="L123" s="93" t="e">
        <f t="shared" si="10"/>
        <v>#REF!</v>
      </c>
      <c r="M123" s="96" t="e">
        <f t="shared" si="11"/>
        <v>#REF!</v>
      </c>
    </row>
    <row r="124" spans="1:13">
      <c r="A124" s="25" t="e">
        <f t="shared" si="8"/>
        <v>#REF!</v>
      </c>
      <c r="B124" s="300" t="s">
        <v>1300</v>
      </c>
      <c r="C124" s="26" t="s">
        <v>229</v>
      </c>
      <c r="D124" s="26">
        <v>1</v>
      </c>
      <c r="E124" s="6" t="e">
        <f xml:space="preserve"> [1]!'CL.US-PreClose'</f>
        <v>#REF!</v>
      </c>
      <c r="F124" s="6">
        <v>3793</v>
      </c>
      <c r="G124" s="74" t="e">
        <f t="shared" si="12"/>
        <v>#REF!</v>
      </c>
      <c r="H124" s="6" t="e">
        <f xml:space="preserve"> [1]!'CL.US-Price'</f>
        <v>#REF!</v>
      </c>
      <c r="I124" s="6" t="e">
        <f xml:space="preserve"> [1]!'CL.US-BestBid1'</f>
        <v>#REF!</v>
      </c>
      <c r="J124" s="6" t="e">
        <f xml:space="preserve"> [1]!'CL.US-BestAsk1'</f>
        <v>#REF!</v>
      </c>
      <c r="K124" s="93" t="e">
        <f t="shared" si="9"/>
        <v>#REF!</v>
      </c>
      <c r="L124" s="93" t="e">
        <f t="shared" si="10"/>
        <v>#REF!</v>
      </c>
      <c r="M124" s="96" t="e">
        <f t="shared" si="11"/>
        <v>#REF!</v>
      </c>
    </row>
    <row r="125" spans="1:13">
      <c r="A125" s="25" t="e">
        <f t="shared" si="8"/>
        <v>#REF!</v>
      </c>
      <c r="B125" s="300" t="s">
        <v>1301</v>
      </c>
      <c r="C125" s="26" t="s">
        <v>936</v>
      </c>
      <c r="D125" s="26">
        <v>1</v>
      </c>
      <c r="E125" s="6" t="e">
        <f xml:space="preserve"> [1]!'CLX.US-PreClose'</f>
        <v>#REF!</v>
      </c>
      <c r="F125" s="6">
        <v>556</v>
      </c>
      <c r="G125" s="74" t="e">
        <f t="shared" si="12"/>
        <v>#REF!</v>
      </c>
      <c r="H125" s="6" t="e">
        <f xml:space="preserve"> [1]!'CLX.US-Price'</f>
        <v>#REF!</v>
      </c>
      <c r="I125" s="6" t="e">
        <f xml:space="preserve"> [1]!'CLX.US-BestBid1'</f>
        <v>#REF!</v>
      </c>
      <c r="J125" s="6" t="e">
        <f xml:space="preserve"> [1]!'CLX.US-BestAsk1'</f>
        <v>#REF!</v>
      </c>
      <c r="K125" s="93" t="e">
        <f t="shared" si="9"/>
        <v>#REF!</v>
      </c>
      <c r="L125" s="93" t="e">
        <f t="shared" si="10"/>
        <v>#REF!</v>
      </c>
      <c r="M125" s="96" t="e">
        <f t="shared" si="11"/>
        <v>#REF!</v>
      </c>
    </row>
    <row r="126" spans="1:13">
      <c r="A126" s="25" t="e">
        <f t="shared" si="8"/>
        <v>#REF!</v>
      </c>
      <c r="B126" s="300" t="s">
        <v>1302</v>
      </c>
      <c r="C126" s="26" t="s">
        <v>937</v>
      </c>
      <c r="D126" s="26">
        <v>1</v>
      </c>
      <c r="E126" s="6" t="e">
        <f xml:space="preserve"> [1]!'CMA.US-PreClose'</f>
        <v>#REF!</v>
      </c>
      <c r="F126" s="6">
        <v>758</v>
      </c>
      <c r="G126" s="74" t="e">
        <f t="shared" si="12"/>
        <v>#REF!</v>
      </c>
      <c r="H126" s="6" t="e">
        <f xml:space="preserve"> [1]!'CMA.US-Price'</f>
        <v>#REF!</v>
      </c>
      <c r="I126" s="6" t="e">
        <f xml:space="preserve"> [1]!'CMA.US-BestBid1'</f>
        <v>#REF!</v>
      </c>
      <c r="J126" s="6" t="e">
        <f xml:space="preserve"> [1]!'CMA.US-BestAsk1'</f>
        <v>#REF!</v>
      </c>
      <c r="K126" s="93" t="e">
        <f t="shared" si="9"/>
        <v>#REF!</v>
      </c>
      <c r="L126" s="93" t="e">
        <f t="shared" si="10"/>
        <v>#REF!</v>
      </c>
      <c r="M126" s="96" t="e">
        <f t="shared" si="11"/>
        <v>#REF!</v>
      </c>
    </row>
    <row r="127" spans="1:13">
      <c r="A127" s="25" t="e">
        <f t="shared" si="8"/>
        <v>#REF!</v>
      </c>
      <c r="B127" s="300" t="s">
        <v>1303</v>
      </c>
      <c r="C127" s="26" t="s">
        <v>938</v>
      </c>
      <c r="D127" s="26">
        <v>1</v>
      </c>
      <c r="E127" s="6" t="e">
        <f xml:space="preserve"> [1]!'CMCSA.US-PreClose'</f>
        <v>#REF!</v>
      </c>
      <c r="F127" s="6">
        <v>20257</v>
      </c>
      <c r="G127" s="74" t="e">
        <f t="shared" si="12"/>
        <v>#REF!</v>
      </c>
      <c r="H127" s="6" t="e">
        <f xml:space="preserve"> [1]!'CMCSA.US-Price'</f>
        <v>#REF!</v>
      </c>
      <c r="I127" s="6" t="e">
        <f xml:space="preserve"> [1]!'CMCSA.US-BestBid1'</f>
        <v>#REF!</v>
      </c>
      <c r="J127" s="6" t="e">
        <f xml:space="preserve"> [1]!'CMCSA.US-BestAsk1'</f>
        <v>#REF!</v>
      </c>
      <c r="K127" s="93" t="e">
        <f t="shared" si="9"/>
        <v>#REF!</v>
      </c>
      <c r="L127" s="93" t="e">
        <f t="shared" si="10"/>
        <v>#REF!</v>
      </c>
      <c r="M127" s="96" t="e">
        <f t="shared" si="11"/>
        <v>#REF!</v>
      </c>
    </row>
    <row r="128" spans="1:13">
      <c r="A128" s="25" t="e">
        <f t="shared" si="8"/>
        <v>#VALUE!</v>
      </c>
      <c r="B128" s="300" t="s">
        <v>1304</v>
      </c>
      <c r="C128" s="26" t="s">
        <v>391</v>
      </c>
      <c r="D128" s="26">
        <v>1</v>
      </c>
      <c r="E128" s="6" t="str">
        <f xml:space="preserve"> [1]!'CME.US-PreClose'</f>
        <v>N/A</v>
      </c>
      <c r="F128" s="6">
        <v>1464</v>
      </c>
      <c r="G128" s="74" t="e">
        <f t="shared" si="12"/>
        <v>#VALUE!</v>
      </c>
      <c r="H128" s="6" t="str">
        <f xml:space="preserve"> [1]!'CME.US-Price'</f>
        <v>N/A</v>
      </c>
      <c r="I128" s="6" t="str">
        <f xml:space="preserve"> [1]!'CME.US-BestBid1'</f>
        <v>N/A</v>
      </c>
      <c r="J128" s="6" t="str">
        <f xml:space="preserve"> [1]!'CME.US-BestAsk1'</f>
        <v>N/A</v>
      </c>
      <c r="K128" s="93" t="e">
        <f t="shared" si="9"/>
        <v>#VALUE!</v>
      </c>
      <c r="L128" s="93" t="e">
        <f t="shared" si="10"/>
        <v>#VALUE!</v>
      </c>
      <c r="M128" s="96" t="e">
        <f t="shared" si="11"/>
        <v>#VALUE!</v>
      </c>
    </row>
    <row r="129" spans="1:13">
      <c r="A129" s="25" t="e">
        <f t="shared" si="8"/>
        <v>#REF!</v>
      </c>
      <c r="B129" s="300" t="s">
        <v>1305</v>
      </c>
      <c r="C129" s="26" t="s">
        <v>939</v>
      </c>
      <c r="D129" s="26">
        <v>1</v>
      </c>
      <c r="E129" s="6" t="e">
        <f xml:space="preserve"> [1]!'CMG.US-PreClose'</f>
        <v>#REF!</v>
      </c>
      <c r="F129" s="6">
        <v>123</v>
      </c>
      <c r="G129" s="74" t="e">
        <f t="shared" si="12"/>
        <v>#REF!</v>
      </c>
      <c r="H129" s="6" t="e">
        <f xml:space="preserve"> [1]!'CMG.US-Price'</f>
        <v>#REF!</v>
      </c>
      <c r="I129" s="6" t="e">
        <f xml:space="preserve"> [1]!'CMG.US-BestBid1'</f>
        <v>#REF!</v>
      </c>
      <c r="J129" s="6" t="e">
        <f xml:space="preserve"> [1]!'CMG.US-BestAsk1'</f>
        <v>#REF!</v>
      </c>
      <c r="K129" s="93" t="e">
        <f t="shared" si="9"/>
        <v>#REF!</v>
      </c>
      <c r="L129" s="93" t="e">
        <f t="shared" si="10"/>
        <v>#REF!</v>
      </c>
      <c r="M129" s="96" t="e">
        <f t="shared" si="11"/>
        <v>#REF!</v>
      </c>
    </row>
    <row r="130" spans="1:13">
      <c r="A130" s="25" t="e">
        <f t="shared" si="8"/>
        <v>#REF!</v>
      </c>
      <c r="B130" s="300" t="s">
        <v>1306</v>
      </c>
      <c r="C130" s="26" t="s">
        <v>940</v>
      </c>
      <c r="D130" s="26">
        <v>1</v>
      </c>
      <c r="E130" s="6" t="e">
        <f xml:space="preserve"> [1]!'CMI.US-PreClose'</f>
        <v>#REF!</v>
      </c>
      <c r="F130" s="6">
        <v>664</v>
      </c>
      <c r="G130" s="74" t="e">
        <f t="shared" si="12"/>
        <v>#REF!</v>
      </c>
      <c r="H130" s="6" t="e">
        <f xml:space="preserve"> [1]!'CMI.US-Price'</f>
        <v>#REF!</v>
      </c>
      <c r="I130" s="6" t="e">
        <f xml:space="preserve"> [1]!'CMI.US-BestBid1'</f>
        <v>#REF!</v>
      </c>
      <c r="J130" s="6" t="e">
        <f xml:space="preserve"> [1]!'CMI.US-BestAsk1'</f>
        <v>#REF!</v>
      </c>
      <c r="K130" s="93" t="e">
        <f t="shared" si="9"/>
        <v>#REF!</v>
      </c>
      <c r="L130" s="93" t="e">
        <f t="shared" si="10"/>
        <v>#REF!</v>
      </c>
      <c r="M130" s="96" t="e">
        <f t="shared" si="11"/>
        <v>#REF!</v>
      </c>
    </row>
    <row r="131" spans="1:13">
      <c r="A131" s="25" t="e">
        <f t="shared" si="8"/>
        <v>#REF!</v>
      </c>
      <c r="B131" s="300" t="s">
        <v>1307</v>
      </c>
      <c r="C131" s="26" t="s">
        <v>941</v>
      </c>
      <c r="D131" s="26">
        <v>1</v>
      </c>
      <c r="E131" s="6" t="e">
        <f xml:space="preserve"> [1]!'CMS.US-PreClose'</f>
        <v>#REF!</v>
      </c>
      <c r="F131" s="6">
        <v>1214</v>
      </c>
      <c r="G131" s="74" t="e">
        <f t="shared" si="12"/>
        <v>#REF!</v>
      </c>
      <c r="H131" s="6" t="e">
        <f xml:space="preserve"> [1]!'CMS.US-Price'</f>
        <v>#REF!</v>
      </c>
      <c r="I131" s="6" t="e">
        <f xml:space="preserve"> [1]!'CMS.US-BestBid1'</f>
        <v>#REF!</v>
      </c>
      <c r="J131" s="6" t="e">
        <f xml:space="preserve"> [1]!'CMS.US-BestAsk1'</f>
        <v>#REF!</v>
      </c>
      <c r="K131" s="93" t="e">
        <f t="shared" si="9"/>
        <v>#REF!</v>
      </c>
      <c r="L131" s="93" t="e">
        <f t="shared" si="10"/>
        <v>#REF!</v>
      </c>
      <c r="M131" s="96" t="e">
        <f t="shared" si="11"/>
        <v>#REF!</v>
      </c>
    </row>
    <row r="132" spans="1:13">
      <c r="A132" s="25" t="e">
        <f t="shared" si="8"/>
        <v>#REF!</v>
      </c>
      <c r="B132" s="300" t="s">
        <v>1308</v>
      </c>
      <c r="C132" s="26" t="s">
        <v>942</v>
      </c>
      <c r="D132" s="26">
        <v>1</v>
      </c>
      <c r="E132" s="6" t="e">
        <f xml:space="preserve"> [1]!'CNC.US-PreClose'</f>
        <v>#REF!</v>
      </c>
      <c r="F132" s="6">
        <v>743</v>
      </c>
      <c r="G132" s="74" t="e">
        <f t="shared" si="12"/>
        <v>#REF!</v>
      </c>
      <c r="H132" s="6" t="e">
        <f xml:space="preserve"> [1]!'CNC.US-Price'</f>
        <v>#REF!</v>
      </c>
      <c r="I132" s="6" t="e">
        <f xml:space="preserve"> [1]!'CNC.US-BestBid1'</f>
        <v>#REF!</v>
      </c>
      <c r="J132" s="6" t="e">
        <f xml:space="preserve"> [1]!'CNC.US-BestAsk1'</f>
        <v>#REF!</v>
      </c>
      <c r="K132" s="93" t="e">
        <f t="shared" si="9"/>
        <v>#REF!</v>
      </c>
      <c r="L132" s="93" t="e">
        <f t="shared" si="10"/>
        <v>#REF!</v>
      </c>
      <c r="M132" s="96" t="e">
        <f t="shared" si="11"/>
        <v>#REF!</v>
      </c>
    </row>
    <row r="133" spans="1:13">
      <c r="A133" s="25" t="e">
        <f t="shared" si="8"/>
        <v>#VALUE!</v>
      </c>
      <c r="B133" s="300" t="s">
        <v>1309</v>
      </c>
      <c r="C133" s="26" t="s">
        <v>943</v>
      </c>
      <c r="D133" s="26">
        <v>1</v>
      </c>
      <c r="E133" s="6" t="str">
        <f xml:space="preserve"> [1]!'CNP.US-PreClose'</f>
        <v>N/A</v>
      </c>
      <c r="F133" s="6">
        <v>1856</v>
      </c>
      <c r="G133" s="74" t="e">
        <f t="shared" si="12"/>
        <v>#VALUE!</v>
      </c>
      <c r="H133" s="6" t="str">
        <f xml:space="preserve"> [1]!'CNP.US-Price'</f>
        <v>N/A</v>
      </c>
      <c r="I133" s="6" t="str">
        <f xml:space="preserve"> [1]!'CNP.US-BestBid1'</f>
        <v>N/A</v>
      </c>
      <c r="J133" s="6" t="str">
        <f xml:space="preserve"> [1]!'CNP.US-BestAsk1'</f>
        <v>N/A</v>
      </c>
      <c r="K133" s="93" t="e">
        <f t="shared" si="9"/>
        <v>#VALUE!</v>
      </c>
      <c r="L133" s="93" t="e">
        <f t="shared" si="10"/>
        <v>#VALUE!</v>
      </c>
      <c r="M133" s="96" t="e">
        <f t="shared" si="11"/>
        <v>#VALUE!</v>
      </c>
    </row>
    <row r="134" spans="1:13">
      <c r="A134" s="25" t="e">
        <f t="shared" si="8"/>
        <v>#REF!</v>
      </c>
      <c r="B134" s="300" t="s">
        <v>1310</v>
      </c>
      <c r="C134" s="26" t="s">
        <v>944</v>
      </c>
      <c r="D134" s="26">
        <v>1</v>
      </c>
      <c r="E134" s="6" t="e">
        <f xml:space="preserve"> [1]!'COF.US-PreClose'</f>
        <v>#REF!</v>
      </c>
      <c r="F134" s="6">
        <v>2083</v>
      </c>
      <c r="G134" s="74" t="e">
        <f t="shared" si="12"/>
        <v>#REF!</v>
      </c>
      <c r="H134" s="6" t="e">
        <f xml:space="preserve"> [1]!'COF.US-Price'</f>
        <v>#REF!</v>
      </c>
      <c r="I134" s="6" t="e">
        <f xml:space="preserve"> [1]!'COF.US-BestBid1'</f>
        <v>#REF!</v>
      </c>
      <c r="J134" s="6" t="e">
        <f xml:space="preserve"> [1]!'COF.US-BestAsk1'</f>
        <v>#REF!</v>
      </c>
      <c r="K134" s="93" t="e">
        <f t="shared" si="9"/>
        <v>#REF!</v>
      </c>
      <c r="L134" s="93" t="e">
        <f t="shared" si="10"/>
        <v>#REF!</v>
      </c>
      <c r="M134" s="96" t="e">
        <f t="shared" si="11"/>
        <v>#REF!</v>
      </c>
    </row>
    <row r="135" spans="1:13">
      <c r="A135" s="25" t="e">
        <f t="shared" si="8"/>
        <v>#REF!</v>
      </c>
      <c r="B135" s="300" t="s">
        <v>1311</v>
      </c>
      <c r="C135" s="26" t="s">
        <v>945</v>
      </c>
      <c r="D135" s="26">
        <v>1</v>
      </c>
      <c r="E135" s="6" t="e">
        <f xml:space="preserve"> [1]!'COG.US-PreClose'</f>
        <v>#REF!</v>
      </c>
      <c r="F135" s="6">
        <v>1992</v>
      </c>
      <c r="G135" s="74" t="e">
        <f t="shared" si="12"/>
        <v>#REF!</v>
      </c>
      <c r="H135" s="6" t="e">
        <f xml:space="preserve"> [1]!'COG.US-Price'</f>
        <v>#REF!</v>
      </c>
      <c r="I135" s="6" t="e">
        <f xml:space="preserve"> [1]!'COG.US-BestBid1'</f>
        <v>#REF!</v>
      </c>
      <c r="J135" s="6" t="e">
        <f xml:space="preserve"> [1]!'COG.US-BestAsk1'</f>
        <v>#REF!</v>
      </c>
      <c r="K135" s="93" t="e">
        <f t="shared" si="9"/>
        <v>#REF!</v>
      </c>
      <c r="L135" s="93" t="e">
        <f t="shared" si="10"/>
        <v>#REF!</v>
      </c>
      <c r="M135" s="96" t="e">
        <f t="shared" si="11"/>
        <v>#REF!</v>
      </c>
    </row>
    <row r="136" spans="1:13">
      <c r="A136" s="25" t="e">
        <f t="shared" si="8"/>
        <v>#REF!</v>
      </c>
      <c r="B136" s="300" t="s">
        <v>1312</v>
      </c>
      <c r="C136" s="26" t="s">
        <v>946</v>
      </c>
      <c r="D136" s="26">
        <v>1</v>
      </c>
      <c r="E136" s="6" t="e">
        <f xml:space="preserve"> [1]!'COH.US-PreClose'</f>
        <v>#REF!</v>
      </c>
      <c r="F136" s="6">
        <v>1217</v>
      </c>
      <c r="G136" s="74" t="e">
        <f t="shared" si="12"/>
        <v>#REF!</v>
      </c>
      <c r="H136" s="6" t="e">
        <f xml:space="preserve"> [1]!'COH.US-Price'</f>
        <v>#REF!</v>
      </c>
      <c r="I136" s="6" t="e">
        <f xml:space="preserve"> [1]!'COH.US-BestBid1'</f>
        <v>#REF!</v>
      </c>
      <c r="J136" s="6" t="e">
        <f xml:space="preserve"> [1]!'COH.US-BestAsk1'</f>
        <v>#REF!</v>
      </c>
      <c r="K136" s="93" t="e">
        <f t="shared" si="9"/>
        <v>#REF!</v>
      </c>
      <c r="L136" s="93" t="e">
        <f t="shared" si="10"/>
        <v>#REF!</v>
      </c>
      <c r="M136" s="96" t="e">
        <f t="shared" si="11"/>
        <v>#REF!</v>
      </c>
    </row>
    <row r="137" spans="1:13">
      <c r="A137" s="25" t="e">
        <f t="shared" si="8"/>
        <v>#REF!</v>
      </c>
      <c r="B137" s="300" t="s">
        <v>1313</v>
      </c>
      <c r="C137" s="26" t="s">
        <v>947</v>
      </c>
      <c r="D137" s="26">
        <v>1</v>
      </c>
      <c r="E137" s="6" t="e">
        <f xml:space="preserve"> [1]!'COL.US-PreClose'</f>
        <v>#REF!</v>
      </c>
      <c r="F137" s="6">
        <v>700</v>
      </c>
      <c r="G137" s="74" t="e">
        <f t="shared" si="12"/>
        <v>#REF!</v>
      </c>
      <c r="H137" s="6" t="e">
        <f xml:space="preserve"> [1]!'COL.US-Price'</f>
        <v>#REF!</v>
      </c>
      <c r="I137" s="6" t="e">
        <f xml:space="preserve"> [1]!'COL.US-BestBid1'</f>
        <v>#REF!</v>
      </c>
      <c r="J137" s="6" t="e">
        <f xml:space="preserve"> [1]!'COL.US-BestAsk1'</f>
        <v>#REF!</v>
      </c>
      <c r="K137" s="93" t="e">
        <f t="shared" si="9"/>
        <v>#REF!</v>
      </c>
      <c r="L137" s="93" t="e">
        <f t="shared" si="10"/>
        <v>#REF!</v>
      </c>
      <c r="M137" s="96" t="e">
        <f t="shared" si="11"/>
        <v>#REF!</v>
      </c>
    </row>
    <row r="138" spans="1:13">
      <c r="A138" s="25" t="e">
        <f t="shared" si="8"/>
        <v>#REF!</v>
      </c>
      <c r="B138" s="300" t="s">
        <v>1314</v>
      </c>
      <c r="C138" s="26" t="s">
        <v>948</v>
      </c>
      <c r="D138" s="26">
        <v>1</v>
      </c>
      <c r="E138" s="6" t="e">
        <f xml:space="preserve"> [1]!'COO.US-PreClose'</f>
        <v>#REF!</v>
      </c>
      <c r="F138" s="6">
        <v>210</v>
      </c>
      <c r="G138" s="74" t="e">
        <f t="shared" si="12"/>
        <v>#REF!</v>
      </c>
      <c r="H138" s="6" t="e">
        <f xml:space="preserve"> [1]!'COO.US-Price'</f>
        <v>#REF!</v>
      </c>
      <c r="I138" s="6" t="e">
        <f xml:space="preserve"> [1]!'COO.US-BestBid1'</f>
        <v>#REF!</v>
      </c>
      <c r="J138" s="6" t="e">
        <f xml:space="preserve"> [1]!'COO.US-BestAsk1'</f>
        <v>#REF!</v>
      </c>
      <c r="K138" s="93" t="e">
        <f t="shared" si="9"/>
        <v>#REF!</v>
      </c>
      <c r="L138" s="93" t="e">
        <f t="shared" si="10"/>
        <v>#REF!</v>
      </c>
      <c r="M138" s="96" t="e">
        <f t="shared" si="11"/>
        <v>#REF!</v>
      </c>
    </row>
    <row r="139" spans="1:13">
      <c r="A139" s="25" t="e">
        <f t="shared" si="8"/>
        <v>#REF!</v>
      </c>
      <c r="B139" s="300" t="s">
        <v>1315</v>
      </c>
      <c r="C139" s="26" t="s">
        <v>949</v>
      </c>
      <c r="D139" s="26">
        <v>1</v>
      </c>
      <c r="E139" s="6" t="e">
        <f xml:space="preserve"> [1]!'COP.US-PreClose'</f>
        <v>#REF!</v>
      </c>
      <c r="F139" s="6">
        <v>5241</v>
      </c>
      <c r="G139" s="74" t="e">
        <f t="shared" si="12"/>
        <v>#REF!</v>
      </c>
      <c r="H139" s="6" t="e">
        <f xml:space="preserve"> [1]!'COP.US-Price'</f>
        <v>#REF!</v>
      </c>
      <c r="I139" s="6" t="e">
        <f xml:space="preserve"> [1]!'COP.US-BestBid1'</f>
        <v>#REF!</v>
      </c>
      <c r="J139" s="6" t="e">
        <f xml:space="preserve"> [1]!'COP.US-BestAsk1'</f>
        <v>#REF!</v>
      </c>
      <c r="K139" s="93" t="e">
        <f t="shared" si="9"/>
        <v>#REF!</v>
      </c>
      <c r="L139" s="93" t="e">
        <f t="shared" si="10"/>
        <v>#REF!</v>
      </c>
      <c r="M139" s="96" t="e">
        <f t="shared" si="11"/>
        <v>#REF!</v>
      </c>
    </row>
    <row r="140" spans="1:13">
      <c r="A140" s="25" t="e">
        <f t="shared" si="8"/>
        <v>#REF!</v>
      </c>
      <c r="B140" s="300" t="s">
        <v>1316</v>
      </c>
      <c r="C140" s="26" t="s">
        <v>491</v>
      </c>
      <c r="D140" s="26">
        <v>1</v>
      </c>
      <c r="E140" s="6" t="e">
        <f xml:space="preserve"> [1]!'COST.US-PreClose'</f>
        <v>#REF!</v>
      </c>
      <c r="F140" s="6">
        <v>1889</v>
      </c>
      <c r="G140" s="74" t="e">
        <f t="shared" si="12"/>
        <v>#REF!</v>
      </c>
      <c r="H140" s="6" t="e">
        <f xml:space="preserve"> [1]!'COST.US-Price'</f>
        <v>#REF!</v>
      </c>
      <c r="I140" s="6" t="e">
        <f xml:space="preserve"> [1]!'COST.US-BestBid1'</f>
        <v>#REF!</v>
      </c>
      <c r="J140" s="6" t="e">
        <f xml:space="preserve"> [1]!'COST.US-BestAsk1'</f>
        <v>#REF!</v>
      </c>
      <c r="K140" s="93" t="e">
        <f t="shared" si="9"/>
        <v>#REF!</v>
      </c>
      <c r="L140" s="93" t="e">
        <f t="shared" si="10"/>
        <v>#REF!</v>
      </c>
      <c r="M140" s="96" t="e">
        <f t="shared" si="11"/>
        <v>#REF!</v>
      </c>
    </row>
    <row r="141" spans="1:13">
      <c r="A141" s="25" t="e">
        <f t="shared" si="8"/>
        <v>#REF!</v>
      </c>
      <c r="B141" s="300" t="s">
        <v>1317</v>
      </c>
      <c r="C141" s="26" t="s">
        <v>492</v>
      </c>
      <c r="D141" s="26">
        <v>1</v>
      </c>
      <c r="E141" s="6" t="e">
        <f xml:space="preserve"> [1]!'COTY.US-PreClose'</f>
        <v>#REF!</v>
      </c>
      <c r="F141" s="6">
        <v>2031</v>
      </c>
      <c r="G141" s="74" t="e">
        <f t="shared" si="12"/>
        <v>#REF!</v>
      </c>
      <c r="H141" s="6" t="e">
        <f xml:space="preserve"> [1]!'COTY.US-Price'</f>
        <v>#REF!</v>
      </c>
      <c r="I141" s="6" t="e">
        <f xml:space="preserve"> [1]!'COTY.US-BestBid1'</f>
        <v>#REF!</v>
      </c>
      <c r="J141" s="6" t="e">
        <f xml:space="preserve"> [1]!'COTY.US-BestAsk1'</f>
        <v>#REF!</v>
      </c>
      <c r="K141" s="93" t="e">
        <f t="shared" si="9"/>
        <v>#REF!</v>
      </c>
      <c r="L141" s="93" t="e">
        <f t="shared" si="10"/>
        <v>#REF!</v>
      </c>
      <c r="M141" s="96" t="e">
        <f t="shared" si="11"/>
        <v>#REF!</v>
      </c>
    </row>
    <row r="142" spans="1:13">
      <c r="A142" s="25" t="e">
        <f t="shared" si="8"/>
        <v>#REF!</v>
      </c>
      <c r="B142" s="300" t="s">
        <v>1318</v>
      </c>
      <c r="C142" s="26" t="s">
        <v>950</v>
      </c>
      <c r="D142" s="26">
        <v>1</v>
      </c>
      <c r="E142" s="6" t="e">
        <f xml:space="preserve"> [1]!'CPB.US-PreClose'</f>
        <v>#REF!</v>
      </c>
      <c r="F142" s="6">
        <v>822</v>
      </c>
      <c r="G142" s="74" t="e">
        <f t="shared" si="12"/>
        <v>#REF!</v>
      </c>
      <c r="H142" s="6" t="e">
        <f xml:space="preserve"> [1]!'CPB.US-Price'</f>
        <v>#REF!</v>
      </c>
      <c r="I142" s="6" t="e">
        <f xml:space="preserve"> [1]!'CPB.US-BestBid1'</f>
        <v>#REF!</v>
      </c>
      <c r="J142" s="6" t="e">
        <f xml:space="preserve"> [1]!'CPB.US-BestAsk1'</f>
        <v>#REF!</v>
      </c>
      <c r="K142" s="93" t="e">
        <f t="shared" si="9"/>
        <v>#REF!</v>
      </c>
      <c r="L142" s="93" t="e">
        <f t="shared" si="10"/>
        <v>#REF!</v>
      </c>
      <c r="M142" s="96" t="e">
        <f t="shared" si="11"/>
        <v>#REF!</v>
      </c>
    </row>
    <row r="143" spans="1:13">
      <c r="A143" s="25" t="e">
        <f t="shared" si="8"/>
        <v>#REF!</v>
      </c>
      <c r="B143" s="300" t="s">
        <v>1319</v>
      </c>
      <c r="C143" s="26" t="s">
        <v>951</v>
      </c>
      <c r="D143" s="26">
        <v>1</v>
      </c>
      <c r="E143" s="6" t="e">
        <f xml:space="preserve"> [1]!'CRM.US-PreClose'</f>
        <v>#REF!</v>
      </c>
      <c r="F143" s="6">
        <v>2909</v>
      </c>
      <c r="G143" s="74" t="e">
        <f t="shared" si="12"/>
        <v>#REF!</v>
      </c>
      <c r="H143" s="6" t="e">
        <f xml:space="preserve"> [1]!'CRM.US-Price'</f>
        <v>#REF!</v>
      </c>
      <c r="I143" s="6" t="e">
        <f xml:space="preserve"> [1]!'CRM.US-BestBid1'</f>
        <v>#REF!</v>
      </c>
      <c r="J143" s="6" t="e">
        <f xml:space="preserve"> [1]!'CRM.US-BestAsk1'</f>
        <v>#REF!</v>
      </c>
      <c r="K143" s="93" t="e">
        <f t="shared" si="9"/>
        <v>#REF!</v>
      </c>
      <c r="L143" s="93" t="e">
        <f t="shared" si="10"/>
        <v>#REF!</v>
      </c>
      <c r="M143" s="96" t="e">
        <f t="shared" si="11"/>
        <v>#REF!</v>
      </c>
    </row>
    <row r="144" spans="1:13">
      <c r="A144" s="25" t="e">
        <f t="shared" si="8"/>
        <v>#REF!</v>
      </c>
      <c r="B144" s="300" t="s">
        <v>1320</v>
      </c>
      <c r="C144" s="26" t="s">
        <v>493</v>
      </c>
      <c r="D144" s="26">
        <v>1</v>
      </c>
      <c r="E144" s="6" t="e">
        <f xml:space="preserve"> [1]!'CSCO.US-PreClose'</f>
        <v>#REF!</v>
      </c>
      <c r="F144" s="6">
        <v>21532</v>
      </c>
      <c r="G144" s="74" t="e">
        <f t="shared" si="12"/>
        <v>#REF!</v>
      </c>
      <c r="H144" s="6" t="e">
        <f xml:space="preserve"> [1]!'CSCO.US-Price'</f>
        <v>#REF!</v>
      </c>
      <c r="I144" s="6" t="e">
        <f xml:space="preserve"> [1]!'CSCO.US-BestBid1'</f>
        <v>#REF!</v>
      </c>
      <c r="J144" s="6" t="e">
        <f xml:space="preserve"> [1]!'CSCO.US-BestAsk1'</f>
        <v>#REF!</v>
      </c>
      <c r="K144" s="93" t="e">
        <f t="shared" si="9"/>
        <v>#REF!</v>
      </c>
      <c r="L144" s="93" t="e">
        <f t="shared" si="10"/>
        <v>#REF!</v>
      </c>
      <c r="M144" s="96" t="e">
        <f t="shared" si="11"/>
        <v>#REF!</v>
      </c>
    </row>
    <row r="145" spans="1:13">
      <c r="A145" s="25" t="e">
        <f t="shared" si="8"/>
        <v>#REF!</v>
      </c>
      <c r="B145" s="300" t="s">
        <v>1321</v>
      </c>
      <c r="C145" s="26" t="s">
        <v>494</v>
      </c>
      <c r="D145" s="26">
        <v>1</v>
      </c>
      <c r="E145" s="6" t="e">
        <f xml:space="preserve"> [1]!'CSRA.US-PreClose'</f>
        <v>#REF!</v>
      </c>
      <c r="F145" s="6">
        <v>627</v>
      </c>
      <c r="G145" s="74" t="e">
        <f t="shared" si="12"/>
        <v>#REF!</v>
      </c>
      <c r="H145" s="6" t="e">
        <f xml:space="preserve"> [1]!'CSRA.US-Price'</f>
        <v>#REF!</v>
      </c>
      <c r="I145" s="6" t="e">
        <f xml:space="preserve"> [1]!'CSRA.US-BestBid1'</f>
        <v>#REF!</v>
      </c>
      <c r="J145" s="6" t="e">
        <f xml:space="preserve"> [1]!'CSRA.US-BestAsk1'</f>
        <v>#REF!</v>
      </c>
      <c r="K145" s="93" t="e">
        <f t="shared" si="9"/>
        <v>#REF!</v>
      </c>
      <c r="L145" s="93" t="e">
        <f t="shared" si="10"/>
        <v>#REF!</v>
      </c>
      <c r="M145" s="96" t="e">
        <f t="shared" si="11"/>
        <v>#REF!</v>
      </c>
    </row>
    <row r="146" spans="1:13">
      <c r="A146" s="25" t="e">
        <f t="shared" si="8"/>
        <v>#REF!</v>
      </c>
      <c r="B146" s="300" t="s">
        <v>1322</v>
      </c>
      <c r="C146" s="26" t="s">
        <v>952</v>
      </c>
      <c r="D146" s="26">
        <v>1</v>
      </c>
      <c r="E146" s="6" t="e">
        <f xml:space="preserve"> [1]!'CSX.US-PreClose'</f>
        <v>#REF!</v>
      </c>
      <c r="F146" s="6">
        <v>3934</v>
      </c>
      <c r="G146" s="74" t="e">
        <f t="shared" si="12"/>
        <v>#REF!</v>
      </c>
      <c r="H146" s="6" t="e">
        <f xml:space="preserve"> [1]!'CSX.US-Price'</f>
        <v>#REF!</v>
      </c>
      <c r="I146" s="6" t="e">
        <f xml:space="preserve"> [1]!'CSX.US-BestBid1'</f>
        <v>#REF!</v>
      </c>
      <c r="J146" s="6" t="e">
        <f xml:space="preserve"> [1]!'CSX.US-BestAsk1'</f>
        <v>#REF!</v>
      </c>
      <c r="K146" s="93" t="e">
        <f t="shared" si="9"/>
        <v>#REF!</v>
      </c>
      <c r="L146" s="93" t="e">
        <f t="shared" si="10"/>
        <v>#REF!</v>
      </c>
      <c r="M146" s="96" t="e">
        <f t="shared" si="11"/>
        <v>#REF!</v>
      </c>
    </row>
    <row r="147" spans="1:13">
      <c r="A147" s="25" t="e">
        <f t="shared" si="8"/>
        <v>#REF!</v>
      </c>
      <c r="B147" s="300" t="s">
        <v>1323</v>
      </c>
      <c r="C147" s="26" t="s">
        <v>495</v>
      </c>
      <c r="D147" s="26">
        <v>1</v>
      </c>
      <c r="E147" s="6" t="e">
        <f xml:space="preserve"> [1]!'CTAS.US-PreClose'</f>
        <v>#REF!</v>
      </c>
      <c r="F147" s="6">
        <v>372</v>
      </c>
      <c r="G147" s="74" t="e">
        <f t="shared" si="12"/>
        <v>#REF!</v>
      </c>
      <c r="H147" s="6" t="e">
        <f xml:space="preserve"> [1]!'CTAS.US-Price'</f>
        <v>#REF!</v>
      </c>
      <c r="I147" s="6" t="e">
        <f xml:space="preserve"> [1]!'CTAS.US-BestBid1'</f>
        <v>#REF!</v>
      </c>
      <c r="J147" s="6" t="e">
        <f xml:space="preserve"> [1]!'CTAS.US-BestAsk1'</f>
        <v>#REF!</v>
      </c>
      <c r="K147" s="93" t="e">
        <f t="shared" si="9"/>
        <v>#REF!</v>
      </c>
      <c r="L147" s="93" t="e">
        <f t="shared" si="10"/>
        <v>#REF!</v>
      </c>
      <c r="M147" s="96" t="e">
        <f t="shared" si="11"/>
        <v>#REF!</v>
      </c>
    </row>
    <row r="148" spans="1:13">
      <c r="A148" s="25" t="e">
        <f t="shared" si="8"/>
        <v>#REF!</v>
      </c>
      <c r="B148" s="300" t="s">
        <v>1324</v>
      </c>
      <c r="C148" s="26" t="s">
        <v>953</v>
      </c>
      <c r="D148" s="26">
        <v>1</v>
      </c>
      <c r="E148" s="6" t="e">
        <f xml:space="preserve"> [1]!'CTL.US-PreClose'</f>
        <v>#REF!</v>
      </c>
      <c r="F148" s="6">
        <v>2367</v>
      </c>
      <c r="G148" s="74" t="e">
        <f t="shared" si="12"/>
        <v>#REF!</v>
      </c>
      <c r="H148" s="6" t="e">
        <f xml:space="preserve"> [1]!'CTL.US-Price'</f>
        <v>#REF!</v>
      </c>
      <c r="I148" s="6" t="e">
        <f xml:space="preserve"> [1]!'CTL.US-BestBid1'</f>
        <v>#REF!</v>
      </c>
      <c r="J148" s="6" t="e">
        <f xml:space="preserve"> [1]!'CTL.US-BestAsk1'</f>
        <v>#REF!</v>
      </c>
      <c r="K148" s="93" t="e">
        <f t="shared" si="9"/>
        <v>#REF!</v>
      </c>
      <c r="L148" s="93" t="e">
        <f t="shared" si="10"/>
        <v>#REF!</v>
      </c>
      <c r="M148" s="96" t="e">
        <f t="shared" si="11"/>
        <v>#REF!</v>
      </c>
    </row>
    <row r="149" spans="1:13">
      <c r="A149" s="25" t="e">
        <f t="shared" si="8"/>
        <v>#REF!</v>
      </c>
      <c r="B149" s="300" t="s">
        <v>1325</v>
      </c>
      <c r="C149" s="26" t="s">
        <v>496</v>
      </c>
      <c r="D149" s="26">
        <v>1</v>
      </c>
      <c r="E149" s="6" t="e">
        <f xml:space="preserve"> [1]!'CTSH.US-PreClose'</f>
        <v>#REF!</v>
      </c>
      <c r="F149" s="6">
        <v>2543</v>
      </c>
      <c r="G149" s="74" t="e">
        <f t="shared" si="12"/>
        <v>#REF!</v>
      </c>
      <c r="H149" s="6" t="e">
        <f xml:space="preserve"> [1]!'CTSH.US-Price'</f>
        <v>#REF!</v>
      </c>
      <c r="I149" s="6" t="e">
        <f xml:space="preserve"> [1]!'CTSH.US-BestBid1'</f>
        <v>#REF!</v>
      </c>
      <c r="J149" s="6" t="e">
        <f xml:space="preserve"> [1]!'CTSH.US-BestAsk1'</f>
        <v>#REF!</v>
      </c>
      <c r="K149" s="93" t="e">
        <f t="shared" si="9"/>
        <v>#REF!</v>
      </c>
      <c r="L149" s="93" t="e">
        <f t="shared" si="10"/>
        <v>#REF!</v>
      </c>
      <c r="M149" s="96" t="e">
        <f t="shared" si="11"/>
        <v>#REF!</v>
      </c>
    </row>
    <row r="150" spans="1:13">
      <c r="A150" s="25" t="e">
        <f t="shared" si="8"/>
        <v>#REF!</v>
      </c>
      <c r="B150" s="300" t="s">
        <v>1326</v>
      </c>
      <c r="C150" s="26" t="s">
        <v>497</v>
      </c>
      <c r="D150" s="26">
        <v>1</v>
      </c>
      <c r="E150" s="6" t="e">
        <f xml:space="preserve"> [1]!'CTXS.US-PreClose'</f>
        <v>#REF!</v>
      </c>
      <c r="F150" s="6">
        <v>652</v>
      </c>
      <c r="G150" s="74" t="e">
        <f t="shared" si="12"/>
        <v>#REF!</v>
      </c>
      <c r="H150" s="6" t="e">
        <f xml:space="preserve"> [1]!'CTXS.US-Price'</f>
        <v>#REF!</v>
      </c>
      <c r="I150" s="6" t="e">
        <f xml:space="preserve"> [1]!'CTXS.US-BestBid1'</f>
        <v>#REF!</v>
      </c>
      <c r="J150" s="6" t="e">
        <f xml:space="preserve"> [1]!'CTXS.US-BestAsk1'</f>
        <v>#REF!</v>
      </c>
      <c r="K150" s="93" t="e">
        <f t="shared" si="9"/>
        <v>#REF!</v>
      </c>
      <c r="L150" s="93" t="e">
        <f t="shared" si="10"/>
        <v>#REF!</v>
      </c>
      <c r="M150" s="96" t="e">
        <f t="shared" si="11"/>
        <v>#REF!</v>
      </c>
    </row>
    <row r="151" spans="1:13">
      <c r="A151" s="25" t="e">
        <f t="shared" ref="A151:A214" si="13">G151/$C$6</f>
        <v>#REF!</v>
      </c>
      <c r="B151" s="300" t="s">
        <v>1327</v>
      </c>
      <c r="C151" s="26" t="s">
        <v>954</v>
      </c>
      <c r="D151" s="26">
        <v>1</v>
      </c>
      <c r="E151" s="6" t="e">
        <f xml:space="preserve"> [1]!'CVS.US-PreClose'</f>
        <v>#REF!</v>
      </c>
      <c r="F151" s="6">
        <v>4378</v>
      </c>
      <c r="G151" s="74" t="e">
        <f t="shared" si="12"/>
        <v>#REF!</v>
      </c>
      <c r="H151" s="6" t="e">
        <f xml:space="preserve"> [1]!'CVS.US-Price'</f>
        <v>#REF!</v>
      </c>
      <c r="I151" s="6" t="e">
        <f xml:space="preserve"> [1]!'CVS.US-BestBid1'</f>
        <v>#REF!</v>
      </c>
      <c r="J151" s="6" t="e">
        <f xml:space="preserve"> [1]!'CVS.US-BestAsk1'</f>
        <v>#REF!</v>
      </c>
      <c r="K151" s="93" t="e">
        <f t="shared" ref="K151:K214" si="14">IF(ISNUMBER(H151)=TRUE,H151*F151*D151,E151*F151*D151)*$N$2</f>
        <v>#REF!</v>
      </c>
      <c r="L151" s="93" t="e">
        <f t="shared" ref="L151:L214" si="15">IF(ISNUMBER(I151)=TRUE,I151*F151*D151,E151*F151*D151)*$N$2</f>
        <v>#REF!</v>
      </c>
      <c r="M151" s="96" t="e">
        <f t="shared" ref="M151:M214" si="16">IF(ISNUMBER(J151)=TRUE,J151*F151*D151,E151*F151*D151)*$N$2</f>
        <v>#REF!</v>
      </c>
    </row>
    <row r="152" spans="1:13">
      <c r="A152" s="25" t="e">
        <f t="shared" si="13"/>
        <v>#VALUE!</v>
      </c>
      <c r="B152" s="300" t="s">
        <v>1328</v>
      </c>
      <c r="C152" s="26" t="s">
        <v>955</v>
      </c>
      <c r="D152" s="26">
        <v>1</v>
      </c>
      <c r="E152" s="6" t="str">
        <f xml:space="preserve"> [1]!'CVX.US-PreClose'</f>
        <v>N/A</v>
      </c>
      <c r="F152" s="6">
        <v>8161</v>
      </c>
      <c r="G152" s="74" t="e">
        <f t="shared" si="12"/>
        <v>#VALUE!</v>
      </c>
      <c r="H152" s="6" t="str">
        <f xml:space="preserve"> [1]!'CVX.US-Price'</f>
        <v>N/A</v>
      </c>
      <c r="I152" s="6" t="str">
        <f xml:space="preserve"> [1]!'CVX.US-BestBid1'</f>
        <v>N/A</v>
      </c>
      <c r="J152" s="6" t="str">
        <f xml:space="preserve"> [1]!'CVX.US-BestAsk1'</f>
        <v>N/A</v>
      </c>
      <c r="K152" s="93" t="e">
        <f t="shared" si="14"/>
        <v>#VALUE!</v>
      </c>
      <c r="L152" s="93" t="e">
        <f t="shared" si="15"/>
        <v>#VALUE!</v>
      </c>
      <c r="M152" s="96" t="e">
        <f t="shared" si="16"/>
        <v>#VALUE!</v>
      </c>
    </row>
    <row r="153" spans="1:13">
      <c r="A153" s="25" t="e">
        <f t="shared" si="13"/>
        <v>#REF!</v>
      </c>
      <c r="B153" s="300" t="s">
        <v>1329</v>
      </c>
      <c r="C153" s="26" t="s">
        <v>956</v>
      </c>
      <c r="D153" s="26">
        <v>1</v>
      </c>
      <c r="E153" s="6" t="e">
        <f xml:space="preserve"> [1]!'CXO.US-PreClose'</f>
        <v>#REF!</v>
      </c>
      <c r="F153" s="6">
        <v>640</v>
      </c>
      <c r="G153" s="74" t="e">
        <f t="shared" ref="G153:G216" si="17">D153*E153*F153*$O$2</f>
        <v>#REF!</v>
      </c>
      <c r="H153" s="6" t="e">
        <f xml:space="preserve"> [1]!'CXO.US-Price'</f>
        <v>#REF!</v>
      </c>
      <c r="I153" s="6" t="e">
        <f xml:space="preserve"> [1]!'CXO.US-BestBid1'</f>
        <v>#REF!</v>
      </c>
      <c r="J153" s="6" t="e">
        <f xml:space="preserve"> [1]!'CXO.US-BestAsk1'</f>
        <v>#REF!</v>
      </c>
      <c r="K153" s="93" t="e">
        <f t="shared" si="14"/>
        <v>#REF!</v>
      </c>
      <c r="L153" s="93" t="e">
        <f t="shared" si="15"/>
        <v>#REF!</v>
      </c>
      <c r="M153" s="96" t="e">
        <f t="shared" si="16"/>
        <v>#REF!</v>
      </c>
    </row>
    <row r="154" spans="1:13">
      <c r="A154" s="25" t="e">
        <f t="shared" si="13"/>
        <v>#VALUE!</v>
      </c>
      <c r="B154" s="300" t="s">
        <v>1330</v>
      </c>
      <c r="C154" s="26" t="s">
        <v>584</v>
      </c>
      <c r="D154" s="26">
        <v>1</v>
      </c>
      <c r="E154" s="6" t="str">
        <f xml:space="preserve"> [1]!'D.US-PreClose'</f>
        <v>N/A</v>
      </c>
      <c r="F154" s="6">
        <v>2767</v>
      </c>
      <c r="G154" s="74" t="e">
        <f t="shared" si="17"/>
        <v>#VALUE!</v>
      </c>
      <c r="H154" s="6" t="str">
        <f xml:space="preserve"> [1]!'D.US-Price'</f>
        <v>N/A</v>
      </c>
      <c r="I154" s="6" t="str">
        <f xml:space="preserve"> [1]!'D.US-BestBid1'</f>
        <v>N/A</v>
      </c>
      <c r="J154" s="6" t="str">
        <f xml:space="preserve"> [1]!'D.US-BestAsk1'</f>
        <v>N/A</v>
      </c>
      <c r="K154" s="93" t="e">
        <f t="shared" si="14"/>
        <v>#VALUE!</v>
      </c>
      <c r="L154" s="93" t="e">
        <f t="shared" si="15"/>
        <v>#VALUE!</v>
      </c>
      <c r="M154" s="96" t="e">
        <f t="shared" si="16"/>
        <v>#VALUE!</v>
      </c>
    </row>
    <row r="155" spans="1:13">
      <c r="A155" s="25" t="e">
        <f t="shared" si="13"/>
        <v>#REF!</v>
      </c>
      <c r="B155" s="300" t="s">
        <v>1331</v>
      </c>
      <c r="C155" s="26" t="s">
        <v>957</v>
      </c>
      <c r="D155" s="26">
        <v>1</v>
      </c>
      <c r="E155" s="6" t="e">
        <f xml:space="preserve"> [1]!'DAL.US-PreClose'</f>
        <v>#REF!</v>
      </c>
      <c r="F155" s="6">
        <v>3118</v>
      </c>
      <c r="G155" s="74" t="e">
        <f t="shared" si="17"/>
        <v>#REF!</v>
      </c>
      <c r="H155" s="6" t="e">
        <f xml:space="preserve"> [1]!'DAL.US-Price'</f>
        <v>#REF!</v>
      </c>
      <c r="I155" s="6" t="e">
        <f xml:space="preserve"> [1]!'DAL.US-BestBid1'</f>
        <v>#REF!</v>
      </c>
      <c r="J155" s="6" t="e">
        <f xml:space="preserve"> [1]!'DAL.US-BestAsk1'</f>
        <v>#REF!</v>
      </c>
      <c r="K155" s="93" t="e">
        <f t="shared" si="14"/>
        <v>#REF!</v>
      </c>
      <c r="L155" s="93" t="e">
        <f t="shared" si="15"/>
        <v>#REF!</v>
      </c>
      <c r="M155" s="96" t="e">
        <f t="shared" si="16"/>
        <v>#REF!</v>
      </c>
    </row>
    <row r="156" spans="1:13">
      <c r="A156" s="25" t="e">
        <f t="shared" si="13"/>
        <v>#REF!</v>
      </c>
      <c r="B156" s="300" t="s">
        <v>1332</v>
      </c>
      <c r="C156" s="26" t="s">
        <v>585</v>
      </c>
      <c r="D156" s="26">
        <v>1</v>
      </c>
      <c r="E156" s="6" t="e">
        <f xml:space="preserve"> [1]!'DE.US-PreClose'</f>
        <v>#REF!</v>
      </c>
      <c r="F156" s="6">
        <v>1377</v>
      </c>
      <c r="G156" s="74" t="e">
        <f t="shared" si="17"/>
        <v>#REF!</v>
      </c>
      <c r="H156" s="6" t="e">
        <f xml:space="preserve"> [1]!'DE.US-Price'</f>
        <v>#REF!</v>
      </c>
      <c r="I156" s="6" t="e">
        <f xml:space="preserve"> [1]!'DE.US-BestBid1'</f>
        <v>#REF!</v>
      </c>
      <c r="J156" s="6" t="e">
        <f xml:space="preserve"> [1]!'DE.US-BestAsk1'</f>
        <v>#REF!</v>
      </c>
      <c r="K156" s="93" t="e">
        <f t="shared" si="14"/>
        <v>#REF!</v>
      </c>
      <c r="L156" s="93" t="e">
        <f t="shared" si="15"/>
        <v>#REF!</v>
      </c>
      <c r="M156" s="96" t="e">
        <f t="shared" si="16"/>
        <v>#REF!</v>
      </c>
    </row>
    <row r="157" spans="1:13">
      <c r="A157" s="25" t="e">
        <f t="shared" si="13"/>
        <v>#REF!</v>
      </c>
      <c r="B157" s="300" t="s">
        <v>1333</v>
      </c>
      <c r="C157" s="26" t="s">
        <v>958</v>
      </c>
      <c r="D157" s="26">
        <v>1</v>
      </c>
      <c r="E157" s="6" t="e">
        <f xml:space="preserve"> [1]!'DFS.US-PreClose'</f>
        <v>#REF!</v>
      </c>
      <c r="F157" s="6">
        <v>1604</v>
      </c>
      <c r="G157" s="74" t="e">
        <f t="shared" si="17"/>
        <v>#REF!</v>
      </c>
      <c r="H157" s="6" t="e">
        <f xml:space="preserve"> [1]!'DFS.US-Price'</f>
        <v>#REF!</v>
      </c>
      <c r="I157" s="6" t="e">
        <f xml:space="preserve"> [1]!'DFS.US-BestBid1'</f>
        <v>#REF!</v>
      </c>
      <c r="J157" s="6" t="e">
        <f xml:space="preserve"> [1]!'DFS.US-BestAsk1'</f>
        <v>#REF!</v>
      </c>
      <c r="K157" s="93" t="e">
        <f t="shared" si="14"/>
        <v>#REF!</v>
      </c>
      <c r="L157" s="93" t="e">
        <f t="shared" si="15"/>
        <v>#REF!</v>
      </c>
      <c r="M157" s="96" t="e">
        <f t="shared" si="16"/>
        <v>#REF!</v>
      </c>
    </row>
    <row r="158" spans="1:13">
      <c r="A158" s="25" t="e">
        <f t="shared" si="13"/>
        <v>#REF!</v>
      </c>
      <c r="B158" s="300" t="s">
        <v>1334</v>
      </c>
      <c r="C158" s="26" t="s">
        <v>586</v>
      </c>
      <c r="D158" s="26">
        <v>1</v>
      </c>
      <c r="E158" s="6" t="e">
        <f xml:space="preserve"> [1]!'DG.US-PreClose'</f>
        <v>#REF!</v>
      </c>
      <c r="F158" s="6">
        <v>1122</v>
      </c>
      <c r="G158" s="74" t="e">
        <f t="shared" si="17"/>
        <v>#REF!</v>
      </c>
      <c r="H158" s="6" t="e">
        <f xml:space="preserve"> [1]!'DG.US-Price'</f>
        <v>#REF!</v>
      </c>
      <c r="I158" s="6" t="e">
        <f xml:space="preserve"> [1]!'DG.US-BestBid1'</f>
        <v>#REF!</v>
      </c>
      <c r="J158" s="6" t="e">
        <f xml:space="preserve"> [1]!'DG.US-BestAsk1'</f>
        <v>#REF!</v>
      </c>
      <c r="K158" s="93" t="e">
        <f t="shared" si="14"/>
        <v>#REF!</v>
      </c>
      <c r="L158" s="93" t="e">
        <f t="shared" si="15"/>
        <v>#REF!</v>
      </c>
      <c r="M158" s="96" t="e">
        <f t="shared" si="16"/>
        <v>#REF!</v>
      </c>
    </row>
    <row r="159" spans="1:13">
      <c r="A159" s="25" t="e">
        <f t="shared" si="13"/>
        <v>#REF!</v>
      </c>
      <c r="B159" s="300" t="s">
        <v>1335</v>
      </c>
      <c r="C159" s="26" t="s">
        <v>959</v>
      </c>
      <c r="D159" s="26">
        <v>1</v>
      </c>
      <c r="E159" s="6" t="e">
        <f xml:space="preserve"> [1]!'DGX.US-PreClose'</f>
        <v>#REF!</v>
      </c>
      <c r="F159" s="6">
        <v>587</v>
      </c>
      <c r="G159" s="74" t="e">
        <f t="shared" si="17"/>
        <v>#REF!</v>
      </c>
      <c r="H159" s="6" t="e">
        <f xml:space="preserve"> [1]!'DGX.US-Price'</f>
        <v>#REF!</v>
      </c>
      <c r="I159" s="6" t="e">
        <f xml:space="preserve"> [1]!'DGX.US-BestBid1'</f>
        <v>#REF!</v>
      </c>
      <c r="J159" s="6" t="e">
        <f xml:space="preserve"> [1]!'DGX.US-BestAsk1'</f>
        <v>#REF!</v>
      </c>
      <c r="K159" s="93" t="e">
        <f t="shared" si="14"/>
        <v>#REF!</v>
      </c>
      <c r="L159" s="93" t="e">
        <f t="shared" si="15"/>
        <v>#REF!</v>
      </c>
      <c r="M159" s="96" t="e">
        <f t="shared" si="16"/>
        <v>#REF!</v>
      </c>
    </row>
    <row r="160" spans="1:13">
      <c r="A160" s="25" t="e">
        <f t="shared" si="13"/>
        <v>#REF!</v>
      </c>
      <c r="B160" s="300" t="s">
        <v>1336</v>
      </c>
      <c r="C160" s="26" t="s">
        <v>960</v>
      </c>
      <c r="D160" s="26">
        <v>1</v>
      </c>
      <c r="E160" s="6" t="e">
        <f xml:space="preserve"> [1]!'DHI.US-PreClose'</f>
        <v>#REF!</v>
      </c>
      <c r="F160" s="6">
        <v>1467</v>
      </c>
      <c r="G160" s="74" t="e">
        <f t="shared" si="17"/>
        <v>#REF!</v>
      </c>
      <c r="H160" s="6" t="e">
        <f xml:space="preserve"> [1]!'DHI.US-Price'</f>
        <v>#REF!</v>
      </c>
      <c r="I160" s="6" t="e">
        <f xml:space="preserve"> [1]!'DHI.US-BestBid1'</f>
        <v>#REF!</v>
      </c>
      <c r="J160" s="6" t="e">
        <f xml:space="preserve"> [1]!'DHI.US-BestAsk1'</f>
        <v>#REF!</v>
      </c>
      <c r="K160" s="93" t="e">
        <f t="shared" si="14"/>
        <v>#REF!</v>
      </c>
      <c r="L160" s="93" t="e">
        <f t="shared" si="15"/>
        <v>#REF!</v>
      </c>
      <c r="M160" s="96" t="e">
        <f t="shared" si="16"/>
        <v>#REF!</v>
      </c>
    </row>
    <row r="161" spans="1:13">
      <c r="A161" s="25" t="e">
        <f t="shared" si="13"/>
        <v>#REF!</v>
      </c>
      <c r="B161" s="300" t="s">
        <v>1337</v>
      </c>
      <c r="C161" s="26" t="s">
        <v>961</v>
      </c>
      <c r="D161" s="26">
        <v>1</v>
      </c>
      <c r="E161" s="6" t="e">
        <f xml:space="preserve"> [1]!'DHR.US-PreClose'</f>
        <v>#REF!</v>
      </c>
      <c r="F161" s="6">
        <v>2633</v>
      </c>
      <c r="G161" s="74" t="e">
        <f t="shared" si="17"/>
        <v>#REF!</v>
      </c>
      <c r="H161" s="6" t="e">
        <f xml:space="preserve"> [1]!'DHR.US-Price'</f>
        <v>#REF!</v>
      </c>
      <c r="I161" s="6" t="e">
        <f xml:space="preserve"> [1]!'DHR.US-BestBid1'</f>
        <v>#REF!</v>
      </c>
      <c r="J161" s="6" t="e">
        <f xml:space="preserve"> [1]!'DHR.US-BestAsk1'</f>
        <v>#REF!</v>
      </c>
      <c r="K161" s="93" t="e">
        <f t="shared" si="14"/>
        <v>#REF!</v>
      </c>
      <c r="L161" s="93" t="e">
        <f t="shared" si="15"/>
        <v>#REF!</v>
      </c>
      <c r="M161" s="96" t="e">
        <f t="shared" si="16"/>
        <v>#REF!</v>
      </c>
    </row>
    <row r="162" spans="1:13">
      <c r="A162" s="25" t="e">
        <f t="shared" si="13"/>
        <v>#VALUE!</v>
      </c>
      <c r="B162" s="300" t="s">
        <v>1338</v>
      </c>
      <c r="C162" s="26" t="s">
        <v>962</v>
      </c>
      <c r="D162" s="26">
        <v>1</v>
      </c>
      <c r="E162" s="6" t="str">
        <f xml:space="preserve"> [1]!'DIS.US-PreClose'</f>
        <v>N/A</v>
      </c>
      <c r="F162" s="6">
        <v>6116</v>
      </c>
      <c r="G162" s="74" t="e">
        <f t="shared" si="17"/>
        <v>#VALUE!</v>
      </c>
      <c r="H162" s="6" t="str">
        <f xml:space="preserve"> [1]!'DIS.US-Price'</f>
        <v>N/A</v>
      </c>
      <c r="I162" s="6" t="str">
        <f xml:space="preserve"> [1]!'DIS.US-BestBid1'</f>
        <v>N/A</v>
      </c>
      <c r="J162" s="6" t="str">
        <f xml:space="preserve"> [1]!'DIS.US-BestAsk1'</f>
        <v>N/A</v>
      </c>
      <c r="K162" s="93" t="e">
        <f t="shared" si="14"/>
        <v>#VALUE!</v>
      </c>
      <c r="L162" s="93" t="e">
        <f t="shared" si="15"/>
        <v>#VALUE!</v>
      </c>
      <c r="M162" s="96" t="e">
        <f t="shared" si="16"/>
        <v>#VALUE!</v>
      </c>
    </row>
    <row r="163" spans="1:13">
      <c r="A163" s="25" t="e">
        <f t="shared" si="13"/>
        <v>#REF!</v>
      </c>
      <c r="B163" s="300" t="s">
        <v>1339</v>
      </c>
      <c r="C163" s="26" t="s">
        <v>963</v>
      </c>
      <c r="D163" s="26">
        <v>1</v>
      </c>
      <c r="E163" s="6" t="e">
        <f xml:space="preserve"> [1]!'DISCA.US-PreClose'</f>
        <v>#REF!</v>
      </c>
      <c r="F163" s="6">
        <v>663</v>
      </c>
      <c r="G163" s="74" t="e">
        <f t="shared" si="17"/>
        <v>#REF!</v>
      </c>
      <c r="H163" s="6" t="e">
        <f xml:space="preserve"> [1]!'DISCA.US-Price'</f>
        <v>#REF!</v>
      </c>
      <c r="I163" s="6" t="e">
        <f xml:space="preserve"> [1]!'DISCA.US-BestBid1'</f>
        <v>#REF!</v>
      </c>
      <c r="J163" s="6" t="e">
        <f xml:space="preserve"> [1]!'DISCA.US-BestAsk1'</f>
        <v>#REF!</v>
      </c>
      <c r="K163" s="93" t="e">
        <f t="shared" si="14"/>
        <v>#REF!</v>
      </c>
      <c r="L163" s="93" t="e">
        <f t="shared" si="15"/>
        <v>#REF!</v>
      </c>
      <c r="M163" s="96" t="e">
        <f t="shared" si="16"/>
        <v>#REF!</v>
      </c>
    </row>
    <row r="164" spans="1:13">
      <c r="A164" s="25" t="e">
        <f t="shared" si="13"/>
        <v>#REF!</v>
      </c>
      <c r="B164" s="300" t="s">
        <v>1340</v>
      </c>
      <c r="C164" s="26" t="s">
        <v>964</v>
      </c>
      <c r="D164" s="26">
        <v>1</v>
      </c>
      <c r="E164" s="6" t="e">
        <f xml:space="preserve"> [1]!'DISCK.US-PreClose'</f>
        <v>#REF!</v>
      </c>
      <c r="F164" s="6">
        <v>885</v>
      </c>
      <c r="G164" s="74" t="e">
        <f t="shared" si="17"/>
        <v>#REF!</v>
      </c>
      <c r="H164" s="6" t="e">
        <f xml:space="preserve"> [1]!'DISCK.US-Price'</f>
        <v>#REF!</v>
      </c>
      <c r="I164" s="6" t="e">
        <f xml:space="preserve"> [1]!'DISCK.US-BestBid1'</f>
        <v>#REF!</v>
      </c>
      <c r="J164" s="6" t="e">
        <f xml:space="preserve"> [1]!'DISCK.US-BestAsk1'</f>
        <v>#REF!</v>
      </c>
      <c r="K164" s="93" t="e">
        <f t="shared" si="14"/>
        <v>#REF!</v>
      </c>
      <c r="L164" s="93" t="e">
        <f t="shared" si="15"/>
        <v>#REF!</v>
      </c>
      <c r="M164" s="96" t="e">
        <f t="shared" si="16"/>
        <v>#REF!</v>
      </c>
    </row>
    <row r="165" spans="1:13">
      <c r="A165" s="25" t="e">
        <f t="shared" si="13"/>
        <v>#REF!</v>
      </c>
      <c r="B165" s="300" t="s">
        <v>1341</v>
      </c>
      <c r="C165" s="26" t="s">
        <v>498</v>
      </c>
      <c r="D165" s="26">
        <v>1</v>
      </c>
      <c r="E165" s="6" t="e">
        <f xml:space="preserve"> [1]!'DISH.US-PreClose'</f>
        <v>#REF!</v>
      </c>
      <c r="F165" s="6">
        <v>980</v>
      </c>
      <c r="G165" s="74" t="e">
        <f t="shared" si="17"/>
        <v>#REF!</v>
      </c>
      <c r="H165" s="6" t="e">
        <f xml:space="preserve"> [1]!'DISH.US-Price'</f>
        <v>#REF!</v>
      </c>
      <c r="I165" s="6" t="e">
        <f xml:space="preserve"> [1]!'DISH.US-BestBid1'</f>
        <v>#REF!</v>
      </c>
      <c r="J165" s="6" t="e">
        <f xml:space="preserve"> [1]!'DISH.US-BestAsk1'</f>
        <v>#REF!</v>
      </c>
      <c r="K165" s="93" t="e">
        <f t="shared" si="14"/>
        <v>#REF!</v>
      </c>
      <c r="L165" s="93" t="e">
        <f t="shared" si="15"/>
        <v>#REF!</v>
      </c>
      <c r="M165" s="96" t="e">
        <f t="shared" si="16"/>
        <v>#REF!</v>
      </c>
    </row>
    <row r="166" spans="1:13">
      <c r="A166" s="25" t="e">
        <f t="shared" si="13"/>
        <v>#REF!</v>
      </c>
      <c r="B166" s="300" t="s">
        <v>1342</v>
      </c>
      <c r="C166" s="26" t="s">
        <v>499</v>
      </c>
      <c r="D166" s="26">
        <v>1</v>
      </c>
      <c r="E166" s="6" t="e">
        <f xml:space="preserve"> [1]!'DLPH.US-PreClose'</f>
        <v>#REF!</v>
      </c>
      <c r="F166" s="6">
        <v>1149</v>
      </c>
      <c r="G166" s="74" t="e">
        <f t="shared" si="17"/>
        <v>#REF!</v>
      </c>
      <c r="H166" s="6" t="e">
        <f xml:space="preserve"> [1]!'DLPH.US-Price'</f>
        <v>#REF!</v>
      </c>
      <c r="I166" s="6" t="e">
        <f xml:space="preserve"> [1]!'DLPH.US-BestBid1'</f>
        <v>#REF!</v>
      </c>
      <c r="J166" s="6" t="e">
        <f xml:space="preserve"> [1]!'DLPH.US-BestAsk1'</f>
        <v>#REF!</v>
      </c>
      <c r="K166" s="93" t="e">
        <f t="shared" si="14"/>
        <v>#REF!</v>
      </c>
      <c r="L166" s="93" t="e">
        <f t="shared" si="15"/>
        <v>#REF!</v>
      </c>
      <c r="M166" s="96" t="e">
        <f t="shared" si="16"/>
        <v>#REF!</v>
      </c>
    </row>
    <row r="167" spans="1:13">
      <c r="A167" s="25" t="e">
        <f t="shared" si="13"/>
        <v>#REF!</v>
      </c>
      <c r="B167" s="300" t="s">
        <v>1343</v>
      </c>
      <c r="C167" s="26" t="s">
        <v>965</v>
      </c>
      <c r="D167" s="26">
        <v>1</v>
      </c>
      <c r="E167" s="6" t="e">
        <f xml:space="preserve"> [1]!'DLR.US-PreClose'</f>
        <v>#REF!</v>
      </c>
      <c r="F167" s="6">
        <v>881</v>
      </c>
      <c r="G167" s="74" t="e">
        <f t="shared" si="17"/>
        <v>#REF!</v>
      </c>
      <c r="H167" s="6" t="e">
        <f xml:space="preserve"> [1]!'DLR.US-Price'</f>
        <v>#REF!</v>
      </c>
      <c r="I167" s="6" t="e">
        <f xml:space="preserve"> [1]!'DLR.US-BestBid1'</f>
        <v>#REF!</v>
      </c>
      <c r="J167" s="6" t="e">
        <f xml:space="preserve"> [1]!'DLR.US-BestAsk1'</f>
        <v>#REF!</v>
      </c>
      <c r="K167" s="93" t="e">
        <f t="shared" si="14"/>
        <v>#REF!</v>
      </c>
      <c r="L167" s="93" t="e">
        <f t="shared" si="15"/>
        <v>#REF!</v>
      </c>
      <c r="M167" s="96" t="e">
        <f t="shared" si="16"/>
        <v>#REF!</v>
      </c>
    </row>
    <row r="168" spans="1:13">
      <c r="A168" s="25" t="e">
        <f t="shared" si="13"/>
        <v>#REF!</v>
      </c>
      <c r="B168" s="300" t="s">
        <v>1344</v>
      </c>
      <c r="C168" s="26" t="s">
        <v>500</v>
      </c>
      <c r="D168" s="26">
        <v>1</v>
      </c>
      <c r="E168" s="6" t="e">
        <f xml:space="preserve"> [1]!'DLTR.US-PreClose'</f>
        <v>#REF!</v>
      </c>
      <c r="F168" s="6">
        <v>1020</v>
      </c>
      <c r="G168" s="74" t="e">
        <f t="shared" si="17"/>
        <v>#REF!</v>
      </c>
      <c r="H168" s="6" t="e">
        <f xml:space="preserve"> [1]!'DLTR.US-Price'</f>
        <v>#REF!</v>
      </c>
      <c r="I168" s="6" t="e">
        <f xml:space="preserve"> [1]!'DLTR.US-BestBid1'</f>
        <v>#REF!</v>
      </c>
      <c r="J168" s="6" t="e">
        <f xml:space="preserve"> [1]!'DLTR.US-BestAsk1'</f>
        <v>#REF!</v>
      </c>
      <c r="K168" s="93" t="e">
        <f t="shared" si="14"/>
        <v>#REF!</v>
      </c>
      <c r="L168" s="93" t="e">
        <f t="shared" si="15"/>
        <v>#REF!</v>
      </c>
      <c r="M168" s="96" t="e">
        <f t="shared" si="16"/>
        <v>#REF!</v>
      </c>
    </row>
    <row r="169" spans="1:13">
      <c r="A169" s="25" t="e">
        <f t="shared" si="13"/>
        <v>#REF!</v>
      </c>
      <c r="B169" s="300" t="s">
        <v>1345</v>
      </c>
      <c r="C169" s="26" t="s">
        <v>966</v>
      </c>
      <c r="D169" s="26">
        <v>1</v>
      </c>
      <c r="E169" s="6" t="e">
        <f xml:space="preserve"> [1]!'DOV.US-PreClose'</f>
        <v>#REF!</v>
      </c>
      <c r="F169" s="6">
        <v>670</v>
      </c>
      <c r="G169" s="74" t="e">
        <f t="shared" si="17"/>
        <v>#REF!</v>
      </c>
      <c r="H169" s="6" t="e">
        <f xml:space="preserve"> [1]!'DOV.US-Price'</f>
        <v>#REF!</v>
      </c>
      <c r="I169" s="6" t="e">
        <f xml:space="preserve"> [1]!'DOV.US-BestBid1'</f>
        <v>#REF!</v>
      </c>
      <c r="J169" s="6" t="e">
        <f xml:space="preserve"> [1]!'DOV.US-BestAsk1'</f>
        <v>#REF!</v>
      </c>
      <c r="K169" s="93" t="e">
        <f t="shared" si="14"/>
        <v>#REF!</v>
      </c>
      <c r="L169" s="93" t="e">
        <f t="shared" si="15"/>
        <v>#REF!</v>
      </c>
      <c r="M169" s="96" t="e">
        <f t="shared" si="16"/>
        <v>#REF!</v>
      </c>
    </row>
    <row r="170" spans="1:13">
      <c r="A170" s="25" t="e">
        <f t="shared" si="13"/>
        <v>#REF!</v>
      </c>
      <c r="B170" s="300" t="s">
        <v>1346</v>
      </c>
      <c r="C170" s="26" t="s">
        <v>967</v>
      </c>
      <c r="D170" s="26">
        <v>1</v>
      </c>
      <c r="E170" s="6" t="e">
        <f xml:space="preserve"> [1]!'DPS.US-PreClose'</f>
        <v>#REF!</v>
      </c>
      <c r="F170" s="6">
        <v>783</v>
      </c>
      <c r="G170" s="74" t="e">
        <f t="shared" si="17"/>
        <v>#REF!</v>
      </c>
      <c r="H170" s="6" t="e">
        <f xml:space="preserve"> [1]!'DPS.US-Price'</f>
        <v>#REF!</v>
      </c>
      <c r="I170" s="6" t="e">
        <f xml:space="preserve"> [1]!'DPS.US-BestBid1'</f>
        <v>#REF!</v>
      </c>
      <c r="J170" s="6" t="e">
        <f xml:space="preserve"> [1]!'DPS.US-BestAsk1'</f>
        <v>#REF!</v>
      </c>
      <c r="K170" s="93" t="e">
        <f t="shared" si="14"/>
        <v>#REF!</v>
      </c>
      <c r="L170" s="93" t="e">
        <f t="shared" si="15"/>
        <v>#REF!</v>
      </c>
      <c r="M170" s="96" t="e">
        <f t="shared" si="16"/>
        <v>#REF!</v>
      </c>
    </row>
    <row r="171" spans="1:13">
      <c r="A171" s="25" t="e">
        <f t="shared" si="13"/>
        <v>#REF!</v>
      </c>
      <c r="B171" s="300" t="s">
        <v>1347</v>
      </c>
      <c r="C171" s="26" t="s">
        <v>968</v>
      </c>
      <c r="D171" s="26">
        <v>1</v>
      </c>
      <c r="E171" s="6" t="e">
        <f xml:space="preserve"> [1]!'DRE.US-PreClose'</f>
        <v>#REF!</v>
      </c>
      <c r="F171" s="6">
        <v>1532</v>
      </c>
      <c r="G171" s="74" t="e">
        <f t="shared" si="17"/>
        <v>#REF!</v>
      </c>
      <c r="H171" s="6" t="e">
        <f xml:space="preserve"> [1]!'DRE.US-Price'</f>
        <v>#REF!</v>
      </c>
      <c r="I171" s="6" t="e">
        <f xml:space="preserve"> [1]!'DRE.US-BestBid1'</f>
        <v>#REF!</v>
      </c>
      <c r="J171" s="6" t="e">
        <f xml:space="preserve"> [1]!'DRE.US-BestAsk1'</f>
        <v>#REF!</v>
      </c>
      <c r="K171" s="93" t="e">
        <f t="shared" si="14"/>
        <v>#REF!</v>
      </c>
      <c r="L171" s="93" t="e">
        <f t="shared" si="15"/>
        <v>#REF!</v>
      </c>
      <c r="M171" s="96" t="e">
        <f t="shared" si="16"/>
        <v>#REF!</v>
      </c>
    </row>
    <row r="172" spans="1:13">
      <c r="A172" s="25" t="e">
        <f t="shared" si="13"/>
        <v>#REF!</v>
      </c>
      <c r="B172" s="300" t="s">
        <v>1348</v>
      </c>
      <c r="C172" s="26" t="s">
        <v>969</v>
      </c>
      <c r="D172" s="26">
        <v>1</v>
      </c>
      <c r="E172" s="6" t="e">
        <f xml:space="preserve"> [1]!'DRI.US-PreClose'</f>
        <v>#REF!</v>
      </c>
      <c r="F172" s="6">
        <v>540</v>
      </c>
      <c r="G172" s="74" t="e">
        <f t="shared" si="17"/>
        <v>#REF!</v>
      </c>
      <c r="H172" s="6" t="e">
        <f xml:space="preserve"> [1]!'DRI.US-Price'</f>
        <v>#REF!</v>
      </c>
      <c r="I172" s="6" t="e">
        <f xml:space="preserve"> [1]!'DRI.US-BestBid1'</f>
        <v>#REF!</v>
      </c>
      <c r="J172" s="6" t="e">
        <f xml:space="preserve"> [1]!'DRI.US-BestAsk1'</f>
        <v>#REF!</v>
      </c>
      <c r="K172" s="93" t="e">
        <f t="shared" si="14"/>
        <v>#REF!</v>
      </c>
      <c r="L172" s="93" t="e">
        <f t="shared" si="15"/>
        <v>#REF!</v>
      </c>
      <c r="M172" s="96" t="e">
        <f t="shared" si="16"/>
        <v>#REF!</v>
      </c>
    </row>
    <row r="173" spans="1:13">
      <c r="A173" s="25" t="e">
        <f t="shared" si="13"/>
        <v>#REF!</v>
      </c>
      <c r="B173" s="300" t="s">
        <v>1349</v>
      </c>
      <c r="C173" s="26" t="s">
        <v>970</v>
      </c>
      <c r="D173" s="26">
        <v>1</v>
      </c>
      <c r="E173" s="6" t="e">
        <f xml:space="preserve"> [1]!'DTE.US-PreClose'</f>
        <v>#REF!</v>
      </c>
      <c r="F173" s="6">
        <v>773</v>
      </c>
      <c r="G173" s="74" t="e">
        <f t="shared" si="17"/>
        <v>#REF!</v>
      </c>
      <c r="H173" s="6" t="e">
        <f xml:space="preserve"> [1]!'DTE.US-Price'</f>
        <v>#REF!</v>
      </c>
      <c r="I173" s="6" t="e">
        <f xml:space="preserve"> [1]!'DTE.US-BestBid1'</f>
        <v>#REF!</v>
      </c>
      <c r="J173" s="6" t="e">
        <f xml:space="preserve"> [1]!'DTE.US-BestAsk1'</f>
        <v>#REF!</v>
      </c>
      <c r="K173" s="93" t="e">
        <f t="shared" si="14"/>
        <v>#REF!</v>
      </c>
      <c r="L173" s="93" t="e">
        <f t="shared" si="15"/>
        <v>#REF!</v>
      </c>
      <c r="M173" s="96" t="e">
        <f t="shared" si="16"/>
        <v>#REF!</v>
      </c>
    </row>
    <row r="174" spans="1:13">
      <c r="A174" s="25" t="e">
        <f t="shared" si="13"/>
        <v>#VALUE!</v>
      </c>
      <c r="B174" s="300" t="s">
        <v>1350</v>
      </c>
      <c r="C174" s="26" t="s">
        <v>971</v>
      </c>
      <c r="D174" s="26">
        <v>1</v>
      </c>
      <c r="E174" s="6" t="str">
        <f xml:space="preserve"> [1]!'DUK.US-PreClose'</f>
        <v>N/A</v>
      </c>
      <c r="F174" s="6">
        <v>3014</v>
      </c>
      <c r="G174" s="74" t="e">
        <f t="shared" si="17"/>
        <v>#VALUE!</v>
      </c>
      <c r="H174" s="6" t="str">
        <f xml:space="preserve"> [1]!'DUK.US-Price'</f>
        <v>N/A</v>
      </c>
      <c r="I174" s="6" t="str">
        <f xml:space="preserve"> [1]!'DUK.US-BestBid1'</f>
        <v>N/A</v>
      </c>
      <c r="J174" s="6" t="str">
        <f xml:space="preserve"> [1]!'DUK.US-BestAsk1'</f>
        <v>N/A</v>
      </c>
      <c r="K174" s="93" t="e">
        <f t="shared" si="14"/>
        <v>#VALUE!</v>
      </c>
      <c r="L174" s="93" t="e">
        <f t="shared" si="15"/>
        <v>#VALUE!</v>
      </c>
      <c r="M174" s="96" t="e">
        <f t="shared" si="16"/>
        <v>#VALUE!</v>
      </c>
    </row>
    <row r="175" spans="1:13">
      <c r="A175" s="25" t="e">
        <f t="shared" si="13"/>
        <v>#REF!</v>
      </c>
      <c r="B175" s="300" t="s">
        <v>1351</v>
      </c>
      <c r="C175" s="26" t="s">
        <v>972</v>
      </c>
      <c r="D175" s="26">
        <v>1</v>
      </c>
      <c r="E175" s="6" t="e">
        <f xml:space="preserve"> [1]!'DVA.US-PreClose'</f>
        <v>#REF!</v>
      </c>
      <c r="F175" s="6">
        <v>659</v>
      </c>
      <c r="G175" s="74" t="e">
        <f t="shared" si="17"/>
        <v>#REF!</v>
      </c>
      <c r="H175" s="6" t="e">
        <f xml:space="preserve"> [1]!'DVA.US-Price'</f>
        <v>#REF!</v>
      </c>
      <c r="I175" s="6" t="e">
        <f xml:space="preserve"> [1]!'DVA.US-BestBid1'</f>
        <v>#REF!</v>
      </c>
      <c r="J175" s="6" t="e">
        <f xml:space="preserve"> [1]!'DVA.US-BestAsk1'</f>
        <v>#REF!</v>
      </c>
      <c r="K175" s="93" t="e">
        <f t="shared" si="14"/>
        <v>#REF!</v>
      </c>
      <c r="L175" s="93" t="e">
        <f t="shared" si="15"/>
        <v>#REF!</v>
      </c>
      <c r="M175" s="96" t="e">
        <f t="shared" si="16"/>
        <v>#REF!</v>
      </c>
    </row>
    <row r="176" spans="1:13">
      <c r="A176" s="25" t="e">
        <f t="shared" si="13"/>
        <v>#REF!</v>
      </c>
      <c r="B176" s="300" t="s">
        <v>1352</v>
      </c>
      <c r="C176" s="26" t="s">
        <v>973</v>
      </c>
      <c r="D176" s="26">
        <v>1</v>
      </c>
      <c r="E176" s="6" t="e">
        <f xml:space="preserve"> [1]!'DVN.US-PreClose'</f>
        <v>#REF!</v>
      </c>
      <c r="F176" s="6">
        <v>2264</v>
      </c>
      <c r="G176" s="74" t="e">
        <f t="shared" si="17"/>
        <v>#REF!</v>
      </c>
      <c r="H176" s="6" t="e">
        <f xml:space="preserve"> [1]!'DVN.US-Price'</f>
        <v>#REF!</v>
      </c>
      <c r="I176" s="6" t="e">
        <f xml:space="preserve"> [1]!'DVN.US-BestBid1'</f>
        <v>#REF!</v>
      </c>
      <c r="J176" s="6" t="e">
        <f xml:space="preserve"> [1]!'DVN.US-BestAsk1'</f>
        <v>#REF!</v>
      </c>
      <c r="K176" s="93" t="e">
        <f t="shared" si="14"/>
        <v>#REF!</v>
      </c>
      <c r="L176" s="93" t="e">
        <f t="shared" si="15"/>
        <v>#REF!</v>
      </c>
      <c r="M176" s="96" t="e">
        <f t="shared" si="16"/>
        <v>#REF!</v>
      </c>
    </row>
    <row r="177" spans="1:13">
      <c r="A177" s="25" t="e">
        <f t="shared" si="13"/>
        <v>#VALUE!</v>
      </c>
      <c r="B177" s="300" t="s">
        <v>1353</v>
      </c>
      <c r="C177" s="26" t="s">
        <v>974</v>
      </c>
      <c r="D177" s="26">
        <v>1</v>
      </c>
      <c r="E177" s="6" t="str">
        <f xml:space="preserve"> [1]!'DWDP.US-PreClose'</f>
        <v>--</v>
      </c>
      <c r="F177" s="6">
        <v>9646</v>
      </c>
      <c r="G177" s="74" t="e">
        <f t="shared" si="17"/>
        <v>#VALUE!</v>
      </c>
      <c r="H177" s="6" t="str">
        <f xml:space="preserve"> [1]!'DWDP.US-Price'</f>
        <v>--</v>
      </c>
      <c r="I177" s="6" t="str">
        <f xml:space="preserve"> [1]!'DWDP.US-BestBid1'</f>
        <v>--</v>
      </c>
      <c r="J177" s="6" t="str">
        <f xml:space="preserve"> [1]!'DWDP.US-BestAsk1'</f>
        <v>--</v>
      </c>
      <c r="K177" s="93" t="e">
        <f t="shared" si="14"/>
        <v>#VALUE!</v>
      </c>
      <c r="L177" s="93" t="e">
        <f t="shared" si="15"/>
        <v>#VALUE!</v>
      </c>
      <c r="M177" s="96" t="e">
        <f t="shared" si="16"/>
        <v>#VALUE!</v>
      </c>
    </row>
    <row r="178" spans="1:13">
      <c r="A178" s="25" t="e">
        <f t="shared" si="13"/>
        <v>#REF!</v>
      </c>
      <c r="B178" s="300" t="s">
        <v>1354</v>
      </c>
      <c r="C178" s="26" t="s">
        <v>975</v>
      </c>
      <c r="D178" s="26">
        <v>1</v>
      </c>
      <c r="E178" s="6" t="e">
        <f xml:space="preserve"> [1]!'DXC.US-PreClose'</f>
        <v>#REF!</v>
      </c>
      <c r="F178" s="6">
        <v>1226</v>
      </c>
      <c r="G178" s="74" t="e">
        <f t="shared" si="17"/>
        <v>#REF!</v>
      </c>
      <c r="H178" s="6" t="e">
        <f xml:space="preserve"> [1]!'DXC.US-Price'</f>
        <v>#REF!</v>
      </c>
      <c r="I178" s="6" t="e">
        <f xml:space="preserve"> [1]!'DXC.US-BestBid1'</f>
        <v>#REF!</v>
      </c>
      <c r="J178" s="6" t="e">
        <f xml:space="preserve"> [1]!'DXC.US-BestAsk1'</f>
        <v>#REF!</v>
      </c>
      <c r="K178" s="93" t="e">
        <f t="shared" si="14"/>
        <v>#REF!</v>
      </c>
      <c r="L178" s="93" t="e">
        <f t="shared" si="15"/>
        <v>#REF!</v>
      </c>
      <c r="M178" s="96" t="e">
        <f t="shared" si="16"/>
        <v>#REF!</v>
      </c>
    </row>
    <row r="179" spans="1:13">
      <c r="A179" s="25" t="e">
        <f t="shared" si="13"/>
        <v>#REF!</v>
      </c>
      <c r="B179" s="300" t="s">
        <v>1355</v>
      </c>
      <c r="C179" s="26" t="s">
        <v>587</v>
      </c>
      <c r="D179" s="26">
        <v>1</v>
      </c>
      <c r="E179" s="6" t="e">
        <f xml:space="preserve"> [1]!'EA.US-PreClose'</f>
        <v>#REF!</v>
      </c>
      <c r="F179" s="6">
        <v>1330</v>
      </c>
      <c r="G179" s="74" t="e">
        <f t="shared" si="17"/>
        <v>#REF!</v>
      </c>
      <c r="H179" s="6" t="e">
        <f xml:space="preserve"> [1]!'EA.US-Price'</f>
        <v>#REF!</v>
      </c>
      <c r="I179" s="6" t="e">
        <f xml:space="preserve"> [1]!'EA.US-BestBid1'</f>
        <v>#REF!</v>
      </c>
      <c r="J179" s="6" t="e">
        <f xml:space="preserve"> [1]!'EA.US-BestAsk1'</f>
        <v>#REF!</v>
      </c>
      <c r="K179" s="93" t="e">
        <f t="shared" si="14"/>
        <v>#REF!</v>
      </c>
      <c r="L179" s="93" t="e">
        <f t="shared" si="15"/>
        <v>#REF!</v>
      </c>
      <c r="M179" s="96" t="e">
        <f t="shared" si="16"/>
        <v>#REF!</v>
      </c>
    </row>
    <row r="180" spans="1:13">
      <c r="A180" s="25" t="e">
        <f t="shared" si="13"/>
        <v>#REF!</v>
      </c>
      <c r="B180" s="300" t="s">
        <v>1356</v>
      </c>
      <c r="C180" s="26" t="s">
        <v>501</v>
      </c>
      <c r="D180" s="26">
        <v>1</v>
      </c>
      <c r="E180" s="6" t="e">
        <f xml:space="preserve"> [1]!'EBAY.US-PreClose'</f>
        <v>#REF!</v>
      </c>
      <c r="F180" s="6">
        <v>4287</v>
      </c>
      <c r="G180" s="74" t="e">
        <f t="shared" si="17"/>
        <v>#REF!</v>
      </c>
      <c r="H180" s="6" t="e">
        <f xml:space="preserve"> [1]!'EBAY.US-Price'</f>
        <v>#REF!</v>
      </c>
      <c r="I180" s="6" t="e">
        <f xml:space="preserve"> [1]!'EBAY.US-BestBid1'</f>
        <v>#REF!</v>
      </c>
      <c r="J180" s="6" t="e">
        <f xml:space="preserve"> [1]!'EBAY.US-BestAsk1'</f>
        <v>#REF!</v>
      </c>
      <c r="K180" s="93" t="e">
        <f t="shared" si="14"/>
        <v>#REF!</v>
      </c>
      <c r="L180" s="93" t="e">
        <f t="shared" si="15"/>
        <v>#REF!</v>
      </c>
      <c r="M180" s="96" t="e">
        <f t="shared" si="16"/>
        <v>#REF!</v>
      </c>
    </row>
    <row r="181" spans="1:13">
      <c r="A181" s="25" t="e">
        <f t="shared" si="13"/>
        <v>#REF!</v>
      </c>
      <c r="B181" s="300" t="s">
        <v>1357</v>
      </c>
      <c r="C181" s="26" t="s">
        <v>976</v>
      </c>
      <c r="D181" s="26">
        <v>1</v>
      </c>
      <c r="E181" s="6" t="e">
        <f xml:space="preserve"> [1]!'ECL.US-PreClose'</f>
        <v>#REF!</v>
      </c>
      <c r="F181" s="6">
        <v>1122</v>
      </c>
      <c r="G181" s="74" t="e">
        <f t="shared" si="17"/>
        <v>#REF!</v>
      </c>
      <c r="H181" s="6" t="e">
        <f xml:space="preserve"> [1]!'ECL.US-Price'</f>
        <v>#REF!</v>
      </c>
      <c r="I181" s="6" t="e">
        <f xml:space="preserve"> [1]!'ECL.US-BestBid1'</f>
        <v>#REF!</v>
      </c>
      <c r="J181" s="6" t="e">
        <f xml:space="preserve"> [1]!'ECL.US-BestAsk1'</f>
        <v>#REF!</v>
      </c>
      <c r="K181" s="93" t="e">
        <f t="shared" si="14"/>
        <v>#REF!</v>
      </c>
      <c r="L181" s="93" t="e">
        <f t="shared" si="15"/>
        <v>#REF!</v>
      </c>
      <c r="M181" s="96" t="e">
        <f t="shared" si="16"/>
        <v>#REF!</v>
      </c>
    </row>
    <row r="182" spans="1:13">
      <c r="A182" s="25" t="e">
        <f t="shared" si="13"/>
        <v>#REF!</v>
      </c>
      <c r="B182" s="300" t="s">
        <v>1358</v>
      </c>
      <c r="C182" s="26" t="s">
        <v>588</v>
      </c>
      <c r="D182" s="26">
        <v>1</v>
      </c>
      <c r="E182" s="6" t="e">
        <f xml:space="preserve"> [1]!'ED.US-PreClose'</f>
        <v>#REF!</v>
      </c>
      <c r="F182" s="6">
        <v>1334</v>
      </c>
      <c r="G182" s="74" t="e">
        <f t="shared" si="17"/>
        <v>#REF!</v>
      </c>
      <c r="H182" s="6" t="e">
        <f xml:space="preserve"> [1]!'ED.US-Price'</f>
        <v>#REF!</v>
      </c>
      <c r="I182" s="6" t="e">
        <f xml:space="preserve"> [1]!'ED.US-BestBid1'</f>
        <v>#REF!</v>
      </c>
      <c r="J182" s="6" t="e">
        <f xml:space="preserve"> [1]!'ED.US-BestAsk1'</f>
        <v>#REF!</v>
      </c>
      <c r="K182" s="93" t="e">
        <f t="shared" si="14"/>
        <v>#REF!</v>
      </c>
      <c r="L182" s="93" t="e">
        <f t="shared" si="15"/>
        <v>#REF!</v>
      </c>
      <c r="M182" s="96" t="e">
        <f t="shared" si="16"/>
        <v>#REF!</v>
      </c>
    </row>
    <row r="183" spans="1:13">
      <c r="A183" s="25" t="e">
        <f t="shared" si="13"/>
        <v>#REF!</v>
      </c>
      <c r="B183" s="300" t="s">
        <v>1359</v>
      </c>
      <c r="C183" s="26" t="s">
        <v>977</v>
      </c>
      <c r="D183" s="26">
        <v>1</v>
      </c>
      <c r="E183" s="6" t="e">
        <f xml:space="preserve"> [1]!'EFX.US-PreClose'</f>
        <v>#REF!</v>
      </c>
      <c r="F183" s="6">
        <v>518</v>
      </c>
      <c r="G183" s="74" t="e">
        <f t="shared" si="17"/>
        <v>#REF!</v>
      </c>
      <c r="H183" s="6" t="e">
        <f xml:space="preserve"> [1]!'EFX.US-Price'</f>
        <v>#REF!</v>
      </c>
      <c r="I183" s="6" t="e">
        <f xml:space="preserve"> [1]!'EFX.US-BestBid1'</f>
        <v>#REF!</v>
      </c>
      <c r="J183" s="6" t="e">
        <f xml:space="preserve"> [1]!'EFX.US-BestAsk1'</f>
        <v>#REF!</v>
      </c>
      <c r="K183" s="93" t="e">
        <f t="shared" si="14"/>
        <v>#REF!</v>
      </c>
      <c r="L183" s="93" t="e">
        <f t="shared" si="15"/>
        <v>#REF!</v>
      </c>
      <c r="M183" s="96" t="e">
        <f t="shared" si="16"/>
        <v>#REF!</v>
      </c>
    </row>
    <row r="184" spans="1:13">
      <c r="A184" s="25" t="e">
        <f t="shared" si="13"/>
        <v>#REF!</v>
      </c>
      <c r="B184" s="300" t="s">
        <v>1360</v>
      </c>
      <c r="C184" s="26" t="s">
        <v>978</v>
      </c>
      <c r="D184" s="26">
        <v>1</v>
      </c>
      <c r="E184" s="6" t="e">
        <f xml:space="preserve"> [1]!'EIX.US-PreClose'</f>
        <v>#REF!</v>
      </c>
      <c r="F184" s="6">
        <v>1403</v>
      </c>
      <c r="G184" s="74" t="e">
        <f t="shared" si="17"/>
        <v>#REF!</v>
      </c>
      <c r="H184" s="6" t="e">
        <f xml:space="preserve"> [1]!'EIX.US-Price'</f>
        <v>#REF!</v>
      </c>
      <c r="I184" s="6" t="e">
        <f xml:space="preserve"> [1]!'EIX.US-BestBid1'</f>
        <v>#REF!</v>
      </c>
      <c r="J184" s="6" t="e">
        <f xml:space="preserve"> [1]!'EIX.US-BestAsk1'</f>
        <v>#REF!</v>
      </c>
      <c r="K184" s="93" t="e">
        <f t="shared" si="14"/>
        <v>#REF!</v>
      </c>
      <c r="L184" s="93" t="e">
        <f t="shared" si="15"/>
        <v>#REF!</v>
      </c>
      <c r="M184" s="96" t="e">
        <f t="shared" si="16"/>
        <v>#REF!</v>
      </c>
    </row>
    <row r="185" spans="1:13">
      <c r="A185" s="25" t="e">
        <f t="shared" si="13"/>
        <v>#REF!</v>
      </c>
      <c r="B185" s="300" t="s">
        <v>1361</v>
      </c>
      <c r="C185" s="26" t="s">
        <v>589</v>
      </c>
      <c r="D185" s="26">
        <v>1</v>
      </c>
      <c r="E185" s="6" t="e">
        <f xml:space="preserve"> [1]!'EL.US-PreClose'</f>
        <v>#REF!</v>
      </c>
      <c r="F185" s="6">
        <v>964</v>
      </c>
      <c r="G185" s="74" t="e">
        <f t="shared" si="17"/>
        <v>#REF!</v>
      </c>
      <c r="H185" s="6" t="e">
        <f xml:space="preserve"> [1]!'EL.US-Price'</f>
        <v>#REF!</v>
      </c>
      <c r="I185" s="6" t="e">
        <f xml:space="preserve"> [1]!'EL.US-BestBid1'</f>
        <v>#REF!</v>
      </c>
      <c r="J185" s="6" t="e">
        <f xml:space="preserve"> [1]!'EL.US-BestAsk1'</f>
        <v>#REF!</v>
      </c>
      <c r="K185" s="93" t="e">
        <f t="shared" si="14"/>
        <v>#REF!</v>
      </c>
      <c r="L185" s="93" t="e">
        <f t="shared" si="15"/>
        <v>#REF!</v>
      </c>
      <c r="M185" s="96" t="e">
        <f t="shared" si="16"/>
        <v>#REF!</v>
      </c>
    </row>
    <row r="186" spans="1:13">
      <c r="A186" s="25" t="e">
        <f t="shared" si="13"/>
        <v>#REF!</v>
      </c>
      <c r="B186" s="300" t="s">
        <v>1362</v>
      </c>
      <c r="C186" s="26" t="s">
        <v>979</v>
      </c>
      <c r="D186" s="26">
        <v>1</v>
      </c>
      <c r="E186" s="6" t="e">
        <f xml:space="preserve"> [1]!'EMN.US-PreClose'</f>
        <v>#REF!</v>
      </c>
      <c r="F186" s="6">
        <v>624</v>
      </c>
      <c r="G186" s="74" t="e">
        <f t="shared" si="17"/>
        <v>#REF!</v>
      </c>
      <c r="H186" s="6" t="e">
        <f xml:space="preserve"> [1]!'EMN.US-Price'</f>
        <v>#REF!</v>
      </c>
      <c r="I186" s="6" t="e">
        <f xml:space="preserve"> [1]!'EMN.US-BestBid1'</f>
        <v>#REF!</v>
      </c>
      <c r="J186" s="6" t="e">
        <f xml:space="preserve"> [1]!'EMN.US-BestAsk1'</f>
        <v>#REF!</v>
      </c>
      <c r="K186" s="93" t="e">
        <f t="shared" si="14"/>
        <v>#REF!</v>
      </c>
      <c r="L186" s="93" t="e">
        <f t="shared" si="15"/>
        <v>#REF!</v>
      </c>
      <c r="M186" s="96" t="e">
        <f t="shared" si="16"/>
        <v>#REF!</v>
      </c>
    </row>
    <row r="187" spans="1:13">
      <c r="A187" s="25" t="e">
        <f t="shared" si="13"/>
        <v>#VALUE!</v>
      </c>
      <c r="B187" s="300" t="s">
        <v>1363</v>
      </c>
      <c r="C187" s="26" t="s">
        <v>980</v>
      </c>
      <c r="D187" s="26">
        <v>1</v>
      </c>
      <c r="E187" s="6" t="str">
        <f xml:space="preserve"> [1]!'EMR.US-PreClose'</f>
        <v>N/A</v>
      </c>
      <c r="F187" s="6">
        <v>2756</v>
      </c>
      <c r="G187" s="74" t="e">
        <f t="shared" si="17"/>
        <v>#VALUE!</v>
      </c>
      <c r="H187" s="6" t="str">
        <f xml:space="preserve"> [1]!'EMR.US-Price'</f>
        <v>N/A</v>
      </c>
      <c r="I187" s="6" t="str">
        <f xml:space="preserve"> [1]!'EMR.US-BestBid1'</f>
        <v>N/A</v>
      </c>
      <c r="J187" s="6" t="str">
        <f xml:space="preserve"> [1]!'EMR.US-BestAsk1'</f>
        <v>N/A</v>
      </c>
      <c r="K187" s="93" t="e">
        <f t="shared" si="14"/>
        <v>#VALUE!</v>
      </c>
      <c r="L187" s="93" t="e">
        <f t="shared" si="15"/>
        <v>#VALUE!</v>
      </c>
      <c r="M187" s="96" t="e">
        <f t="shared" si="16"/>
        <v>#VALUE!</v>
      </c>
    </row>
    <row r="188" spans="1:13">
      <c r="A188" s="25" t="e">
        <f t="shared" si="13"/>
        <v>#REF!</v>
      </c>
      <c r="B188" s="300" t="s">
        <v>1364</v>
      </c>
      <c r="C188" s="26" t="s">
        <v>981</v>
      </c>
      <c r="D188" s="26">
        <v>1</v>
      </c>
      <c r="E188" s="6" t="e">
        <f xml:space="preserve"> [1]!'EOG.US-PreClose'</f>
        <v>#REF!</v>
      </c>
      <c r="F188" s="6">
        <v>2487</v>
      </c>
      <c r="G188" s="74" t="e">
        <f t="shared" si="17"/>
        <v>#REF!</v>
      </c>
      <c r="H188" s="6" t="e">
        <f xml:space="preserve"> [1]!'EOG.US-Price'</f>
        <v>#REF!</v>
      </c>
      <c r="I188" s="6" t="e">
        <f xml:space="preserve"> [1]!'EOG.US-BestBid1'</f>
        <v>#REF!</v>
      </c>
      <c r="J188" s="6" t="e">
        <f xml:space="preserve"> [1]!'EOG.US-BestAsk1'</f>
        <v>#REF!</v>
      </c>
      <c r="K188" s="93" t="e">
        <f t="shared" si="14"/>
        <v>#REF!</v>
      </c>
      <c r="L188" s="93" t="e">
        <f t="shared" si="15"/>
        <v>#REF!</v>
      </c>
      <c r="M188" s="96" t="e">
        <f t="shared" si="16"/>
        <v>#REF!</v>
      </c>
    </row>
    <row r="189" spans="1:13">
      <c r="A189" s="25" t="e">
        <f t="shared" si="13"/>
        <v>#REF!</v>
      </c>
      <c r="B189" s="300" t="s">
        <v>1365</v>
      </c>
      <c r="C189" s="26" t="s">
        <v>502</v>
      </c>
      <c r="D189" s="26">
        <v>1</v>
      </c>
      <c r="E189" s="6" t="e">
        <f xml:space="preserve"> [1]!'EQIX.US-PreClose'</f>
        <v>#REF!</v>
      </c>
      <c r="F189" s="6">
        <v>336</v>
      </c>
      <c r="G189" s="74" t="e">
        <f t="shared" si="17"/>
        <v>#REF!</v>
      </c>
      <c r="H189" s="6" t="e">
        <f xml:space="preserve"> [1]!'EQIX.US-Price'</f>
        <v>#REF!</v>
      </c>
      <c r="I189" s="6" t="e">
        <f xml:space="preserve"> [1]!'EQIX.US-BestBid1'</f>
        <v>#REF!</v>
      </c>
      <c r="J189" s="6" t="e">
        <f xml:space="preserve"> [1]!'EQIX.US-BestAsk1'</f>
        <v>#REF!</v>
      </c>
      <c r="K189" s="93" t="e">
        <f t="shared" si="14"/>
        <v>#REF!</v>
      </c>
      <c r="L189" s="93" t="e">
        <f t="shared" si="15"/>
        <v>#REF!</v>
      </c>
      <c r="M189" s="96" t="e">
        <f t="shared" si="16"/>
        <v>#REF!</v>
      </c>
    </row>
    <row r="190" spans="1:13">
      <c r="A190" s="25" t="e">
        <f t="shared" si="13"/>
        <v>#REF!</v>
      </c>
      <c r="B190" s="300" t="s">
        <v>1366</v>
      </c>
      <c r="C190" s="26" t="s">
        <v>982</v>
      </c>
      <c r="D190" s="26">
        <v>1</v>
      </c>
      <c r="E190" s="6" t="e">
        <f xml:space="preserve"> [1]!'EQR.US-PreClose'</f>
        <v>#REF!</v>
      </c>
      <c r="F190" s="6">
        <v>1582</v>
      </c>
      <c r="G190" s="74" t="e">
        <f t="shared" si="17"/>
        <v>#REF!</v>
      </c>
      <c r="H190" s="6" t="e">
        <f xml:space="preserve"> [1]!'EQR.US-Price'</f>
        <v>#REF!</v>
      </c>
      <c r="I190" s="6" t="e">
        <f xml:space="preserve"> [1]!'EQR.US-BestBid1'</f>
        <v>#REF!</v>
      </c>
      <c r="J190" s="6" t="e">
        <f xml:space="preserve"> [1]!'EQR.US-BestAsk1'</f>
        <v>#REF!</v>
      </c>
      <c r="K190" s="93" t="e">
        <f t="shared" si="14"/>
        <v>#REF!</v>
      </c>
      <c r="L190" s="93" t="e">
        <f t="shared" si="15"/>
        <v>#REF!</v>
      </c>
      <c r="M190" s="96" t="e">
        <f t="shared" si="16"/>
        <v>#REF!</v>
      </c>
    </row>
    <row r="191" spans="1:13">
      <c r="A191" s="25" t="e">
        <f t="shared" si="13"/>
        <v>#REF!</v>
      </c>
      <c r="B191" s="300" t="s">
        <v>1367</v>
      </c>
      <c r="C191" s="26" t="s">
        <v>983</v>
      </c>
      <c r="D191" s="26">
        <v>1</v>
      </c>
      <c r="E191" s="6" t="e">
        <f xml:space="preserve"> [1]!'EQT.US-PreClose'</f>
        <v>#REF!</v>
      </c>
      <c r="F191" s="6">
        <v>746</v>
      </c>
      <c r="G191" s="74" t="e">
        <f t="shared" si="17"/>
        <v>#REF!</v>
      </c>
      <c r="H191" s="6" t="e">
        <f xml:space="preserve"> [1]!'EQT.US-Price'</f>
        <v>#REF!</v>
      </c>
      <c r="I191" s="6" t="e">
        <f xml:space="preserve"> [1]!'EQT.US-BestBid1'</f>
        <v>#REF!</v>
      </c>
      <c r="J191" s="6" t="e">
        <f xml:space="preserve"> [1]!'EQT.US-BestAsk1'</f>
        <v>#REF!</v>
      </c>
      <c r="K191" s="93" t="e">
        <f t="shared" si="14"/>
        <v>#REF!</v>
      </c>
      <c r="L191" s="93" t="e">
        <f t="shared" si="15"/>
        <v>#REF!</v>
      </c>
      <c r="M191" s="96" t="e">
        <f t="shared" si="16"/>
        <v>#REF!</v>
      </c>
    </row>
    <row r="192" spans="1:13">
      <c r="A192" s="25" t="e">
        <f t="shared" si="13"/>
        <v>#REF!</v>
      </c>
      <c r="B192" s="300" t="s">
        <v>1368</v>
      </c>
      <c r="C192" s="26" t="s">
        <v>228</v>
      </c>
      <c r="D192" s="26">
        <v>1</v>
      </c>
      <c r="E192" s="6" t="e">
        <f xml:space="preserve"> [1]!'ES.US-PreClose'</f>
        <v>#REF!</v>
      </c>
      <c r="F192" s="6">
        <v>1365</v>
      </c>
      <c r="G192" s="74" t="e">
        <f t="shared" si="17"/>
        <v>#REF!</v>
      </c>
      <c r="H192" s="6" t="e">
        <f xml:space="preserve"> [1]!'ES.US-Price'</f>
        <v>#REF!</v>
      </c>
      <c r="I192" s="6" t="e">
        <f xml:space="preserve"> [1]!'ES.US-BestBid1'</f>
        <v>#REF!</v>
      </c>
      <c r="J192" s="6" t="e">
        <f xml:space="preserve"> [1]!'ES.US-BestAsk1'</f>
        <v>#REF!</v>
      </c>
      <c r="K192" s="93" t="e">
        <f t="shared" si="14"/>
        <v>#REF!</v>
      </c>
      <c r="L192" s="93" t="e">
        <f t="shared" si="15"/>
        <v>#REF!</v>
      </c>
      <c r="M192" s="96" t="e">
        <f t="shared" si="16"/>
        <v>#REF!</v>
      </c>
    </row>
    <row r="193" spans="1:13">
      <c r="A193" s="25" t="e">
        <f t="shared" si="13"/>
        <v>#REF!</v>
      </c>
      <c r="B193" s="300" t="s">
        <v>1369</v>
      </c>
      <c r="C193" s="26" t="s">
        <v>503</v>
      </c>
      <c r="D193" s="26">
        <v>1</v>
      </c>
      <c r="E193" s="6" t="e">
        <f xml:space="preserve"> [1]!'ESRX.US-PreClose'</f>
        <v>#REF!</v>
      </c>
      <c r="F193" s="6">
        <v>2488</v>
      </c>
      <c r="G193" s="74" t="e">
        <f t="shared" si="17"/>
        <v>#REF!</v>
      </c>
      <c r="H193" s="6" t="e">
        <f xml:space="preserve"> [1]!'ESRX.US-Price'</f>
        <v>#REF!</v>
      </c>
      <c r="I193" s="6" t="e">
        <f xml:space="preserve"> [1]!'ESRX.US-BestBid1'</f>
        <v>#REF!</v>
      </c>
      <c r="J193" s="6" t="e">
        <f xml:space="preserve"> [1]!'ESRX.US-BestAsk1'</f>
        <v>#REF!</v>
      </c>
      <c r="K193" s="93" t="e">
        <f t="shared" si="14"/>
        <v>#REF!</v>
      </c>
      <c r="L193" s="93" t="e">
        <f t="shared" si="15"/>
        <v>#REF!</v>
      </c>
      <c r="M193" s="96" t="e">
        <f t="shared" si="16"/>
        <v>#REF!</v>
      </c>
    </row>
    <row r="194" spans="1:13">
      <c r="A194" s="25" t="e">
        <f t="shared" si="13"/>
        <v>#REF!</v>
      </c>
      <c r="B194" s="300" t="s">
        <v>1370</v>
      </c>
      <c r="C194" s="26" t="s">
        <v>984</v>
      </c>
      <c r="D194" s="26">
        <v>1</v>
      </c>
      <c r="E194" s="6" t="e">
        <f xml:space="preserve"> [1]!'ESS.US-PreClose'</f>
        <v>#REF!</v>
      </c>
      <c r="F194" s="6">
        <v>284</v>
      </c>
      <c r="G194" s="74" t="e">
        <f t="shared" si="17"/>
        <v>#REF!</v>
      </c>
      <c r="H194" s="6" t="e">
        <f xml:space="preserve"> [1]!'ESS.US-Price'</f>
        <v>#REF!</v>
      </c>
      <c r="I194" s="6" t="e">
        <f xml:space="preserve"> [1]!'ESS.US-BestBid1'</f>
        <v>#REF!</v>
      </c>
      <c r="J194" s="6" t="e">
        <f xml:space="preserve"> [1]!'ESS.US-BestAsk1'</f>
        <v>#REF!</v>
      </c>
      <c r="K194" s="93" t="e">
        <f t="shared" si="14"/>
        <v>#REF!</v>
      </c>
      <c r="L194" s="93" t="e">
        <f t="shared" si="15"/>
        <v>#REF!</v>
      </c>
      <c r="M194" s="96" t="e">
        <f t="shared" si="16"/>
        <v>#REF!</v>
      </c>
    </row>
    <row r="195" spans="1:13">
      <c r="A195" s="25" t="e">
        <f t="shared" si="13"/>
        <v>#REF!</v>
      </c>
      <c r="B195" s="300" t="s">
        <v>1371</v>
      </c>
      <c r="C195" s="26" t="s">
        <v>504</v>
      </c>
      <c r="D195" s="26">
        <v>1</v>
      </c>
      <c r="E195" s="6" t="e">
        <f xml:space="preserve"> [1]!'ETFC.US-PreClose'</f>
        <v>#REF!</v>
      </c>
      <c r="F195" s="6">
        <v>1184</v>
      </c>
      <c r="G195" s="74" t="e">
        <f t="shared" si="17"/>
        <v>#REF!</v>
      </c>
      <c r="H195" s="6" t="e">
        <f xml:space="preserve"> [1]!'ETFC.US-Price'</f>
        <v>#REF!</v>
      </c>
      <c r="I195" s="6" t="e">
        <f xml:space="preserve"> [1]!'ETFC.US-BestBid1'</f>
        <v>#REF!</v>
      </c>
      <c r="J195" s="6" t="e">
        <f xml:space="preserve"> [1]!'ETFC.US-BestAsk1'</f>
        <v>#REF!</v>
      </c>
      <c r="K195" s="93" t="e">
        <f t="shared" si="14"/>
        <v>#REF!</v>
      </c>
      <c r="L195" s="93" t="e">
        <f t="shared" si="15"/>
        <v>#REF!</v>
      </c>
      <c r="M195" s="96" t="e">
        <f t="shared" si="16"/>
        <v>#REF!</v>
      </c>
    </row>
    <row r="196" spans="1:13">
      <c r="A196" s="25" t="e">
        <f t="shared" si="13"/>
        <v>#VALUE!</v>
      </c>
      <c r="B196" s="300" t="s">
        <v>1372</v>
      </c>
      <c r="C196" s="26" t="s">
        <v>985</v>
      </c>
      <c r="D196" s="26">
        <v>1</v>
      </c>
      <c r="E196" s="6" t="str">
        <f xml:space="preserve"> [1]!'ETN.US-PreClose'</f>
        <v>N/A</v>
      </c>
      <c r="F196" s="6">
        <v>1915</v>
      </c>
      <c r="G196" s="74" t="e">
        <f t="shared" si="17"/>
        <v>#VALUE!</v>
      </c>
      <c r="H196" s="6" t="str">
        <f xml:space="preserve"> [1]!'ETN.US-Price'</f>
        <v>N/A</v>
      </c>
      <c r="I196" s="6" t="str">
        <f xml:space="preserve"> [1]!'ETN.US-BestBid1'</f>
        <v>N/A</v>
      </c>
      <c r="J196" s="6" t="str">
        <f xml:space="preserve"> [1]!'ETN.US-BestAsk1'</f>
        <v>N/A</v>
      </c>
      <c r="K196" s="93" t="e">
        <f t="shared" si="14"/>
        <v>#VALUE!</v>
      </c>
      <c r="L196" s="93" t="e">
        <f t="shared" si="15"/>
        <v>#VALUE!</v>
      </c>
      <c r="M196" s="96" t="e">
        <f t="shared" si="16"/>
        <v>#VALUE!</v>
      </c>
    </row>
    <row r="197" spans="1:13">
      <c r="A197" s="25" t="e">
        <f t="shared" si="13"/>
        <v>#VALUE!</v>
      </c>
      <c r="B197" s="300" t="s">
        <v>1373</v>
      </c>
      <c r="C197" s="26" t="s">
        <v>986</v>
      </c>
      <c r="D197" s="26">
        <v>1</v>
      </c>
      <c r="E197" s="6" t="str">
        <f xml:space="preserve"> [1]!'ETR.US-PreClose'</f>
        <v>N/A</v>
      </c>
      <c r="F197" s="6">
        <v>773</v>
      </c>
      <c r="G197" s="74" t="e">
        <f t="shared" si="17"/>
        <v>#VALUE!</v>
      </c>
      <c r="H197" s="6" t="str">
        <f xml:space="preserve"> [1]!'ETR.US-Price'</f>
        <v>N/A</v>
      </c>
      <c r="I197" s="6" t="str">
        <f xml:space="preserve"> [1]!'ETR.US-BestBid1'</f>
        <v>N/A</v>
      </c>
      <c r="J197" s="6" t="str">
        <f xml:space="preserve"> [1]!'ETR.US-BestAsk1'</f>
        <v>N/A</v>
      </c>
      <c r="K197" s="93" t="e">
        <f t="shared" si="14"/>
        <v>#VALUE!</v>
      </c>
      <c r="L197" s="93" t="e">
        <f t="shared" si="15"/>
        <v>#VALUE!</v>
      </c>
      <c r="M197" s="96" t="e">
        <f t="shared" si="16"/>
        <v>#VALUE!</v>
      </c>
    </row>
    <row r="198" spans="1:13">
      <c r="A198" s="25" t="e">
        <f t="shared" si="13"/>
        <v>#REF!</v>
      </c>
      <c r="B198" s="300" t="s">
        <v>1374</v>
      </c>
      <c r="C198" s="26" t="s">
        <v>505</v>
      </c>
      <c r="D198" s="26">
        <v>1</v>
      </c>
      <c r="E198" s="6" t="e">
        <f xml:space="preserve"> [1]!'EVHC.US-PreClose'</f>
        <v>#REF!</v>
      </c>
      <c r="F198" s="6">
        <v>520</v>
      </c>
      <c r="G198" s="74" t="e">
        <f t="shared" si="17"/>
        <v>#REF!</v>
      </c>
      <c r="H198" s="6" t="e">
        <f xml:space="preserve"> [1]!'EVHC.US-Price'</f>
        <v>#REF!</v>
      </c>
      <c r="I198" s="6" t="e">
        <f xml:space="preserve"> [1]!'EVHC.US-BestBid1'</f>
        <v>#REF!</v>
      </c>
      <c r="J198" s="6" t="e">
        <f xml:space="preserve"> [1]!'EVHC.US-BestAsk1'</f>
        <v>#REF!</v>
      </c>
      <c r="K198" s="93" t="e">
        <f t="shared" si="14"/>
        <v>#REF!</v>
      </c>
      <c r="L198" s="93" t="e">
        <f t="shared" si="15"/>
        <v>#REF!</v>
      </c>
      <c r="M198" s="96" t="e">
        <f t="shared" si="16"/>
        <v>#REF!</v>
      </c>
    </row>
    <row r="199" spans="1:13">
      <c r="A199" s="25" t="e">
        <f t="shared" si="13"/>
        <v>#REF!</v>
      </c>
      <c r="B199" s="300" t="s">
        <v>1375</v>
      </c>
      <c r="C199" s="26" t="s">
        <v>590</v>
      </c>
      <c r="D199" s="26">
        <v>1</v>
      </c>
      <c r="E199" s="6" t="e">
        <f xml:space="preserve"> [1]!'EW.US-PreClose'</f>
        <v>#REF!</v>
      </c>
      <c r="F199" s="6">
        <v>909</v>
      </c>
      <c r="G199" s="74" t="e">
        <f t="shared" si="17"/>
        <v>#REF!</v>
      </c>
      <c r="H199" s="6" t="e">
        <f xml:space="preserve"> [1]!'EW.US-Price'</f>
        <v>#REF!</v>
      </c>
      <c r="I199" s="6" t="e">
        <f xml:space="preserve"> [1]!'EW.US-BestBid1'</f>
        <v>#REF!</v>
      </c>
      <c r="J199" s="6" t="e">
        <f xml:space="preserve"> [1]!'EW.US-BestAsk1'</f>
        <v>#REF!</v>
      </c>
      <c r="K199" s="93" t="e">
        <f t="shared" si="14"/>
        <v>#REF!</v>
      </c>
      <c r="L199" s="93" t="e">
        <f t="shared" si="15"/>
        <v>#REF!</v>
      </c>
      <c r="M199" s="96" t="e">
        <f t="shared" si="16"/>
        <v>#REF!</v>
      </c>
    </row>
    <row r="200" spans="1:13">
      <c r="A200" s="25" t="e">
        <f t="shared" si="13"/>
        <v>#VALUE!</v>
      </c>
      <c r="B200" s="300" t="s">
        <v>1376</v>
      </c>
      <c r="C200" s="26" t="s">
        <v>987</v>
      </c>
      <c r="D200" s="26">
        <v>1</v>
      </c>
      <c r="E200" s="6" t="str">
        <f xml:space="preserve"> [1]!'EXC.US-PreClose'</f>
        <v>N/A</v>
      </c>
      <c r="F200" s="6">
        <v>4135</v>
      </c>
      <c r="G200" s="74" t="e">
        <f t="shared" si="17"/>
        <v>#VALUE!</v>
      </c>
      <c r="H200" s="6" t="str">
        <f xml:space="preserve"> [1]!'EXC.US-Price'</f>
        <v>N/A</v>
      </c>
      <c r="I200" s="6" t="str">
        <f xml:space="preserve"> [1]!'EXC.US-BestBid1'</f>
        <v>N/A</v>
      </c>
      <c r="J200" s="6" t="str">
        <f xml:space="preserve"> [1]!'EXC.US-BestAsk1'</f>
        <v>N/A</v>
      </c>
      <c r="K200" s="93" t="e">
        <f t="shared" si="14"/>
        <v>#VALUE!</v>
      </c>
      <c r="L200" s="93" t="e">
        <f t="shared" si="15"/>
        <v>#VALUE!</v>
      </c>
      <c r="M200" s="96" t="e">
        <f t="shared" si="16"/>
        <v>#VALUE!</v>
      </c>
    </row>
    <row r="201" spans="1:13">
      <c r="A201" s="25" t="e">
        <f t="shared" si="13"/>
        <v>#REF!</v>
      </c>
      <c r="B201" s="300" t="s">
        <v>1377</v>
      </c>
      <c r="C201" s="26" t="s">
        <v>506</v>
      </c>
      <c r="D201" s="26">
        <v>1</v>
      </c>
      <c r="E201" s="6" t="e">
        <f xml:space="preserve"> [1]!'EXPD.US-PreClose'</f>
        <v>#REF!</v>
      </c>
      <c r="F201" s="6">
        <v>778</v>
      </c>
      <c r="G201" s="74" t="e">
        <f t="shared" si="17"/>
        <v>#REF!</v>
      </c>
      <c r="H201" s="6" t="e">
        <f xml:space="preserve"> [1]!'EXPD.US-Price'</f>
        <v>#REF!</v>
      </c>
      <c r="I201" s="6" t="e">
        <f xml:space="preserve"> [1]!'EXPD.US-BestBid1'</f>
        <v>#REF!</v>
      </c>
      <c r="J201" s="6" t="e">
        <f xml:space="preserve"> [1]!'EXPD.US-BestAsk1'</f>
        <v>#REF!</v>
      </c>
      <c r="K201" s="93" t="e">
        <f t="shared" si="14"/>
        <v>#REF!</v>
      </c>
      <c r="L201" s="93" t="e">
        <f t="shared" si="15"/>
        <v>#REF!</v>
      </c>
      <c r="M201" s="96" t="e">
        <f t="shared" si="16"/>
        <v>#REF!</v>
      </c>
    </row>
    <row r="202" spans="1:13">
      <c r="A202" s="25" t="e">
        <f t="shared" si="13"/>
        <v>#REF!</v>
      </c>
      <c r="B202" s="300" t="s">
        <v>1378</v>
      </c>
      <c r="C202" s="26" t="s">
        <v>507</v>
      </c>
      <c r="D202" s="26">
        <v>1</v>
      </c>
      <c r="E202" s="6" t="e">
        <f xml:space="preserve"> [1]!'EXPE.US-PreClose'</f>
        <v>#REF!</v>
      </c>
      <c r="F202" s="6">
        <v>526</v>
      </c>
      <c r="G202" s="74" t="e">
        <f t="shared" si="17"/>
        <v>#REF!</v>
      </c>
      <c r="H202" s="6" t="e">
        <f xml:space="preserve"> [1]!'EXPE.US-Price'</f>
        <v>#REF!</v>
      </c>
      <c r="I202" s="6" t="e">
        <f xml:space="preserve"> [1]!'EXPE.US-BestBid1'</f>
        <v>#REF!</v>
      </c>
      <c r="J202" s="6" t="e">
        <f xml:space="preserve"> [1]!'EXPE.US-BestAsk1'</f>
        <v>#REF!</v>
      </c>
      <c r="K202" s="93" t="e">
        <f t="shared" si="14"/>
        <v>#REF!</v>
      </c>
      <c r="L202" s="93" t="e">
        <f t="shared" si="15"/>
        <v>#REF!</v>
      </c>
      <c r="M202" s="96" t="e">
        <f t="shared" si="16"/>
        <v>#REF!</v>
      </c>
    </row>
    <row r="203" spans="1:13">
      <c r="A203" s="25" t="e">
        <f t="shared" si="13"/>
        <v>#VALUE!</v>
      </c>
      <c r="B203" s="300" t="s">
        <v>1379</v>
      </c>
      <c r="C203" s="26" t="s">
        <v>988</v>
      </c>
      <c r="D203" s="26">
        <v>1</v>
      </c>
      <c r="E203" s="6" t="str">
        <f xml:space="preserve"> [1]!'EXR.US-PreClose'</f>
        <v>N/A</v>
      </c>
      <c r="F203" s="6">
        <v>542</v>
      </c>
      <c r="G203" s="74" t="e">
        <f t="shared" si="17"/>
        <v>#VALUE!</v>
      </c>
      <c r="H203" s="6" t="str">
        <f xml:space="preserve"> [1]!'EXR.US-Price'</f>
        <v>N/A</v>
      </c>
      <c r="I203" s="6" t="str">
        <f xml:space="preserve"> [1]!'EXR.US-BestBid1'</f>
        <v>N/A</v>
      </c>
      <c r="J203" s="6" t="str">
        <f xml:space="preserve"> [1]!'EXR.US-BestAsk1'</f>
        <v>N/A</v>
      </c>
      <c r="K203" s="93" t="e">
        <f t="shared" si="14"/>
        <v>#VALUE!</v>
      </c>
      <c r="L203" s="93" t="e">
        <f t="shared" si="15"/>
        <v>#VALUE!</v>
      </c>
      <c r="M203" s="96" t="e">
        <f t="shared" si="16"/>
        <v>#VALUE!</v>
      </c>
    </row>
    <row r="204" spans="1:13">
      <c r="A204" s="25" t="e">
        <f t="shared" si="13"/>
        <v>#VALUE!</v>
      </c>
      <c r="B204" s="300" t="s">
        <v>1380</v>
      </c>
      <c r="C204" s="26" t="s">
        <v>591</v>
      </c>
      <c r="D204" s="26">
        <v>1</v>
      </c>
      <c r="E204" s="6" t="str">
        <f xml:space="preserve"> [1]!'F.US-PreClose'</f>
        <v>N/A</v>
      </c>
      <c r="F204" s="6">
        <v>16843</v>
      </c>
      <c r="G204" s="74" t="e">
        <f t="shared" si="17"/>
        <v>#VALUE!</v>
      </c>
      <c r="H204" s="6" t="str">
        <f xml:space="preserve"> [1]!'F.US-Price'</f>
        <v>N/A</v>
      </c>
      <c r="I204" s="6" t="str">
        <f xml:space="preserve"> [1]!'F.US-BestBid1'</f>
        <v>N/A</v>
      </c>
      <c r="J204" s="6" t="str">
        <f xml:space="preserve"> [1]!'F.US-BestAsk1'</f>
        <v>N/A</v>
      </c>
      <c r="K204" s="93" t="e">
        <f t="shared" si="14"/>
        <v>#VALUE!</v>
      </c>
      <c r="L204" s="93" t="e">
        <f t="shared" si="15"/>
        <v>#VALUE!</v>
      </c>
      <c r="M204" s="96" t="e">
        <f t="shared" si="16"/>
        <v>#VALUE!</v>
      </c>
    </row>
    <row r="205" spans="1:13">
      <c r="A205" s="25" t="e">
        <f t="shared" si="13"/>
        <v>#REF!</v>
      </c>
      <c r="B205" s="300" t="s">
        <v>1381</v>
      </c>
      <c r="C205" s="26" t="s">
        <v>508</v>
      </c>
      <c r="D205" s="26">
        <v>1</v>
      </c>
      <c r="E205" s="6" t="e">
        <f xml:space="preserve"> [1]!'FAST.US-PreClose'</f>
        <v>#REF!</v>
      </c>
      <c r="F205" s="6">
        <v>1240</v>
      </c>
      <c r="G205" s="74" t="e">
        <f t="shared" si="17"/>
        <v>#REF!</v>
      </c>
      <c r="H205" s="6" t="e">
        <f xml:space="preserve"> [1]!'FAST.US-Price'</f>
        <v>#REF!</v>
      </c>
      <c r="I205" s="6" t="e">
        <f xml:space="preserve"> [1]!'FAST.US-BestBid1'</f>
        <v>#REF!</v>
      </c>
      <c r="J205" s="6" t="e">
        <f xml:space="preserve"> [1]!'FAST.US-BestAsk1'</f>
        <v>#REF!</v>
      </c>
      <c r="K205" s="93" t="e">
        <f t="shared" si="14"/>
        <v>#REF!</v>
      </c>
      <c r="L205" s="93" t="e">
        <f t="shared" si="15"/>
        <v>#REF!</v>
      </c>
      <c r="M205" s="96" t="e">
        <f t="shared" si="16"/>
        <v>#REF!</v>
      </c>
    </row>
    <row r="206" spans="1:13">
      <c r="A206" s="25" t="e">
        <f t="shared" si="13"/>
        <v>#REF!</v>
      </c>
      <c r="B206" s="300" t="s">
        <v>1382</v>
      </c>
      <c r="C206" s="26" t="s">
        <v>592</v>
      </c>
      <c r="D206" s="26">
        <v>1</v>
      </c>
      <c r="E206" s="6" t="e">
        <f xml:space="preserve"> [1]!'FB.US-PreClose'</f>
        <v>#REF!</v>
      </c>
      <c r="F206" s="6">
        <v>10208</v>
      </c>
      <c r="G206" s="74" t="e">
        <f t="shared" si="17"/>
        <v>#REF!</v>
      </c>
      <c r="H206" s="6" t="e">
        <f xml:space="preserve"> [1]!'FB.US-Price'</f>
        <v>#REF!</v>
      </c>
      <c r="I206" s="6" t="e">
        <f xml:space="preserve"> [1]!'FB.US-BestBid1'</f>
        <v>#REF!</v>
      </c>
      <c r="J206" s="6" t="e">
        <f xml:space="preserve"> [1]!'FB.US-BestAsk1'</f>
        <v>#REF!</v>
      </c>
      <c r="K206" s="93" t="e">
        <f t="shared" si="14"/>
        <v>#REF!</v>
      </c>
      <c r="L206" s="93" t="e">
        <f t="shared" si="15"/>
        <v>#REF!</v>
      </c>
      <c r="M206" s="96" t="e">
        <f t="shared" si="16"/>
        <v>#REF!</v>
      </c>
    </row>
    <row r="207" spans="1:13">
      <c r="A207" s="25" t="e">
        <f t="shared" si="13"/>
        <v>#REF!</v>
      </c>
      <c r="B207" s="300" t="s">
        <v>1383</v>
      </c>
      <c r="C207" s="26" t="s">
        <v>509</v>
      </c>
      <c r="D207" s="26">
        <v>1</v>
      </c>
      <c r="E207" s="6" t="e">
        <f xml:space="preserve"> [1]!'FBHS.US-PreClose'</f>
        <v>#REF!</v>
      </c>
      <c r="F207" s="6">
        <v>663</v>
      </c>
      <c r="G207" s="74" t="e">
        <f t="shared" si="17"/>
        <v>#REF!</v>
      </c>
      <c r="H207" s="6" t="e">
        <f xml:space="preserve"> [1]!'FBHS.US-Price'</f>
        <v>#REF!</v>
      </c>
      <c r="I207" s="6" t="e">
        <f xml:space="preserve"> [1]!'FBHS.US-BestBid1'</f>
        <v>#REF!</v>
      </c>
      <c r="J207" s="6" t="e">
        <f xml:space="preserve"> [1]!'FBHS.US-BestAsk1'</f>
        <v>#REF!</v>
      </c>
      <c r="K207" s="93" t="e">
        <f t="shared" si="14"/>
        <v>#REF!</v>
      </c>
      <c r="L207" s="93" t="e">
        <f t="shared" si="15"/>
        <v>#REF!</v>
      </c>
      <c r="M207" s="96" t="e">
        <f t="shared" si="16"/>
        <v>#REF!</v>
      </c>
    </row>
    <row r="208" spans="1:13">
      <c r="A208" s="25" t="e">
        <f t="shared" si="13"/>
        <v>#REF!</v>
      </c>
      <c r="B208" s="300" t="s">
        <v>1384</v>
      </c>
      <c r="C208" s="26" t="s">
        <v>989</v>
      </c>
      <c r="D208" s="26">
        <v>1</v>
      </c>
      <c r="E208" s="6" t="e">
        <f xml:space="preserve"> [1]!'FCX.US-PreClose'</f>
        <v>#REF!</v>
      </c>
      <c r="F208" s="6">
        <v>5794</v>
      </c>
      <c r="G208" s="74" t="e">
        <f t="shared" si="17"/>
        <v>#REF!</v>
      </c>
      <c r="H208" s="6" t="e">
        <f xml:space="preserve"> [1]!'FCX.US-Price'</f>
        <v>#REF!</v>
      </c>
      <c r="I208" s="6" t="e">
        <f xml:space="preserve"> [1]!'FCX.US-BestBid1'</f>
        <v>#REF!</v>
      </c>
      <c r="J208" s="6" t="e">
        <f xml:space="preserve"> [1]!'FCX.US-BestAsk1'</f>
        <v>#REF!</v>
      </c>
      <c r="K208" s="93" t="e">
        <f t="shared" si="14"/>
        <v>#REF!</v>
      </c>
      <c r="L208" s="93" t="e">
        <f t="shared" si="15"/>
        <v>#REF!</v>
      </c>
      <c r="M208" s="96" t="e">
        <f t="shared" si="16"/>
        <v>#REF!</v>
      </c>
    </row>
    <row r="209" spans="1:13">
      <c r="A209" s="25" t="e">
        <f t="shared" si="13"/>
        <v>#REF!</v>
      </c>
      <c r="B209" s="300" t="s">
        <v>1385</v>
      </c>
      <c r="C209" s="26" t="s">
        <v>990</v>
      </c>
      <c r="D209" s="26">
        <v>1</v>
      </c>
      <c r="E209" s="6" t="e">
        <f xml:space="preserve"> [1]!'FDX.US-PreClose'</f>
        <v>#REF!</v>
      </c>
      <c r="F209" s="6">
        <v>1063</v>
      </c>
      <c r="G209" s="74" t="e">
        <f t="shared" si="17"/>
        <v>#REF!</v>
      </c>
      <c r="H209" s="6" t="e">
        <f xml:space="preserve"> [1]!'FDX.US-Price'</f>
        <v>#REF!</v>
      </c>
      <c r="I209" s="6" t="e">
        <f xml:space="preserve"> [1]!'FDX.US-BestBid1'</f>
        <v>#REF!</v>
      </c>
      <c r="J209" s="6" t="e">
        <f xml:space="preserve"> [1]!'FDX.US-BestAsk1'</f>
        <v>#REF!</v>
      </c>
      <c r="K209" s="93" t="e">
        <f t="shared" si="14"/>
        <v>#REF!</v>
      </c>
      <c r="L209" s="93" t="e">
        <f t="shared" si="15"/>
        <v>#REF!</v>
      </c>
      <c r="M209" s="96" t="e">
        <f t="shared" si="16"/>
        <v>#REF!</v>
      </c>
    </row>
    <row r="210" spans="1:13">
      <c r="A210" s="25" t="e">
        <f t="shared" si="13"/>
        <v>#VALUE!</v>
      </c>
      <c r="B210" s="300" t="s">
        <v>1386</v>
      </c>
      <c r="C210" s="26" t="s">
        <v>593</v>
      </c>
      <c r="D210" s="26">
        <v>1</v>
      </c>
      <c r="E210" s="6" t="str">
        <f xml:space="preserve"> [1]!'FE.US-PreClose'</f>
        <v>N/A</v>
      </c>
      <c r="F210" s="6">
        <v>1913</v>
      </c>
      <c r="G210" s="74" t="e">
        <f t="shared" si="17"/>
        <v>#VALUE!</v>
      </c>
      <c r="H210" s="6" t="str">
        <f xml:space="preserve"> [1]!'FE.US-Price'</f>
        <v>N/A</v>
      </c>
      <c r="I210" s="6" t="str">
        <f xml:space="preserve"> [1]!'FE.US-BestBid1'</f>
        <v>N/A</v>
      </c>
      <c r="J210" s="6" t="str">
        <f xml:space="preserve"> [1]!'FE.US-BestAsk1'</f>
        <v>N/A</v>
      </c>
      <c r="K210" s="93" t="e">
        <f t="shared" si="14"/>
        <v>#VALUE!</v>
      </c>
      <c r="L210" s="93" t="e">
        <f t="shared" si="15"/>
        <v>#VALUE!</v>
      </c>
      <c r="M210" s="96" t="e">
        <f t="shared" si="16"/>
        <v>#VALUE!</v>
      </c>
    </row>
    <row r="211" spans="1:13">
      <c r="A211" s="25" t="e">
        <f t="shared" si="13"/>
        <v>#REF!</v>
      </c>
      <c r="B211" s="300" t="s">
        <v>1387</v>
      </c>
      <c r="C211" s="26" t="s">
        <v>510</v>
      </c>
      <c r="D211" s="26">
        <v>1</v>
      </c>
      <c r="E211" s="6" t="e">
        <f xml:space="preserve"> [1]!'FFIV.US-PreClose'</f>
        <v>#REF!</v>
      </c>
      <c r="F211" s="6">
        <v>274</v>
      </c>
      <c r="G211" s="74" t="e">
        <f t="shared" si="17"/>
        <v>#REF!</v>
      </c>
      <c r="H211" s="6" t="e">
        <f xml:space="preserve"> [1]!'FFIV.US-Price'</f>
        <v>#REF!</v>
      </c>
      <c r="I211" s="6" t="e">
        <f xml:space="preserve"> [1]!'FFIV.US-BestBid1'</f>
        <v>#REF!</v>
      </c>
      <c r="J211" s="6" t="e">
        <f xml:space="preserve"> [1]!'FFIV.US-BestAsk1'</f>
        <v>#REF!</v>
      </c>
      <c r="K211" s="93" t="e">
        <f t="shared" si="14"/>
        <v>#REF!</v>
      </c>
      <c r="L211" s="93" t="e">
        <f t="shared" si="15"/>
        <v>#REF!</v>
      </c>
      <c r="M211" s="96" t="e">
        <f t="shared" si="16"/>
        <v>#REF!</v>
      </c>
    </row>
    <row r="212" spans="1:13">
      <c r="A212" s="25" t="e">
        <f t="shared" si="13"/>
        <v>#REF!</v>
      </c>
      <c r="B212" s="300" t="s">
        <v>1388</v>
      </c>
      <c r="C212" s="26" t="s">
        <v>991</v>
      </c>
      <c r="D212" s="26">
        <v>1</v>
      </c>
      <c r="E212" s="6" t="e">
        <f xml:space="preserve"> [1]!'FIS.US-PreClose'</f>
        <v>#REF!</v>
      </c>
      <c r="F212" s="6">
        <v>1431</v>
      </c>
      <c r="G212" s="74" t="e">
        <f t="shared" si="17"/>
        <v>#REF!</v>
      </c>
      <c r="H212" s="6" t="e">
        <f xml:space="preserve"> [1]!'FIS.US-Price'</f>
        <v>#REF!</v>
      </c>
      <c r="I212" s="6" t="e">
        <f xml:space="preserve"> [1]!'FIS.US-BestBid1'</f>
        <v>#REF!</v>
      </c>
      <c r="J212" s="6" t="e">
        <f xml:space="preserve"> [1]!'FIS.US-BestAsk1'</f>
        <v>#REF!</v>
      </c>
      <c r="K212" s="93" t="e">
        <f t="shared" si="14"/>
        <v>#REF!</v>
      </c>
      <c r="L212" s="93" t="e">
        <f t="shared" si="15"/>
        <v>#REF!</v>
      </c>
      <c r="M212" s="96" t="e">
        <f t="shared" si="16"/>
        <v>#REF!</v>
      </c>
    </row>
    <row r="213" spans="1:13">
      <c r="A213" s="25" t="e">
        <f t="shared" si="13"/>
        <v>#REF!</v>
      </c>
      <c r="B213" s="300" t="s">
        <v>1389</v>
      </c>
      <c r="C213" s="26" t="s">
        <v>511</v>
      </c>
      <c r="D213" s="26">
        <v>1</v>
      </c>
      <c r="E213" s="6" t="e">
        <f xml:space="preserve"> [1]!'FISV.US-PreClose'</f>
        <v>#REF!</v>
      </c>
      <c r="F213" s="6">
        <v>906</v>
      </c>
      <c r="G213" s="74" t="e">
        <f t="shared" si="17"/>
        <v>#REF!</v>
      </c>
      <c r="H213" s="6" t="e">
        <f xml:space="preserve"> [1]!'FISV.US-Price'</f>
        <v>#REF!</v>
      </c>
      <c r="I213" s="6" t="e">
        <f xml:space="preserve"> [1]!'FISV.US-BestBid1'</f>
        <v>#REF!</v>
      </c>
      <c r="J213" s="6" t="e">
        <f xml:space="preserve"> [1]!'FISV.US-BestAsk1'</f>
        <v>#REF!</v>
      </c>
      <c r="K213" s="93" t="e">
        <f t="shared" si="14"/>
        <v>#REF!</v>
      </c>
      <c r="L213" s="93" t="e">
        <f t="shared" si="15"/>
        <v>#REF!</v>
      </c>
      <c r="M213" s="96" t="e">
        <f t="shared" si="16"/>
        <v>#REF!</v>
      </c>
    </row>
    <row r="214" spans="1:13">
      <c r="A214" s="25" t="e">
        <f t="shared" si="13"/>
        <v>#REF!</v>
      </c>
      <c r="B214" s="300" t="s">
        <v>1390</v>
      </c>
      <c r="C214" s="26" t="s">
        <v>512</v>
      </c>
      <c r="D214" s="26">
        <v>1</v>
      </c>
      <c r="E214" s="6" t="e">
        <f xml:space="preserve"> [1]!'FITB.US-PreClose'</f>
        <v>#REF!</v>
      </c>
      <c r="F214" s="6">
        <v>3173</v>
      </c>
      <c r="G214" s="74" t="e">
        <f t="shared" si="17"/>
        <v>#REF!</v>
      </c>
      <c r="H214" s="6" t="e">
        <f xml:space="preserve"> [1]!'FITB.US-Price'</f>
        <v>#REF!</v>
      </c>
      <c r="I214" s="6" t="e">
        <f xml:space="preserve"> [1]!'FITB.US-BestBid1'</f>
        <v>#REF!</v>
      </c>
      <c r="J214" s="6" t="e">
        <f xml:space="preserve"> [1]!'FITB.US-BestAsk1'</f>
        <v>#REF!</v>
      </c>
      <c r="K214" s="93" t="e">
        <f t="shared" si="14"/>
        <v>#REF!</v>
      </c>
      <c r="L214" s="93" t="e">
        <f t="shared" si="15"/>
        <v>#REF!</v>
      </c>
      <c r="M214" s="96" t="e">
        <f t="shared" si="16"/>
        <v>#REF!</v>
      </c>
    </row>
    <row r="215" spans="1:13">
      <c r="A215" s="25" t="e">
        <f t="shared" ref="A215:A278" si="18">G215/$C$6</f>
        <v>#REF!</v>
      </c>
      <c r="B215" s="300" t="s">
        <v>1391</v>
      </c>
      <c r="C215" s="26" t="s">
        <v>594</v>
      </c>
      <c r="D215" s="26">
        <v>1</v>
      </c>
      <c r="E215" s="6" t="e">
        <f xml:space="preserve"> [1]!'FL.US-PreClose'</f>
        <v>#REF!</v>
      </c>
      <c r="F215" s="6">
        <v>565</v>
      </c>
      <c r="G215" s="74" t="e">
        <f t="shared" si="17"/>
        <v>#REF!</v>
      </c>
      <c r="H215" s="6" t="e">
        <f xml:space="preserve"> [1]!'FL.US-Price'</f>
        <v>#REF!</v>
      </c>
      <c r="I215" s="6" t="e">
        <f xml:space="preserve"> [1]!'FL.US-BestBid1'</f>
        <v>#REF!</v>
      </c>
      <c r="J215" s="6" t="e">
        <f xml:space="preserve"> [1]!'FL.US-BestAsk1'</f>
        <v>#REF!</v>
      </c>
      <c r="K215" s="93" t="e">
        <f t="shared" ref="K215:K278" si="19">IF(ISNUMBER(H215)=TRUE,H215*F215*D215,E215*F215*D215)*$N$2</f>
        <v>#REF!</v>
      </c>
      <c r="L215" s="93" t="e">
        <f t="shared" ref="L215:L278" si="20">IF(ISNUMBER(I215)=TRUE,I215*F215*D215,E215*F215*D215)*$N$2</f>
        <v>#REF!</v>
      </c>
      <c r="M215" s="96" t="e">
        <f t="shared" ref="M215:M278" si="21">IF(ISNUMBER(J215)=TRUE,J215*F215*D215,E215*F215*D215)*$N$2</f>
        <v>#REF!</v>
      </c>
    </row>
    <row r="216" spans="1:13">
      <c r="A216" s="25" t="e">
        <f t="shared" si="18"/>
        <v>#REF!</v>
      </c>
      <c r="B216" s="300" t="s">
        <v>1392</v>
      </c>
      <c r="C216" s="26" t="s">
        <v>513</v>
      </c>
      <c r="D216" s="26">
        <v>1</v>
      </c>
      <c r="E216" s="6" t="e">
        <f xml:space="preserve"> [1]!'FLIR.US-PreClose'</f>
        <v>#REF!</v>
      </c>
      <c r="F216" s="6">
        <v>591</v>
      </c>
      <c r="G216" s="74" t="e">
        <f t="shared" si="17"/>
        <v>#REF!</v>
      </c>
      <c r="H216" s="6" t="e">
        <f xml:space="preserve"> [1]!'FLIR.US-Price'</f>
        <v>#REF!</v>
      </c>
      <c r="I216" s="6" t="e">
        <f xml:space="preserve"> [1]!'FLIR.US-BestBid1'</f>
        <v>#REF!</v>
      </c>
      <c r="J216" s="6" t="e">
        <f xml:space="preserve"> [1]!'FLIR.US-BestAsk1'</f>
        <v>#REF!</v>
      </c>
      <c r="K216" s="93" t="e">
        <f t="shared" si="19"/>
        <v>#REF!</v>
      </c>
      <c r="L216" s="93" t="e">
        <f t="shared" si="20"/>
        <v>#REF!</v>
      </c>
      <c r="M216" s="96" t="e">
        <f t="shared" si="21"/>
        <v>#REF!</v>
      </c>
    </row>
    <row r="217" spans="1:13">
      <c r="A217" s="25" t="e">
        <f t="shared" si="18"/>
        <v>#REF!</v>
      </c>
      <c r="B217" s="300" t="s">
        <v>1393</v>
      </c>
      <c r="C217" s="26" t="s">
        <v>992</v>
      </c>
      <c r="D217" s="26">
        <v>1</v>
      </c>
      <c r="E217" s="6" t="e">
        <f xml:space="preserve"> [1]!'FLR.US-PreClose'</f>
        <v>#REF!</v>
      </c>
      <c r="F217" s="6">
        <v>602</v>
      </c>
      <c r="G217" s="74" t="e">
        <f t="shared" ref="G217:G280" si="22">D217*E217*F217*$O$2</f>
        <v>#REF!</v>
      </c>
      <c r="H217" s="6" t="e">
        <f xml:space="preserve"> [1]!'FLR.US-Price'</f>
        <v>#REF!</v>
      </c>
      <c r="I217" s="6" t="e">
        <f xml:space="preserve"> [1]!'FLR.US-BestBid1'</f>
        <v>#REF!</v>
      </c>
      <c r="J217" s="6" t="e">
        <f xml:space="preserve"> [1]!'FLR.US-BestAsk1'</f>
        <v>#REF!</v>
      </c>
      <c r="K217" s="93" t="e">
        <f t="shared" si="19"/>
        <v>#REF!</v>
      </c>
      <c r="L217" s="93" t="e">
        <f t="shared" si="20"/>
        <v>#REF!</v>
      </c>
      <c r="M217" s="96" t="e">
        <f t="shared" si="21"/>
        <v>#REF!</v>
      </c>
    </row>
    <row r="218" spans="1:13">
      <c r="A218" s="25" t="e">
        <f t="shared" si="18"/>
        <v>#REF!</v>
      </c>
      <c r="B218" s="300" t="s">
        <v>1394</v>
      </c>
      <c r="C218" s="26" t="s">
        <v>993</v>
      </c>
      <c r="D218" s="26">
        <v>1</v>
      </c>
      <c r="E218" s="6" t="e">
        <f xml:space="preserve"> [1]!'FLS.US-PreClose'</f>
        <v>#REF!</v>
      </c>
      <c r="F218" s="6">
        <v>563</v>
      </c>
      <c r="G218" s="74" t="e">
        <f t="shared" si="22"/>
        <v>#REF!</v>
      </c>
      <c r="H218" s="6" t="e">
        <f xml:space="preserve"> [1]!'FLS.US-Price'</f>
        <v>#REF!</v>
      </c>
      <c r="I218" s="6" t="e">
        <f xml:space="preserve"> [1]!'FLS.US-BestBid1'</f>
        <v>#REF!</v>
      </c>
      <c r="J218" s="6" t="e">
        <f xml:space="preserve"> [1]!'FLS.US-BestAsk1'</f>
        <v>#REF!</v>
      </c>
      <c r="K218" s="93" t="e">
        <f t="shared" si="19"/>
        <v>#REF!</v>
      </c>
      <c r="L218" s="93" t="e">
        <f t="shared" si="20"/>
        <v>#REF!</v>
      </c>
      <c r="M218" s="96" t="e">
        <f t="shared" si="21"/>
        <v>#REF!</v>
      </c>
    </row>
    <row r="219" spans="1:13">
      <c r="A219" s="25" t="e">
        <f t="shared" si="18"/>
        <v>#REF!</v>
      </c>
      <c r="B219" s="300" t="s">
        <v>1395</v>
      </c>
      <c r="C219" s="26" t="s">
        <v>994</v>
      </c>
      <c r="D219" s="26">
        <v>1</v>
      </c>
      <c r="E219" s="6" t="e">
        <f xml:space="preserve"> [1]!'FMC.US-PreClose'</f>
        <v>#REF!</v>
      </c>
      <c r="F219" s="6">
        <v>578</v>
      </c>
      <c r="G219" s="74" t="e">
        <f t="shared" si="22"/>
        <v>#REF!</v>
      </c>
      <c r="H219" s="6" t="e">
        <f xml:space="preserve"> [1]!'FMC.US-Price'</f>
        <v>#REF!</v>
      </c>
      <c r="I219" s="6" t="e">
        <f xml:space="preserve"> [1]!'FMC.US-BestBid1'</f>
        <v>#REF!</v>
      </c>
      <c r="J219" s="6" t="e">
        <f xml:space="preserve"> [1]!'FMC.US-BestAsk1'</f>
        <v>#REF!</v>
      </c>
      <c r="K219" s="93" t="e">
        <f t="shared" si="19"/>
        <v>#REF!</v>
      </c>
      <c r="L219" s="93" t="e">
        <f t="shared" si="20"/>
        <v>#REF!</v>
      </c>
      <c r="M219" s="96" t="e">
        <f t="shared" si="21"/>
        <v>#REF!</v>
      </c>
    </row>
    <row r="220" spans="1:13">
      <c r="A220" s="25" t="e">
        <f t="shared" si="18"/>
        <v>#REF!</v>
      </c>
      <c r="B220" s="300" t="s">
        <v>1396</v>
      </c>
      <c r="C220" s="26" t="s">
        <v>995</v>
      </c>
      <c r="D220" s="26">
        <v>1</v>
      </c>
      <c r="E220" s="6" t="e">
        <f xml:space="preserve"> [1]!'FOX.US-PreClose'</f>
        <v>#REF!</v>
      </c>
      <c r="F220" s="6">
        <v>1892</v>
      </c>
      <c r="G220" s="74" t="e">
        <f t="shared" si="22"/>
        <v>#REF!</v>
      </c>
      <c r="H220" s="6" t="e">
        <f xml:space="preserve"> [1]!'FOX.US-Price'</f>
        <v>#REF!</v>
      </c>
      <c r="I220" s="6" t="e">
        <f xml:space="preserve"> [1]!'FOX.US-BestBid1'</f>
        <v>#REF!</v>
      </c>
      <c r="J220" s="6" t="e">
        <f xml:space="preserve"> [1]!'FOX.US-BestAsk1'</f>
        <v>#REF!</v>
      </c>
      <c r="K220" s="93" t="e">
        <f t="shared" si="19"/>
        <v>#REF!</v>
      </c>
      <c r="L220" s="93" t="e">
        <f t="shared" si="20"/>
        <v>#REF!</v>
      </c>
      <c r="M220" s="96" t="e">
        <f t="shared" si="21"/>
        <v>#REF!</v>
      </c>
    </row>
    <row r="221" spans="1:13">
      <c r="A221" s="25" t="e">
        <f t="shared" si="18"/>
        <v>#REF!</v>
      </c>
      <c r="B221" s="300" t="s">
        <v>1397</v>
      </c>
      <c r="C221" s="26" t="s">
        <v>514</v>
      </c>
      <c r="D221" s="26">
        <v>1</v>
      </c>
      <c r="E221" s="6" t="e">
        <f xml:space="preserve"> [1]!'FOXA.US-PreClose'</f>
        <v>#REF!</v>
      </c>
      <c r="F221" s="6">
        <v>4533</v>
      </c>
      <c r="G221" s="74" t="e">
        <f t="shared" si="22"/>
        <v>#REF!</v>
      </c>
      <c r="H221" s="6" t="e">
        <f xml:space="preserve"> [1]!'FOXA.US-Price'</f>
        <v>#REF!</v>
      </c>
      <c r="I221" s="6" t="e">
        <f xml:space="preserve"> [1]!'FOXA.US-BestBid1'</f>
        <v>#REF!</v>
      </c>
      <c r="J221" s="6" t="e">
        <f xml:space="preserve"> [1]!'FOXA.US-BestAsk1'</f>
        <v>#REF!</v>
      </c>
      <c r="K221" s="93" t="e">
        <f t="shared" si="19"/>
        <v>#REF!</v>
      </c>
      <c r="L221" s="93" t="e">
        <f t="shared" si="20"/>
        <v>#REF!</v>
      </c>
      <c r="M221" s="96" t="e">
        <f t="shared" si="21"/>
        <v>#REF!</v>
      </c>
    </row>
    <row r="222" spans="1:13">
      <c r="A222" s="25" t="e">
        <f t="shared" si="18"/>
        <v>#REF!</v>
      </c>
      <c r="B222" s="300" t="s">
        <v>1398</v>
      </c>
      <c r="C222" s="26" t="s">
        <v>996</v>
      </c>
      <c r="D222" s="26">
        <v>1</v>
      </c>
      <c r="E222" s="6" t="e">
        <f xml:space="preserve"> [1]!'FRT.US-PreClose'</f>
        <v>#REF!</v>
      </c>
      <c r="F222" s="6">
        <v>311</v>
      </c>
      <c r="G222" s="74" t="e">
        <f t="shared" si="22"/>
        <v>#REF!</v>
      </c>
      <c r="H222" s="6" t="e">
        <f xml:space="preserve"> [1]!'FRT.US-Price'</f>
        <v>#REF!</v>
      </c>
      <c r="I222" s="6" t="e">
        <f xml:space="preserve"> [1]!'FRT.US-BestBid1'</f>
        <v>#REF!</v>
      </c>
      <c r="J222" s="6" t="e">
        <f xml:space="preserve"> [1]!'FRT.US-BestAsk1'</f>
        <v>#REF!</v>
      </c>
      <c r="K222" s="93" t="e">
        <f t="shared" si="19"/>
        <v>#REF!</v>
      </c>
      <c r="L222" s="93" t="e">
        <f t="shared" si="20"/>
        <v>#REF!</v>
      </c>
      <c r="M222" s="96" t="e">
        <f t="shared" si="21"/>
        <v>#REF!</v>
      </c>
    </row>
    <row r="223" spans="1:13">
      <c r="A223" s="25" t="e">
        <f t="shared" si="18"/>
        <v>#REF!</v>
      </c>
      <c r="B223" s="300" t="s">
        <v>1399</v>
      </c>
      <c r="C223" s="26" t="s">
        <v>997</v>
      </c>
      <c r="D223" s="26">
        <v>1</v>
      </c>
      <c r="E223" s="6" t="e">
        <f xml:space="preserve"> [1]!'FTI.US-PreClose'</f>
        <v>#REF!</v>
      </c>
      <c r="F223" s="6">
        <v>2012</v>
      </c>
      <c r="G223" s="74" t="e">
        <f t="shared" si="22"/>
        <v>#REF!</v>
      </c>
      <c r="H223" s="6" t="e">
        <f xml:space="preserve"> [1]!'FTI.US-Price'</f>
        <v>#REF!</v>
      </c>
      <c r="I223" s="6" t="e">
        <f xml:space="preserve"> [1]!'FTI.US-BestBid1'</f>
        <v>#REF!</v>
      </c>
      <c r="J223" s="6" t="e">
        <f xml:space="preserve"> [1]!'FTI.US-BestAsk1'</f>
        <v>#REF!</v>
      </c>
      <c r="K223" s="93" t="e">
        <f t="shared" si="19"/>
        <v>#REF!</v>
      </c>
      <c r="L223" s="93" t="e">
        <f t="shared" si="20"/>
        <v>#REF!</v>
      </c>
      <c r="M223" s="96" t="e">
        <f t="shared" si="21"/>
        <v>#REF!</v>
      </c>
    </row>
    <row r="224" spans="1:13">
      <c r="A224" s="25" t="e">
        <f t="shared" si="18"/>
        <v>#REF!</v>
      </c>
      <c r="B224" s="300" t="s">
        <v>1400</v>
      </c>
      <c r="C224" s="26" t="s">
        <v>998</v>
      </c>
      <c r="D224" s="26">
        <v>1</v>
      </c>
      <c r="E224" s="6" t="e">
        <f xml:space="preserve"> [1]!'FTV.US-PreClose'</f>
        <v>#REF!</v>
      </c>
      <c r="F224" s="6">
        <v>1313</v>
      </c>
      <c r="G224" s="74" t="e">
        <f t="shared" si="22"/>
        <v>#REF!</v>
      </c>
      <c r="H224" s="6" t="e">
        <f xml:space="preserve"> [1]!'FTV.US-Price'</f>
        <v>#REF!</v>
      </c>
      <c r="I224" s="6" t="e">
        <f xml:space="preserve"> [1]!'FTV.US-BestBid1'</f>
        <v>#REF!</v>
      </c>
      <c r="J224" s="6" t="e">
        <f xml:space="preserve"> [1]!'FTV.US-BestAsk1'</f>
        <v>#REF!</v>
      </c>
      <c r="K224" s="93" t="e">
        <f t="shared" si="19"/>
        <v>#REF!</v>
      </c>
      <c r="L224" s="93" t="e">
        <f t="shared" si="20"/>
        <v>#REF!</v>
      </c>
      <c r="M224" s="96" t="e">
        <f t="shared" si="21"/>
        <v>#REF!</v>
      </c>
    </row>
    <row r="225" spans="1:13">
      <c r="A225" s="25" t="e">
        <f t="shared" si="18"/>
        <v>#REF!</v>
      </c>
      <c r="B225" s="300" t="s">
        <v>1401</v>
      </c>
      <c r="C225" s="26" t="s">
        <v>595</v>
      </c>
      <c r="D225" s="26">
        <v>1</v>
      </c>
      <c r="E225" s="6" t="e">
        <f xml:space="preserve"> [1]!'GD.US-PreClose'</f>
        <v>#REF!</v>
      </c>
      <c r="F225" s="6">
        <v>1212</v>
      </c>
      <c r="G225" s="74" t="e">
        <f t="shared" si="22"/>
        <v>#REF!</v>
      </c>
      <c r="H225" s="6" t="e">
        <f xml:space="preserve"> [1]!'GD.US-Price'</f>
        <v>#REF!</v>
      </c>
      <c r="I225" s="6" t="e">
        <f xml:space="preserve"> [1]!'GD.US-BestBid1'</f>
        <v>#REF!</v>
      </c>
      <c r="J225" s="6" t="e">
        <f xml:space="preserve"> [1]!'GD.US-BestAsk1'</f>
        <v>#REF!</v>
      </c>
      <c r="K225" s="93" t="e">
        <f t="shared" si="19"/>
        <v>#REF!</v>
      </c>
      <c r="L225" s="93" t="e">
        <f t="shared" si="20"/>
        <v>#REF!</v>
      </c>
      <c r="M225" s="96" t="e">
        <f t="shared" si="21"/>
        <v>#REF!</v>
      </c>
    </row>
    <row r="226" spans="1:13">
      <c r="A226" s="25" t="e">
        <f t="shared" si="18"/>
        <v>#VALUE!</v>
      </c>
      <c r="B226" s="300" t="s">
        <v>1402</v>
      </c>
      <c r="C226" s="26" t="s">
        <v>596</v>
      </c>
      <c r="D226" s="26">
        <v>1</v>
      </c>
      <c r="E226" s="6" t="str">
        <f xml:space="preserve"> [1]!'GE.US-PreClose'</f>
        <v>N/A</v>
      </c>
      <c r="F226" s="6">
        <v>37284</v>
      </c>
      <c r="G226" s="74" t="e">
        <f t="shared" si="22"/>
        <v>#VALUE!</v>
      </c>
      <c r="H226" s="6" t="str">
        <f xml:space="preserve"> [1]!'GE.US-Price'</f>
        <v>N/A</v>
      </c>
      <c r="I226" s="6" t="str">
        <f xml:space="preserve"> [1]!'GE.US-BestBid1'</f>
        <v>N/A</v>
      </c>
      <c r="J226" s="6" t="str">
        <f xml:space="preserve"> [1]!'GE.US-BestAsk1'</f>
        <v>N/A</v>
      </c>
      <c r="K226" s="93" t="e">
        <f t="shared" si="19"/>
        <v>#VALUE!</v>
      </c>
      <c r="L226" s="93" t="e">
        <f t="shared" si="20"/>
        <v>#VALUE!</v>
      </c>
      <c r="M226" s="96" t="e">
        <f t="shared" si="21"/>
        <v>#VALUE!</v>
      </c>
    </row>
    <row r="227" spans="1:13">
      <c r="A227" s="25" t="e">
        <f t="shared" si="18"/>
        <v>#REF!</v>
      </c>
      <c r="B227" s="300" t="s">
        <v>1403</v>
      </c>
      <c r="C227" s="26" t="s">
        <v>999</v>
      </c>
      <c r="D227" s="26">
        <v>1</v>
      </c>
      <c r="E227" s="6" t="e">
        <f xml:space="preserve"> [1]!'GGP.US-PreClose'</f>
        <v>#REF!</v>
      </c>
      <c r="F227" s="6">
        <v>2507</v>
      </c>
      <c r="G227" s="74" t="e">
        <f t="shared" si="22"/>
        <v>#REF!</v>
      </c>
      <c r="H227" s="6" t="e">
        <f xml:space="preserve"> [1]!'GGP.US-Price'</f>
        <v>#REF!</v>
      </c>
      <c r="I227" s="6" t="e">
        <f xml:space="preserve"> [1]!'GGP.US-BestBid1'</f>
        <v>#REF!</v>
      </c>
      <c r="J227" s="6" t="e">
        <f xml:space="preserve"> [1]!'GGP.US-BestAsk1'</f>
        <v>#REF!</v>
      </c>
      <c r="K227" s="93" t="e">
        <f t="shared" si="19"/>
        <v>#REF!</v>
      </c>
      <c r="L227" s="93" t="e">
        <f t="shared" si="20"/>
        <v>#REF!</v>
      </c>
      <c r="M227" s="96" t="e">
        <f t="shared" si="21"/>
        <v>#REF!</v>
      </c>
    </row>
    <row r="228" spans="1:13">
      <c r="A228" s="25" t="e">
        <f t="shared" si="18"/>
        <v>#REF!</v>
      </c>
      <c r="B228" s="300" t="s">
        <v>1404</v>
      </c>
      <c r="C228" s="26" t="s">
        <v>515</v>
      </c>
      <c r="D228" s="26">
        <v>1</v>
      </c>
      <c r="E228" s="6" t="e">
        <f xml:space="preserve"> [1]!'GILD.US-PreClose'</f>
        <v>#REF!</v>
      </c>
      <c r="F228" s="6">
        <v>5624</v>
      </c>
      <c r="G228" s="74" t="e">
        <f t="shared" si="22"/>
        <v>#REF!</v>
      </c>
      <c r="H228" s="6" t="e">
        <f xml:space="preserve"> [1]!'GILD.US-Price'</f>
        <v>#REF!</v>
      </c>
      <c r="I228" s="6" t="e">
        <f xml:space="preserve"> [1]!'GILD.US-BestBid1'</f>
        <v>#REF!</v>
      </c>
      <c r="J228" s="6" t="e">
        <f xml:space="preserve"> [1]!'GILD.US-BestAsk1'</f>
        <v>#REF!</v>
      </c>
      <c r="K228" s="93" t="e">
        <f t="shared" si="19"/>
        <v>#REF!</v>
      </c>
      <c r="L228" s="93" t="e">
        <f t="shared" si="20"/>
        <v>#REF!</v>
      </c>
      <c r="M228" s="96" t="e">
        <f t="shared" si="21"/>
        <v>#REF!</v>
      </c>
    </row>
    <row r="229" spans="1:13">
      <c r="A229" s="25" t="e">
        <f t="shared" si="18"/>
        <v>#VALUE!</v>
      </c>
      <c r="B229" s="300" t="s">
        <v>1405</v>
      </c>
      <c r="C229" s="26" t="s">
        <v>1000</v>
      </c>
      <c r="D229" s="26">
        <v>1</v>
      </c>
      <c r="E229" s="6" t="str">
        <f xml:space="preserve"> [1]!'GIS.US-PreClose'</f>
        <v>N/A</v>
      </c>
      <c r="F229" s="6">
        <v>2485</v>
      </c>
      <c r="G229" s="74" t="e">
        <f t="shared" si="22"/>
        <v>#VALUE!</v>
      </c>
      <c r="H229" s="6" t="str">
        <f xml:space="preserve"> [1]!'GIS.US-Price'</f>
        <v>N/A</v>
      </c>
      <c r="I229" s="6" t="str">
        <f xml:space="preserve"> [1]!'GIS.US-BestBid1'</f>
        <v>N/A</v>
      </c>
      <c r="J229" s="6" t="str">
        <f xml:space="preserve"> [1]!'GIS.US-BestAsk1'</f>
        <v>N/A</v>
      </c>
      <c r="K229" s="93" t="e">
        <f t="shared" si="19"/>
        <v>#VALUE!</v>
      </c>
      <c r="L229" s="93" t="e">
        <f t="shared" si="20"/>
        <v>#VALUE!</v>
      </c>
      <c r="M229" s="96" t="e">
        <f t="shared" si="21"/>
        <v>#VALUE!</v>
      </c>
    </row>
    <row r="230" spans="1:13">
      <c r="A230" s="25" t="e">
        <f t="shared" si="18"/>
        <v>#REF!</v>
      </c>
      <c r="B230" s="300" t="s">
        <v>1406</v>
      </c>
      <c r="C230" s="26" t="s">
        <v>1001</v>
      </c>
      <c r="D230" s="26">
        <v>1</v>
      </c>
      <c r="E230" s="6" t="e">
        <f xml:space="preserve"> [1]!'GLW.US-PreClose'</f>
        <v>#REF!</v>
      </c>
      <c r="F230" s="6">
        <v>3890</v>
      </c>
      <c r="G230" s="74" t="e">
        <f t="shared" si="22"/>
        <v>#REF!</v>
      </c>
      <c r="H230" s="6" t="e">
        <f xml:space="preserve"> [1]!'GLW.US-Price'</f>
        <v>#REF!</v>
      </c>
      <c r="I230" s="6" t="e">
        <f xml:space="preserve"> [1]!'GLW.US-BestBid1'</f>
        <v>#REF!</v>
      </c>
      <c r="J230" s="6" t="e">
        <f xml:space="preserve"> [1]!'GLW.US-BestAsk1'</f>
        <v>#REF!</v>
      </c>
      <c r="K230" s="93" t="e">
        <f t="shared" si="19"/>
        <v>#REF!</v>
      </c>
      <c r="L230" s="93" t="e">
        <f t="shared" si="20"/>
        <v>#REF!</v>
      </c>
      <c r="M230" s="96" t="e">
        <f t="shared" si="21"/>
        <v>#REF!</v>
      </c>
    </row>
    <row r="231" spans="1:13">
      <c r="A231" s="25" t="e">
        <f t="shared" si="18"/>
        <v>#REF!</v>
      </c>
      <c r="B231" s="300" t="s">
        <v>1407</v>
      </c>
      <c r="C231" s="26" t="s">
        <v>597</v>
      </c>
      <c r="D231" s="26">
        <v>1</v>
      </c>
      <c r="E231" s="6" t="e">
        <f xml:space="preserve"> [1]!'GM.US-PreClose'</f>
        <v>#REF!</v>
      </c>
      <c r="F231" s="6">
        <v>5711</v>
      </c>
      <c r="G231" s="74" t="e">
        <f t="shared" si="22"/>
        <v>#REF!</v>
      </c>
      <c r="H231" s="6" t="e">
        <f xml:space="preserve"> [1]!'GM.US-Price'</f>
        <v>#REF!</v>
      </c>
      <c r="I231" s="6" t="e">
        <f xml:space="preserve"> [1]!'GM.US-BestBid1'</f>
        <v>#REF!</v>
      </c>
      <c r="J231" s="6" t="e">
        <f xml:space="preserve"> [1]!'GM.US-BestAsk1'</f>
        <v>#REF!</v>
      </c>
      <c r="K231" s="93" t="e">
        <f t="shared" si="19"/>
        <v>#REF!</v>
      </c>
      <c r="L231" s="93" t="e">
        <f t="shared" si="20"/>
        <v>#REF!</v>
      </c>
      <c r="M231" s="96" t="e">
        <f t="shared" si="21"/>
        <v>#REF!</v>
      </c>
    </row>
    <row r="232" spans="1:13">
      <c r="A232" s="25" t="e">
        <f t="shared" si="18"/>
        <v>#REF!</v>
      </c>
      <c r="B232" s="300" t="s">
        <v>1408</v>
      </c>
      <c r="C232" s="26" t="s">
        <v>516</v>
      </c>
      <c r="D232" s="26">
        <v>1</v>
      </c>
      <c r="E232" s="6" t="e">
        <f xml:space="preserve"> [1]!'GOOG.US-PreClose'</f>
        <v>#REF!</v>
      </c>
      <c r="F232" s="6">
        <v>1300</v>
      </c>
      <c r="G232" s="74" t="e">
        <f t="shared" si="22"/>
        <v>#REF!</v>
      </c>
      <c r="H232" s="6" t="e">
        <f xml:space="preserve"> [1]!'GOOG.US-Price'</f>
        <v>#REF!</v>
      </c>
      <c r="I232" s="6" t="e">
        <f xml:space="preserve"> [1]!'GOOG.US-BestBid1'</f>
        <v>#REF!</v>
      </c>
      <c r="J232" s="6" t="e">
        <f xml:space="preserve"> [1]!'GOOG.US-BestAsk1'</f>
        <v>#REF!</v>
      </c>
      <c r="K232" s="93" t="e">
        <f t="shared" si="19"/>
        <v>#REF!</v>
      </c>
      <c r="L232" s="93" t="e">
        <f t="shared" si="20"/>
        <v>#REF!</v>
      </c>
      <c r="M232" s="96" t="e">
        <f t="shared" si="21"/>
        <v>#REF!</v>
      </c>
    </row>
    <row r="233" spans="1:13">
      <c r="A233" s="25" t="e">
        <f t="shared" si="18"/>
        <v>#REF!</v>
      </c>
      <c r="B233" s="300" t="s">
        <v>1409</v>
      </c>
      <c r="C233" s="26" t="s">
        <v>1002</v>
      </c>
      <c r="D233" s="26">
        <v>1</v>
      </c>
      <c r="E233" s="6" t="e">
        <f xml:space="preserve"> [1]!'GOOGL.US-PreClose'</f>
        <v>#REF!</v>
      </c>
      <c r="F233" s="6">
        <v>1283</v>
      </c>
      <c r="G233" s="74" t="e">
        <f t="shared" si="22"/>
        <v>#REF!</v>
      </c>
      <c r="H233" s="6" t="e">
        <f xml:space="preserve"> [1]!'GOOGL.US-Price'</f>
        <v>#REF!</v>
      </c>
      <c r="I233" s="6" t="e">
        <f xml:space="preserve"> [1]!'GOOGL.US-BestBid1'</f>
        <v>#REF!</v>
      </c>
      <c r="J233" s="6" t="e">
        <f xml:space="preserve"> [1]!'GOOGL.US-BestAsk1'</f>
        <v>#REF!</v>
      </c>
      <c r="K233" s="93" t="e">
        <f t="shared" si="19"/>
        <v>#REF!</v>
      </c>
      <c r="L233" s="93" t="e">
        <f t="shared" si="20"/>
        <v>#REF!</v>
      </c>
      <c r="M233" s="96" t="e">
        <f t="shared" si="21"/>
        <v>#REF!</v>
      </c>
    </row>
    <row r="234" spans="1:13">
      <c r="A234" s="25" t="e">
        <f t="shared" si="18"/>
        <v>#REF!</v>
      </c>
      <c r="B234" s="300" t="s">
        <v>1410</v>
      </c>
      <c r="C234" s="26" t="s">
        <v>1003</v>
      </c>
      <c r="D234" s="26">
        <v>1</v>
      </c>
      <c r="E234" s="6" t="e">
        <f xml:space="preserve"> [1]!'GPC.US-PreClose'</f>
        <v>#REF!</v>
      </c>
      <c r="F234" s="6">
        <v>632</v>
      </c>
      <c r="G234" s="74" t="e">
        <f t="shared" si="22"/>
        <v>#REF!</v>
      </c>
      <c r="H234" s="6" t="e">
        <f xml:space="preserve"> [1]!'GPC.US-Price'</f>
        <v>#REF!</v>
      </c>
      <c r="I234" s="6" t="e">
        <f xml:space="preserve"> [1]!'GPC.US-BestBid1'</f>
        <v>#REF!</v>
      </c>
      <c r="J234" s="6" t="e">
        <f xml:space="preserve"> [1]!'GPC.US-BestAsk1'</f>
        <v>#REF!</v>
      </c>
      <c r="K234" s="93" t="e">
        <f t="shared" si="19"/>
        <v>#REF!</v>
      </c>
      <c r="L234" s="93" t="e">
        <f t="shared" si="20"/>
        <v>#REF!</v>
      </c>
      <c r="M234" s="96" t="e">
        <f t="shared" si="21"/>
        <v>#REF!</v>
      </c>
    </row>
    <row r="235" spans="1:13">
      <c r="A235" s="25" t="e">
        <f t="shared" si="18"/>
        <v>#REF!</v>
      </c>
      <c r="B235" s="300" t="s">
        <v>1411</v>
      </c>
      <c r="C235" s="26" t="s">
        <v>1004</v>
      </c>
      <c r="D235" s="26">
        <v>1</v>
      </c>
      <c r="E235" s="6" t="e">
        <f xml:space="preserve"> [1]!'GPN.US-PreClose'</f>
        <v>#REF!</v>
      </c>
      <c r="F235" s="6">
        <v>657</v>
      </c>
      <c r="G235" s="74" t="e">
        <f t="shared" si="22"/>
        <v>#REF!</v>
      </c>
      <c r="H235" s="6" t="e">
        <f xml:space="preserve"> [1]!'GPN.US-Price'</f>
        <v>#REF!</v>
      </c>
      <c r="I235" s="6" t="e">
        <f xml:space="preserve"> [1]!'GPN.US-BestBid1'</f>
        <v>#REF!</v>
      </c>
      <c r="J235" s="6" t="e">
        <f xml:space="preserve"> [1]!'GPN.US-BestAsk1'</f>
        <v>#REF!</v>
      </c>
      <c r="K235" s="93" t="e">
        <f t="shared" si="19"/>
        <v>#REF!</v>
      </c>
      <c r="L235" s="93" t="e">
        <f t="shared" si="20"/>
        <v>#REF!</v>
      </c>
      <c r="M235" s="96" t="e">
        <f t="shared" si="21"/>
        <v>#REF!</v>
      </c>
    </row>
    <row r="236" spans="1:13">
      <c r="A236" s="25" t="e">
        <f t="shared" si="18"/>
        <v>#REF!</v>
      </c>
      <c r="B236" s="300" t="s">
        <v>1412</v>
      </c>
      <c r="C236" s="26" t="s">
        <v>1005</v>
      </c>
      <c r="D236" s="26">
        <v>1</v>
      </c>
      <c r="E236" s="6" t="e">
        <f xml:space="preserve"> [1]!'GPS.US-PreClose'</f>
        <v>#REF!</v>
      </c>
      <c r="F236" s="6">
        <v>929</v>
      </c>
      <c r="G236" s="74" t="e">
        <f t="shared" si="22"/>
        <v>#REF!</v>
      </c>
      <c r="H236" s="6" t="e">
        <f xml:space="preserve"> [1]!'GPS.US-Price'</f>
        <v>#REF!</v>
      </c>
      <c r="I236" s="6" t="e">
        <f xml:space="preserve"> [1]!'GPS.US-BestBid1'</f>
        <v>#REF!</v>
      </c>
      <c r="J236" s="6" t="e">
        <f xml:space="preserve"> [1]!'GPS.US-BestAsk1'</f>
        <v>#REF!</v>
      </c>
      <c r="K236" s="93" t="e">
        <f t="shared" si="19"/>
        <v>#REF!</v>
      </c>
      <c r="L236" s="93" t="e">
        <f t="shared" si="20"/>
        <v>#REF!</v>
      </c>
      <c r="M236" s="96" t="e">
        <f t="shared" si="21"/>
        <v>#REF!</v>
      </c>
    </row>
    <row r="237" spans="1:13">
      <c r="A237" s="25" t="e">
        <f t="shared" si="18"/>
        <v>#REF!</v>
      </c>
      <c r="B237" s="300" t="s">
        <v>1413</v>
      </c>
      <c r="C237" s="26" t="s">
        <v>517</v>
      </c>
      <c r="D237" s="26">
        <v>1</v>
      </c>
      <c r="E237" s="6" t="e">
        <f xml:space="preserve"> [1]!'GRMN.US-PreClose'</f>
        <v>#REF!</v>
      </c>
      <c r="F237" s="6">
        <v>478</v>
      </c>
      <c r="G237" s="74" t="e">
        <f t="shared" si="22"/>
        <v>#REF!</v>
      </c>
      <c r="H237" s="6" t="e">
        <f xml:space="preserve"> [1]!'GRMN.US-Price'</f>
        <v>#REF!</v>
      </c>
      <c r="I237" s="6" t="e">
        <f xml:space="preserve"> [1]!'GRMN.US-BestBid1'</f>
        <v>#REF!</v>
      </c>
      <c r="J237" s="6" t="e">
        <f xml:space="preserve"> [1]!'GRMN.US-BestAsk1'</f>
        <v>#REF!</v>
      </c>
      <c r="K237" s="93" t="e">
        <f t="shared" si="19"/>
        <v>#REF!</v>
      </c>
      <c r="L237" s="93" t="e">
        <f t="shared" si="20"/>
        <v>#REF!</v>
      </c>
      <c r="M237" s="96" t="e">
        <f t="shared" si="21"/>
        <v>#REF!</v>
      </c>
    </row>
    <row r="238" spans="1:13">
      <c r="A238" s="25" t="e">
        <f t="shared" si="18"/>
        <v>#VALUE!</v>
      </c>
      <c r="B238" s="300" t="s">
        <v>1414</v>
      </c>
      <c r="C238" s="26" t="s">
        <v>598</v>
      </c>
      <c r="D238" s="26">
        <v>1</v>
      </c>
      <c r="E238" s="6" t="str">
        <f xml:space="preserve"> [1]!'GS.US-PreClose'</f>
        <v>N/A</v>
      </c>
      <c r="F238" s="6">
        <v>1550</v>
      </c>
      <c r="G238" s="74" t="e">
        <f t="shared" si="22"/>
        <v>#VALUE!</v>
      </c>
      <c r="H238" s="6" t="str">
        <f xml:space="preserve"> [1]!'GS.US-Price'</f>
        <v>N/A</v>
      </c>
      <c r="I238" s="6" t="str">
        <f xml:space="preserve"> [1]!'GS.US-BestBid1'</f>
        <v>N/A</v>
      </c>
      <c r="J238" s="6" t="str">
        <f xml:space="preserve"> [1]!'GS.US-BestAsk1'</f>
        <v>N/A</v>
      </c>
      <c r="K238" s="93" t="e">
        <f t="shared" si="19"/>
        <v>#VALUE!</v>
      </c>
      <c r="L238" s="93" t="e">
        <f t="shared" si="20"/>
        <v>#VALUE!</v>
      </c>
      <c r="M238" s="96" t="e">
        <f t="shared" si="21"/>
        <v>#VALUE!</v>
      </c>
    </row>
    <row r="239" spans="1:13">
      <c r="A239" s="25" t="e">
        <f t="shared" si="18"/>
        <v>#REF!</v>
      </c>
      <c r="B239" s="300" t="s">
        <v>1415</v>
      </c>
      <c r="C239" s="26" t="s">
        <v>599</v>
      </c>
      <c r="D239" s="26">
        <v>1</v>
      </c>
      <c r="E239" s="6" t="e">
        <f xml:space="preserve"> [1]!'GT.US-PreClose'</f>
        <v>#REF!</v>
      </c>
      <c r="F239" s="6">
        <v>1084</v>
      </c>
      <c r="G239" s="74" t="e">
        <f t="shared" si="22"/>
        <v>#REF!</v>
      </c>
      <c r="H239" s="6" t="e">
        <f xml:space="preserve"> [1]!'GT.US-Price'</f>
        <v>#REF!</v>
      </c>
      <c r="I239" s="6" t="e">
        <f xml:space="preserve"> [1]!'GT.US-BestBid1'</f>
        <v>#REF!</v>
      </c>
      <c r="J239" s="6" t="e">
        <f xml:space="preserve"> [1]!'GT.US-BestAsk1'</f>
        <v>#REF!</v>
      </c>
      <c r="K239" s="93" t="e">
        <f t="shared" si="19"/>
        <v>#REF!</v>
      </c>
      <c r="L239" s="93" t="e">
        <f t="shared" si="20"/>
        <v>#REF!</v>
      </c>
      <c r="M239" s="96" t="e">
        <f t="shared" si="21"/>
        <v>#REF!</v>
      </c>
    </row>
    <row r="240" spans="1:13">
      <c r="A240" s="25" t="e">
        <f t="shared" si="18"/>
        <v>#REF!</v>
      </c>
      <c r="B240" s="300" t="s">
        <v>1416</v>
      </c>
      <c r="C240" s="26" t="s">
        <v>1006</v>
      </c>
      <c r="D240" s="26">
        <v>1</v>
      </c>
      <c r="E240" s="6" t="e">
        <f xml:space="preserve"> [1]!'GWW.US-PreClose'</f>
        <v>#REF!</v>
      </c>
      <c r="F240" s="6">
        <v>229</v>
      </c>
      <c r="G240" s="74" t="e">
        <f t="shared" si="22"/>
        <v>#REF!</v>
      </c>
      <c r="H240" s="6" t="e">
        <f xml:space="preserve"> [1]!'GWW.US-Price'</f>
        <v>#REF!</v>
      </c>
      <c r="I240" s="6" t="e">
        <f xml:space="preserve"> [1]!'GWW.US-BestBid1'</f>
        <v>#REF!</v>
      </c>
      <c r="J240" s="6" t="e">
        <f xml:space="preserve"> [1]!'GWW.US-BestAsk1'</f>
        <v>#REF!</v>
      </c>
      <c r="K240" s="93" t="e">
        <f t="shared" si="19"/>
        <v>#REF!</v>
      </c>
      <c r="L240" s="93" t="e">
        <f t="shared" si="20"/>
        <v>#REF!</v>
      </c>
      <c r="M240" s="96" t="e">
        <f t="shared" si="21"/>
        <v>#REF!</v>
      </c>
    </row>
    <row r="241" spans="1:13">
      <c r="A241" s="25" t="e">
        <f t="shared" si="18"/>
        <v>#REF!</v>
      </c>
      <c r="B241" s="300" t="s">
        <v>1417</v>
      </c>
      <c r="C241" s="26" t="s">
        <v>1007</v>
      </c>
      <c r="D241" s="26">
        <v>1</v>
      </c>
      <c r="E241" s="6" t="e">
        <f xml:space="preserve"> [1]!'HAL.US-PreClose'</f>
        <v>#REF!</v>
      </c>
      <c r="F241" s="6">
        <v>3737</v>
      </c>
      <c r="G241" s="74" t="e">
        <f t="shared" si="22"/>
        <v>#REF!</v>
      </c>
      <c r="H241" s="6" t="e">
        <f xml:space="preserve"> [1]!'HAL.US-Price'</f>
        <v>#REF!</v>
      </c>
      <c r="I241" s="6" t="e">
        <f xml:space="preserve"> [1]!'HAL.US-BestBid1'</f>
        <v>#REF!</v>
      </c>
      <c r="J241" s="6" t="e">
        <f xml:space="preserve"> [1]!'HAL.US-BestAsk1'</f>
        <v>#REF!</v>
      </c>
      <c r="K241" s="93" t="e">
        <f t="shared" si="19"/>
        <v>#REF!</v>
      </c>
      <c r="L241" s="93" t="e">
        <f t="shared" si="20"/>
        <v>#REF!</v>
      </c>
      <c r="M241" s="96" t="e">
        <f t="shared" si="21"/>
        <v>#REF!</v>
      </c>
    </row>
    <row r="242" spans="1:13">
      <c r="A242" s="25" t="e">
        <f t="shared" si="18"/>
        <v>#REF!</v>
      </c>
      <c r="B242" s="300" t="s">
        <v>1418</v>
      </c>
      <c r="C242" s="26" t="s">
        <v>1008</v>
      </c>
      <c r="D242" s="26">
        <v>1</v>
      </c>
      <c r="E242" s="6" t="e">
        <f xml:space="preserve"> [1]!'HAS.US-PreClose'</f>
        <v>#REF!</v>
      </c>
      <c r="F242" s="6">
        <v>485</v>
      </c>
      <c r="G242" s="74" t="e">
        <f t="shared" si="22"/>
        <v>#REF!</v>
      </c>
      <c r="H242" s="6" t="e">
        <f xml:space="preserve"> [1]!'HAS.US-Price'</f>
        <v>#REF!</v>
      </c>
      <c r="I242" s="6" t="e">
        <f xml:space="preserve"> [1]!'HAS.US-BestBid1'</f>
        <v>#REF!</v>
      </c>
      <c r="J242" s="6" t="e">
        <f xml:space="preserve"> [1]!'HAS.US-BestAsk1'</f>
        <v>#REF!</v>
      </c>
      <c r="K242" s="93" t="e">
        <f t="shared" si="19"/>
        <v>#REF!</v>
      </c>
      <c r="L242" s="93" t="e">
        <f t="shared" si="20"/>
        <v>#REF!</v>
      </c>
      <c r="M242" s="96" t="e">
        <f t="shared" si="21"/>
        <v>#REF!</v>
      </c>
    </row>
    <row r="243" spans="1:13">
      <c r="A243" s="25" t="e">
        <f t="shared" si="18"/>
        <v>#REF!</v>
      </c>
      <c r="B243" s="300" t="s">
        <v>1419</v>
      </c>
      <c r="C243" s="26" t="s">
        <v>518</v>
      </c>
      <c r="D243" s="26">
        <v>1</v>
      </c>
      <c r="E243" s="6" t="e">
        <f xml:space="preserve"> [1]!'HBAN.US-PreClose'</f>
        <v>#REF!</v>
      </c>
      <c r="F243" s="6">
        <v>4694</v>
      </c>
      <c r="G243" s="74" t="e">
        <f t="shared" si="22"/>
        <v>#REF!</v>
      </c>
      <c r="H243" s="6" t="e">
        <f xml:space="preserve"> [1]!'HBAN.US-Price'</f>
        <v>#REF!</v>
      </c>
      <c r="I243" s="6" t="e">
        <f xml:space="preserve"> [1]!'HBAN.US-BestBid1'</f>
        <v>#REF!</v>
      </c>
      <c r="J243" s="6" t="e">
        <f xml:space="preserve"> [1]!'HBAN.US-BestAsk1'</f>
        <v>#REF!</v>
      </c>
      <c r="K243" s="93" t="e">
        <f t="shared" si="19"/>
        <v>#REF!</v>
      </c>
      <c r="L243" s="93" t="e">
        <f t="shared" si="20"/>
        <v>#REF!</v>
      </c>
      <c r="M243" s="96" t="e">
        <f t="shared" si="21"/>
        <v>#REF!</v>
      </c>
    </row>
    <row r="244" spans="1:13">
      <c r="A244" s="25" t="e">
        <f t="shared" si="18"/>
        <v>#REF!</v>
      </c>
      <c r="B244" s="300" t="s">
        <v>1420</v>
      </c>
      <c r="C244" s="26" t="s">
        <v>1009</v>
      </c>
      <c r="D244" s="26">
        <v>1</v>
      </c>
      <c r="E244" s="6" t="e">
        <f xml:space="preserve"> [1]!'HBI.US-PreClose'</f>
        <v>#REF!</v>
      </c>
      <c r="F244" s="6">
        <v>1570</v>
      </c>
      <c r="G244" s="74" t="e">
        <f t="shared" si="22"/>
        <v>#REF!</v>
      </c>
      <c r="H244" s="6" t="e">
        <f xml:space="preserve"> [1]!'HBI.US-Price'</f>
        <v>#REF!</v>
      </c>
      <c r="I244" s="6" t="e">
        <f xml:space="preserve"> [1]!'HBI.US-BestBid1'</f>
        <v>#REF!</v>
      </c>
      <c r="J244" s="6" t="e">
        <f xml:space="preserve"> [1]!'HBI.US-BestAsk1'</f>
        <v>#REF!</v>
      </c>
      <c r="K244" s="93" t="e">
        <f t="shared" si="19"/>
        <v>#REF!</v>
      </c>
      <c r="L244" s="93" t="e">
        <f t="shared" si="20"/>
        <v>#REF!</v>
      </c>
      <c r="M244" s="96" t="e">
        <f t="shared" si="21"/>
        <v>#REF!</v>
      </c>
    </row>
    <row r="245" spans="1:13">
      <c r="A245" s="25" t="e">
        <f t="shared" si="18"/>
        <v>#REF!</v>
      </c>
      <c r="B245" s="300" t="s">
        <v>1421</v>
      </c>
      <c r="C245" s="26" t="s">
        <v>1010</v>
      </c>
      <c r="D245" s="26">
        <v>1</v>
      </c>
      <c r="E245" s="6" t="e">
        <f xml:space="preserve"> [1]!'HCA.US-PreClose'</f>
        <v>#REF!</v>
      </c>
      <c r="F245" s="6">
        <v>1214</v>
      </c>
      <c r="G245" s="74" t="e">
        <f t="shared" si="22"/>
        <v>#REF!</v>
      </c>
      <c r="H245" s="6" t="e">
        <f xml:space="preserve"> [1]!'HCA.US-Price'</f>
        <v>#REF!</v>
      </c>
      <c r="I245" s="6" t="e">
        <f xml:space="preserve"> [1]!'HCA.US-BestBid1'</f>
        <v>#REF!</v>
      </c>
      <c r="J245" s="6" t="e">
        <f xml:space="preserve"> [1]!'HCA.US-BestAsk1'</f>
        <v>#REF!</v>
      </c>
      <c r="K245" s="93" t="e">
        <f t="shared" si="19"/>
        <v>#REF!</v>
      </c>
      <c r="L245" s="93" t="e">
        <f t="shared" si="20"/>
        <v>#REF!</v>
      </c>
      <c r="M245" s="96" t="e">
        <f t="shared" si="21"/>
        <v>#REF!</v>
      </c>
    </row>
    <row r="246" spans="1:13">
      <c r="A246" s="25">
        <f t="shared" si="18"/>
        <v>6.5883345838919514E-4</v>
      </c>
      <c r="B246" s="300" t="s">
        <v>1422</v>
      </c>
      <c r="C246" s="26" t="s">
        <v>1011</v>
      </c>
      <c r="D246" s="26">
        <v>1</v>
      </c>
      <c r="E246" s="6">
        <f xml:space="preserve"> [1]!'HCN.US-PreClose'</f>
        <v>60.17</v>
      </c>
      <c r="F246" s="6">
        <v>1589</v>
      </c>
      <c r="G246" s="74">
        <f t="shared" si="22"/>
        <v>2882645.4194999998</v>
      </c>
      <c r="H246" s="6">
        <f xml:space="preserve"> [1]!'HCN.US-Price'</f>
        <v>59.16</v>
      </c>
      <c r="I246" s="6" t="str">
        <f xml:space="preserve"> [1]!'HCN.US-BestBid1'</f>
        <v>--</v>
      </c>
      <c r="J246" s="6" t="str">
        <f xml:space="preserve"> [1]!'HCN.US-BestAsk1'</f>
        <v>--</v>
      </c>
      <c r="K246" s="93" t="e">
        <f t="shared" si="19"/>
        <v>#REF!</v>
      </c>
      <c r="L246" s="93" t="e">
        <f t="shared" si="20"/>
        <v>#REF!</v>
      </c>
      <c r="M246" s="96" t="e">
        <f t="shared" si="21"/>
        <v>#REF!</v>
      </c>
    </row>
    <row r="247" spans="1:13">
      <c r="A247" s="25" t="e">
        <f t="shared" si="18"/>
        <v>#VALUE!</v>
      </c>
      <c r="B247" s="300" t="s">
        <v>1423</v>
      </c>
      <c r="C247" s="26" t="s">
        <v>1012</v>
      </c>
      <c r="D247" s="26">
        <v>1</v>
      </c>
      <c r="E247" s="6" t="str">
        <f xml:space="preserve"> [1]!'HCP.US-PreClose'</f>
        <v>N/A</v>
      </c>
      <c r="F247" s="6">
        <v>2020</v>
      </c>
      <c r="G247" s="74" t="e">
        <f t="shared" si="22"/>
        <v>#VALUE!</v>
      </c>
      <c r="H247" s="6" t="str">
        <f xml:space="preserve"> [1]!'HCP.US-Price'</f>
        <v>N/A</v>
      </c>
      <c r="I247" s="6" t="str">
        <f xml:space="preserve"> [1]!'HCP.US-BestBid1'</f>
        <v>N/A</v>
      </c>
      <c r="J247" s="6" t="str">
        <f xml:space="preserve"> [1]!'HCP.US-BestAsk1'</f>
        <v>N/A</v>
      </c>
      <c r="K247" s="93" t="e">
        <f t="shared" si="19"/>
        <v>#VALUE!</v>
      </c>
      <c r="L247" s="93" t="e">
        <f t="shared" si="20"/>
        <v>#VALUE!</v>
      </c>
      <c r="M247" s="96" t="e">
        <f t="shared" si="21"/>
        <v>#VALUE!</v>
      </c>
    </row>
    <row r="248" spans="1:13">
      <c r="A248" s="25" t="e">
        <f t="shared" si="18"/>
        <v>#VALUE!</v>
      </c>
      <c r="B248" s="300" t="s">
        <v>1424</v>
      </c>
      <c r="C248" s="26" t="s">
        <v>600</v>
      </c>
      <c r="D248" s="26">
        <v>1</v>
      </c>
      <c r="E248" s="6" t="str">
        <f xml:space="preserve"> [1]!'HD.US-PreClose'</f>
        <v>N/A</v>
      </c>
      <c r="F248" s="6">
        <v>5077</v>
      </c>
      <c r="G248" s="74" t="e">
        <f t="shared" si="22"/>
        <v>#VALUE!</v>
      </c>
      <c r="H248" s="6" t="str">
        <f xml:space="preserve"> [1]!'HD.US-Price'</f>
        <v>N/A</v>
      </c>
      <c r="I248" s="6" t="str">
        <f xml:space="preserve"> [1]!'HD.US-BestBid1'</f>
        <v>N/A</v>
      </c>
      <c r="J248" s="6" t="str">
        <f xml:space="preserve"> [1]!'HD.US-BestAsk1'</f>
        <v>N/A</v>
      </c>
      <c r="K248" s="93" t="e">
        <f t="shared" si="19"/>
        <v>#VALUE!</v>
      </c>
      <c r="L248" s="93" t="e">
        <f t="shared" si="20"/>
        <v>#VALUE!</v>
      </c>
      <c r="M248" s="96" t="e">
        <f t="shared" si="21"/>
        <v>#VALUE!</v>
      </c>
    </row>
    <row r="249" spans="1:13">
      <c r="A249" s="25" t="e">
        <f t="shared" si="18"/>
        <v>#REF!</v>
      </c>
      <c r="B249" s="300" t="s">
        <v>1425</v>
      </c>
      <c r="C249" s="26" t="s">
        <v>1013</v>
      </c>
      <c r="D249" s="26">
        <v>1</v>
      </c>
      <c r="E249" s="6" t="e">
        <f xml:space="preserve"> [1]!'HES.US-PreClose'</f>
        <v>#REF!</v>
      </c>
      <c r="F249" s="6">
        <v>1164</v>
      </c>
      <c r="G249" s="74" t="e">
        <f t="shared" si="22"/>
        <v>#REF!</v>
      </c>
      <c r="H249" s="6" t="e">
        <f xml:space="preserve"> [1]!'HES.US-Price'</f>
        <v>#REF!</v>
      </c>
      <c r="I249" s="6" t="e">
        <f xml:space="preserve"> [1]!'HES.US-BestBid1'</f>
        <v>#REF!</v>
      </c>
      <c r="J249" s="6" t="e">
        <f xml:space="preserve"> [1]!'HES.US-BestAsk1'</f>
        <v>#REF!</v>
      </c>
      <c r="K249" s="93" t="e">
        <f t="shared" si="19"/>
        <v>#REF!</v>
      </c>
      <c r="L249" s="93" t="e">
        <f t="shared" si="20"/>
        <v>#REF!</v>
      </c>
      <c r="M249" s="96" t="e">
        <f t="shared" si="21"/>
        <v>#REF!</v>
      </c>
    </row>
    <row r="250" spans="1:13">
      <c r="A250" s="25" t="e">
        <f t="shared" si="18"/>
        <v>#REF!</v>
      </c>
      <c r="B250" s="300" t="s">
        <v>1426</v>
      </c>
      <c r="C250" s="26" t="s">
        <v>1014</v>
      </c>
      <c r="D250" s="26">
        <v>1</v>
      </c>
      <c r="E250" s="6" t="e">
        <f xml:space="preserve"> [1]!'HIG.US-PreClose'</f>
        <v>#REF!</v>
      </c>
      <c r="F250" s="6">
        <v>1569</v>
      </c>
      <c r="G250" s="74" t="e">
        <f t="shared" si="22"/>
        <v>#REF!</v>
      </c>
      <c r="H250" s="6" t="e">
        <f xml:space="preserve"> [1]!'HIG.US-Price'</f>
        <v>#REF!</v>
      </c>
      <c r="I250" s="6" t="e">
        <f xml:space="preserve"> [1]!'HIG.US-BestBid1'</f>
        <v>#REF!</v>
      </c>
      <c r="J250" s="6" t="e">
        <f xml:space="preserve"> [1]!'HIG.US-BestAsk1'</f>
        <v>#REF!</v>
      </c>
      <c r="K250" s="93" t="e">
        <f t="shared" si="19"/>
        <v>#REF!</v>
      </c>
      <c r="L250" s="93" t="e">
        <f t="shared" si="20"/>
        <v>#REF!</v>
      </c>
      <c r="M250" s="96" t="e">
        <f t="shared" si="21"/>
        <v>#REF!</v>
      </c>
    </row>
    <row r="251" spans="1:13">
      <c r="A251" s="25" t="e">
        <f t="shared" si="18"/>
        <v>#REF!</v>
      </c>
      <c r="B251" s="300" t="s">
        <v>1427</v>
      </c>
      <c r="C251" s="26" t="s">
        <v>1015</v>
      </c>
      <c r="D251" s="26">
        <v>1</v>
      </c>
      <c r="E251" s="6" t="e">
        <f xml:space="preserve"> [1]!'HLT.US-PreClose'</f>
        <v>#REF!</v>
      </c>
      <c r="F251" s="6">
        <v>880</v>
      </c>
      <c r="G251" s="74" t="e">
        <f t="shared" si="22"/>
        <v>#REF!</v>
      </c>
      <c r="H251" s="6" t="e">
        <f xml:space="preserve"> [1]!'HLT.US-Price'</f>
        <v>#REF!</v>
      </c>
      <c r="I251" s="6" t="e">
        <f xml:space="preserve"> [1]!'HLT.US-BestBid1'</f>
        <v>#REF!</v>
      </c>
      <c r="J251" s="6" t="e">
        <f xml:space="preserve"> [1]!'HLT.US-BestAsk1'</f>
        <v>#REF!</v>
      </c>
      <c r="K251" s="93" t="e">
        <f t="shared" si="19"/>
        <v>#REF!</v>
      </c>
      <c r="L251" s="93" t="e">
        <f t="shared" si="20"/>
        <v>#REF!</v>
      </c>
      <c r="M251" s="96" t="e">
        <f t="shared" si="21"/>
        <v>#REF!</v>
      </c>
    </row>
    <row r="252" spans="1:13">
      <c r="A252" s="25" t="e">
        <f t="shared" si="18"/>
        <v>#REF!</v>
      </c>
      <c r="B252" s="300" t="s">
        <v>1428</v>
      </c>
      <c r="C252" s="26" t="s">
        <v>1016</v>
      </c>
      <c r="D252" s="26">
        <v>1</v>
      </c>
      <c r="E252" s="6" t="e">
        <f xml:space="preserve"> [1]!'HOG.US-PreClose'</f>
        <v>#REF!</v>
      </c>
      <c r="F252" s="6">
        <v>735</v>
      </c>
      <c r="G252" s="74" t="e">
        <f t="shared" si="22"/>
        <v>#REF!</v>
      </c>
      <c r="H252" s="6" t="e">
        <f xml:space="preserve"> [1]!'HOG.US-Price'</f>
        <v>#REF!</v>
      </c>
      <c r="I252" s="6" t="e">
        <f xml:space="preserve"> [1]!'HOG.US-BestBid1'</f>
        <v>#REF!</v>
      </c>
      <c r="J252" s="6" t="e">
        <f xml:space="preserve"> [1]!'HOG.US-BestAsk1'</f>
        <v>#REF!</v>
      </c>
      <c r="K252" s="93" t="e">
        <f t="shared" si="19"/>
        <v>#REF!</v>
      </c>
      <c r="L252" s="93" t="e">
        <f t="shared" si="20"/>
        <v>#REF!</v>
      </c>
      <c r="M252" s="96" t="e">
        <f t="shared" si="21"/>
        <v>#REF!</v>
      </c>
    </row>
    <row r="253" spans="1:13">
      <c r="A253" s="25" t="e">
        <f t="shared" si="18"/>
        <v>#REF!</v>
      </c>
      <c r="B253" s="300" t="s">
        <v>1429</v>
      </c>
      <c r="C253" s="26" t="s">
        <v>1708</v>
      </c>
      <c r="D253" s="26">
        <v>1</v>
      </c>
      <c r="E253" s="6" t="e">
        <f xml:space="preserve"> [1]!'HOLX.US-PreClose'</f>
        <v>#REF!</v>
      </c>
      <c r="F253" s="6">
        <v>1208</v>
      </c>
      <c r="G253" s="74" t="e">
        <f t="shared" si="22"/>
        <v>#REF!</v>
      </c>
      <c r="H253" s="6" t="e">
        <f xml:space="preserve"> [1]!'HOLX.US-Price'</f>
        <v>#REF!</v>
      </c>
      <c r="I253" s="6" t="e">
        <f xml:space="preserve"> [1]!'HOLX.US-BestBid1'</f>
        <v>#REF!</v>
      </c>
      <c r="J253" s="6" t="e">
        <f xml:space="preserve"> [1]!'HOLX.US-BestAsk1'</f>
        <v>#REF!</v>
      </c>
      <c r="K253" s="93" t="e">
        <f t="shared" si="19"/>
        <v>#REF!</v>
      </c>
      <c r="L253" s="93" t="e">
        <f t="shared" si="20"/>
        <v>#REF!</v>
      </c>
      <c r="M253" s="96" t="e">
        <f t="shared" si="21"/>
        <v>#REF!</v>
      </c>
    </row>
    <row r="254" spans="1:13">
      <c r="A254" s="25" t="e">
        <f t="shared" si="18"/>
        <v>#REF!</v>
      </c>
      <c r="B254" s="300" t="s">
        <v>1430</v>
      </c>
      <c r="C254" s="26" t="s">
        <v>1017</v>
      </c>
      <c r="D254" s="26">
        <v>1</v>
      </c>
      <c r="E254" s="6" t="e">
        <f xml:space="preserve"> [1]!'HON.US-PreClose'</f>
        <v>#REF!</v>
      </c>
      <c r="F254" s="6">
        <v>3283</v>
      </c>
      <c r="G254" s="74" t="e">
        <f t="shared" si="22"/>
        <v>#REF!</v>
      </c>
      <c r="H254" s="6" t="e">
        <f xml:space="preserve"> [1]!'HON.US-Price'</f>
        <v>#REF!</v>
      </c>
      <c r="I254" s="6" t="e">
        <f xml:space="preserve"> [1]!'HON.US-BestBid1'</f>
        <v>#REF!</v>
      </c>
      <c r="J254" s="6" t="e">
        <f xml:space="preserve"> [1]!'HON.US-BestAsk1'</f>
        <v>#REF!</v>
      </c>
      <c r="K254" s="93" t="e">
        <f t="shared" si="19"/>
        <v>#REF!</v>
      </c>
      <c r="L254" s="93" t="e">
        <f t="shared" si="20"/>
        <v>#REF!</v>
      </c>
      <c r="M254" s="96" t="e">
        <f t="shared" si="21"/>
        <v>#REF!</v>
      </c>
    </row>
    <row r="255" spans="1:13">
      <c r="A255" s="25" t="e">
        <f t="shared" si="18"/>
        <v>#REF!</v>
      </c>
      <c r="B255" s="300" t="s">
        <v>1431</v>
      </c>
      <c r="C255" s="26" t="s">
        <v>601</v>
      </c>
      <c r="D255" s="26">
        <v>1</v>
      </c>
      <c r="E255" s="6" t="e">
        <f xml:space="preserve"> [1]!'HP.US-PreClose'</f>
        <v>#REF!</v>
      </c>
      <c r="F255" s="6">
        <v>468</v>
      </c>
      <c r="G255" s="74" t="e">
        <f t="shared" si="22"/>
        <v>#REF!</v>
      </c>
      <c r="H255" s="6" t="e">
        <f xml:space="preserve"> [1]!'HP.US-Price'</f>
        <v>#REF!</v>
      </c>
      <c r="I255" s="6" t="e">
        <f xml:space="preserve"> [1]!'HP.US-BestBid1'</f>
        <v>#REF!</v>
      </c>
      <c r="J255" s="6" t="e">
        <f xml:space="preserve"> [1]!'HP.US-BestAsk1'</f>
        <v>#REF!</v>
      </c>
      <c r="K255" s="93" t="e">
        <f t="shared" si="19"/>
        <v>#REF!</v>
      </c>
      <c r="L255" s="93" t="e">
        <f t="shared" si="20"/>
        <v>#REF!</v>
      </c>
      <c r="M255" s="96" t="e">
        <f t="shared" si="21"/>
        <v>#REF!</v>
      </c>
    </row>
    <row r="256" spans="1:13">
      <c r="A256" s="25" t="e">
        <f t="shared" si="18"/>
        <v>#REF!</v>
      </c>
      <c r="B256" s="300" t="s">
        <v>1432</v>
      </c>
      <c r="C256" s="26" t="s">
        <v>1018</v>
      </c>
      <c r="D256" s="26">
        <v>1</v>
      </c>
      <c r="E256" s="6" t="e">
        <f xml:space="preserve"> [1]!'HPE.US-PreClose'</f>
        <v>#REF!</v>
      </c>
      <c r="F256" s="6">
        <v>7074</v>
      </c>
      <c r="G256" s="74" t="e">
        <f t="shared" si="22"/>
        <v>#REF!</v>
      </c>
      <c r="H256" s="6" t="e">
        <f xml:space="preserve"> [1]!'HPE.US-Price'</f>
        <v>#REF!</v>
      </c>
      <c r="I256" s="6" t="e">
        <f xml:space="preserve"> [1]!'HPE.US-BestBid1'</f>
        <v>#REF!</v>
      </c>
      <c r="J256" s="6" t="e">
        <f xml:space="preserve"> [1]!'HPE.US-BestAsk1'</f>
        <v>#REF!</v>
      </c>
      <c r="K256" s="93" t="e">
        <f t="shared" si="19"/>
        <v>#REF!</v>
      </c>
      <c r="L256" s="93" t="e">
        <f t="shared" si="20"/>
        <v>#REF!</v>
      </c>
      <c r="M256" s="96" t="e">
        <f t="shared" si="21"/>
        <v>#REF!</v>
      </c>
    </row>
    <row r="257" spans="1:13">
      <c r="A257" s="25" t="e">
        <f t="shared" si="18"/>
        <v>#VALUE!</v>
      </c>
      <c r="B257" s="300" t="s">
        <v>1433</v>
      </c>
      <c r="C257" s="26" t="s">
        <v>1019</v>
      </c>
      <c r="D257" s="26">
        <v>1</v>
      </c>
      <c r="E257" s="6" t="str">
        <f xml:space="preserve"> [1]!'HPQ.US-PreClose'</f>
        <v>N/A</v>
      </c>
      <c r="F257" s="6">
        <v>7193</v>
      </c>
      <c r="G257" s="74" t="e">
        <f t="shared" si="22"/>
        <v>#VALUE!</v>
      </c>
      <c r="H257" s="6" t="str">
        <f xml:space="preserve"> [1]!'HPQ.US-Price'</f>
        <v>N/A</v>
      </c>
      <c r="I257" s="6" t="str">
        <f xml:space="preserve"> [1]!'HPQ.US-BestBid1'</f>
        <v>N/A</v>
      </c>
      <c r="J257" s="6" t="str">
        <f xml:space="preserve"> [1]!'HPQ.US-BestAsk1'</f>
        <v>N/A</v>
      </c>
      <c r="K257" s="93" t="e">
        <f t="shared" si="19"/>
        <v>#VALUE!</v>
      </c>
      <c r="L257" s="93" t="e">
        <f t="shared" si="20"/>
        <v>#VALUE!</v>
      </c>
      <c r="M257" s="96" t="e">
        <f t="shared" si="21"/>
        <v>#VALUE!</v>
      </c>
    </row>
    <row r="258" spans="1:13">
      <c r="A258" s="25" t="e">
        <f t="shared" si="18"/>
        <v>#REF!</v>
      </c>
      <c r="B258" s="300" t="s">
        <v>1434</v>
      </c>
      <c r="C258" s="26" t="s">
        <v>1020</v>
      </c>
      <c r="D258" s="26">
        <v>1</v>
      </c>
      <c r="E258" s="6" t="e">
        <f xml:space="preserve"> [1]!'HRB.US-PreClose'</f>
        <v>#REF!</v>
      </c>
      <c r="F258" s="6">
        <v>900</v>
      </c>
      <c r="G258" s="74" t="e">
        <f t="shared" si="22"/>
        <v>#REF!</v>
      </c>
      <c r="H258" s="6" t="e">
        <f xml:space="preserve"> [1]!'HRB.US-Price'</f>
        <v>#REF!</v>
      </c>
      <c r="I258" s="6" t="e">
        <f xml:space="preserve"> [1]!'HRB.US-BestBid1'</f>
        <v>#REF!</v>
      </c>
      <c r="J258" s="6" t="e">
        <f xml:space="preserve"> [1]!'HRB.US-BestAsk1'</f>
        <v>#REF!</v>
      </c>
      <c r="K258" s="93" t="e">
        <f t="shared" si="19"/>
        <v>#REF!</v>
      </c>
      <c r="L258" s="93" t="e">
        <f t="shared" si="20"/>
        <v>#REF!</v>
      </c>
      <c r="M258" s="96" t="e">
        <f t="shared" si="21"/>
        <v>#REF!</v>
      </c>
    </row>
    <row r="259" spans="1:13">
      <c r="A259" s="25" t="e">
        <f t="shared" si="18"/>
        <v>#REF!</v>
      </c>
      <c r="B259" s="300" t="s">
        <v>1435</v>
      </c>
      <c r="C259" s="26" t="s">
        <v>1021</v>
      </c>
      <c r="D259" s="26">
        <v>1</v>
      </c>
      <c r="E259" s="6" t="e">
        <f xml:space="preserve"> [1]!'HRL.US-PreClose'</f>
        <v>#REF!</v>
      </c>
      <c r="F259" s="6">
        <v>1161</v>
      </c>
      <c r="G259" s="74" t="e">
        <f t="shared" si="22"/>
        <v>#REF!</v>
      </c>
      <c r="H259" s="6" t="e">
        <f xml:space="preserve"> [1]!'HRL.US-Price'</f>
        <v>#REF!</v>
      </c>
      <c r="I259" s="6" t="e">
        <f xml:space="preserve"> [1]!'HRL.US-BestBid1'</f>
        <v>#REF!</v>
      </c>
      <c r="J259" s="6" t="e">
        <f xml:space="preserve"> [1]!'HRL.US-BestAsk1'</f>
        <v>#REF!</v>
      </c>
      <c r="K259" s="93" t="e">
        <f t="shared" si="19"/>
        <v>#REF!</v>
      </c>
      <c r="L259" s="93" t="e">
        <f t="shared" si="20"/>
        <v>#REF!</v>
      </c>
      <c r="M259" s="96" t="e">
        <f t="shared" si="21"/>
        <v>#REF!</v>
      </c>
    </row>
    <row r="260" spans="1:13">
      <c r="A260" s="25" t="e">
        <f t="shared" si="18"/>
        <v>#REF!</v>
      </c>
      <c r="B260" s="300" t="s">
        <v>1436</v>
      </c>
      <c r="C260" s="26" t="s">
        <v>1022</v>
      </c>
      <c r="D260" s="26">
        <v>1</v>
      </c>
      <c r="E260" s="6" t="e">
        <f xml:space="preserve"> [1]!'HRS.US-PreClose'</f>
        <v>#REF!</v>
      </c>
      <c r="F260" s="6">
        <v>516</v>
      </c>
      <c r="G260" s="74" t="e">
        <f t="shared" si="22"/>
        <v>#REF!</v>
      </c>
      <c r="H260" s="6" t="e">
        <f xml:space="preserve"> [1]!'HRS.US-Price'</f>
        <v>#REF!</v>
      </c>
      <c r="I260" s="6" t="e">
        <f xml:space="preserve"> [1]!'HRS.US-BestBid1'</f>
        <v>#REF!</v>
      </c>
      <c r="J260" s="6" t="e">
        <f xml:space="preserve"> [1]!'HRS.US-BestAsk1'</f>
        <v>#REF!</v>
      </c>
      <c r="K260" s="93" t="e">
        <f t="shared" si="19"/>
        <v>#REF!</v>
      </c>
      <c r="L260" s="93" t="e">
        <f t="shared" si="20"/>
        <v>#REF!</v>
      </c>
      <c r="M260" s="96" t="e">
        <f t="shared" si="21"/>
        <v>#REF!</v>
      </c>
    </row>
    <row r="261" spans="1:13">
      <c r="A261" s="25" t="e">
        <f t="shared" si="18"/>
        <v>#REF!</v>
      </c>
      <c r="B261" s="300" t="s">
        <v>1437</v>
      </c>
      <c r="C261" s="26" t="s">
        <v>519</v>
      </c>
      <c r="D261" s="26">
        <v>1</v>
      </c>
      <c r="E261" s="6" t="e">
        <f xml:space="preserve"> [1]!'HSIC.US-PreClose'</f>
        <v>#REF!</v>
      </c>
      <c r="F261" s="6">
        <v>678</v>
      </c>
      <c r="G261" s="74" t="e">
        <f t="shared" si="22"/>
        <v>#REF!</v>
      </c>
      <c r="H261" s="6" t="e">
        <f xml:space="preserve"> [1]!'HSIC.US-Price'</f>
        <v>#REF!</v>
      </c>
      <c r="I261" s="6" t="e">
        <f xml:space="preserve"> [1]!'HSIC.US-BestBid1'</f>
        <v>#REF!</v>
      </c>
      <c r="J261" s="6" t="e">
        <f xml:space="preserve"> [1]!'HSIC.US-BestAsk1'</f>
        <v>#REF!</v>
      </c>
      <c r="K261" s="93" t="e">
        <f t="shared" si="19"/>
        <v>#REF!</v>
      </c>
      <c r="L261" s="93" t="e">
        <f t="shared" si="20"/>
        <v>#REF!</v>
      </c>
      <c r="M261" s="96" t="e">
        <f t="shared" si="21"/>
        <v>#REF!</v>
      </c>
    </row>
    <row r="262" spans="1:13">
      <c r="A262" s="25" t="e">
        <f t="shared" si="18"/>
        <v>#VALUE!</v>
      </c>
      <c r="B262" s="300" t="s">
        <v>1438</v>
      </c>
      <c r="C262" s="26" t="s">
        <v>1023</v>
      </c>
      <c r="D262" s="26">
        <v>1</v>
      </c>
      <c r="E262" s="6" t="str">
        <f xml:space="preserve"> [1]!'HST.US-PreClose'</f>
        <v>N/A</v>
      </c>
      <c r="F262" s="6">
        <v>3187</v>
      </c>
      <c r="G262" s="74" t="e">
        <f t="shared" si="22"/>
        <v>#VALUE!</v>
      </c>
      <c r="H262" s="6" t="str">
        <f xml:space="preserve"> [1]!'HST.US-Price'</f>
        <v>N/A</v>
      </c>
      <c r="I262" s="6" t="str">
        <f xml:space="preserve"> [1]!'HST.US-BestBid1'</f>
        <v>N/A</v>
      </c>
      <c r="J262" s="6" t="str">
        <f xml:space="preserve"> [1]!'HST.US-BestAsk1'</f>
        <v>N/A</v>
      </c>
      <c r="K262" s="93" t="e">
        <f t="shared" si="19"/>
        <v>#VALUE!</v>
      </c>
      <c r="L262" s="93" t="e">
        <f t="shared" si="20"/>
        <v>#VALUE!</v>
      </c>
      <c r="M262" s="96" t="e">
        <f t="shared" si="21"/>
        <v>#VALUE!</v>
      </c>
    </row>
    <row r="263" spans="1:13">
      <c r="A263" s="25" t="e">
        <f t="shared" si="18"/>
        <v>#REF!</v>
      </c>
      <c r="B263" s="300" t="s">
        <v>1439</v>
      </c>
      <c r="C263" s="26" t="s">
        <v>1024</v>
      </c>
      <c r="D263" s="26">
        <v>1</v>
      </c>
      <c r="E263" s="6" t="e">
        <f xml:space="preserve"> [1]!'HSY.US-PreClose'</f>
        <v>#REF!</v>
      </c>
      <c r="F263" s="6">
        <v>596</v>
      </c>
      <c r="G263" s="74" t="e">
        <f t="shared" si="22"/>
        <v>#REF!</v>
      </c>
      <c r="H263" s="6" t="e">
        <f xml:space="preserve"> [1]!'HSY.US-Price'</f>
        <v>#REF!</v>
      </c>
      <c r="I263" s="6" t="e">
        <f xml:space="preserve"> [1]!'HSY.US-BestBid1'</f>
        <v>#REF!</v>
      </c>
      <c r="J263" s="6" t="e">
        <f xml:space="preserve"> [1]!'HSY.US-BestAsk1'</f>
        <v>#REF!</v>
      </c>
      <c r="K263" s="93" t="e">
        <f t="shared" si="19"/>
        <v>#REF!</v>
      </c>
      <c r="L263" s="93" t="e">
        <f t="shared" si="20"/>
        <v>#REF!</v>
      </c>
      <c r="M263" s="96" t="e">
        <f t="shared" si="21"/>
        <v>#REF!</v>
      </c>
    </row>
    <row r="264" spans="1:13">
      <c r="A264" s="25" t="e">
        <f t="shared" si="18"/>
        <v>#REF!</v>
      </c>
      <c r="B264" s="300" t="s">
        <v>1440</v>
      </c>
      <c r="C264" s="26" t="s">
        <v>1025</v>
      </c>
      <c r="D264" s="26">
        <v>1</v>
      </c>
      <c r="E264" s="6" t="e">
        <f xml:space="preserve"> [1]!'HUM.US-PreClose'</f>
        <v>#REF!</v>
      </c>
      <c r="F264" s="6">
        <v>622</v>
      </c>
      <c r="G264" s="74" t="e">
        <f t="shared" si="22"/>
        <v>#REF!</v>
      </c>
      <c r="H264" s="6" t="e">
        <f xml:space="preserve"> [1]!'HUM.US-Price'</f>
        <v>#REF!</v>
      </c>
      <c r="I264" s="6" t="e">
        <f xml:space="preserve"> [1]!'HUM.US-BestBid1'</f>
        <v>#REF!</v>
      </c>
      <c r="J264" s="6" t="e">
        <f xml:space="preserve"> [1]!'HUM.US-BestAsk1'</f>
        <v>#REF!</v>
      </c>
      <c r="K264" s="93" t="e">
        <f t="shared" si="19"/>
        <v>#REF!</v>
      </c>
      <c r="L264" s="93" t="e">
        <f t="shared" si="20"/>
        <v>#REF!</v>
      </c>
      <c r="M264" s="96" t="e">
        <f t="shared" si="21"/>
        <v>#REF!</v>
      </c>
    </row>
    <row r="265" spans="1:13">
      <c r="A265" s="25" t="e">
        <f t="shared" si="18"/>
        <v>#VALUE!</v>
      </c>
      <c r="B265" s="300" t="s">
        <v>1441</v>
      </c>
      <c r="C265" s="26" t="s">
        <v>1026</v>
      </c>
      <c r="D265" s="26">
        <v>1</v>
      </c>
      <c r="E265" s="6" t="str">
        <f xml:space="preserve"> [1]!'IBM.US-PreClose'</f>
        <v>N/A</v>
      </c>
      <c r="F265" s="6">
        <v>3652</v>
      </c>
      <c r="G265" s="74" t="e">
        <f t="shared" si="22"/>
        <v>#VALUE!</v>
      </c>
      <c r="H265" s="6" t="str">
        <f xml:space="preserve"> [1]!'IBM.US-Price'</f>
        <v>N/A</v>
      </c>
      <c r="I265" s="6" t="str">
        <f xml:space="preserve"> [1]!'IBM.US-BestBid1'</f>
        <v>N/A</v>
      </c>
      <c r="J265" s="6" t="str">
        <f xml:space="preserve"> [1]!'IBM.US-BestAsk1'</f>
        <v>N/A</v>
      </c>
      <c r="K265" s="93" t="e">
        <f t="shared" si="19"/>
        <v>#VALUE!</v>
      </c>
      <c r="L265" s="93" t="e">
        <f t="shared" si="20"/>
        <v>#VALUE!</v>
      </c>
      <c r="M265" s="96" t="e">
        <f t="shared" si="21"/>
        <v>#VALUE!</v>
      </c>
    </row>
    <row r="266" spans="1:13">
      <c r="A266" s="25" t="e">
        <f t="shared" si="18"/>
        <v>#REF!</v>
      </c>
      <c r="B266" s="300" t="s">
        <v>1442</v>
      </c>
      <c r="C266" s="26" t="s">
        <v>1027</v>
      </c>
      <c r="D266" s="26">
        <v>1</v>
      </c>
      <c r="E266" s="6" t="e">
        <f xml:space="preserve"> [1]!'ICE.US-PreClose'</f>
        <v>#REF!</v>
      </c>
      <c r="F266" s="6">
        <v>2534</v>
      </c>
      <c r="G266" s="74" t="e">
        <f t="shared" si="22"/>
        <v>#REF!</v>
      </c>
      <c r="H266" s="6" t="e">
        <f xml:space="preserve"> [1]!'ICE.US-Price'</f>
        <v>#REF!</v>
      </c>
      <c r="I266" s="6" t="e">
        <f xml:space="preserve"> [1]!'ICE.US-BestBid1'</f>
        <v>#REF!</v>
      </c>
      <c r="J266" s="6" t="e">
        <f xml:space="preserve"> [1]!'ICE.US-BestAsk1'</f>
        <v>#REF!</v>
      </c>
      <c r="K266" s="93" t="e">
        <f t="shared" si="19"/>
        <v>#REF!</v>
      </c>
      <c r="L266" s="93" t="e">
        <f t="shared" si="20"/>
        <v>#REF!</v>
      </c>
      <c r="M266" s="96" t="e">
        <f t="shared" si="21"/>
        <v>#REF!</v>
      </c>
    </row>
    <row r="267" spans="1:13">
      <c r="A267" s="25" t="e">
        <f t="shared" si="18"/>
        <v>#REF!</v>
      </c>
      <c r="B267" s="300" t="s">
        <v>1443</v>
      </c>
      <c r="C267" s="26" t="s">
        <v>520</v>
      </c>
      <c r="D267" s="26">
        <v>1</v>
      </c>
      <c r="E267" s="6" t="e">
        <f xml:space="preserve"> [1]!'IDXX.US-PreClose'</f>
        <v>#REF!</v>
      </c>
      <c r="F267" s="6">
        <v>376</v>
      </c>
      <c r="G267" s="74" t="e">
        <f t="shared" si="22"/>
        <v>#REF!</v>
      </c>
      <c r="H267" s="6" t="e">
        <f xml:space="preserve"> [1]!'IDXX.US-Price'</f>
        <v>#REF!</v>
      </c>
      <c r="I267" s="6" t="e">
        <f xml:space="preserve"> [1]!'IDXX.US-BestBid1'</f>
        <v>#REF!</v>
      </c>
      <c r="J267" s="6" t="e">
        <f xml:space="preserve"> [1]!'IDXX.US-BestAsk1'</f>
        <v>#REF!</v>
      </c>
      <c r="K267" s="93" t="e">
        <f t="shared" si="19"/>
        <v>#REF!</v>
      </c>
      <c r="L267" s="93" t="e">
        <f t="shared" si="20"/>
        <v>#REF!</v>
      </c>
      <c r="M267" s="96" t="e">
        <f t="shared" si="21"/>
        <v>#REF!</v>
      </c>
    </row>
    <row r="268" spans="1:13">
      <c r="A268" s="25" t="e">
        <f t="shared" si="18"/>
        <v>#REF!</v>
      </c>
      <c r="B268" s="300" t="s">
        <v>1444</v>
      </c>
      <c r="C268" s="26" t="s">
        <v>1028</v>
      </c>
      <c r="D268" s="26">
        <v>1</v>
      </c>
      <c r="E268" s="6" t="e">
        <f xml:space="preserve"> [1]!'IFF.US-PreClose'</f>
        <v>#REF!</v>
      </c>
      <c r="F268" s="6">
        <v>340</v>
      </c>
      <c r="G268" s="74" t="e">
        <f t="shared" si="22"/>
        <v>#REF!</v>
      </c>
      <c r="H268" s="6" t="e">
        <f xml:space="preserve"> [1]!'IFF.US-Price'</f>
        <v>#REF!</v>
      </c>
      <c r="I268" s="6" t="e">
        <f xml:space="preserve"> [1]!'IFF.US-BestBid1'</f>
        <v>#REF!</v>
      </c>
      <c r="J268" s="6" t="e">
        <f xml:space="preserve"> [1]!'IFF.US-BestAsk1'</f>
        <v>#REF!</v>
      </c>
      <c r="K268" s="93" t="e">
        <f t="shared" si="19"/>
        <v>#REF!</v>
      </c>
      <c r="L268" s="93" t="e">
        <f t="shared" si="20"/>
        <v>#REF!</v>
      </c>
      <c r="M268" s="96" t="e">
        <f t="shared" si="21"/>
        <v>#REF!</v>
      </c>
    </row>
    <row r="269" spans="1:13">
      <c r="A269" s="25" t="e">
        <f t="shared" si="18"/>
        <v>#REF!</v>
      </c>
      <c r="B269" s="300" t="s">
        <v>1445</v>
      </c>
      <c r="C269" s="26" t="s">
        <v>521</v>
      </c>
      <c r="D269" s="26">
        <v>1</v>
      </c>
      <c r="E269" s="6" t="e">
        <f xml:space="preserve"> [1]!'ILMN.US-PreClose'</f>
        <v>#REF!</v>
      </c>
      <c r="F269" s="6">
        <v>629</v>
      </c>
      <c r="G269" s="74" t="e">
        <f t="shared" si="22"/>
        <v>#REF!</v>
      </c>
      <c r="H269" s="6" t="e">
        <f xml:space="preserve"> [1]!'ILMN.US-Price'</f>
        <v>#REF!</v>
      </c>
      <c r="I269" s="6" t="e">
        <f xml:space="preserve"> [1]!'ILMN.US-BestBid1'</f>
        <v>#REF!</v>
      </c>
      <c r="J269" s="6" t="e">
        <f xml:space="preserve"> [1]!'ILMN.US-BestAsk1'</f>
        <v>#REF!</v>
      </c>
      <c r="K269" s="93" t="e">
        <f t="shared" si="19"/>
        <v>#REF!</v>
      </c>
      <c r="L269" s="93" t="e">
        <f t="shared" si="20"/>
        <v>#REF!</v>
      </c>
      <c r="M269" s="96" t="e">
        <f t="shared" si="21"/>
        <v>#REF!</v>
      </c>
    </row>
    <row r="270" spans="1:13">
      <c r="A270" s="25" t="e">
        <f t="shared" si="18"/>
        <v>#REF!</v>
      </c>
      <c r="B270" s="300" t="s">
        <v>1446</v>
      </c>
      <c r="C270" s="26" t="s">
        <v>522</v>
      </c>
      <c r="D270" s="26">
        <v>1</v>
      </c>
      <c r="E270" s="6" t="e">
        <f xml:space="preserve"> [1]!'INCY.US-PreClose'</f>
        <v>#REF!</v>
      </c>
      <c r="F270" s="6">
        <v>735</v>
      </c>
      <c r="G270" s="74" t="e">
        <f t="shared" si="22"/>
        <v>#REF!</v>
      </c>
      <c r="H270" s="6" t="e">
        <f xml:space="preserve"> [1]!'INCY.US-Price'</f>
        <v>#REF!</v>
      </c>
      <c r="I270" s="6" t="e">
        <f xml:space="preserve"> [1]!'INCY.US-BestBid1'</f>
        <v>#REF!</v>
      </c>
      <c r="J270" s="6" t="e">
        <f xml:space="preserve"> [1]!'INCY.US-BestAsk1'</f>
        <v>#REF!</v>
      </c>
      <c r="K270" s="93" t="e">
        <f t="shared" si="19"/>
        <v>#REF!</v>
      </c>
      <c r="L270" s="93" t="e">
        <f t="shared" si="20"/>
        <v>#REF!</v>
      </c>
      <c r="M270" s="96" t="e">
        <f t="shared" si="21"/>
        <v>#REF!</v>
      </c>
    </row>
    <row r="271" spans="1:13">
      <c r="A271" s="25" t="e">
        <f t="shared" si="18"/>
        <v>#REF!</v>
      </c>
      <c r="B271" s="300" t="s">
        <v>1447</v>
      </c>
      <c r="C271" s="26" t="s">
        <v>523</v>
      </c>
      <c r="D271" s="26">
        <v>1</v>
      </c>
      <c r="E271" s="6" t="e">
        <f xml:space="preserve"> [1]!'INFO.US-PreClose'</f>
        <v>#REF!</v>
      </c>
      <c r="F271" s="6">
        <v>1341</v>
      </c>
      <c r="G271" s="74" t="e">
        <f t="shared" si="22"/>
        <v>#REF!</v>
      </c>
      <c r="H271" s="6" t="e">
        <f xml:space="preserve"> [1]!'INFO.US-Price'</f>
        <v>#REF!</v>
      </c>
      <c r="I271" s="6" t="e">
        <f xml:space="preserve"> [1]!'INFO.US-BestBid1'</f>
        <v>#REF!</v>
      </c>
      <c r="J271" s="6" t="e">
        <f xml:space="preserve"> [1]!'INFO.US-BestAsk1'</f>
        <v>#REF!</v>
      </c>
      <c r="K271" s="93" t="e">
        <f t="shared" si="19"/>
        <v>#REF!</v>
      </c>
      <c r="L271" s="93" t="e">
        <f t="shared" si="20"/>
        <v>#REF!</v>
      </c>
      <c r="M271" s="96" t="e">
        <f t="shared" si="21"/>
        <v>#REF!</v>
      </c>
    </row>
    <row r="272" spans="1:13">
      <c r="A272" s="25" t="e">
        <f t="shared" si="18"/>
        <v>#REF!</v>
      </c>
      <c r="B272" s="300" t="s">
        <v>1448</v>
      </c>
      <c r="C272" s="26" t="s">
        <v>524</v>
      </c>
      <c r="D272" s="26">
        <v>1</v>
      </c>
      <c r="E272" s="6" t="e">
        <f xml:space="preserve"> [1]!'INTC.US-PreClose'</f>
        <v>#REF!</v>
      </c>
      <c r="F272" s="6">
        <v>20236</v>
      </c>
      <c r="G272" s="74" t="e">
        <f t="shared" si="22"/>
        <v>#REF!</v>
      </c>
      <c r="H272" s="6" t="e">
        <f xml:space="preserve"> [1]!'INTC.US-Price'</f>
        <v>#REF!</v>
      </c>
      <c r="I272" s="6" t="e">
        <f xml:space="preserve"> [1]!'INTC.US-BestBid1'</f>
        <v>#REF!</v>
      </c>
      <c r="J272" s="6" t="e">
        <f xml:space="preserve"> [1]!'INTC.US-BestAsk1'</f>
        <v>#REF!</v>
      </c>
      <c r="K272" s="93" t="e">
        <f t="shared" si="19"/>
        <v>#REF!</v>
      </c>
      <c r="L272" s="93" t="e">
        <f t="shared" si="20"/>
        <v>#REF!</v>
      </c>
      <c r="M272" s="96" t="e">
        <f t="shared" si="21"/>
        <v>#REF!</v>
      </c>
    </row>
    <row r="273" spans="1:13">
      <c r="A273" s="25" t="e">
        <f t="shared" si="18"/>
        <v>#REF!</v>
      </c>
      <c r="B273" s="300" t="s">
        <v>1449</v>
      </c>
      <c r="C273" s="26" t="s">
        <v>525</v>
      </c>
      <c r="D273" s="26">
        <v>1</v>
      </c>
      <c r="E273" s="6" t="e">
        <f xml:space="preserve"> [1]!'INTU.US-PreClose'</f>
        <v>#REF!</v>
      </c>
      <c r="F273" s="6">
        <v>1048</v>
      </c>
      <c r="G273" s="74" t="e">
        <f t="shared" si="22"/>
        <v>#REF!</v>
      </c>
      <c r="H273" s="6" t="e">
        <f xml:space="preserve"> [1]!'INTU.US-Price'</f>
        <v>#REF!</v>
      </c>
      <c r="I273" s="6" t="e">
        <f xml:space="preserve"> [1]!'INTU.US-BestBid1'</f>
        <v>#REF!</v>
      </c>
      <c r="J273" s="6" t="e">
        <f xml:space="preserve"> [1]!'INTU.US-BestAsk1'</f>
        <v>#REF!</v>
      </c>
      <c r="K273" s="93" t="e">
        <f t="shared" si="19"/>
        <v>#REF!</v>
      </c>
      <c r="L273" s="93" t="e">
        <f t="shared" si="20"/>
        <v>#REF!</v>
      </c>
      <c r="M273" s="96" t="e">
        <f t="shared" si="21"/>
        <v>#REF!</v>
      </c>
    </row>
    <row r="274" spans="1:13">
      <c r="A274" s="25" t="e">
        <f t="shared" si="18"/>
        <v>#VALUE!</v>
      </c>
      <c r="B274" s="300" t="s">
        <v>1450</v>
      </c>
      <c r="C274" s="26" t="s">
        <v>602</v>
      </c>
      <c r="D274" s="26">
        <v>1</v>
      </c>
      <c r="E274" s="6" t="str">
        <f xml:space="preserve"> [1]!'IP.US-PreClose'</f>
        <v>N/A</v>
      </c>
      <c r="F274" s="6">
        <v>1778</v>
      </c>
      <c r="G274" s="74" t="e">
        <f t="shared" si="22"/>
        <v>#VALUE!</v>
      </c>
      <c r="H274" s="6" t="str">
        <f xml:space="preserve"> [1]!'IP.US-Price'</f>
        <v>N/A</v>
      </c>
      <c r="I274" s="6" t="str">
        <f xml:space="preserve"> [1]!'IP.US-BestBid1'</f>
        <v>N/A</v>
      </c>
      <c r="J274" s="6" t="str">
        <f xml:space="preserve"> [1]!'IP.US-BestAsk1'</f>
        <v>N/A</v>
      </c>
      <c r="K274" s="93" t="e">
        <f t="shared" si="19"/>
        <v>#VALUE!</v>
      </c>
      <c r="L274" s="93" t="e">
        <f t="shared" si="20"/>
        <v>#VALUE!</v>
      </c>
      <c r="M274" s="96" t="e">
        <f t="shared" si="21"/>
        <v>#VALUE!</v>
      </c>
    </row>
    <row r="275" spans="1:13">
      <c r="A275" s="25" t="e">
        <f t="shared" si="18"/>
        <v>#REF!</v>
      </c>
      <c r="B275" s="300" t="s">
        <v>1451</v>
      </c>
      <c r="C275" s="26" t="s">
        <v>1029</v>
      </c>
      <c r="D275" s="26">
        <v>1</v>
      </c>
      <c r="E275" s="6" t="e">
        <f xml:space="preserve"> [1]!'IPG.US-PreClose'</f>
        <v>#REF!</v>
      </c>
      <c r="F275" s="6">
        <v>1694</v>
      </c>
      <c r="G275" s="74" t="e">
        <f t="shared" si="22"/>
        <v>#REF!</v>
      </c>
      <c r="H275" s="6" t="e">
        <f xml:space="preserve"> [1]!'IPG.US-Price'</f>
        <v>#REF!</v>
      </c>
      <c r="I275" s="6" t="e">
        <f xml:space="preserve"> [1]!'IPG.US-BestBid1'</f>
        <v>#REF!</v>
      </c>
      <c r="J275" s="6" t="e">
        <f xml:space="preserve"> [1]!'IPG.US-BestAsk1'</f>
        <v>#REF!</v>
      </c>
      <c r="K275" s="93" t="e">
        <f t="shared" si="19"/>
        <v>#REF!</v>
      </c>
      <c r="L275" s="93" t="e">
        <f t="shared" si="20"/>
        <v>#REF!</v>
      </c>
      <c r="M275" s="96" t="e">
        <f t="shared" si="21"/>
        <v>#REF!</v>
      </c>
    </row>
    <row r="276" spans="1:13">
      <c r="A276" s="25" t="e">
        <f t="shared" si="18"/>
        <v>#REF!</v>
      </c>
      <c r="B276" s="300" t="s">
        <v>1452</v>
      </c>
      <c r="C276" s="26" t="s">
        <v>603</v>
      </c>
      <c r="D276" s="26">
        <v>1</v>
      </c>
      <c r="E276" s="6" t="e">
        <f xml:space="preserve"> [1]!'IR.US-PreClose'</f>
        <v>#REF!</v>
      </c>
      <c r="F276" s="6">
        <v>1092</v>
      </c>
      <c r="G276" s="74" t="e">
        <f t="shared" si="22"/>
        <v>#REF!</v>
      </c>
      <c r="H276" s="6" t="e">
        <f xml:space="preserve"> [1]!'IR.US-Price'</f>
        <v>#REF!</v>
      </c>
      <c r="I276" s="6" t="e">
        <f xml:space="preserve"> [1]!'IR.US-BestBid1'</f>
        <v>#REF!</v>
      </c>
      <c r="J276" s="6" t="e">
        <f xml:space="preserve"> [1]!'IR.US-BestAsk1'</f>
        <v>#REF!</v>
      </c>
      <c r="K276" s="93" t="e">
        <f t="shared" si="19"/>
        <v>#REF!</v>
      </c>
      <c r="L276" s="93" t="e">
        <f t="shared" si="20"/>
        <v>#REF!</v>
      </c>
      <c r="M276" s="96" t="e">
        <f t="shared" si="21"/>
        <v>#REF!</v>
      </c>
    </row>
    <row r="277" spans="1:13">
      <c r="A277" s="25" t="e">
        <f t="shared" si="18"/>
        <v>#VALUE!</v>
      </c>
      <c r="B277" s="300" t="s">
        <v>1453</v>
      </c>
      <c r="C277" s="26" t="s">
        <v>1030</v>
      </c>
      <c r="D277" s="26">
        <v>1</v>
      </c>
      <c r="E277" s="6" t="str">
        <f xml:space="preserve"> [1]!'IRM.US-PreClose'</f>
        <v>N/A</v>
      </c>
      <c r="F277" s="6">
        <v>1059</v>
      </c>
      <c r="G277" s="74" t="e">
        <f t="shared" si="22"/>
        <v>#VALUE!</v>
      </c>
      <c r="H277" s="6" t="str">
        <f xml:space="preserve"> [1]!'IRM.US-Price'</f>
        <v>N/A</v>
      </c>
      <c r="I277" s="6" t="str">
        <f xml:space="preserve"> [1]!'IRM.US-BestBid1'</f>
        <v>N/A</v>
      </c>
      <c r="J277" s="6" t="str">
        <f xml:space="preserve"> [1]!'IRM.US-BestAsk1'</f>
        <v>N/A</v>
      </c>
      <c r="K277" s="93" t="e">
        <f t="shared" si="19"/>
        <v>#VALUE!</v>
      </c>
      <c r="L277" s="93" t="e">
        <f t="shared" si="20"/>
        <v>#VALUE!</v>
      </c>
      <c r="M277" s="96" t="e">
        <f t="shared" si="21"/>
        <v>#VALUE!</v>
      </c>
    </row>
    <row r="278" spans="1:13">
      <c r="A278" s="25" t="e">
        <f t="shared" si="18"/>
        <v>#REF!</v>
      </c>
      <c r="B278" s="300" t="s">
        <v>1454</v>
      </c>
      <c r="C278" s="26" t="s">
        <v>526</v>
      </c>
      <c r="D278" s="26">
        <v>1</v>
      </c>
      <c r="E278" s="6" t="e">
        <f xml:space="preserve"> [1]!'ISRG.US-PreClose'</f>
        <v>#REF!</v>
      </c>
      <c r="F278" s="6">
        <v>161</v>
      </c>
      <c r="G278" s="74" t="e">
        <f t="shared" si="22"/>
        <v>#REF!</v>
      </c>
      <c r="H278" s="6" t="e">
        <f xml:space="preserve"> [1]!'ISRG.US-Price'</f>
        <v>#REF!</v>
      </c>
      <c r="I278" s="6" t="e">
        <f xml:space="preserve"> [1]!'ISRG.US-BestBid1'</f>
        <v>#REF!</v>
      </c>
      <c r="J278" s="6" t="e">
        <f xml:space="preserve"> [1]!'ISRG.US-BestAsk1'</f>
        <v>#REF!</v>
      </c>
      <c r="K278" s="93" t="e">
        <f t="shared" si="19"/>
        <v>#REF!</v>
      </c>
      <c r="L278" s="93" t="e">
        <f t="shared" si="20"/>
        <v>#REF!</v>
      </c>
      <c r="M278" s="96" t="e">
        <f t="shared" si="21"/>
        <v>#REF!</v>
      </c>
    </row>
    <row r="279" spans="1:13">
      <c r="A279" s="25" t="e">
        <f t="shared" ref="A279:A342" si="23">G279/$C$6</f>
        <v>#REF!</v>
      </c>
      <c r="B279" s="300" t="s">
        <v>1455</v>
      </c>
      <c r="C279" s="26" t="s">
        <v>604</v>
      </c>
      <c r="D279" s="26">
        <v>1</v>
      </c>
      <c r="E279" s="6" t="e">
        <f xml:space="preserve"> [1]!'IT.US-PreClose'</f>
        <v>#REF!</v>
      </c>
      <c r="F279" s="6">
        <v>390</v>
      </c>
      <c r="G279" s="74" t="e">
        <f t="shared" si="22"/>
        <v>#REF!</v>
      </c>
      <c r="H279" s="6" t="e">
        <f xml:space="preserve"> [1]!'IT.US-Price'</f>
        <v>#REF!</v>
      </c>
      <c r="I279" s="6" t="e">
        <f xml:space="preserve"> [1]!'IT.US-BestBid1'</f>
        <v>#REF!</v>
      </c>
      <c r="J279" s="6" t="e">
        <f xml:space="preserve"> [1]!'IT.US-BestAsk1'</f>
        <v>#REF!</v>
      </c>
      <c r="K279" s="93" t="e">
        <f t="shared" ref="K279:K342" si="24">IF(ISNUMBER(H279)=TRUE,H279*F279*D279,E279*F279*D279)*$N$2</f>
        <v>#REF!</v>
      </c>
      <c r="L279" s="93" t="e">
        <f t="shared" ref="L279:L342" si="25">IF(ISNUMBER(I279)=TRUE,I279*F279*D279,E279*F279*D279)*$N$2</f>
        <v>#REF!</v>
      </c>
      <c r="M279" s="96" t="e">
        <f t="shared" ref="M279:M342" si="26">IF(ISNUMBER(J279)=TRUE,J279*F279*D279,E279*F279*D279)*$N$2</f>
        <v>#REF!</v>
      </c>
    </row>
    <row r="280" spans="1:13">
      <c r="A280" s="25" t="e">
        <f t="shared" si="23"/>
        <v>#REF!</v>
      </c>
      <c r="B280" s="300" t="s">
        <v>1456</v>
      </c>
      <c r="C280" s="26" t="s">
        <v>1031</v>
      </c>
      <c r="D280" s="26">
        <v>1</v>
      </c>
      <c r="E280" s="6" t="e">
        <f xml:space="preserve"> [1]!'ITW.US-PreClose'</f>
        <v>#REF!</v>
      </c>
      <c r="F280" s="6">
        <v>1334</v>
      </c>
      <c r="G280" s="74" t="e">
        <f t="shared" si="22"/>
        <v>#REF!</v>
      </c>
      <c r="H280" s="6" t="e">
        <f xml:space="preserve"> [1]!'ITW.US-Price'</f>
        <v>#REF!</v>
      </c>
      <c r="I280" s="6" t="e">
        <f xml:space="preserve"> [1]!'ITW.US-BestBid1'</f>
        <v>#REF!</v>
      </c>
      <c r="J280" s="6" t="e">
        <f xml:space="preserve"> [1]!'ITW.US-BestAsk1'</f>
        <v>#REF!</v>
      </c>
      <c r="K280" s="93" t="e">
        <f t="shared" si="24"/>
        <v>#REF!</v>
      </c>
      <c r="L280" s="93" t="e">
        <f t="shared" si="25"/>
        <v>#REF!</v>
      </c>
      <c r="M280" s="96" t="e">
        <f t="shared" si="26"/>
        <v>#REF!</v>
      </c>
    </row>
    <row r="281" spans="1:13">
      <c r="A281" s="25" t="e">
        <f t="shared" si="23"/>
        <v>#VALUE!</v>
      </c>
      <c r="B281" s="300" t="s">
        <v>1457</v>
      </c>
      <c r="C281" s="26" t="s">
        <v>1032</v>
      </c>
      <c r="D281" s="26">
        <v>1</v>
      </c>
      <c r="E281" s="6" t="str">
        <f xml:space="preserve"> [1]!'IVZ.US-PreClose'</f>
        <v>N/A</v>
      </c>
      <c r="F281" s="6">
        <v>1752</v>
      </c>
      <c r="G281" s="74" t="e">
        <f t="shared" ref="G281:G344" si="27">D281*E281*F281*$O$2</f>
        <v>#VALUE!</v>
      </c>
      <c r="H281" s="6" t="str">
        <f xml:space="preserve"> [1]!'IVZ.US-Price'</f>
        <v>N/A</v>
      </c>
      <c r="I281" s="6" t="str">
        <f xml:space="preserve"> [1]!'IVZ.US-BestBid1'</f>
        <v>N/A</v>
      </c>
      <c r="J281" s="6" t="str">
        <f xml:space="preserve"> [1]!'IVZ.US-BestAsk1'</f>
        <v>N/A</v>
      </c>
      <c r="K281" s="93" t="e">
        <f t="shared" si="24"/>
        <v>#VALUE!</v>
      </c>
      <c r="L281" s="93" t="e">
        <f t="shared" si="25"/>
        <v>#VALUE!</v>
      </c>
      <c r="M281" s="96" t="e">
        <f t="shared" si="26"/>
        <v>#VALUE!</v>
      </c>
    </row>
    <row r="282" spans="1:13">
      <c r="A282" s="25" t="e">
        <f t="shared" si="23"/>
        <v>#REF!</v>
      </c>
      <c r="B282" s="300" t="s">
        <v>1458</v>
      </c>
      <c r="C282" s="26" t="s">
        <v>527</v>
      </c>
      <c r="D282" s="26">
        <v>1</v>
      </c>
      <c r="E282" s="6" t="e">
        <f xml:space="preserve"> [1]!'JBHT.US-PreClose'</f>
        <v>#REF!</v>
      </c>
      <c r="F282" s="6">
        <v>368</v>
      </c>
      <c r="G282" s="74" t="e">
        <f t="shared" si="27"/>
        <v>#REF!</v>
      </c>
      <c r="H282" s="6" t="e">
        <f xml:space="preserve"> [1]!'JBHT.US-Price'</f>
        <v>#REF!</v>
      </c>
      <c r="I282" s="6" t="e">
        <f xml:space="preserve"> [1]!'JBHT.US-BestBid1'</f>
        <v>#REF!</v>
      </c>
      <c r="J282" s="6" t="e">
        <f xml:space="preserve"> [1]!'JBHT.US-BestAsk1'</f>
        <v>#REF!</v>
      </c>
      <c r="K282" s="93" t="e">
        <f t="shared" si="24"/>
        <v>#REF!</v>
      </c>
      <c r="L282" s="93" t="e">
        <f t="shared" si="25"/>
        <v>#REF!</v>
      </c>
      <c r="M282" s="96" t="e">
        <f t="shared" si="26"/>
        <v>#REF!</v>
      </c>
    </row>
    <row r="283" spans="1:13">
      <c r="A283" s="25" t="e">
        <f t="shared" si="23"/>
        <v>#REF!</v>
      </c>
      <c r="B283" s="300" t="s">
        <v>1459</v>
      </c>
      <c r="C283" s="26" t="s">
        <v>1033</v>
      </c>
      <c r="D283" s="26">
        <v>1</v>
      </c>
      <c r="E283" s="6" t="e">
        <f xml:space="preserve"> [1]!'JCI.US-PreClose'</f>
        <v>#REF!</v>
      </c>
      <c r="F283" s="6">
        <v>4015</v>
      </c>
      <c r="G283" s="74" t="e">
        <f t="shared" si="27"/>
        <v>#REF!</v>
      </c>
      <c r="H283" s="6" t="e">
        <f xml:space="preserve"> [1]!'JCI.US-Price'</f>
        <v>#REF!</v>
      </c>
      <c r="I283" s="6" t="e">
        <f xml:space="preserve"> [1]!'JCI.US-BestBid1'</f>
        <v>#REF!</v>
      </c>
      <c r="J283" s="6" t="e">
        <f xml:space="preserve"> [1]!'JCI.US-BestAsk1'</f>
        <v>#REF!</v>
      </c>
      <c r="K283" s="93" t="e">
        <f t="shared" si="24"/>
        <v>#REF!</v>
      </c>
      <c r="L283" s="93" t="e">
        <f t="shared" si="25"/>
        <v>#REF!</v>
      </c>
      <c r="M283" s="96" t="e">
        <f t="shared" si="26"/>
        <v>#REF!</v>
      </c>
    </row>
    <row r="284" spans="1:13">
      <c r="A284" s="25" t="e">
        <f t="shared" si="23"/>
        <v>#REF!</v>
      </c>
      <c r="B284" s="300" t="s">
        <v>1460</v>
      </c>
      <c r="C284" s="26" t="s">
        <v>1034</v>
      </c>
      <c r="D284" s="26">
        <v>1</v>
      </c>
      <c r="E284" s="6" t="e">
        <f xml:space="preserve"> [1]!'JEC.US-PreClose'</f>
        <v>#REF!</v>
      </c>
      <c r="F284" s="6">
        <v>518</v>
      </c>
      <c r="G284" s="74" t="e">
        <f t="shared" si="27"/>
        <v>#REF!</v>
      </c>
      <c r="H284" s="6" t="e">
        <f xml:space="preserve"> [1]!'JEC.US-Price'</f>
        <v>#REF!</v>
      </c>
      <c r="I284" s="6" t="e">
        <f xml:space="preserve"> [1]!'JEC.US-BestBid1'</f>
        <v>#REF!</v>
      </c>
      <c r="J284" s="6" t="e">
        <f xml:space="preserve"> [1]!'JEC.US-BestAsk1'</f>
        <v>#REF!</v>
      </c>
      <c r="K284" s="93" t="e">
        <f t="shared" si="24"/>
        <v>#REF!</v>
      </c>
      <c r="L284" s="93" t="e">
        <f t="shared" si="25"/>
        <v>#REF!</v>
      </c>
      <c r="M284" s="96" t="e">
        <f t="shared" si="26"/>
        <v>#REF!</v>
      </c>
    </row>
    <row r="285" spans="1:13">
      <c r="A285" s="25" t="e">
        <f t="shared" si="23"/>
        <v>#VALUE!</v>
      </c>
      <c r="B285" s="300" t="s">
        <v>1461</v>
      </c>
      <c r="C285" s="26" t="s">
        <v>1035</v>
      </c>
      <c r="D285" s="26">
        <v>1</v>
      </c>
      <c r="E285" s="6" t="str">
        <f xml:space="preserve"> [1]!'JNJ.US-PreClose'</f>
        <v>N/A</v>
      </c>
      <c r="F285" s="6">
        <v>11558</v>
      </c>
      <c r="G285" s="74" t="e">
        <f t="shared" si="27"/>
        <v>#VALUE!</v>
      </c>
      <c r="H285" s="6" t="str">
        <f xml:space="preserve"> [1]!'JNJ.US-Price'</f>
        <v>N/A</v>
      </c>
      <c r="I285" s="6" t="str">
        <f xml:space="preserve"> [1]!'JNJ.US-BestBid1'</f>
        <v>N/A</v>
      </c>
      <c r="J285" s="6" t="str">
        <f xml:space="preserve"> [1]!'JNJ.US-BestAsk1'</f>
        <v>N/A</v>
      </c>
      <c r="K285" s="93" t="e">
        <f t="shared" si="24"/>
        <v>#VALUE!</v>
      </c>
      <c r="L285" s="93" t="e">
        <f t="shared" si="25"/>
        <v>#VALUE!</v>
      </c>
      <c r="M285" s="96" t="e">
        <f t="shared" si="26"/>
        <v>#VALUE!</v>
      </c>
    </row>
    <row r="286" spans="1:13">
      <c r="A286" s="25" t="e">
        <f t="shared" si="23"/>
        <v>#REF!</v>
      </c>
      <c r="B286" s="300" t="s">
        <v>1462</v>
      </c>
      <c r="C286" s="26" t="s">
        <v>528</v>
      </c>
      <c r="D286" s="26">
        <v>1</v>
      </c>
      <c r="E286" s="6" t="e">
        <f xml:space="preserve"> [1]!'JNPR.US-PreClose'</f>
        <v>#REF!</v>
      </c>
      <c r="F286" s="6">
        <v>1638</v>
      </c>
      <c r="G286" s="74" t="e">
        <f t="shared" si="27"/>
        <v>#REF!</v>
      </c>
      <c r="H286" s="6" t="e">
        <f xml:space="preserve"> [1]!'JNPR.US-Price'</f>
        <v>#REF!</v>
      </c>
      <c r="I286" s="6" t="e">
        <f xml:space="preserve"> [1]!'JNPR.US-BestBid1'</f>
        <v>#REF!</v>
      </c>
      <c r="J286" s="6" t="e">
        <f xml:space="preserve"> [1]!'JNPR.US-BestAsk1'</f>
        <v>#REF!</v>
      </c>
      <c r="K286" s="93" t="e">
        <f t="shared" si="24"/>
        <v>#REF!</v>
      </c>
      <c r="L286" s="93" t="e">
        <f t="shared" si="25"/>
        <v>#REF!</v>
      </c>
      <c r="M286" s="96" t="e">
        <f t="shared" si="26"/>
        <v>#REF!</v>
      </c>
    </row>
    <row r="287" spans="1:13">
      <c r="A287" s="25" t="e">
        <f t="shared" si="23"/>
        <v>#VALUE!</v>
      </c>
      <c r="B287" s="300" t="s">
        <v>1463</v>
      </c>
      <c r="C287" s="26" t="s">
        <v>1036</v>
      </c>
      <c r="D287" s="26">
        <v>1</v>
      </c>
      <c r="E287" s="6" t="str">
        <f xml:space="preserve"> [1]!'JPM.US-PreClose'</f>
        <v>N/A</v>
      </c>
      <c r="F287" s="6">
        <v>15154</v>
      </c>
      <c r="G287" s="74" t="e">
        <f t="shared" si="27"/>
        <v>#VALUE!</v>
      </c>
      <c r="H287" s="6" t="str">
        <f xml:space="preserve"> [1]!'JPM.US-Price'</f>
        <v>N/A</v>
      </c>
      <c r="I287" s="6" t="str">
        <f xml:space="preserve"> [1]!'JPM.US-BestBid1'</f>
        <v>N/A</v>
      </c>
      <c r="J287" s="6" t="str">
        <f xml:space="preserve"> [1]!'JPM.US-BestAsk1'</f>
        <v>N/A</v>
      </c>
      <c r="K287" s="93" t="e">
        <f t="shared" si="24"/>
        <v>#VALUE!</v>
      </c>
      <c r="L287" s="93" t="e">
        <f t="shared" si="25"/>
        <v>#VALUE!</v>
      </c>
      <c r="M287" s="96" t="e">
        <f t="shared" si="26"/>
        <v>#VALUE!</v>
      </c>
    </row>
    <row r="288" spans="1:13">
      <c r="A288" s="25" t="e">
        <f t="shared" si="23"/>
        <v>#REF!</v>
      </c>
      <c r="B288" s="300" t="s">
        <v>1464</v>
      </c>
      <c r="C288" s="26" t="s">
        <v>1037</v>
      </c>
      <c r="D288" s="26">
        <v>1</v>
      </c>
      <c r="E288" s="6" t="e">
        <f xml:space="preserve"> [1]!'JWN.US-PreClose'</f>
        <v>#REF!</v>
      </c>
      <c r="F288" s="6">
        <v>480</v>
      </c>
      <c r="G288" s="74" t="e">
        <f t="shared" si="27"/>
        <v>#REF!</v>
      </c>
      <c r="H288" s="6" t="e">
        <f xml:space="preserve"> [1]!'JWN.US-Price'</f>
        <v>#REF!</v>
      </c>
      <c r="I288" s="6" t="e">
        <f xml:space="preserve"> [1]!'JWN.US-BestBid1'</f>
        <v>#REF!</v>
      </c>
      <c r="J288" s="6" t="e">
        <f xml:space="preserve"> [1]!'JWN.US-BestAsk1'</f>
        <v>#REF!</v>
      </c>
      <c r="K288" s="93" t="e">
        <f t="shared" si="24"/>
        <v>#REF!</v>
      </c>
      <c r="L288" s="93" t="e">
        <f t="shared" si="25"/>
        <v>#REF!</v>
      </c>
      <c r="M288" s="96" t="e">
        <f t="shared" si="26"/>
        <v>#REF!</v>
      </c>
    </row>
    <row r="289" spans="1:13">
      <c r="A289" s="25" t="e">
        <f t="shared" si="23"/>
        <v>#VALUE!</v>
      </c>
      <c r="B289" s="300" t="s">
        <v>1465</v>
      </c>
      <c r="C289" s="26" t="s">
        <v>605</v>
      </c>
      <c r="D289" s="26">
        <v>1</v>
      </c>
      <c r="E289" s="6" t="str">
        <f xml:space="preserve"> [1]!'K.US-PreClose'</f>
        <v>N/A</v>
      </c>
      <c r="F289" s="6">
        <v>1071</v>
      </c>
      <c r="G289" s="74" t="e">
        <f t="shared" si="27"/>
        <v>#VALUE!</v>
      </c>
      <c r="H289" s="6" t="str">
        <f xml:space="preserve"> [1]!'K.US-Price'</f>
        <v>N/A</v>
      </c>
      <c r="I289" s="6" t="str">
        <f xml:space="preserve"> [1]!'K.US-BestBid1'</f>
        <v>N/A</v>
      </c>
      <c r="J289" s="6" t="str">
        <f xml:space="preserve"> [1]!'K.US-BestAsk1'</f>
        <v>N/A</v>
      </c>
      <c r="K289" s="93" t="e">
        <f t="shared" si="24"/>
        <v>#VALUE!</v>
      </c>
      <c r="L289" s="93" t="e">
        <f t="shared" si="25"/>
        <v>#VALUE!</v>
      </c>
      <c r="M289" s="96" t="e">
        <f t="shared" si="26"/>
        <v>#VALUE!</v>
      </c>
    </row>
    <row r="290" spans="1:13">
      <c r="A290" s="25" t="e">
        <f t="shared" si="23"/>
        <v>#REF!</v>
      </c>
      <c r="B290" s="300" t="s">
        <v>1466</v>
      </c>
      <c r="C290" s="26" t="s">
        <v>1038</v>
      </c>
      <c r="D290" s="26">
        <v>1</v>
      </c>
      <c r="E290" s="6" t="e">
        <f xml:space="preserve"> [1]!'KEY.US-PreClose'</f>
        <v>#REF!</v>
      </c>
      <c r="F290" s="6">
        <v>4683</v>
      </c>
      <c r="G290" s="74" t="e">
        <f t="shared" si="27"/>
        <v>#REF!</v>
      </c>
      <c r="H290" s="6" t="e">
        <f xml:space="preserve"> [1]!'KEY.US-Price'</f>
        <v>#REF!</v>
      </c>
      <c r="I290" s="6" t="e">
        <f xml:space="preserve"> [1]!'KEY.US-BestBid1'</f>
        <v>#REF!</v>
      </c>
      <c r="J290" s="6" t="e">
        <f xml:space="preserve"> [1]!'KEY.US-BestAsk1'</f>
        <v>#REF!</v>
      </c>
      <c r="K290" s="93" t="e">
        <f t="shared" si="24"/>
        <v>#REF!</v>
      </c>
      <c r="L290" s="93" t="e">
        <f t="shared" si="25"/>
        <v>#REF!</v>
      </c>
      <c r="M290" s="96" t="e">
        <f t="shared" si="26"/>
        <v>#REF!</v>
      </c>
    </row>
    <row r="291" spans="1:13">
      <c r="A291" s="25" t="e">
        <f t="shared" si="23"/>
        <v>#REF!</v>
      </c>
      <c r="B291" s="300" t="s">
        <v>1467</v>
      </c>
      <c r="C291" s="26" t="s">
        <v>1039</v>
      </c>
      <c r="D291" s="26">
        <v>1</v>
      </c>
      <c r="E291" s="6" t="e">
        <f xml:space="preserve"> [1]!'KHC.US-PreClose'</f>
        <v>#REF!</v>
      </c>
      <c r="F291" s="6">
        <v>2571</v>
      </c>
      <c r="G291" s="74" t="e">
        <f t="shared" si="27"/>
        <v>#REF!</v>
      </c>
      <c r="H291" s="6" t="e">
        <f xml:space="preserve"> [1]!'KHC.US-Price'</f>
        <v>#REF!</v>
      </c>
      <c r="I291" s="6" t="e">
        <f xml:space="preserve"> [1]!'KHC.US-BestBid1'</f>
        <v>#REF!</v>
      </c>
      <c r="J291" s="6" t="e">
        <f xml:space="preserve"> [1]!'KHC.US-BestAsk1'</f>
        <v>#REF!</v>
      </c>
      <c r="K291" s="93" t="e">
        <f t="shared" si="24"/>
        <v>#REF!</v>
      </c>
      <c r="L291" s="93" t="e">
        <f t="shared" si="25"/>
        <v>#REF!</v>
      </c>
      <c r="M291" s="96" t="e">
        <f t="shared" si="26"/>
        <v>#REF!</v>
      </c>
    </row>
    <row r="292" spans="1:13">
      <c r="A292" s="25" t="e">
        <f t="shared" si="23"/>
        <v>#VALUE!</v>
      </c>
      <c r="B292" s="300" t="s">
        <v>1468</v>
      </c>
      <c r="C292" s="26" t="s">
        <v>1040</v>
      </c>
      <c r="D292" s="26">
        <v>1</v>
      </c>
      <c r="E292" s="6" t="str">
        <f xml:space="preserve"> [1]!'KIM.US-PreClose'</f>
        <v>N/A</v>
      </c>
      <c r="F292" s="6">
        <v>1833</v>
      </c>
      <c r="G292" s="74" t="e">
        <f t="shared" si="27"/>
        <v>#VALUE!</v>
      </c>
      <c r="H292" s="6" t="str">
        <f xml:space="preserve"> [1]!'KIM.US-Price'</f>
        <v>N/A</v>
      </c>
      <c r="I292" s="6" t="str">
        <f xml:space="preserve"> [1]!'KIM.US-BestBid1'</f>
        <v>N/A</v>
      </c>
      <c r="J292" s="6" t="str">
        <f xml:space="preserve"> [1]!'KIM.US-BestAsk1'</f>
        <v>N/A</v>
      </c>
      <c r="K292" s="93" t="e">
        <f t="shared" si="24"/>
        <v>#VALUE!</v>
      </c>
      <c r="L292" s="93" t="e">
        <f t="shared" si="25"/>
        <v>#VALUE!</v>
      </c>
      <c r="M292" s="96" t="e">
        <f t="shared" si="26"/>
        <v>#VALUE!</v>
      </c>
    </row>
    <row r="293" spans="1:13">
      <c r="A293" s="25" t="e">
        <f t="shared" si="23"/>
        <v>#REF!</v>
      </c>
      <c r="B293" s="300" t="s">
        <v>1469</v>
      </c>
      <c r="C293" s="26" t="s">
        <v>529</v>
      </c>
      <c r="D293" s="26">
        <v>1</v>
      </c>
      <c r="E293" s="6" t="e">
        <f xml:space="preserve"> [1]!'KLAC.US-PreClose'</f>
        <v>#REF!</v>
      </c>
      <c r="F293" s="6">
        <v>675</v>
      </c>
      <c r="G293" s="74" t="e">
        <f t="shared" si="27"/>
        <v>#REF!</v>
      </c>
      <c r="H293" s="6" t="e">
        <f xml:space="preserve"> [1]!'KLAC.US-Price'</f>
        <v>#REF!</v>
      </c>
      <c r="I293" s="6" t="e">
        <f xml:space="preserve"> [1]!'KLAC.US-BestBid1'</f>
        <v>#REF!</v>
      </c>
      <c r="J293" s="6" t="e">
        <f xml:space="preserve"> [1]!'KLAC.US-BestAsk1'</f>
        <v>#REF!</v>
      </c>
      <c r="K293" s="93" t="e">
        <f t="shared" si="24"/>
        <v>#REF!</v>
      </c>
      <c r="L293" s="93" t="e">
        <f t="shared" si="25"/>
        <v>#REF!</v>
      </c>
      <c r="M293" s="96" t="e">
        <f t="shared" si="26"/>
        <v>#REF!</v>
      </c>
    </row>
    <row r="294" spans="1:13">
      <c r="A294" s="25" t="e">
        <f t="shared" si="23"/>
        <v>#REF!</v>
      </c>
      <c r="B294" s="300" t="s">
        <v>1470</v>
      </c>
      <c r="C294" s="26" t="s">
        <v>1041</v>
      </c>
      <c r="D294" s="26">
        <v>1</v>
      </c>
      <c r="E294" s="6" t="e">
        <f xml:space="preserve"> [1]!'KMB.US-PreClose'</f>
        <v>#REF!</v>
      </c>
      <c r="F294" s="6">
        <v>1521</v>
      </c>
      <c r="G294" s="74" t="e">
        <f t="shared" si="27"/>
        <v>#REF!</v>
      </c>
      <c r="H294" s="6" t="e">
        <f xml:space="preserve"> [1]!'KMB.US-Price'</f>
        <v>#REF!</v>
      </c>
      <c r="I294" s="6" t="e">
        <f xml:space="preserve"> [1]!'KMB.US-BestBid1'</f>
        <v>#REF!</v>
      </c>
      <c r="J294" s="6" t="e">
        <f xml:space="preserve"> [1]!'KMB.US-BestAsk1'</f>
        <v>#REF!</v>
      </c>
      <c r="K294" s="93" t="e">
        <f t="shared" si="24"/>
        <v>#REF!</v>
      </c>
      <c r="L294" s="93" t="e">
        <f t="shared" si="25"/>
        <v>#REF!</v>
      </c>
      <c r="M294" s="96" t="e">
        <f t="shared" si="26"/>
        <v>#REF!</v>
      </c>
    </row>
    <row r="295" spans="1:13">
      <c r="A295" s="25" t="e">
        <f t="shared" si="23"/>
        <v>#REF!</v>
      </c>
      <c r="B295" s="300" t="s">
        <v>1471</v>
      </c>
      <c r="C295" s="26" t="s">
        <v>1042</v>
      </c>
      <c r="D295" s="26">
        <v>1</v>
      </c>
      <c r="E295" s="6" t="e">
        <f xml:space="preserve"> [1]!'KMI.US-PreClose'</f>
        <v>#REF!</v>
      </c>
      <c r="F295" s="6">
        <v>8268</v>
      </c>
      <c r="G295" s="74" t="e">
        <f t="shared" si="27"/>
        <v>#REF!</v>
      </c>
      <c r="H295" s="6" t="e">
        <f xml:space="preserve"> [1]!'KMI.US-Price'</f>
        <v>#REF!</v>
      </c>
      <c r="I295" s="6" t="e">
        <f xml:space="preserve"> [1]!'KMI.US-BestBid1'</f>
        <v>#REF!</v>
      </c>
      <c r="J295" s="6" t="e">
        <f xml:space="preserve"> [1]!'KMI.US-BestAsk1'</f>
        <v>#REF!</v>
      </c>
      <c r="K295" s="93" t="e">
        <f t="shared" si="24"/>
        <v>#REF!</v>
      </c>
      <c r="L295" s="93" t="e">
        <f t="shared" si="25"/>
        <v>#REF!</v>
      </c>
      <c r="M295" s="96" t="e">
        <f t="shared" si="26"/>
        <v>#REF!</v>
      </c>
    </row>
    <row r="296" spans="1:13">
      <c r="A296" s="25" t="e">
        <f t="shared" si="23"/>
        <v>#REF!</v>
      </c>
      <c r="B296" s="300" t="s">
        <v>1472</v>
      </c>
      <c r="C296" s="26" t="s">
        <v>1043</v>
      </c>
      <c r="D296" s="26">
        <v>1</v>
      </c>
      <c r="E296" s="6" t="e">
        <f xml:space="preserve"> [1]!'KMX.US-PreClose'</f>
        <v>#REF!</v>
      </c>
      <c r="F296" s="6">
        <v>790</v>
      </c>
      <c r="G296" s="74" t="e">
        <f t="shared" si="27"/>
        <v>#REF!</v>
      </c>
      <c r="H296" s="6" t="e">
        <f xml:space="preserve"> [1]!'KMX.US-Price'</f>
        <v>#REF!</v>
      </c>
      <c r="I296" s="6" t="e">
        <f xml:space="preserve"> [1]!'KMX.US-BestBid1'</f>
        <v>#REF!</v>
      </c>
      <c r="J296" s="6" t="e">
        <f xml:space="preserve"> [1]!'KMX.US-BestAsk1'</f>
        <v>#REF!</v>
      </c>
      <c r="K296" s="93" t="e">
        <f t="shared" si="24"/>
        <v>#REF!</v>
      </c>
      <c r="L296" s="93" t="e">
        <f t="shared" si="25"/>
        <v>#REF!</v>
      </c>
      <c r="M296" s="96" t="e">
        <f t="shared" si="26"/>
        <v>#REF!</v>
      </c>
    </row>
    <row r="297" spans="1:13">
      <c r="A297" s="25" t="e">
        <f t="shared" si="23"/>
        <v>#VALUE!</v>
      </c>
      <c r="B297" s="300" t="s">
        <v>1473</v>
      </c>
      <c r="C297" s="26" t="s">
        <v>606</v>
      </c>
      <c r="D297" s="26">
        <v>1</v>
      </c>
      <c r="E297" s="6" t="str">
        <f xml:space="preserve"> [1]!'KO.US-PreClose'</f>
        <v>N/A</v>
      </c>
      <c r="F297" s="6">
        <v>16531</v>
      </c>
      <c r="G297" s="74" t="e">
        <f t="shared" si="27"/>
        <v>#VALUE!</v>
      </c>
      <c r="H297" s="6" t="str">
        <f xml:space="preserve"> [1]!'KO.US-Price'</f>
        <v>N/A</v>
      </c>
      <c r="I297" s="6" t="str">
        <f xml:space="preserve"> [1]!'KO.US-BestBid1'</f>
        <v>N/A</v>
      </c>
      <c r="J297" s="6" t="str">
        <f xml:space="preserve"> [1]!'KO.US-BestAsk1'</f>
        <v>N/A</v>
      </c>
      <c r="K297" s="93" t="e">
        <f t="shared" si="24"/>
        <v>#VALUE!</v>
      </c>
      <c r="L297" s="93" t="e">
        <f t="shared" si="25"/>
        <v>#VALUE!</v>
      </c>
      <c r="M297" s="96" t="e">
        <f t="shared" si="26"/>
        <v>#VALUE!</v>
      </c>
    </row>
    <row r="298" spans="1:13">
      <c r="A298" s="25" t="e">
        <f t="shared" si="23"/>
        <v>#REF!</v>
      </c>
      <c r="B298" s="300" t="s">
        <v>1474</v>
      </c>
      <c r="C298" s="26" t="s">
        <v>530</v>
      </c>
      <c r="D298" s="26">
        <v>1</v>
      </c>
      <c r="E298" s="6" t="e">
        <f xml:space="preserve"> [1]!'KORS.US-PreClose'</f>
        <v>#REF!</v>
      </c>
      <c r="F298" s="6">
        <v>653</v>
      </c>
      <c r="G298" s="74" t="e">
        <f t="shared" si="27"/>
        <v>#REF!</v>
      </c>
      <c r="H298" s="6" t="e">
        <f xml:space="preserve"> [1]!'KORS.US-Price'</f>
        <v>#REF!</v>
      </c>
      <c r="I298" s="6" t="e">
        <f xml:space="preserve"> [1]!'KORS.US-BestBid1'</f>
        <v>#REF!</v>
      </c>
      <c r="J298" s="6" t="e">
        <f xml:space="preserve"> [1]!'KORS.US-BestAsk1'</f>
        <v>#REF!</v>
      </c>
      <c r="K298" s="93" t="e">
        <f t="shared" si="24"/>
        <v>#REF!</v>
      </c>
      <c r="L298" s="93" t="e">
        <f t="shared" si="25"/>
        <v>#REF!</v>
      </c>
      <c r="M298" s="96" t="e">
        <f t="shared" si="26"/>
        <v>#REF!</v>
      </c>
    </row>
    <row r="299" spans="1:13">
      <c r="A299" s="25" t="e">
        <f t="shared" si="23"/>
        <v>#REF!</v>
      </c>
      <c r="B299" s="300" t="s">
        <v>1475</v>
      </c>
      <c r="C299" s="26" t="s">
        <v>607</v>
      </c>
      <c r="D299" s="26">
        <v>1</v>
      </c>
      <c r="E299" s="6" t="e">
        <f xml:space="preserve"> [1]!'KR.US-PreClose'</f>
        <v>#REF!</v>
      </c>
      <c r="F299" s="6">
        <v>3865</v>
      </c>
      <c r="G299" s="74" t="e">
        <f t="shared" si="27"/>
        <v>#REF!</v>
      </c>
      <c r="H299" s="6" t="e">
        <f xml:space="preserve"> [1]!'KR.US-Price'</f>
        <v>#REF!</v>
      </c>
      <c r="I299" s="6" t="e">
        <f xml:space="preserve"> [1]!'KR.US-BestBid1'</f>
        <v>#REF!</v>
      </c>
      <c r="J299" s="6" t="e">
        <f xml:space="preserve"> [1]!'KR.US-BestAsk1'</f>
        <v>#REF!</v>
      </c>
      <c r="K299" s="93" t="e">
        <f t="shared" si="24"/>
        <v>#REF!</v>
      </c>
      <c r="L299" s="93" t="e">
        <f t="shared" si="25"/>
        <v>#REF!</v>
      </c>
      <c r="M299" s="96" t="e">
        <f t="shared" si="26"/>
        <v>#REF!</v>
      </c>
    </row>
    <row r="300" spans="1:13">
      <c r="A300" s="25" t="e">
        <f t="shared" si="23"/>
        <v>#REF!</v>
      </c>
      <c r="B300" s="300" t="s">
        <v>1476</v>
      </c>
      <c r="C300" s="26" t="s">
        <v>1044</v>
      </c>
      <c r="D300" s="26">
        <v>1</v>
      </c>
      <c r="E300" s="6" t="e">
        <f xml:space="preserve"> [1]!'KSS.US-PreClose'</f>
        <v>#REF!</v>
      </c>
      <c r="F300" s="6">
        <v>726</v>
      </c>
      <c r="G300" s="74" t="e">
        <f t="shared" si="27"/>
        <v>#REF!</v>
      </c>
      <c r="H300" s="6" t="e">
        <f xml:space="preserve"> [1]!'KSS.US-Price'</f>
        <v>#REF!</v>
      </c>
      <c r="I300" s="6" t="e">
        <f xml:space="preserve"> [1]!'KSS.US-BestBid1'</f>
        <v>#REF!</v>
      </c>
      <c r="J300" s="6" t="e">
        <f xml:space="preserve"> [1]!'KSS.US-BestAsk1'</f>
        <v>#REF!</v>
      </c>
      <c r="K300" s="93" t="e">
        <f t="shared" si="24"/>
        <v>#REF!</v>
      </c>
      <c r="L300" s="93" t="e">
        <f t="shared" si="25"/>
        <v>#REF!</v>
      </c>
      <c r="M300" s="96" t="e">
        <f t="shared" si="26"/>
        <v>#REF!</v>
      </c>
    </row>
    <row r="301" spans="1:13">
      <c r="A301" s="25" t="e">
        <f t="shared" si="23"/>
        <v>#REF!</v>
      </c>
      <c r="B301" s="300" t="s">
        <v>1477</v>
      </c>
      <c r="C301" s="26" t="s">
        <v>1045</v>
      </c>
      <c r="D301" s="26">
        <v>1</v>
      </c>
      <c r="E301" s="6" t="e">
        <f xml:space="preserve"> [1]!'KSU.US-PreClose'</f>
        <v>#REF!</v>
      </c>
      <c r="F301" s="6">
        <v>454</v>
      </c>
      <c r="G301" s="74" t="e">
        <f t="shared" si="27"/>
        <v>#REF!</v>
      </c>
      <c r="H301" s="6" t="e">
        <f xml:space="preserve"> [1]!'KSU.US-Price'</f>
        <v>#REF!</v>
      </c>
      <c r="I301" s="6" t="e">
        <f xml:space="preserve"> [1]!'KSU.US-BestBid1'</f>
        <v>#REF!</v>
      </c>
      <c r="J301" s="6" t="e">
        <f xml:space="preserve"> [1]!'KSU.US-BestAsk1'</f>
        <v>#REF!</v>
      </c>
      <c r="K301" s="93" t="e">
        <f t="shared" si="24"/>
        <v>#REF!</v>
      </c>
      <c r="L301" s="93" t="e">
        <f t="shared" si="25"/>
        <v>#REF!</v>
      </c>
      <c r="M301" s="96" t="e">
        <f t="shared" si="26"/>
        <v>#REF!</v>
      </c>
    </row>
    <row r="302" spans="1:13">
      <c r="A302" s="25" t="e">
        <f t="shared" si="23"/>
        <v>#REF!</v>
      </c>
      <c r="B302" s="300" t="s">
        <v>1478</v>
      </c>
      <c r="C302" s="26" t="s">
        <v>608</v>
      </c>
      <c r="D302" s="26">
        <v>1</v>
      </c>
      <c r="E302" s="6" t="e">
        <f xml:space="preserve"> [1]!'L.US-PreClose'</f>
        <v>#REF!</v>
      </c>
      <c r="F302" s="6">
        <v>1189</v>
      </c>
      <c r="G302" s="74" t="e">
        <f t="shared" si="27"/>
        <v>#REF!</v>
      </c>
      <c r="H302" s="6" t="e">
        <f xml:space="preserve"> [1]!'L.US-Price'</f>
        <v>#REF!</v>
      </c>
      <c r="I302" s="6" t="e">
        <f xml:space="preserve"> [1]!'L.US-BestBid1'</f>
        <v>#REF!</v>
      </c>
      <c r="J302" s="6" t="e">
        <f xml:space="preserve"> [1]!'L.US-BestAsk1'</f>
        <v>#REF!</v>
      </c>
      <c r="K302" s="93" t="e">
        <f t="shared" si="24"/>
        <v>#REF!</v>
      </c>
      <c r="L302" s="93" t="e">
        <f t="shared" si="25"/>
        <v>#REF!</v>
      </c>
      <c r="M302" s="96" t="e">
        <f t="shared" si="26"/>
        <v>#REF!</v>
      </c>
    </row>
    <row r="303" spans="1:13">
      <c r="A303" s="25" t="e">
        <f t="shared" si="23"/>
        <v>#REF!</v>
      </c>
      <c r="B303" s="300" t="s">
        <v>1479</v>
      </c>
      <c r="C303" s="26" t="s">
        <v>609</v>
      </c>
      <c r="D303" s="26">
        <v>1</v>
      </c>
      <c r="E303" s="6" t="e">
        <f xml:space="preserve"> [1]!'LB.US-PreClose'</f>
        <v>#REF!</v>
      </c>
      <c r="F303" s="6">
        <v>1075</v>
      </c>
      <c r="G303" s="74" t="e">
        <f t="shared" si="27"/>
        <v>#REF!</v>
      </c>
      <c r="H303" s="6" t="e">
        <f xml:space="preserve"> [1]!'LB.US-Price'</f>
        <v>#REF!</v>
      </c>
      <c r="I303" s="6" t="e">
        <f xml:space="preserve"> [1]!'LB.US-BestBid1'</f>
        <v>#REF!</v>
      </c>
      <c r="J303" s="6" t="e">
        <f xml:space="preserve"> [1]!'LB.US-BestAsk1'</f>
        <v>#REF!</v>
      </c>
      <c r="K303" s="93" t="e">
        <f t="shared" si="24"/>
        <v>#REF!</v>
      </c>
      <c r="L303" s="93" t="e">
        <f t="shared" si="25"/>
        <v>#REF!</v>
      </c>
      <c r="M303" s="96" t="e">
        <f t="shared" si="26"/>
        <v>#REF!</v>
      </c>
    </row>
    <row r="304" spans="1:13">
      <c r="A304" s="25" t="e">
        <f t="shared" si="23"/>
        <v>#REF!</v>
      </c>
      <c r="B304" s="300" t="s">
        <v>1480</v>
      </c>
      <c r="C304" s="26" t="s">
        <v>1046</v>
      </c>
      <c r="D304" s="26">
        <v>1</v>
      </c>
      <c r="E304" s="6" t="e">
        <f xml:space="preserve"> [1]!'LEG.US-PreClose'</f>
        <v>#REF!</v>
      </c>
      <c r="F304" s="6">
        <v>570</v>
      </c>
      <c r="G304" s="74" t="e">
        <f t="shared" si="27"/>
        <v>#REF!</v>
      </c>
      <c r="H304" s="6" t="e">
        <f xml:space="preserve"> [1]!'LEG.US-Price'</f>
        <v>#REF!</v>
      </c>
      <c r="I304" s="6" t="e">
        <f xml:space="preserve"> [1]!'LEG.US-BestBid1'</f>
        <v>#REF!</v>
      </c>
      <c r="J304" s="6" t="e">
        <f xml:space="preserve"> [1]!'LEG.US-BestAsk1'</f>
        <v>#REF!</v>
      </c>
      <c r="K304" s="93" t="e">
        <f t="shared" si="24"/>
        <v>#REF!</v>
      </c>
      <c r="L304" s="93" t="e">
        <f t="shared" si="25"/>
        <v>#REF!</v>
      </c>
      <c r="M304" s="96" t="e">
        <f t="shared" si="26"/>
        <v>#REF!</v>
      </c>
    </row>
    <row r="305" spans="1:13">
      <c r="A305" s="25" t="e">
        <f t="shared" si="23"/>
        <v>#REF!</v>
      </c>
      <c r="B305" s="300" t="s">
        <v>1481</v>
      </c>
      <c r="C305" s="26" t="s">
        <v>1047</v>
      </c>
      <c r="D305" s="26">
        <v>1</v>
      </c>
      <c r="E305" s="6" t="e">
        <f xml:space="preserve"> [1]!'LEN.US-PreClose'</f>
        <v>#REF!</v>
      </c>
      <c r="F305" s="6">
        <v>875</v>
      </c>
      <c r="G305" s="74" t="e">
        <f t="shared" si="27"/>
        <v>#REF!</v>
      </c>
      <c r="H305" s="6" t="e">
        <f xml:space="preserve"> [1]!'LEN.US-Price'</f>
        <v>#REF!</v>
      </c>
      <c r="I305" s="6" t="e">
        <f xml:space="preserve"> [1]!'LEN.US-BestBid1'</f>
        <v>#REF!</v>
      </c>
      <c r="J305" s="6" t="e">
        <f xml:space="preserve"> [1]!'LEN.US-BestAsk1'</f>
        <v>#REF!</v>
      </c>
      <c r="K305" s="93" t="e">
        <f t="shared" si="24"/>
        <v>#REF!</v>
      </c>
      <c r="L305" s="93" t="e">
        <f t="shared" si="25"/>
        <v>#REF!</v>
      </c>
      <c r="M305" s="96" t="e">
        <f t="shared" si="26"/>
        <v>#REF!</v>
      </c>
    </row>
    <row r="306" spans="1:13">
      <c r="A306" s="25" t="e">
        <f t="shared" si="23"/>
        <v>#REF!</v>
      </c>
      <c r="B306" s="300" t="s">
        <v>1482</v>
      </c>
      <c r="C306" s="26" t="s">
        <v>610</v>
      </c>
      <c r="D306" s="26">
        <v>1</v>
      </c>
      <c r="E306" s="6" t="e">
        <f xml:space="preserve"> [1]!'LH.US-PreClose'</f>
        <v>#REF!</v>
      </c>
      <c r="F306" s="6">
        <v>438</v>
      </c>
      <c r="G306" s="74" t="e">
        <f t="shared" si="27"/>
        <v>#REF!</v>
      </c>
      <c r="H306" s="6" t="e">
        <f xml:space="preserve"> [1]!'LH.US-Price'</f>
        <v>#REF!</v>
      </c>
      <c r="I306" s="6" t="e">
        <f xml:space="preserve"> [1]!'LH.US-BestBid1'</f>
        <v>#REF!</v>
      </c>
      <c r="J306" s="6" t="e">
        <f xml:space="preserve"> [1]!'LH.US-BestAsk1'</f>
        <v>#REF!</v>
      </c>
      <c r="K306" s="93" t="e">
        <f t="shared" si="24"/>
        <v>#REF!</v>
      </c>
      <c r="L306" s="93" t="e">
        <f t="shared" si="25"/>
        <v>#REF!</v>
      </c>
      <c r="M306" s="96" t="e">
        <f t="shared" si="26"/>
        <v>#REF!</v>
      </c>
    </row>
    <row r="307" spans="1:13">
      <c r="A307" s="25" t="e">
        <f t="shared" si="23"/>
        <v>#REF!</v>
      </c>
      <c r="B307" s="300" t="s">
        <v>1483</v>
      </c>
      <c r="C307" s="26" t="s">
        <v>1048</v>
      </c>
      <c r="D307" s="26">
        <v>1</v>
      </c>
      <c r="E307" s="6" t="e">
        <f xml:space="preserve"> [1]!'LKQ.US-PreClose'</f>
        <v>#REF!</v>
      </c>
      <c r="F307" s="6">
        <v>1330</v>
      </c>
      <c r="G307" s="74" t="e">
        <f t="shared" si="27"/>
        <v>#REF!</v>
      </c>
      <c r="H307" s="6" t="e">
        <f xml:space="preserve"> [1]!'LKQ.US-Price'</f>
        <v>#REF!</v>
      </c>
      <c r="I307" s="6" t="e">
        <f xml:space="preserve"> [1]!'LKQ.US-BestBid1'</f>
        <v>#REF!</v>
      </c>
      <c r="J307" s="6" t="e">
        <f xml:space="preserve"> [1]!'LKQ.US-BestAsk1'</f>
        <v>#REF!</v>
      </c>
      <c r="K307" s="93" t="e">
        <f t="shared" si="24"/>
        <v>#REF!</v>
      </c>
      <c r="L307" s="93" t="e">
        <f t="shared" si="25"/>
        <v>#REF!</v>
      </c>
      <c r="M307" s="96" t="e">
        <f t="shared" si="26"/>
        <v>#REF!</v>
      </c>
    </row>
    <row r="308" spans="1:13">
      <c r="A308" s="25" t="e">
        <f t="shared" si="23"/>
        <v>#REF!</v>
      </c>
      <c r="B308" s="300" t="s">
        <v>1484</v>
      </c>
      <c r="C308" s="26" t="s">
        <v>1049</v>
      </c>
      <c r="D308" s="26">
        <v>1</v>
      </c>
      <c r="E308" s="6" t="e">
        <f xml:space="preserve"> [1]!'LLL.US-PreClose'</f>
        <v>#REF!</v>
      </c>
      <c r="F308" s="6">
        <v>337</v>
      </c>
      <c r="G308" s="74" t="e">
        <f t="shared" si="27"/>
        <v>#REF!</v>
      </c>
      <c r="H308" s="6" t="e">
        <f xml:space="preserve"> [1]!'LLL.US-Price'</f>
        <v>#REF!</v>
      </c>
      <c r="I308" s="6" t="e">
        <f xml:space="preserve"> [1]!'LLL.US-BestBid1'</f>
        <v>#REF!</v>
      </c>
      <c r="J308" s="6" t="e">
        <f xml:space="preserve"> [1]!'LLL.US-BestAsk1'</f>
        <v>#REF!</v>
      </c>
      <c r="K308" s="93" t="e">
        <f t="shared" si="24"/>
        <v>#REF!</v>
      </c>
      <c r="L308" s="93" t="e">
        <f t="shared" si="25"/>
        <v>#REF!</v>
      </c>
      <c r="M308" s="96" t="e">
        <f t="shared" si="26"/>
        <v>#REF!</v>
      </c>
    </row>
    <row r="309" spans="1:13">
      <c r="A309" s="25" t="e">
        <f t="shared" si="23"/>
        <v>#REF!</v>
      </c>
      <c r="B309" s="300" t="s">
        <v>1485</v>
      </c>
      <c r="C309" s="26" t="s">
        <v>1050</v>
      </c>
      <c r="D309" s="26">
        <v>1</v>
      </c>
      <c r="E309" s="6" t="e">
        <f xml:space="preserve"> [1]!'LLY.US-PreClose'</f>
        <v>#REF!</v>
      </c>
      <c r="F309" s="6">
        <v>4172</v>
      </c>
      <c r="G309" s="74" t="e">
        <f t="shared" si="27"/>
        <v>#REF!</v>
      </c>
      <c r="H309" s="6" t="e">
        <f xml:space="preserve"> [1]!'LLY.US-Price'</f>
        <v>#REF!</v>
      </c>
      <c r="I309" s="6" t="e">
        <f xml:space="preserve"> [1]!'LLY.US-BestBid1'</f>
        <v>#REF!</v>
      </c>
      <c r="J309" s="6" t="e">
        <f xml:space="preserve"> [1]!'LLY.US-BestAsk1'</f>
        <v>#REF!</v>
      </c>
      <c r="K309" s="93" t="e">
        <f t="shared" si="24"/>
        <v>#REF!</v>
      </c>
      <c r="L309" s="93" t="e">
        <f t="shared" si="25"/>
        <v>#REF!</v>
      </c>
      <c r="M309" s="96" t="e">
        <f t="shared" si="26"/>
        <v>#REF!</v>
      </c>
    </row>
    <row r="310" spans="1:13">
      <c r="A310" s="25" t="e">
        <f t="shared" si="23"/>
        <v>#REF!</v>
      </c>
      <c r="B310" s="300" t="s">
        <v>1486</v>
      </c>
      <c r="C310" s="26" t="s">
        <v>1051</v>
      </c>
      <c r="D310" s="26">
        <v>1</v>
      </c>
      <c r="E310" s="6" t="e">
        <f xml:space="preserve"> [1]!'LMT.US-PreClose'</f>
        <v>#REF!</v>
      </c>
      <c r="F310" s="6">
        <v>1067</v>
      </c>
      <c r="G310" s="74" t="e">
        <f t="shared" si="27"/>
        <v>#REF!</v>
      </c>
      <c r="H310" s="6" t="e">
        <f xml:space="preserve"> [1]!'LMT.US-Price'</f>
        <v>#REF!</v>
      </c>
      <c r="I310" s="6" t="e">
        <f xml:space="preserve"> [1]!'LMT.US-BestBid1'</f>
        <v>#REF!</v>
      </c>
      <c r="J310" s="6" t="e">
        <f xml:space="preserve"> [1]!'LMT.US-BestAsk1'</f>
        <v>#REF!</v>
      </c>
      <c r="K310" s="93" t="e">
        <f t="shared" si="24"/>
        <v>#REF!</v>
      </c>
      <c r="L310" s="93" t="e">
        <f t="shared" si="25"/>
        <v>#REF!</v>
      </c>
      <c r="M310" s="96" t="e">
        <f t="shared" si="26"/>
        <v>#REF!</v>
      </c>
    </row>
    <row r="311" spans="1:13">
      <c r="A311" s="25" t="e">
        <f t="shared" si="23"/>
        <v>#REF!</v>
      </c>
      <c r="B311" s="300" t="s">
        <v>1487</v>
      </c>
      <c r="C311" s="26" t="s">
        <v>1052</v>
      </c>
      <c r="D311" s="26">
        <v>1</v>
      </c>
      <c r="E311" s="6" t="e">
        <f xml:space="preserve"> [1]!'LNC.US-PreClose'</f>
        <v>#REF!</v>
      </c>
      <c r="F311" s="6">
        <v>954</v>
      </c>
      <c r="G311" s="74" t="e">
        <f t="shared" si="27"/>
        <v>#REF!</v>
      </c>
      <c r="H311" s="6" t="e">
        <f xml:space="preserve"> [1]!'LNC.US-Price'</f>
        <v>#REF!</v>
      </c>
      <c r="I311" s="6" t="e">
        <f xml:space="preserve"> [1]!'LNC.US-BestBid1'</f>
        <v>#REF!</v>
      </c>
      <c r="J311" s="6" t="e">
        <f xml:space="preserve"> [1]!'LNC.US-BestAsk1'</f>
        <v>#REF!</v>
      </c>
      <c r="K311" s="93" t="e">
        <f t="shared" si="24"/>
        <v>#REF!</v>
      </c>
      <c r="L311" s="93" t="e">
        <f t="shared" si="25"/>
        <v>#REF!</v>
      </c>
      <c r="M311" s="96" t="e">
        <f t="shared" si="26"/>
        <v>#REF!</v>
      </c>
    </row>
    <row r="312" spans="1:13">
      <c r="A312" s="25" t="e">
        <f t="shared" si="23"/>
        <v>#REF!</v>
      </c>
      <c r="B312" s="300" t="s">
        <v>1488</v>
      </c>
      <c r="C312" s="26" t="s">
        <v>1053</v>
      </c>
      <c r="D312" s="26">
        <v>1</v>
      </c>
      <c r="E312" s="6" t="e">
        <f xml:space="preserve"> [1]!'LNT.US-PreClose'</f>
        <v>#REF!</v>
      </c>
      <c r="F312" s="6">
        <v>995</v>
      </c>
      <c r="G312" s="74" t="e">
        <f t="shared" si="27"/>
        <v>#REF!</v>
      </c>
      <c r="H312" s="6" t="e">
        <f xml:space="preserve"> [1]!'LNT.US-Price'</f>
        <v>#REF!</v>
      </c>
      <c r="I312" s="6" t="e">
        <f xml:space="preserve"> [1]!'LNT.US-BestBid1'</f>
        <v>#REF!</v>
      </c>
      <c r="J312" s="6" t="e">
        <f xml:space="preserve"> [1]!'LNT.US-BestAsk1'</f>
        <v>#REF!</v>
      </c>
      <c r="K312" s="93" t="e">
        <f t="shared" si="24"/>
        <v>#REF!</v>
      </c>
      <c r="L312" s="93" t="e">
        <f t="shared" si="25"/>
        <v>#REF!</v>
      </c>
      <c r="M312" s="96" t="e">
        <f t="shared" si="26"/>
        <v>#REF!</v>
      </c>
    </row>
    <row r="313" spans="1:13">
      <c r="A313" s="25" t="e">
        <f t="shared" si="23"/>
        <v>#REF!</v>
      </c>
      <c r="B313" s="300" t="s">
        <v>1489</v>
      </c>
      <c r="C313" s="26" t="s">
        <v>1054</v>
      </c>
      <c r="D313" s="26">
        <v>1</v>
      </c>
      <c r="E313" s="6" t="e">
        <f xml:space="preserve"> [1]!'LOW.US-PreClose'</f>
        <v>#REF!</v>
      </c>
      <c r="F313" s="6">
        <v>3636</v>
      </c>
      <c r="G313" s="74" t="e">
        <f t="shared" si="27"/>
        <v>#REF!</v>
      </c>
      <c r="H313" s="6" t="e">
        <f xml:space="preserve"> [1]!'LOW.US-Price'</f>
        <v>#REF!</v>
      </c>
      <c r="I313" s="6" t="e">
        <f xml:space="preserve"> [1]!'LOW.US-BestBid1'</f>
        <v>#REF!</v>
      </c>
      <c r="J313" s="6" t="e">
        <f xml:space="preserve"> [1]!'LOW.US-BestAsk1'</f>
        <v>#REF!</v>
      </c>
      <c r="K313" s="93" t="e">
        <f t="shared" si="24"/>
        <v>#REF!</v>
      </c>
      <c r="L313" s="93" t="e">
        <f t="shared" si="25"/>
        <v>#REF!</v>
      </c>
      <c r="M313" s="96" t="e">
        <f t="shared" si="26"/>
        <v>#REF!</v>
      </c>
    </row>
    <row r="314" spans="1:13">
      <c r="A314" s="25" t="e">
        <f t="shared" si="23"/>
        <v>#REF!</v>
      </c>
      <c r="B314" s="300" t="s">
        <v>1490</v>
      </c>
      <c r="C314" s="26" t="s">
        <v>531</v>
      </c>
      <c r="D314" s="26">
        <v>1</v>
      </c>
      <c r="E314" s="6" t="e">
        <f xml:space="preserve"> [1]!'LRCX.US-PreClose'</f>
        <v>#REF!</v>
      </c>
      <c r="F314" s="6">
        <v>700</v>
      </c>
      <c r="G314" s="74" t="e">
        <f t="shared" si="27"/>
        <v>#REF!</v>
      </c>
      <c r="H314" s="6" t="e">
        <f xml:space="preserve"> [1]!'LRCX.US-Price'</f>
        <v>#REF!</v>
      </c>
      <c r="I314" s="6" t="e">
        <f xml:space="preserve"> [1]!'LRCX.US-BestBid1'</f>
        <v>#REF!</v>
      </c>
      <c r="J314" s="6" t="e">
        <f xml:space="preserve"> [1]!'LRCX.US-BestAsk1'</f>
        <v>#REF!</v>
      </c>
      <c r="K314" s="93" t="e">
        <f t="shared" si="24"/>
        <v>#REF!</v>
      </c>
      <c r="L314" s="93" t="e">
        <f t="shared" si="25"/>
        <v>#REF!</v>
      </c>
      <c r="M314" s="96" t="e">
        <f t="shared" si="26"/>
        <v>#REF!</v>
      </c>
    </row>
    <row r="315" spans="1:13">
      <c r="A315" s="25" t="e">
        <f t="shared" si="23"/>
        <v>#REF!</v>
      </c>
      <c r="B315" s="300" t="s">
        <v>1491</v>
      </c>
      <c r="C315" s="26" t="s">
        <v>1055</v>
      </c>
      <c r="D315" s="26">
        <v>1</v>
      </c>
      <c r="E315" s="6" t="e">
        <f xml:space="preserve"> [1]!'LUK.US-PreClose'</f>
        <v>#REF!</v>
      </c>
      <c r="F315" s="6">
        <v>1364</v>
      </c>
      <c r="G315" s="74" t="e">
        <f t="shared" si="27"/>
        <v>#REF!</v>
      </c>
      <c r="H315" s="6" t="e">
        <f xml:space="preserve"> [1]!'LUK.US-Price'</f>
        <v>#REF!</v>
      </c>
      <c r="I315" s="6" t="e">
        <f xml:space="preserve"> [1]!'LUK.US-BestBid1'</f>
        <v>#REF!</v>
      </c>
      <c r="J315" s="6" t="e">
        <f xml:space="preserve"> [1]!'LUK.US-BestAsk1'</f>
        <v>#REF!</v>
      </c>
      <c r="K315" s="93" t="e">
        <f t="shared" si="24"/>
        <v>#REF!</v>
      </c>
      <c r="L315" s="93" t="e">
        <f t="shared" si="25"/>
        <v>#REF!</v>
      </c>
      <c r="M315" s="96" t="e">
        <f t="shared" si="26"/>
        <v>#REF!</v>
      </c>
    </row>
    <row r="316" spans="1:13">
      <c r="A316" s="25" t="e">
        <f t="shared" si="23"/>
        <v>#REF!</v>
      </c>
      <c r="B316" s="300" t="s">
        <v>1492</v>
      </c>
      <c r="C316" s="26" t="s">
        <v>1056</v>
      </c>
      <c r="D316" s="26">
        <v>1</v>
      </c>
      <c r="E316" s="6" t="e">
        <f xml:space="preserve"> [1]!'LUV.US-PreClose'</f>
        <v>#REF!</v>
      </c>
      <c r="F316" s="6">
        <v>2578</v>
      </c>
      <c r="G316" s="74" t="e">
        <f t="shared" si="27"/>
        <v>#REF!</v>
      </c>
      <c r="H316" s="6" t="e">
        <f xml:space="preserve"> [1]!'LUV.US-Price'</f>
        <v>#REF!</v>
      </c>
      <c r="I316" s="6" t="e">
        <f xml:space="preserve"> [1]!'LUV.US-BestBid1'</f>
        <v>#REF!</v>
      </c>
      <c r="J316" s="6" t="e">
        <f xml:space="preserve"> [1]!'LUV.US-BestAsk1'</f>
        <v>#REF!</v>
      </c>
      <c r="K316" s="93" t="e">
        <f t="shared" si="24"/>
        <v>#REF!</v>
      </c>
      <c r="L316" s="93" t="e">
        <f t="shared" si="25"/>
        <v>#REF!</v>
      </c>
      <c r="M316" s="96" t="e">
        <f t="shared" si="26"/>
        <v>#REF!</v>
      </c>
    </row>
    <row r="317" spans="1:13">
      <c r="A317" s="25" t="e">
        <f t="shared" si="23"/>
        <v>#REF!</v>
      </c>
      <c r="B317" s="300" t="s">
        <v>1493</v>
      </c>
      <c r="C317" s="26" t="s">
        <v>532</v>
      </c>
      <c r="D317" s="26">
        <v>1</v>
      </c>
      <c r="E317" s="6" t="e">
        <f xml:space="preserve"> [1]!'LVLT.US-PreClose'</f>
        <v>#REF!</v>
      </c>
      <c r="F317" s="6">
        <v>1265</v>
      </c>
      <c r="G317" s="74" t="e">
        <f t="shared" si="27"/>
        <v>#REF!</v>
      </c>
      <c r="H317" s="6" t="e">
        <f xml:space="preserve"> [1]!'LVLT.US-Price'</f>
        <v>#REF!</v>
      </c>
      <c r="I317" s="6" t="e">
        <f xml:space="preserve"> [1]!'LVLT.US-BestBid1'</f>
        <v>#REF!</v>
      </c>
      <c r="J317" s="6" t="e">
        <f xml:space="preserve"> [1]!'LVLT.US-BestAsk1'</f>
        <v>#REF!</v>
      </c>
      <c r="K317" s="93" t="e">
        <f t="shared" si="24"/>
        <v>#REF!</v>
      </c>
      <c r="L317" s="93" t="e">
        <f t="shared" si="25"/>
        <v>#REF!</v>
      </c>
      <c r="M317" s="96" t="e">
        <f t="shared" si="26"/>
        <v>#REF!</v>
      </c>
    </row>
    <row r="318" spans="1:13">
      <c r="A318" s="25" t="e">
        <f t="shared" si="23"/>
        <v>#REF!</v>
      </c>
      <c r="B318" s="300" t="s">
        <v>1494</v>
      </c>
      <c r="C318" s="26" t="s">
        <v>1057</v>
      </c>
      <c r="D318" s="26">
        <v>1</v>
      </c>
      <c r="E318" s="6" t="e">
        <f xml:space="preserve"> [1]!'LYB.US-PreClose'</f>
        <v>#REF!</v>
      </c>
      <c r="F318" s="6">
        <v>1398</v>
      </c>
      <c r="G318" s="74" t="e">
        <f t="shared" si="27"/>
        <v>#REF!</v>
      </c>
      <c r="H318" s="6" t="e">
        <f xml:space="preserve"> [1]!'LYB.US-Price'</f>
        <v>#REF!</v>
      </c>
      <c r="I318" s="6" t="e">
        <f xml:space="preserve"> [1]!'LYB.US-BestBid1'</f>
        <v>#REF!</v>
      </c>
      <c r="J318" s="6" t="e">
        <f xml:space="preserve"> [1]!'LYB.US-BestAsk1'</f>
        <v>#REF!</v>
      </c>
      <c r="K318" s="93" t="e">
        <f t="shared" si="24"/>
        <v>#REF!</v>
      </c>
      <c r="L318" s="93" t="e">
        <f t="shared" si="25"/>
        <v>#REF!</v>
      </c>
      <c r="M318" s="96" t="e">
        <f t="shared" si="26"/>
        <v>#REF!</v>
      </c>
    </row>
    <row r="319" spans="1:13">
      <c r="A319" s="25" t="e">
        <f t="shared" si="23"/>
        <v>#REF!</v>
      </c>
      <c r="B319" s="300" t="s">
        <v>1495</v>
      </c>
      <c r="C319" s="26" t="s">
        <v>611</v>
      </c>
      <c r="D319" s="26">
        <v>1</v>
      </c>
      <c r="E319" s="6" t="e">
        <f xml:space="preserve"> [1]!'M.US-PreClose'</f>
        <v>#REF!</v>
      </c>
      <c r="F319" s="6">
        <v>1312</v>
      </c>
      <c r="G319" s="74" t="e">
        <f t="shared" si="27"/>
        <v>#REF!</v>
      </c>
      <c r="H319" s="6" t="e">
        <f xml:space="preserve"> [1]!'M.US-Price'</f>
        <v>#REF!</v>
      </c>
      <c r="I319" s="6" t="e">
        <f xml:space="preserve"> [1]!'M.US-BestBid1'</f>
        <v>#REF!</v>
      </c>
      <c r="J319" s="6" t="e">
        <f xml:space="preserve"> [1]!'M.US-BestAsk1'</f>
        <v>#REF!</v>
      </c>
      <c r="K319" s="93" t="e">
        <f t="shared" si="24"/>
        <v>#REF!</v>
      </c>
      <c r="L319" s="93" t="e">
        <f t="shared" si="25"/>
        <v>#REF!</v>
      </c>
      <c r="M319" s="96" t="e">
        <f t="shared" si="26"/>
        <v>#REF!</v>
      </c>
    </row>
    <row r="320" spans="1:13">
      <c r="A320" s="25" t="e">
        <f t="shared" si="23"/>
        <v>#REF!</v>
      </c>
      <c r="B320" s="300" t="s">
        <v>1496</v>
      </c>
      <c r="C320" s="26" t="s">
        <v>612</v>
      </c>
      <c r="D320" s="26">
        <v>1</v>
      </c>
      <c r="E320" s="6" t="e">
        <f xml:space="preserve"> [1]!'MA.US-PreClose'</f>
        <v>#REF!</v>
      </c>
      <c r="F320" s="6">
        <v>4021</v>
      </c>
      <c r="G320" s="74" t="e">
        <f t="shared" si="27"/>
        <v>#REF!</v>
      </c>
      <c r="H320" s="6" t="e">
        <f xml:space="preserve"> [1]!'MA.US-Price'</f>
        <v>#REF!</v>
      </c>
      <c r="I320" s="6" t="e">
        <f xml:space="preserve"> [1]!'MA.US-BestBid1'</f>
        <v>#REF!</v>
      </c>
      <c r="J320" s="6" t="e">
        <f xml:space="preserve"> [1]!'MA.US-BestAsk1'</f>
        <v>#REF!</v>
      </c>
      <c r="K320" s="93" t="e">
        <f t="shared" si="24"/>
        <v>#REF!</v>
      </c>
      <c r="L320" s="93" t="e">
        <f t="shared" si="25"/>
        <v>#REF!</v>
      </c>
      <c r="M320" s="96" t="e">
        <f t="shared" si="26"/>
        <v>#REF!</v>
      </c>
    </row>
    <row r="321" spans="1:13">
      <c r="A321" s="25" t="e">
        <f t="shared" si="23"/>
        <v>#REF!</v>
      </c>
      <c r="B321" s="300" t="s">
        <v>1497</v>
      </c>
      <c r="C321" s="26" t="s">
        <v>1058</v>
      </c>
      <c r="D321" s="26">
        <v>1</v>
      </c>
      <c r="E321" s="6" t="e">
        <f xml:space="preserve"> [1]!'MAA.US-PreClose'</f>
        <v>#REF!</v>
      </c>
      <c r="F321" s="6">
        <v>489</v>
      </c>
      <c r="G321" s="74" t="e">
        <f t="shared" si="27"/>
        <v>#REF!</v>
      </c>
      <c r="H321" s="6" t="e">
        <f xml:space="preserve"> [1]!'MAA.US-Price'</f>
        <v>#REF!</v>
      </c>
      <c r="I321" s="6" t="e">
        <f xml:space="preserve"> [1]!'MAA.US-BestBid1'</f>
        <v>#REF!</v>
      </c>
      <c r="J321" s="6" t="e">
        <f xml:space="preserve"> [1]!'MAA.US-BestAsk1'</f>
        <v>#REF!</v>
      </c>
      <c r="K321" s="93" t="e">
        <f t="shared" si="24"/>
        <v>#REF!</v>
      </c>
      <c r="L321" s="93" t="e">
        <f t="shared" si="25"/>
        <v>#REF!</v>
      </c>
      <c r="M321" s="96" t="e">
        <f t="shared" si="26"/>
        <v>#REF!</v>
      </c>
    </row>
    <row r="322" spans="1:13">
      <c r="A322" s="25" t="e">
        <f t="shared" si="23"/>
        <v>#VALUE!</v>
      </c>
      <c r="B322" s="300" t="s">
        <v>1498</v>
      </c>
      <c r="C322" s="26" t="s">
        <v>1059</v>
      </c>
      <c r="D322" s="26">
        <v>1</v>
      </c>
      <c r="E322" s="6" t="str">
        <f xml:space="preserve"> [1]!'MAC.US-PreClose'</f>
        <v>N/A</v>
      </c>
      <c r="F322" s="6">
        <v>512</v>
      </c>
      <c r="G322" s="74" t="e">
        <f t="shared" si="27"/>
        <v>#VALUE!</v>
      </c>
      <c r="H322" s="6" t="str">
        <f xml:space="preserve"> [1]!'MAC.US-Price'</f>
        <v>N/A</v>
      </c>
      <c r="I322" s="6" t="str">
        <f xml:space="preserve"> [1]!'MAC.US-BestBid1'</f>
        <v>N/A</v>
      </c>
      <c r="J322" s="6" t="str">
        <f xml:space="preserve"> [1]!'MAC.US-BestAsk1'</f>
        <v>N/A</v>
      </c>
      <c r="K322" s="93" t="e">
        <f t="shared" si="24"/>
        <v>#VALUE!</v>
      </c>
      <c r="L322" s="93" t="e">
        <f t="shared" si="25"/>
        <v>#VALUE!</v>
      </c>
      <c r="M322" s="96" t="e">
        <f t="shared" si="26"/>
        <v>#VALUE!</v>
      </c>
    </row>
    <row r="323" spans="1:13">
      <c r="A323" s="25" t="e">
        <f t="shared" si="23"/>
        <v>#REF!</v>
      </c>
      <c r="B323" s="300" t="s">
        <v>1499</v>
      </c>
      <c r="C323" s="26" t="s">
        <v>1060</v>
      </c>
      <c r="D323" s="26">
        <v>1</v>
      </c>
      <c r="E323" s="6" t="e">
        <f xml:space="preserve"> [1]!'MAR.US-PreClose'</f>
        <v>#REF!</v>
      </c>
      <c r="F323" s="6">
        <v>1316</v>
      </c>
      <c r="G323" s="74" t="e">
        <f t="shared" si="27"/>
        <v>#REF!</v>
      </c>
      <c r="H323" s="6" t="e">
        <f xml:space="preserve"> [1]!'MAR.US-Price'</f>
        <v>#REF!</v>
      </c>
      <c r="I323" s="6" t="e">
        <f xml:space="preserve"> [1]!'MAR.US-BestBid1'</f>
        <v>#REF!</v>
      </c>
      <c r="J323" s="6" t="e">
        <f xml:space="preserve"> [1]!'MAR.US-BestAsk1'</f>
        <v>#REF!</v>
      </c>
      <c r="K323" s="93" t="e">
        <f t="shared" si="24"/>
        <v>#REF!</v>
      </c>
      <c r="L323" s="93" t="e">
        <f t="shared" si="25"/>
        <v>#REF!</v>
      </c>
      <c r="M323" s="96" t="e">
        <f t="shared" si="26"/>
        <v>#REF!</v>
      </c>
    </row>
    <row r="324" spans="1:13">
      <c r="A324" s="25" t="e">
        <f t="shared" si="23"/>
        <v>#REF!</v>
      </c>
      <c r="B324" s="300" t="s">
        <v>1500</v>
      </c>
      <c r="C324" s="26" t="s">
        <v>1061</v>
      </c>
      <c r="D324" s="26">
        <v>1</v>
      </c>
      <c r="E324" s="6" t="e">
        <f xml:space="preserve"> [1]!'MAS.US-PreClose'</f>
        <v>#REF!</v>
      </c>
      <c r="F324" s="6">
        <v>1372</v>
      </c>
      <c r="G324" s="74" t="e">
        <f t="shared" si="27"/>
        <v>#REF!</v>
      </c>
      <c r="H324" s="6" t="e">
        <f xml:space="preserve"> [1]!'MAS.US-Price'</f>
        <v>#REF!</v>
      </c>
      <c r="I324" s="6" t="e">
        <f xml:space="preserve"> [1]!'MAS.US-BestBid1'</f>
        <v>#REF!</v>
      </c>
      <c r="J324" s="6" t="e">
        <f xml:space="preserve"> [1]!'MAS.US-BestAsk1'</f>
        <v>#REF!</v>
      </c>
      <c r="K324" s="93" t="e">
        <f t="shared" si="24"/>
        <v>#REF!</v>
      </c>
      <c r="L324" s="93" t="e">
        <f t="shared" si="25"/>
        <v>#REF!</v>
      </c>
      <c r="M324" s="96" t="e">
        <f t="shared" si="26"/>
        <v>#REF!</v>
      </c>
    </row>
    <row r="325" spans="1:13">
      <c r="A325" s="25" t="e">
        <f t="shared" si="23"/>
        <v>#REF!</v>
      </c>
      <c r="B325" s="300" t="s">
        <v>1501</v>
      </c>
      <c r="C325" s="26" t="s">
        <v>1062</v>
      </c>
      <c r="D325" s="26">
        <v>1</v>
      </c>
      <c r="E325" s="6" t="e">
        <f xml:space="preserve"> [1]!'MAT.US-PreClose'</f>
        <v>#REF!</v>
      </c>
      <c r="F325" s="6">
        <v>1476</v>
      </c>
      <c r="G325" s="74" t="e">
        <f t="shared" si="27"/>
        <v>#REF!</v>
      </c>
      <c r="H325" s="6" t="e">
        <f xml:space="preserve"> [1]!'MAT.US-Price'</f>
        <v>#REF!</v>
      </c>
      <c r="I325" s="6" t="e">
        <f xml:space="preserve"> [1]!'MAT.US-BestBid1'</f>
        <v>#REF!</v>
      </c>
      <c r="J325" s="6" t="e">
        <f xml:space="preserve"> [1]!'MAT.US-BestAsk1'</f>
        <v>#REF!</v>
      </c>
      <c r="K325" s="93" t="e">
        <f t="shared" si="24"/>
        <v>#REF!</v>
      </c>
      <c r="L325" s="93" t="e">
        <f t="shared" si="25"/>
        <v>#REF!</v>
      </c>
      <c r="M325" s="96" t="e">
        <f t="shared" si="26"/>
        <v>#REF!</v>
      </c>
    </row>
    <row r="326" spans="1:13">
      <c r="A326" s="25" t="e">
        <f t="shared" si="23"/>
        <v>#VALUE!</v>
      </c>
      <c r="B326" s="300" t="s">
        <v>1502</v>
      </c>
      <c r="C326" s="26" t="s">
        <v>1063</v>
      </c>
      <c r="D326" s="26">
        <v>1</v>
      </c>
      <c r="E326" s="6" t="str">
        <f xml:space="preserve"> [1]!'MCD.US-PreClose'</f>
        <v>N/A</v>
      </c>
      <c r="F326" s="6">
        <v>3488</v>
      </c>
      <c r="G326" s="74" t="e">
        <f t="shared" si="27"/>
        <v>#VALUE!</v>
      </c>
      <c r="H326" s="6" t="str">
        <f xml:space="preserve"> [1]!'MCD.US-Price'</f>
        <v>N/A</v>
      </c>
      <c r="I326" s="6" t="str">
        <f xml:space="preserve"> [1]!'MCD.US-BestBid1'</f>
        <v>N/A</v>
      </c>
      <c r="J326" s="6" t="str">
        <f xml:space="preserve"> [1]!'MCD.US-BestAsk1'</f>
        <v>N/A</v>
      </c>
      <c r="K326" s="93" t="e">
        <f t="shared" si="24"/>
        <v>#VALUE!</v>
      </c>
      <c r="L326" s="93" t="e">
        <f t="shared" si="25"/>
        <v>#VALUE!</v>
      </c>
      <c r="M326" s="96" t="e">
        <f t="shared" si="26"/>
        <v>#VALUE!</v>
      </c>
    </row>
    <row r="327" spans="1:13">
      <c r="A327" s="25" t="e">
        <f t="shared" si="23"/>
        <v>#REF!</v>
      </c>
      <c r="B327" s="300" t="s">
        <v>1503</v>
      </c>
      <c r="C327" s="26" t="s">
        <v>533</v>
      </c>
      <c r="D327" s="26">
        <v>1</v>
      </c>
      <c r="E327" s="6" t="e">
        <f xml:space="preserve"> [1]!'MCHP.US-PreClose'</f>
        <v>#REF!</v>
      </c>
      <c r="F327" s="6">
        <v>1002</v>
      </c>
      <c r="G327" s="74" t="e">
        <f t="shared" si="27"/>
        <v>#REF!</v>
      </c>
      <c r="H327" s="6" t="e">
        <f xml:space="preserve"> [1]!'MCHP.US-Price'</f>
        <v>#REF!</v>
      </c>
      <c r="I327" s="6" t="e">
        <f xml:space="preserve"> [1]!'MCHP.US-BestBid1'</f>
        <v>#REF!</v>
      </c>
      <c r="J327" s="6" t="e">
        <f xml:space="preserve"> [1]!'MCHP.US-BestAsk1'</f>
        <v>#REF!</v>
      </c>
      <c r="K327" s="93" t="e">
        <f t="shared" si="24"/>
        <v>#REF!</v>
      </c>
      <c r="L327" s="93" t="e">
        <f t="shared" si="25"/>
        <v>#REF!</v>
      </c>
      <c r="M327" s="96" t="e">
        <f t="shared" si="26"/>
        <v>#REF!</v>
      </c>
    </row>
    <row r="328" spans="1:13">
      <c r="A328" s="25" t="e">
        <f t="shared" si="23"/>
        <v>#REF!</v>
      </c>
      <c r="B328" s="300" t="s">
        <v>1504</v>
      </c>
      <c r="C328" s="26" t="s">
        <v>1064</v>
      </c>
      <c r="D328" s="26">
        <v>1</v>
      </c>
      <c r="E328" s="6" t="e">
        <f xml:space="preserve"> [1]!'MCK.US-PreClose'</f>
        <v>#REF!</v>
      </c>
      <c r="F328" s="6">
        <v>905</v>
      </c>
      <c r="G328" s="74" t="e">
        <f t="shared" si="27"/>
        <v>#REF!</v>
      </c>
      <c r="H328" s="6" t="e">
        <f xml:space="preserve"> [1]!'MCK.US-Price'</f>
        <v>#REF!</v>
      </c>
      <c r="I328" s="6" t="e">
        <f xml:space="preserve"> [1]!'MCK.US-BestBid1'</f>
        <v>#REF!</v>
      </c>
      <c r="J328" s="6" t="e">
        <f xml:space="preserve"> [1]!'MCK.US-BestAsk1'</f>
        <v>#REF!</v>
      </c>
      <c r="K328" s="93" t="e">
        <f t="shared" si="24"/>
        <v>#REF!</v>
      </c>
      <c r="L328" s="93" t="e">
        <f t="shared" si="25"/>
        <v>#REF!</v>
      </c>
      <c r="M328" s="96" t="e">
        <f t="shared" si="26"/>
        <v>#REF!</v>
      </c>
    </row>
    <row r="329" spans="1:13">
      <c r="A329" s="25" t="e">
        <f t="shared" si="23"/>
        <v>#REF!</v>
      </c>
      <c r="B329" s="300" t="s">
        <v>1505</v>
      </c>
      <c r="C329" s="26" t="s">
        <v>1065</v>
      </c>
      <c r="D329" s="26">
        <v>1</v>
      </c>
      <c r="E329" s="6" t="e">
        <f xml:space="preserve"> [1]!'MCO.US-PreClose'</f>
        <v>#REF!</v>
      </c>
      <c r="F329" s="6">
        <v>716</v>
      </c>
      <c r="G329" s="74" t="e">
        <f t="shared" si="27"/>
        <v>#REF!</v>
      </c>
      <c r="H329" s="6" t="e">
        <f xml:space="preserve"> [1]!'MCO.US-Price'</f>
        <v>#REF!</v>
      </c>
      <c r="I329" s="6" t="e">
        <f xml:space="preserve"> [1]!'MCO.US-BestBid1'</f>
        <v>#REF!</v>
      </c>
      <c r="J329" s="6" t="e">
        <f xml:space="preserve"> [1]!'MCO.US-BestAsk1'</f>
        <v>#REF!</v>
      </c>
      <c r="K329" s="93" t="e">
        <f t="shared" si="24"/>
        <v>#REF!</v>
      </c>
      <c r="L329" s="93" t="e">
        <f t="shared" si="25"/>
        <v>#REF!</v>
      </c>
      <c r="M329" s="96" t="e">
        <f t="shared" si="26"/>
        <v>#REF!</v>
      </c>
    </row>
    <row r="330" spans="1:13">
      <c r="A330" s="25" t="e">
        <f t="shared" si="23"/>
        <v>#REF!</v>
      </c>
      <c r="B330" s="300" t="s">
        <v>1506</v>
      </c>
      <c r="C330" s="26" t="s">
        <v>534</v>
      </c>
      <c r="D330" s="26">
        <v>1</v>
      </c>
      <c r="E330" s="6" t="e">
        <f xml:space="preserve"> [1]!'MDLZ.US-PreClose'</f>
        <v>#REF!</v>
      </c>
      <c r="F330" s="6">
        <v>6492</v>
      </c>
      <c r="G330" s="74" t="e">
        <f t="shared" si="27"/>
        <v>#REF!</v>
      </c>
      <c r="H330" s="6" t="e">
        <f xml:space="preserve"> [1]!'MDLZ.US-Price'</f>
        <v>#REF!</v>
      </c>
      <c r="I330" s="6" t="e">
        <f xml:space="preserve"> [1]!'MDLZ.US-BestBid1'</f>
        <v>#REF!</v>
      </c>
      <c r="J330" s="6" t="e">
        <f xml:space="preserve"> [1]!'MDLZ.US-BestAsk1'</f>
        <v>#REF!</v>
      </c>
      <c r="K330" s="93" t="e">
        <f t="shared" si="24"/>
        <v>#REF!</v>
      </c>
      <c r="L330" s="93" t="e">
        <f t="shared" si="25"/>
        <v>#REF!</v>
      </c>
      <c r="M330" s="96" t="e">
        <f t="shared" si="26"/>
        <v>#REF!</v>
      </c>
    </row>
    <row r="331" spans="1:13">
      <c r="A331" s="25" t="e">
        <f t="shared" si="23"/>
        <v>#REF!</v>
      </c>
      <c r="B331" s="300" t="s">
        <v>1507</v>
      </c>
      <c r="C331" s="26" t="s">
        <v>1066</v>
      </c>
      <c r="D331" s="26">
        <v>1</v>
      </c>
      <c r="E331" s="6" t="e">
        <f xml:space="preserve"> [1]!'MDT.US-PreClose'</f>
        <v>#REF!</v>
      </c>
      <c r="F331" s="6">
        <v>5834</v>
      </c>
      <c r="G331" s="74" t="e">
        <f t="shared" si="27"/>
        <v>#REF!</v>
      </c>
      <c r="H331" s="6" t="e">
        <f xml:space="preserve"> [1]!'MDT.US-Price'</f>
        <v>#REF!</v>
      </c>
      <c r="I331" s="6" t="e">
        <f xml:space="preserve"> [1]!'MDT.US-BestBid1'</f>
        <v>#REF!</v>
      </c>
      <c r="J331" s="6" t="e">
        <f xml:space="preserve"> [1]!'MDT.US-BestAsk1'</f>
        <v>#REF!</v>
      </c>
      <c r="K331" s="93" t="e">
        <f t="shared" si="24"/>
        <v>#REF!</v>
      </c>
      <c r="L331" s="93" t="e">
        <f t="shared" si="25"/>
        <v>#REF!</v>
      </c>
      <c r="M331" s="96" t="e">
        <f t="shared" si="26"/>
        <v>#REF!</v>
      </c>
    </row>
    <row r="332" spans="1:13">
      <c r="A332" s="25" t="e">
        <f t="shared" si="23"/>
        <v>#REF!</v>
      </c>
      <c r="B332" s="300" t="s">
        <v>1508</v>
      </c>
      <c r="C332" s="26" t="s">
        <v>1067</v>
      </c>
      <c r="D332" s="26">
        <v>1</v>
      </c>
      <c r="E332" s="6" t="e">
        <f xml:space="preserve"> [1]!'MET.US-PreClose'</f>
        <v>#REF!</v>
      </c>
      <c r="F332" s="6">
        <v>4578</v>
      </c>
      <c r="G332" s="74" t="e">
        <f t="shared" si="27"/>
        <v>#REF!</v>
      </c>
      <c r="H332" s="6" t="e">
        <f xml:space="preserve"> [1]!'MET.US-Price'</f>
        <v>#REF!</v>
      </c>
      <c r="I332" s="6" t="e">
        <f xml:space="preserve"> [1]!'MET.US-BestBid1'</f>
        <v>#REF!</v>
      </c>
      <c r="J332" s="6" t="e">
        <f xml:space="preserve"> [1]!'MET.US-BestAsk1'</f>
        <v>#REF!</v>
      </c>
      <c r="K332" s="93" t="e">
        <f t="shared" si="24"/>
        <v>#REF!</v>
      </c>
      <c r="L332" s="93" t="e">
        <f t="shared" si="25"/>
        <v>#REF!</v>
      </c>
      <c r="M332" s="96" t="e">
        <f t="shared" si="26"/>
        <v>#REF!</v>
      </c>
    </row>
    <row r="333" spans="1:13">
      <c r="A333" s="25" t="e">
        <f t="shared" si="23"/>
        <v>#REF!</v>
      </c>
      <c r="B333" s="300" t="s">
        <v>1509</v>
      </c>
      <c r="C333" s="26" t="s">
        <v>1068</v>
      </c>
      <c r="D333" s="26">
        <v>1</v>
      </c>
      <c r="E333" s="6" t="e">
        <f xml:space="preserve"> [1]!'MGM.US-PreClose'</f>
        <v>#REF!</v>
      </c>
      <c r="F333" s="6">
        <v>2081</v>
      </c>
      <c r="G333" s="74" t="e">
        <f t="shared" si="27"/>
        <v>#REF!</v>
      </c>
      <c r="H333" s="6" t="e">
        <f xml:space="preserve"> [1]!'MGM.US-Price'</f>
        <v>#REF!</v>
      </c>
      <c r="I333" s="6" t="e">
        <f xml:space="preserve"> [1]!'MGM.US-BestBid1'</f>
        <v>#REF!</v>
      </c>
      <c r="J333" s="6" t="e">
        <f xml:space="preserve"> [1]!'MGM.US-BestAsk1'</f>
        <v>#REF!</v>
      </c>
      <c r="K333" s="93" t="e">
        <f t="shared" si="24"/>
        <v>#REF!</v>
      </c>
      <c r="L333" s="93" t="e">
        <f t="shared" si="25"/>
        <v>#REF!</v>
      </c>
      <c r="M333" s="96" t="e">
        <f t="shared" si="26"/>
        <v>#REF!</v>
      </c>
    </row>
    <row r="334" spans="1:13">
      <c r="A334" s="25" t="e">
        <f t="shared" si="23"/>
        <v>#REF!</v>
      </c>
      <c r="B334" s="300" t="s">
        <v>1510</v>
      </c>
      <c r="C334" s="26" t="s">
        <v>1069</v>
      </c>
      <c r="D334" s="26">
        <v>1</v>
      </c>
      <c r="E334" s="6" t="e">
        <f xml:space="preserve"> [1]!'MHK.US-PreClose'</f>
        <v>#REF!</v>
      </c>
      <c r="F334" s="6">
        <v>272</v>
      </c>
      <c r="G334" s="74" t="e">
        <f t="shared" si="27"/>
        <v>#REF!</v>
      </c>
      <c r="H334" s="6" t="e">
        <f xml:space="preserve"> [1]!'MHK.US-Price'</f>
        <v>#REF!</v>
      </c>
      <c r="I334" s="6" t="e">
        <f xml:space="preserve"> [1]!'MHK.US-BestBid1'</f>
        <v>#REF!</v>
      </c>
      <c r="J334" s="6" t="e">
        <f xml:space="preserve"> [1]!'MHK.US-BestAsk1'</f>
        <v>#REF!</v>
      </c>
      <c r="K334" s="93" t="e">
        <f t="shared" si="24"/>
        <v>#REF!</v>
      </c>
      <c r="L334" s="93" t="e">
        <f t="shared" si="25"/>
        <v>#REF!</v>
      </c>
      <c r="M334" s="96" t="e">
        <f t="shared" si="26"/>
        <v>#REF!</v>
      </c>
    </row>
    <row r="335" spans="1:13">
      <c r="A335" s="25" t="e">
        <f t="shared" si="23"/>
        <v>#REF!</v>
      </c>
      <c r="B335" s="300" t="s">
        <v>1511</v>
      </c>
      <c r="C335" s="26" t="s">
        <v>1070</v>
      </c>
      <c r="D335" s="26">
        <v>1</v>
      </c>
      <c r="E335" s="6" t="e">
        <f xml:space="preserve"> [1]!'MKC.US-PreClose'</f>
        <v>#REF!</v>
      </c>
      <c r="F335" s="6">
        <v>512</v>
      </c>
      <c r="G335" s="74" t="e">
        <f t="shared" si="27"/>
        <v>#REF!</v>
      </c>
      <c r="H335" s="6" t="e">
        <f xml:space="preserve"> [1]!'MKC.US-Price'</f>
        <v>#REF!</v>
      </c>
      <c r="I335" s="6" t="e">
        <f xml:space="preserve"> [1]!'MKC.US-BestBid1'</f>
        <v>#REF!</v>
      </c>
      <c r="J335" s="6" t="e">
        <f xml:space="preserve"> [1]!'MKC.US-BestAsk1'</f>
        <v>#REF!</v>
      </c>
      <c r="K335" s="93" t="e">
        <f t="shared" si="24"/>
        <v>#REF!</v>
      </c>
      <c r="L335" s="93" t="e">
        <f t="shared" si="25"/>
        <v>#REF!</v>
      </c>
      <c r="M335" s="96" t="e">
        <f t="shared" si="26"/>
        <v>#REF!</v>
      </c>
    </row>
    <row r="336" spans="1:13">
      <c r="A336" s="25" t="e">
        <f t="shared" si="23"/>
        <v>#REF!</v>
      </c>
      <c r="B336" s="300" t="s">
        <v>1512</v>
      </c>
      <c r="C336" s="26" t="s">
        <v>1071</v>
      </c>
      <c r="D336" s="26">
        <v>1</v>
      </c>
      <c r="E336" s="6" t="e">
        <f xml:space="preserve"> [1]!'MLM.US-PreClose'</f>
        <v>#REF!</v>
      </c>
      <c r="F336" s="6">
        <v>271</v>
      </c>
      <c r="G336" s="74" t="e">
        <f t="shared" si="27"/>
        <v>#REF!</v>
      </c>
      <c r="H336" s="6" t="e">
        <f xml:space="preserve"> [1]!'MLM.US-Price'</f>
        <v>#REF!</v>
      </c>
      <c r="I336" s="6" t="e">
        <f xml:space="preserve"> [1]!'MLM.US-BestBid1'</f>
        <v>#REF!</v>
      </c>
      <c r="J336" s="6" t="e">
        <f xml:space="preserve"> [1]!'MLM.US-BestAsk1'</f>
        <v>#REF!</v>
      </c>
      <c r="K336" s="93" t="e">
        <f t="shared" si="24"/>
        <v>#REF!</v>
      </c>
      <c r="L336" s="93" t="e">
        <f t="shared" si="25"/>
        <v>#REF!</v>
      </c>
      <c r="M336" s="96" t="e">
        <f t="shared" si="26"/>
        <v>#REF!</v>
      </c>
    </row>
    <row r="337" spans="1:13">
      <c r="A337" s="25" t="e">
        <f t="shared" si="23"/>
        <v>#REF!</v>
      </c>
      <c r="B337" s="300" t="s">
        <v>1513</v>
      </c>
      <c r="C337" s="26" t="s">
        <v>1072</v>
      </c>
      <c r="D337" s="26">
        <v>1</v>
      </c>
      <c r="E337" s="6" t="e">
        <f xml:space="preserve"> [1]!'MMC.US-PreClose'</f>
        <v>#REF!</v>
      </c>
      <c r="F337" s="6">
        <v>2207</v>
      </c>
      <c r="G337" s="74" t="e">
        <f t="shared" si="27"/>
        <v>#REF!</v>
      </c>
      <c r="H337" s="6" t="e">
        <f xml:space="preserve"> [1]!'MMC.US-Price'</f>
        <v>#REF!</v>
      </c>
      <c r="I337" s="6" t="e">
        <f xml:space="preserve"> [1]!'MMC.US-BestBid1'</f>
        <v>#REF!</v>
      </c>
      <c r="J337" s="6" t="e">
        <f xml:space="preserve"> [1]!'MMC.US-BestAsk1'</f>
        <v>#REF!</v>
      </c>
      <c r="K337" s="93" t="e">
        <f t="shared" si="24"/>
        <v>#REF!</v>
      </c>
      <c r="L337" s="93" t="e">
        <f t="shared" si="25"/>
        <v>#REF!</v>
      </c>
      <c r="M337" s="96" t="e">
        <f t="shared" si="26"/>
        <v>#REF!</v>
      </c>
    </row>
    <row r="338" spans="1:13">
      <c r="A338" s="25" t="e">
        <f t="shared" si="23"/>
        <v>#VALUE!</v>
      </c>
      <c r="B338" s="300" t="s">
        <v>1514</v>
      </c>
      <c r="C338" s="26" t="s">
        <v>1073</v>
      </c>
      <c r="D338" s="26">
        <v>1</v>
      </c>
      <c r="E338" s="6" t="str">
        <f xml:space="preserve"> [1]!'MMM.US-PreClose'</f>
        <v>N/A</v>
      </c>
      <c r="F338" s="6">
        <v>2570</v>
      </c>
      <c r="G338" s="74" t="e">
        <f t="shared" si="27"/>
        <v>#VALUE!</v>
      </c>
      <c r="H338" s="6" t="str">
        <f xml:space="preserve"> [1]!'MMM.US-Price'</f>
        <v>N/A</v>
      </c>
      <c r="I338" s="6" t="str">
        <f xml:space="preserve"> [1]!'MMM.US-BestBid1'</f>
        <v>N/A</v>
      </c>
      <c r="J338" s="6" t="str">
        <f xml:space="preserve"> [1]!'MMM.US-BestAsk1'</f>
        <v>N/A</v>
      </c>
      <c r="K338" s="93" t="e">
        <f t="shared" si="24"/>
        <v>#VALUE!</v>
      </c>
      <c r="L338" s="93" t="e">
        <f t="shared" si="25"/>
        <v>#VALUE!</v>
      </c>
      <c r="M338" s="96" t="e">
        <f t="shared" si="26"/>
        <v>#VALUE!</v>
      </c>
    </row>
    <row r="339" spans="1:13">
      <c r="A339" s="25" t="e">
        <f t="shared" si="23"/>
        <v>#REF!</v>
      </c>
      <c r="B339" s="300" t="s">
        <v>1515</v>
      </c>
      <c r="C339" s="26" t="s">
        <v>535</v>
      </c>
      <c r="D339" s="26">
        <v>1</v>
      </c>
      <c r="E339" s="6" t="e">
        <f xml:space="preserve"> [1]!'MNST.US-PreClose'</f>
        <v>#REF!</v>
      </c>
      <c r="F339" s="6">
        <v>1737</v>
      </c>
      <c r="G339" s="74" t="e">
        <f t="shared" si="27"/>
        <v>#REF!</v>
      </c>
      <c r="H339" s="6" t="e">
        <f xml:space="preserve"> [1]!'MNST.US-Price'</f>
        <v>#REF!</v>
      </c>
      <c r="I339" s="6" t="e">
        <f xml:space="preserve"> [1]!'MNST.US-BestBid1'</f>
        <v>#REF!</v>
      </c>
      <c r="J339" s="6" t="e">
        <f xml:space="preserve"> [1]!'MNST.US-BestAsk1'</f>
        <v>#REF!</v>
      </c>
      <c r="K339" s="93" t="e">
        <f t="shared" si="24"/>
        <v>#REF!</v>
      </c>
      <c r="L339" s="93" t="e">
        <f t="shared" si="25"/>
        <v>#REF!</v>
      </c>
      <c r="M339" s="96" t="e">
        <f t="shared" si="26"/>
        <v>#REF!</v>
      </c>
    </row>
    <row r="340" spans="1:13">
      <c r="A340" s="25" t="e">
        <f t="shared" si="23"/>
        <v>#VALUE!</v>
      </c>
      <c r="B340" s="300" t="s">
        <v>1516</v>
      </c>
      <c r="C340" s="26" t="s">
        <v>613</v>
      </c>
      <c r="D340" s="26">
        <v>1</v>
      </c>
      <c r="E340" s="6" t="str">
        <f xml:space="preserve"> [1]!'MO.US-PreClose'</f>
        <v>N/A</v>
      </c>
      <c r="F340" s="6">
        <v>8262</v>
      </c>
      <c r="G340" s="74" t="e">
        <f t="shared" si="27"/>
        <v>#VALUE!</v>
      </c>
      <c r="H340" s="6" t="str">
        <f xml:space="preserve"> [1]!'MO.US-Price'</f>
        <v>N/A</v>
      </c>
      <c r="I340" s="6" t="str">
        <f xml:space="preserve"> [1]!'MO.US-BestBid1'</f>
        <v>N/A</v>
      </c>
      <c r="J340" s="6" t="str">
        <f xml:space="preserve"> [1]!'MO.US-BestAsk1'</f>
        <v>N/A</v>
      </c>
      <c r="K340" s="93" t="e">
        <f t="shared" si="24"/>
        <v>#VALUE!</v>
      </c>
      <c r="L340" s="93" t="e">
        <f t="shared" si="25"/>
        <v>#VALUE!</v>
      </c>
      <c r="M340" s="96" t="e">
        <f t="shared" si="26"/>
        <v>#VALUE!</v>
      </c>
    </row>
    <row r="341" spans="1:13">
      <c r="A341" s="25" t="e">
        <f t="shared" si="23"/>
        <v>#REF!</v>
      </c>
      <c r="B341" s="300" t="s">
        <v>1517</v>
      </c>
      <c r="C341" s="26" t="s">
        <v>1074</v>
      </c>
      <c r="D341" s="26">
        <v>1</v>
      </c>
      <c r="E341" s="6" t="e">
        <f xml:space="preserve"> [1]!'MON.US-PreClose'</f>
        <v>#REF!</v>
      </c>
      <c r="F341" s="6">
        <v>1892</v>
      </c>
      <c r="G341" s="74" t="e">
        <f t="shared" si="27"/>
        <v>#REF!</v>
      </c>
      <c r="H341" s="6" t="e">
        <f xml:space="preserve"> [1]!'MON.US-Price'</f>
        <v>#REF!</v>
      </c>
      <c r="I341" s="6" t="e">
        <f xml:space="preserve"> [1]!'MON.US-BestBid1'</f>
        <v>#REF!</v>
      </c>
      <c r="J341" s="6" t="e">
        <f xml:space="preserve"> [1]!'MON.US-BestAsk1'</f>
        <v>#REF!</v>
      </c>
      <c r="K341" s="93" t="e">
        <f t="shared" si="24"/>
        <v>#REF!</v>
      </c>
      <c r="L341" s="93" t="e">
        <f t="shared" si="25"/>
        <v>#REF!</v>
      </c>
      <c r="M341" s="96" t="e">
        <f t="shared" si="26"/>
        <v>#REF!</v>
      </c>
    </row>
    <row r="342" spans="1:13">
      <c r="A342" s="25" t="e">
        <f t="shared" si="23"/>
        <v>#REF!</v>
      </c>
      <c r="B342" s="300" t="s">
        <v>1518</v>
      </c>
      <c r="C342" s="26" t="s">
        <v>1075</v>
      </c>
      <c r="D342" s="26">
        <v>1</v>
      </c>
      <c r="E342" s="6" t="e">
        <f xml:space="preserve"> [1]!'MOS.US-PreClose'</f>
        <v>#REF!</v>
      </c>
      <c r="F342" s="6">
        <v>1512</v>
      </c>
      <c r="G342" s="74" t="e">
        <f t="shared" si="27"/>
        <v>#REF!</v>
      </c>
      <c r="H342" s="6" t="e">
        <f xml:space="preserve"> [1]!'MOS.US-Price'</f>
        <v>#REF!</v>
      </c>
      <c r="I342" s="6" t="e">
        <f xml:space="preserve"> [1]!'MOS.US-BestBid1'</f>
        <v>#REF!</v>
      </c>
      <c r="J342" s="6" t="e">
        <f xml:space="preserve"> [1]!'MOS.US-BestAsk1'</f>
        <v>#REF!</v>
      </c>
      <c r="K342" s="93" t="e">
        <f t="shared" si="24"/>
        <v>#REF!</v>
      </c>
      <c r="L342" s="93" t="e">
        <f t="shared" si="25"/>
        <v>#REF!</v>
      </c>
      <c r="M342" s="96" t="e">
        <f t="shared" si="26"/>
        <v>#REF!</v>
      </c>
    </row>
    <row r="343" spans="1:13">
      <c r="A343" s="25" t="e">
        <f t="shared" ref="A343:A406" si="28">G343/$C$6</f>
        <v>#REF!</v>
      </c>
      <c r="B343" s="300" t="s">
        <v>1519</v>
      </c>
      <c r="C343" s="26" t="s">
        <v>1076</v>
      </c>
      <c r="D343" s="26">
        <v>1</v>
      </c>
      <c r="E343" s="6" t="e">
        <f xml:space="preserve"> [1]!'MPC.US-PreClose'</f>
        <v>#REF!</v>
      </c>
      <c r="F343" s="6">
        <v>2181</v>
      </c>
      <c r="G343" s="74" t="e">
        <f t="shared" si="27"/>
        <v>#REF!</v>
      </c>
      <c r="H343" s="6" t="e">
        <f xml:space="preserve"> [1]!'MPC.US-Price'</f>
        <v>#REF!</v>
      </c>
      <c r="I343" s="6" t="e">
        <f xml:space="preserve"> [1]!'MPC.US-BestBid1'</f>
        <v>#REF!</v>
      </c>
      <c r="J343" s="6" t="e">
        <f xml:space="preserve"> [1]!'MPC.US-BestAsk1'</f>
        <v>#REF!</v>
      </c>
      <c r="K343" s="93" t="e">
        <f t="shared" ref="K343:K406" si="29">IF(ISNUMBER(H343)=TRUE,H343*F343*D343,E343*F343*D343)*$N$2</f>
        <v>#REF!</v>
      </c>
      <c r="L343" s="93" t="e">
        <f t="shared" ref="L343:L406" si="30">IF(ISNUMBER(I343)=TRUE,I343*F343*D343,E343*F343*D343)*$N$2</f>
        <v>#REF!</v>
      </c>
      <c r="M343" s="96" t="e">
        <f t="shared" ref="M343:M406" si="31">IF(ISNUMBER(J343)=TRUE,J343*F343*D343,E343*F343*D343)*$N$2</f>
        <v>#REF!</v>
      </c>
    </row>
    <row r="344" spans="1:13">
      <c r="A344" s="25" t="e">
        <f t="shared" si="28"/>
        <v>#VALUE!</v>
      </c>
      <c r="B344" s="300" t="s">
        <v>1520</v>
      </c>
      <c r="C344" s="26" t="s">
        <v>1077</v>
      </c>
      <c r="D344" s="26">
        <v>1</v>
      </c>
      <c r="E344" s="6" t="str">
        <f xml:space="preserve"> [1]!'MRK.US-PreClose'</f>
        <v>N/A</v>
      </c>
      <c r="F344" s="6">
        <v>11779</v>
      </c>
      <c r="G344" s="74" t="e">
        <f t="shared" si="27"/>
        <v>#VALUE!</v>
      </c>
      <c r="H344" s="6" t="str">
        <f xml:space="preserve"> [1]!'MRK.US-Price'</f>
        <v>N/A</v>
      </c>
      <c r="I344" s="6" t="str">
        <f xml:space="preserve"> [1]!'MRK.US-BestBid1'</f>
        <v>N/A</v>
      </c>
      <c r="J344" s="6" t="str">
        <f xml:space="preserve"> [1]!'MRK.US-BestAsk1'</f>
        <v>N/A</v>
      </c>
      <c r="K344" s="93" t="e">
        <f t="shared" si="29"/>
        <v>#VALUE!</v>
      </c>
      <c r="L344" s="93" t="e">
        <f t="shared" si="30"/>
        <v>#VALUE!</v>
      </c>
      <c r="M344" s="96" t="e">
        <f t="shared" si="31"/>
        <v>#VALUE!</v>
      </c>
    </row>
    <row r="345" spans="1:13">
      <c r="A345" s="25" t="e">
        <f t="shared" si="28"/>
        <v>#REF!</v>
      </c>
      <c r="B345" s="300" t="s">
        <v>1521</v>
      </c>
      <c r="C345" s="26" t="s">
        <v>1078</v>
      </c>
      <c r="D345" s="26">
        <v>1</v>
      </c>
      <c r="E345" s="6" t="e">
        <f xml:space="preserve"> [1]!'MRO.US-PreClose'</f>
        <v>#REF!</v>
      </c>
      <c r="F345" s="6">
        <v>3660</v>
      </c>
      <c r="G345" s="74" t="e">
        <f t="shared" ref="G345:G408" si="32">D345*E345*F345*$O$2</f>
        <v>#REF!</v>
      </c>
      <c r="H345" s="6" t="e">
        <f xml:space="preserve"> [1]!'MRO.US-Price'</f>
        <v>#REF!</v>
      </c>
      <c r="I345" s="6" t="e">
        <f xml:space="preserve"> [1]!'MRO.US-BestBid1'</f>
        <v>#REF!</v>
      </c>
      <c r="J345" s="6" t="e">
        <f xml:space="preserve"> [1]!'MRO.US-BestAsk1'</f>
        <v>#REF!</v>
      </c>
      <c r="K345" s="93" t="e">
        <f t="shared" si="29"/>
        <v>#REF!</v>
      </c>
      <c r="L345" s="93" t="e">
        <f t="shared" si="30"/>
        <v>#REF!</v>
      </c>
      <c r="M345" s="96" t="e">
        <f t="shared" si="31"/>
        <v>#REF!</v>
      </c>
    </row>
    <row r="346" spans="1:13">
      <c r="A346" s="25" t="e">
        <f t="shared" si="28"/>
        <v>#REF!</v>
      </c>
      <c r="B346" s="300" t="s">
        <v>1522</v>
      </c>
      <c r="C346" s="26" t="s">
        <v>614</v>
      </c>
      <c r="D346" s="26">
        <v>1</v>
      </c>
      <c r="E346" s="6" t="e">
        <f xml:space="preserve"> [1]!'MS.US-PreClose'</f>
        <v>#REF!</v>
      </c>
      <c r="F346" s="6">
        <v>6090</v>
      </c>
      <c r="G346" s="74" t="e">
        <f t="shared" si="32"/>
        <v>#REF!</v>
      </c>
      <c r="H346" s="6" t="e">
        <f xml:space="preserve"> [1]!'MS.US-Price'</f>
        <v>#REF!</v>
      </c>
      <c r="I346" s="6" t="e">
        <f xml:space="preserve"> [1]!'MS.US-BestBid1'</f>
        <v>#REF!</v>
      </c>
      <c r="J346" s="6" t="e">
        <f xml:space="preserve"> [1]!'MS.US-BestAsk1'</f>
        <v>#REF!</v>
      </c>
      <c r="K346" s="93" t="e">
        <f t="shared" si="29"/>
        <v>#REF!</v>
      </c>
      <c r="L346" s="93" t="e">
        <f t="shared" si="30"/>
        <v>#REF!</v>
      </c>
      <c r="M346" s="96" t="e">
        <f t="shared" si="31"/>
        <v>#REF!</v>
      </c>
    </row>
    <row r="347" spans="1:13">
      <c r="A347" s="25" t="e">
        <f t="shared" si="28"/>
        <v>#REF!</v>
      </c>
      <c r="B347" s="300" t="s">
        <v>1523</v>
      </c>
      <c r="C347" s="26" t="s">
        <v>536</v>
      </c>
      <c r="D347" s="26">
        <v>1</v>
      </c>
      <c r="E347" s="6" t="e">
        <f xml:space="preserve"> [1]!'MSFT.US-PreClose'</f>
        <v>#REF!</v>
      </c>
      <c r="F347" s="6">
        <v>33169</v>
      </c>
      <c r="G347" s="74" t="e">
        <f t="shared" si="32"/>
        <v>#REF!</v>
      </c>
      <c r="H347" s="6" t="e">
        <f xml:space="preserve"> [1]!'MSFT.US-Price'</f>
        <v>#REF!</v>
      </c>
      <c r="I347" s="6" t="e">
        <f xml:space="preserve"> [1]!'MSFT.US-BestBid1'</f>
        <v>#REF!</v>
      </c>
      <c r="J347" s="6" t="e">
        <f xml:space="preserve"> [1]!'MSFT.US-BestAsk1'</f>
        <v>#REF!</v>
      </c>
      <c r="K347" s="93" t="e">
        <f t="shared" si="29"/>
        <v>#REF!</v>
      </c>
      <c r="L347" s="93" t="e">
        <f t="shared" si="30"/>
        <v>#REF!</v>
      </c>
      <c r="M347" s="96" t="e">
        <f t="shared" si="31"/>
        <v>#REF!</v>
      </c>
    </row>
    <row r="348" spans="1:13">
      <c r="A348" s="25" t="e">
        <f t="shared" si="28"/>
        <v>#REF!</v>
      </c>
      <c r="B348" s="300" t="s">
        <v>1524</v>
      </c>
      <c r="C348" s="26" t="s">
        <v>1079</v>
      </c>
      <c r="D348" s="26">
        <v>1</v>
      </c>
      <c r="E348" s="6" t="e">
        <f xml:space="preserve"> [1]!'MSI.US-PreClose'</f>
        <v>#REF!</v>
      </c>
      <c r="F348" s="6">
        <v>700</v>
      </c>
      <c r="G348" s="74" t="e">
        <f t="shared" si="32"/>
        <v>#REF!</v>
      </c>
      <c r="H348" s="6" t="e">
        <f xml:space="preserve"> [1]!'MSI.US-Price'</f>
        <v>#REF!</v>
      </c>
      <c r="I348" s="6" t="e">
        <f xml:space="preserve"> [1]!'MSI.US-BestBid1'</f>
        <v>#REF!</v>
      </c>
      <c r="J348" s="6" t="e">
        <f xml:space="preserve"> [1]!'MSI.US-BestAsk1'</f>
        <v>#REF!</v>
      </c>
      <c r="K348" s="93" t="e">
        <f t="shared" si="29"/>
        <v>#REF!</v>
      </c>
      <c r="L348" s="93" t="e">
        <f t="shared" si="30"/>
        <v>#REF!</v>
      </c>
      <c r="M348" s="96" t="e">
        <f t="shared" si="31"/>
        <v>#REF!</v>
      </c>
    </row>
    <row r="349" spans="1:13">
      <c r="A349" s="25" t="e">
        <f t="shared" si="28"/>
        <v>#REF!</v>
      </c>
      <c r="B349" s="300" t="s">
        <v>1525</v>
      </c>
      <c r="C349" s="26" t="s">
        <v>1080</v>
      </c>
      <c r="D349" s="26">
        <v>1</v>
      </c>
      <c r="E349" s="6" t="e">
        <f xml:space="preserve"> [1]!'MTB.US-PreClose'</f>
        <v>#REF!</v>
      </c>
      <c r="F349" s="6">
        <v>655</v>
      </c>
      <c r="G349" s="74" t="e">
        <f t="shared" si="32"/>
        <v>#REF!</v>
      </c>
      <c r="H349" s="6" t="e">
        <f xml:space="preserve"> [1]!'MTB.US-Price'</f>
        <v>#REF!</v>
      </c>
      <c r="I349" s="6" t="e">
        <f xml:space="preserve"> [1]!'MTB.US-BestBid1'</f>
        <v>#REF!</v>
      </c>
      <c r="J349" s="6" t="e">
        <f xml:space="preserve"> [1]!'MTB.US-BestAsk1'</f>
        <v>#REF!</v>
      </c>
      <c r="K349" s="93" t="e">
        <f t="shared" si="29"/>
        <v>#REF!</v>
      </c>
      <c r="L349" s="93" t="e">
        <f t="shared" si="30"/>
        <v>#REF!</v>
      </c>
      <c r="M349" s="96" t="e">
        <f t="shared" si="31"/>
        <v>#REF!</v>
      </c>
    </row>
    <row r="350" spans="1:13">
      <c r="A350" s="25" t="e">
        <f t="shared" si="28"/>
        <v>#REF!</v>
      </c>
      <c r="B350" s="300" t="s">
        <v>1526</v>
      </c>
      <c r="C350" s="26" t="s">
        <v>1081</v>
      </c>
      <c r="D350" s="26">
        <v>1</v>
      </c>
      <c r="E350" s="6" t="e">
        <f xml:space="preserve"> [1]!'MTD.US-PreClose'</f>
        <v>#REF!</v>
      </c>
      <c r="F350" s="6">
        <v>111</v>
      </c>
      <c r="G350" s="74" t="e">
        <f t="shared" si="32"/>
        <v>#REF!</v>
      </c>
      <c r="H350" s="6" t="e">
        <f xml:space="preserve"> [1]!'MTD.US-Price'</f>
        <v>#REF!</v>
      </c>
      <c r="I350" s="6" t="e">
        <f xml:space="preserve"> [1]!'MTD.US-BestBid1'</f>
        <v>#REF!</v>
      </c>
      <c r="J350" s="6" t="e">
        <f xml:space="preserve"> [1]!'MTD.US-BestAsk1'</f>
        <v>#REF!</v>
      </c>
      <c r="K350" s="93" t="e">
        <f t="shared" si="29"/>
        <v>#REF!</v>
      </c>
      <c r="L350" s="93" t="e">
        <f t="shared" si="30"/>
        <v>#REF!</v>
      </c>
      <c r="M350" s="96" t="e">
        <f t="shared" si="31"/>
        <v>#REF!</v>
      </c>
    </row>
    <row r="351" spans="1:13">
      <c r="A351" s="25" t="e">
        <f t="shared" si="28"/>
        <v>#REF!</v>
      </c>
      <c r="B351" s="300" t="s">
        <v>1527</v>
      </c>
      <c r="C351" s="26" t="s">
        <v>615</v>
      </c>
      <c r="D351" s="26">
        <v>1</v>
      </c>
      <c r="E351" s="6" t="e">
        <f xml:space="preserve"> [1]!'MU.US-PreClose'</f>
        <v>#REF!</v>
      </c>
      <c r="F351" s="6">
        <v>4510</v>
      </c>
      <c r="G351" s="74" t="e">
        <f t="shared" si="32"/>
        <v>#REF!</v>
      </c>
      <c r="H351" s="6" t="e">
        <f xml:space="preserve"> [1]!'MU.US-Price'</f>
        <v>#REF!</v>
      </c>
      <c r="I351" s="6" t="e">
        <f xml:space="preserve"> [1]!'MU.US-BestBid1'</f>
        <v>#REF!</v>
      </c>
      <c r="J351" s="6" t="e">
        <f xml:space="preserve"> [1]!'MU.US-BestAsk1'</f>
        <v>#REF!</v>
      </c>
      <c r="K351" s="93" t="e">
        <f t="shared" si="29"/>
        <v>#REF!</v>
      </c>
      <c r="L351" s="93" t="e">
        <f t="shared" si="30"/>
        <v>#REF!</v>
      </c>
      <c r="M351" s="96" t="e">
        <f t="shared" si="31"/>
        <v>#REF!</v>
      </c>
    </row>
    <row r="352" spans="1:13">
      <c r="A352" s="25" t="e">
        <f t="shared" si="28"/>
        <v>#REF!</v>
      </c>
      <c r="B352" s="300" t="s">
        <v>1528</v>
      </c>
      <c r="C352" s="26" t="s">
        <v>1082</v>
      </c>
      <c r="D352" s="26">
        <v>1</v>
      </c>
      <c r="E352" s="6" t="e">
        <f xml:space="preserve"> [1]!'MYL.US-PreClose'</f>
        <v>#REF!</v>
      </c>
      <c r="F352" s="6">
        <v>1986</v>
      </c>
      <c r="G352" s="74" t="e">
        <f t="shared" si="32"/>
        <v>#REF!</v>
      </c>
      <c r="H352" s="6" t="e">
        <f xml:space="preserve"> [1]!'MYL.US-Price'</f>
        <v>#REF!</v>
      </c>
      <c r="I352" s="6" t="e">
        <f xml:space="preserve"> [1]!'MYL.US-BestBid1'</f>
        <v>#REF!</v>
      </c>
      <c r="J352" s="6" t="e">
        <f xml:space="preserve"> [1]!'MYL.US-BestAsk1'</f>
        <v>#REF!</v>
      </c>
      <c r="K352" s="93" t="e">
        <f t="shared" si="29"/>
        <v>#REF!</v>
      </c>
      <c r="L352" s="93" t="e">
        <f t="shared" si="30"/>
        <v>#REF!</v>
      </c>
      <c r="M352" s="96" t="e">
        <f t="shared" si="31"/>
        <v>#REF!</v>
      </c>
    </row>
    <row r="353" spans="1:13">
      <c r="A353" s="25" t="e">
        <f t="shared" si="28"/>
        <v>#REF!</v>
      </c>
      <c r="B353" s="300" t="s">
        <v>1529</v>
      </c>
      <c r="C353" s="26" t="s">
        <v>537</v>
      </c>
      <c r="D353" s="26">
        <v>1</v>
      </c>
      <c r="E353" s="6" t="e">
        <f xml:space="preserve"> [1]!'NAVI.US-PreClose'</f>
        <v>#REF!</v>
      </c>
      <c r="F353" s="6">
        <v>1181</v>
      </c>
      <c r="G353" s="74" t="e">
        <f t="shared" si="32"/>
        <v>#REF!</v>
      </c>
      <c r="H353" s="6" t="e">
        <f xml:space="preserve"> [1]!'NAVI.US-Price'</f>
        <v>#REF!</v>
      </c>
      <c r="I353" s="6" t="e">
        <f xml:space="preserve"> [1]!'NAVI.US-BestBid1'</f>
        <v>#REF!</v>
      </c>
      <c r="J353" s="6" t="e">
        <f xml:space="preserve"> [1]!'NAVI.US-BestAsk1'</f>
        <v>#REF!</v>
      </c>
      <c r="K353" s="93" t="e">
        <f t="shared" si="29"/>
        <v>#REF!</v>
      </c>
      <c r="L353" s="93" t="e">
        <f t="shared" si="30"/>
        <v>#REF!</v>
      </c>
      <c r="M353" s="96" t="e">
        <f t="shared" si="31"/>
        <v>#REF!</v>
      </c>
    </row>
    <row r="354" spans="1:13">
      <c r="A354" s="25" t="e">
        <f t="shared" si="28"/>
        <v>#REF!</v>
      </c>
      <c r="B354" s="300" t="s">
        <v>1530</v>
      </c>
      <c r="C354" s="26" t="s">
        <v>1083</v>
      </c>
      <c r="D354" s="26">
        <v>1</v>
      </c>
      <c r="E354" s="6" t="e">
        <f xml:space="preserve"> [1]!'NBL.US-PreClose'</f>
        <v>#REF!</v>
      </c>
      <c r="F354" s="6">
        <v>1970</v>
      </c>
      <c r="G354" s="74" t="e">
        <f t="shared" si="32"/>
        <v>#REF!</v>
      </c>
      <c r="H354" s="6" t="e">
        <f xml:space="preserve"> [1]!'NBL.US-Price'</f>
        <v>#REF!</v>
      </c>
      <c r="I354" s="6" t="e">
        <f xml:space="preserve"> [1]!'NBL.US-BestBid1'</f>
        <v>#REF!</v>
      </c>
      <c r="J354" s="6" t="e">
        <f xml:space="preserve"> [1]!'NBL.US-BestAsk1'</f>
        <v>#REF!</v>
      </c>
      <c r="K354" s="93" t="e">
        <f t="shared" si="29"/>
        <v>#REF!</v>
      </c>
      <c r="L354" s="93" t="e">
        <f t="shared" si="30"/>
        <v>#REF!</v>
      </c>
      <c r="M354" s="96" t="e">
        <f t="shared" si="31"/>
        <v>#REF!</v>
      </c>
    </row>
    <row r="355" spans="1:13">
      <c r="A355" s="25" t="e">
        <f t="shared" si="28"/>
        <v>#REF!</v>
      </c>
      <c r="B355" s="300" t="s">
        <v>1531</v>
      </c>
      <c r="C355" s="26" t="s">
        <v>538</v>
      </c>
      <c r="D355" s="26">
        <v>1</v>
      </c>
      <c r="E355" s="6" t="e">
        <f xml:space="preserve"> [1]!'NDAQ.US-PreClose'</f>
        <v>#REF!</v>
      </c>
      <c r="F355" s="6">
        <v>496</v>
      </c>
      <c r="G355" s="74" t="e">
        <f t="shared" si="32"/>
        <v>#REF!</v>
      </c>
      <c r="H355" s="6" t="e">
        <f xml:space="preserve"> [1]!'NDAQ.US-Price'</f>
        <v>#REF!</v>
      </c>
      <c r="I355" s="6" t="e">
        <f xml:space="preserve"> [1]!'NDAQ.US-BestBid1'</f>
        <v>#REF!</v>
      </c>
      <c r="J355" s="6" t="e">
        <f xml:space="preserve"> [1]!'NDAQ.US-BestAsk1'</f>
        <v>#REF!</v>
      </c>
      <c r="K355" s="93" t="e">
        <f t="shared" si="29"/>
        <v>#REF!</v>
      </c>
      <c r="L355" s="93" t="e">
        <f t="shared" si="30"/>
        <v>#REF!</v>
      </c>
      <c r="M355" s="96" t="e">
        <f t="shared" si="31"/>
        <v>#REF!</v>
      </c>
    </row>
    <row r="356" spans="1:13">
      <c r="A356" s="25" t="e">
        <f t="shared" si="28"/>
        <v>#REF!</v>
      </c>
      <c r="B356" s="300" t="s">
        <v>1532</v>
      </c>
      <c r="C356" s="26" t="s">
        <v>1084</v>
      </c>
      <c r="D356" s="26">
        <v>1</v>
      </c>
      <c r="E356" s="6" t="e">
        <f xml:space="preserve"> [1]!'NEE.US-PreClose'</f>
        <v>#REF!</v>
      </c>
      <c r="F356" s="6">
        <v>2016</v>
      </c>
      <c r="G356" s="74" t="e">
        <f t="shared" si="32"/>
        <v>#REF!</v>
      </c>
      <c r="H356" s="6" t="e">
        <f xml:space="preserve"> [1]!'NEE.US-Price'</f>
        <v>#REF!</v>
      </c>
      <c r="I356" s="6" t="e">
        <f xml:space="preserve"> [1]!'NEE.US-BestBid1'</f>
        <v>#REF!</v>
      </c>
      <c r="J356" s="6" t="e">
        <f xml:space="preserve"> [1]!'NEE.US-BestAsk1'</f>
        <v>#REF!</v>
      </c>
      <c r="K356" s="93" t="e">
        <f t="shared" si="29"/>
        <v>#REF!</v>
      </c>
      <c r="L356" s="93" t="e">
        <f t="shared" si="30"/>
        <v>#REF!</v>
      </c>
      <c r="M356" s="96" t="e">
        <f t="shared" si="31"/>
        <v>#REF!</v>
      </c>
    </row>
    <row r="357" spans="1:13">
      <c r="A357" s="25" t="e">
        <f t="shared" si="28"/>
        <v>#REF!</v>
      </c>
      <c r="B357" s="300" t="s">
        <v>1533</v>
      </c>
      <c r="C357" s="26" t="s">
        <v>1085</v>
      </c>
      <c r="D357" s="26">
        <v>1</v>
      </c>
      <c r="E357" s="6" t="e">
        <f xml:space="preserve"> [1]!'NEM.US-PreClose'</f>
        <v>#REF!</v>
      </c>
      <c r="F357" s="6">
        <v>2296</v>
      </c>
      <c r="G357" s="74" t="e">
        <f t="shared" si="32"/>
        <v>#REF!</v>
      </c>
      <c r="H357" s="6" t="e">
        <f xml:space="preserve"> [1]!'NEM.US-Price'</f>
        <v>#REF!</v>
      </c>
      <c r="I357" s="6" t="e">
        <f xml:space="preserve"> [1]!'NEM.US-BestBid1'</f>
        <v>#REF!</v>
      </c>
      <c r="J357" s="6" t="e">
        <f xml:space="preserve"> [1]!'NEM.US-BestAsk1'</f>
        <v>#REF!</v>
      </c>
      <c r="K357" s="93" t="e">
        <f t="shared" si="29"/>
        <v>#REF!</v>
      </c>
      <c r="L357" s="93" t="e">
        <f t="shared" si="30"/>
        <v>#REF!</v>
      </c>
      <c r="M357" s="96" t="e">
        <f t="shared" si="31"/>
        <v>#REF!</v>
      </c>
    </row>
    <row r="358" spans="1:13">
      <c r="A358" s="25" t="e">
        <f t="shared" si="28"/>
        <v>#REF!</v>
      </c>
      <c r="B358" s="300" t="s">
        <v>1534</v>
      </c>
      <c r="C358" s="26" t="s">
        <v>539</v>
      </c>
      <c r="D358" s="26">
        <v>1</v>
      </c>
      <c r="E358" s="6" t="e">
        <f xml:space="preserve"> [1]!'NFLX.US-PreClose'</f>
        <v>#REF!</v>
      </c>
      <c r="F358" s="6">
        <v>1859</v>
      </c>
      <c r="G358" s="74" t="e">
        <f t="shared" si="32"/>
        <v>#REF!</v>
      </c>
      <c r="H358" s="6" t="e">
        <f xml:space="preserve"> [1]!'NFLX.US-Price'</f>
        <v>#REF!</v>
      </c>
      <c r="I358" s="6" t="e">
        <f xml:space="preserve"> [1]!'NFLX.US-BestBid1'</f>
        <v>#REF!</v>
      </c>
      <c r="J358" s="6" t="e">
        <f xml:space="preserve"> [1]!'NFLX.US-BestAsk1'</f>
        <v>#REF!</v>
      </c>
      <c r="K358" s="93" t="e">
        <f t="shared" si="29"/>
        <v>#REF!</v>
      </c>
      <c r="L358" s="93" t="e">
        <f t="shared" si="30"/>
        <v>#REF!</v>
      </c>
      <c r="M358" s="96" t="e">
        <f t="shared" si="31"/>
        <v>#REF!</v>
      </c>
    </row>
    <row r="359" spans="1:13">
      <c r="A359" s="25" t="e">
        <f t="shared" si="28"/>
        <v>#REF!</v>
      </c>
      <c r="B359" s="300" t="s">
        <v>1535</v>
      </c>
      <c r="C359" s="26" t="s">
        <v>1086</v>
      </c>
      <c r="D359" s="26">
        <v>1</v>
      </c>
      <c r="E359" s="6" t="e">
        <f xml:space="preserve"> [1]!'NFX.US-PreClose'</f>
        <v>#REF!</v>
      </c>
      <c r="F359" s="6">
        <v>858</v>
      </c>
      <c r="G359" s="74" t="e">
        <f t="shared" si="32"/>
        <v>#REF!</v>
      </c>
      <c r="H359" s="6" t="e">
        <f xml:space="preserve"> [1]!'NFX.US-Price'</f>
        <v>#REF!</v>
      </c>
      <c r="I359" s="6" t="e">
        <f xml:space="preserve"> [1]!'NFX.US-BestBid1'</f>
        <v>#REF!</v>
      </c>
      <c r="J359" s="6" t="e">
        <f xml:space="preserve"> [1]!'NFX.US-BestAsk1'</f>
        <v>#REF!</v>
      </c>
      <c r="K359" s="93" t="e">
        <f t="shared" si="29"/>
        <v>#REF!</v>
      </c>
      <c r="L359" s="93" t="e">
        <f t="shared" si="30"/>
        <v>#REF!</v>
      </c>
      <c r="M359" s="96" t="e">
        <f t="shared" si="31"/>
        <v>#REF!</v>
      </c>
    </row>
    <row r="360" spans="1:13">
      <c r="A360" s="25" t="e">
        <f t="shared" si="28"/>
        <v>#REF!</v>
      </c>
      <c r="B360" s="300" t="s">
        <v>1536</v>
      </c>
      <c r="C360" s="26" t="s">
        <v>616</v>
      </c>
      <c r="D360" s="26">
        <v>1</v>
      </c>
      <c r="E360" s="6" t="e">
        <f xml:space="preserve"> [1]!'NI.US-PreClose'</f>
        <v>#REF!</v>
      </c>
      <c r="F360" s="6">
        <v>1403</v>
      </c>
      <c r="G360" s="74" t="e">
        <f t="shared" si="32"/>
        <v>#REF!</v>
      </c>
      <c r="H360" s="6" t="e">
        <f xml:space="preserve"> [1]!'NI.US-Price'</f>
        <v>#REF!</v>
      </c>
      <c r="I360" s="6" t="e">
        <f xml:space="preserve"> [1]!'NI.US-BestBid1'</f>
        <v>#REF!</v>
      </c>
      <c r="J360" s="6" t="e">
        <f xml:space="preserve"> [1]!'NI.US-BestAsk1'</f>
        <v>#REF!</v>
      </c>
      <c r="K360" s="93" t="e">
        <f t="shared" si="29"/>
        <v>#REF!</v>
      </c>
      <c r="L360" s="93" t="e">
        <f t="shared" si="30"/>
        <v>#REF!</v>
      </c>
      <c r="M360" s="96" t="e">
        <f t="shared" si="31"/>
        <v>#REF!</v>
      </c>
    </row>
    <row r="361" spans="1:13">
      <c r="A361" s="25" t="e">
        <f t="shared" si="28"/>
        <v>#VALUE!</v>
      </c>
      <c r="B361" s="300" t="s">
        <v>1537</v>
      </c>
      <c r="C361" s="26" t="s">
        <v>1087</v>
      </c>
      <c r="D361" s="26">
        <v>1</v>
      </c>
      <c r="E361" s="6" t="str">
        <f xml:space="preserve"> [1]!'NKE.US-PreClose'</f>
        <v>N/A</v>
      </c>
      <c r="F361" s="6">
        <v>5658</v>
      </c>
      <c r="G361" s="74" t="e">
        <f t="shared" si="32"/>
        <v>#VALUE!</v>
      </c>
      <c r="H361" s="6" t="str">
        <f xml:space="preserve"> [1]!'NKE.US-Price'</f>
        <v>N/A</v>
      </c>
      <c r="I361" s="6" t="str">
        <f xml:space="preserve"> [1]!'NKE.US-BestBid1'</f>
        <v>N/A</v>
      </c>
      <c r="J361" s="6" t="str">
        <f xml:space="preserve"> [1]!'NKE.US-BestAsk1'</f>
        <v>N/A</v>
      </c>
      <c r="K361" s="93" t="e">
        <f t="shared" si="29"/>
        <v>#VALUE!</v>
      </c>
      <c r="L361" s="93" t="e">
        <f t="shared" si="30"/>
        <v>#VALUE!</v>
      </c>
      <c r="M361" s="96" t="e">
        <f t="shared" si="31"/>
        <v>#VALUE!</v>
      </c>
    </row>
    <row r="362" spans="1:13">
      <c r="A362" s="25" t="e">
        <f t="shared" si="28"/>
        <v>#REF!</v>
      </c>
      <c r="B362" s="300" t="s">
        <v>1538</v>
      </c>
      <c r="C362" s="26" t="s">
        <v>1709</v>
      </c>
      <c r="D362" s="26">
        <v>1</v>
      </c>
      <c r="E362" s="6" t="e">
        <f xml:space="preserve"> [1]!'NLSN.US-PreClose'</f>
        <v>#REF!</v>
      </c>
      <c r="F362" s="6">
        <v>1446</v>
      </c>
      <c r="G362" s="74" t="e">
        <f t="shared" si="32"/>
        <v>#REF!</v>
      </c>
      <c r="H362" s="6" t="e">
        <f xml:space="preserve"> [1]!'NLSN.US-Price'</f>
        <v>#REF!</v>
      </c>
      <c r="I362" s="6" t="e">
        <f xml:space="preserve"> [1]!'NLSN.US-BestBid1'</f>
        <v>#REF!</v>
      </c>
      <c r="J362" s="6" t="e">
        <f xml:space="preserve"> [1]!'NLSN.US-BestAsk1'</f>
        <v>#REF!</v>
      </c>
      <c r="K362" s="93" t="e">
        <f t="shared" si="29"/>
        <v>#REF!</v>
      </c>
      <c r="L362" s="93" t="e">
        <f t="shared" si="30"/>
        <v>#REF!</v>
      </c>
      <c r="M362" s="96" t="e">
        <f t="shared" si="31"/>
        <v>#REF!</v>
      </c>
    </row>
    <row r="363" spans="1:13">
      <c r="A363" s="25" t="e">
        <f t="shared" si="28"/>
        <v>#REF!</v>
      </c>
      <c r="B363" s="300" t="s">
        <v>1539</v>
      </c>
      <c r="C363" s="26" t="s">
        <v>1710</v>
      </c>
      <c r="D363" s="26">
        <v>1</v>
      </c>
      <c r="E363" s="6" t="e">
        <f xml:space="preserve"> [1]!'NOC.US-PreClose'</f>
        <v>#REF!</v>
      </c>
      <c r="F363" s="6">
        <v>750</v>
      </c>
      <c r="G363" s="74" t="e">
        <f t="shared" si="32"/>
        <v>#REF!</v>
      </c>
      <c r="H363" s="6" t="e">
        <f xml:space="preserve"> [1]!'NOC.US-Price'</f>
        <v>#REF!</v>
      </c>
      <c r="I363" s="6" t="e">
        <f xml:space="preserve"> [1]!'NOC.US-BestBid1'</f>
        <v>#REF!</v>
      </c>
      <c r="J363" s="6" t="e">
        <f xml:space="preserve"> [1]!'NOC.US-BestAsk1'</f>
        <v>#REF!</v>
      </c>
      <c r="K363" s="93" t="e">
        <f t="shared" si="29"/>
        <v>#REF!</v>
      </c>
      <c r="L363" s="93" t="e">
        <f t="shared" si="30"/>
        <v>#REF!</v>
      </c>
      <c r="M363" s="96" t="e">
        <f t="shared" si="31"/>
        <v>#REF!</v>
      </c>
    </row>
    <row r="364" spans="1:13">
      <c r="A364" s="25" t="e">
        <f t="shared" si="28"/>
        <v>#REF!</v>
      </c>
      <c r="B364" s="300" t="s">
        <v>1540</v>
      </c>
      <c r="C364" s="26" t="s">
        <v>1088</v>
      </c>
      <c r="D364" s="26">
        <v>1</v>
      </c>
      <c r="E364" s="6" t="e">
        <f xml:space="preserve"> [1]!'NOV.US-PreClose'</f>
        <v>#REF!</v>
      </c>
      <c r="F364" s="6">
        <v>1637</v>
      </c>
      <c r="G364" s="74" t="e">
        <f t="shared" si="32"/>
        <v>#REF!</v>
      </c>
      <c r="H364" s="6" t="e">
        <f xml:space="preserve"> [1]!'NOV.US-Price'</f>
        <v>#REF!</v>
      </c>
      <c r="I364" s="6" t="e">
        <f xml:space="preserve"> [1]!'NOV.US-BestBid1'</f>
        <v>#REF!</v>
      </c>
      <c r="J364" s="6" t="e">
        <f xml:space="preserve"> [1]!'NOV.US-BestAsk1'</f>
        <v>#REF!</v>
      </c>
      <c r="K364" s="93" t="e">
        <f t="shared" si="29"/>
        <v>#REF!</v>
      </c>
      <c r="L364" s="93" t="e">
        <f t="shared" si="30"/>
        <v>#REF!</v>
      </c>
      <c r="M364" s="96" t="e">
        <f t="shared" si="31"/>
        <v>#REF!</v>
      </c>
    </row>
    <row r="365" spans="1:13">
      <c r="A365" s="25" t="e">
        <f t="shared" si="28"/>
        <v>#REF!</v>
      </c>
      <c r="B365" s="300" t="s">
        <v>1541</v>
      </c>
      <c r="C365" s="26" t="s">
        <v>1089</v>
      </c>
      <c r="D365" s="26">
        <v>1</v>
      </c>
      <c r="E365" s="6" t="e">
        <f xml:space="preserve"> [1]!'NRG.US-PreClose'</f>
        <v>#REF!</v>
      </c>
      <c r="F365" s="6">
        <v>1363</v>
      </c>
      <c r="G365" s="74" t="e">
        <f t="shared" si="32"/>
        <v>#REF!</v>
      </c>
      <c r="H365" s="6" t="e">
        <f xml:space="preserve"> [1]!'NRG.US-Price'</f>
        <v>#REF!</v>
      </c>
      <c r="I365" s="6" t="e">
        <f xml:space="preserve"> [1]!'NRG.US-BestBid1'</f>
        <v>#REF!</v>
      </c>
      <c r="J365" s="6" t="e">
        <f xml:space="preserve"> [1]!'NRG.US-BestAsk1'</f>
        <v>#REF!</v>
      </c>
      <c r="K365" s="93" t="e">
        <f t="shared" si="29"/>
        <v>#REF!</v>
      </c>
      <c r="L365" s="93" t="e">
        <f t="shared" si="30"/>
        <v>#REF!</v>
      </c>
      <c r="M365" s="96" t="e">
        <f t="shared" si="31"/>
        <v>#REF!</v>
      </c>
    </row>
    <row r="366" spans="1:13">
      <c r="A366" s="25" t="e">
        <f t="shared" si="28"/>
        <v>#REF!</v>
      </c>
      <c r="B366" s="300" t="s">
        <v>1542</v>
      </c>
      <c r="C366" s="26" t="s">
        <v>1090</v>
      </c>
      <c r="D366" s="26">
        <v>1</v>
      </c>
      <c r="E366" s="6" t="e">
        <f xml:space="preserve"> [1]!'NSC.US-PreClose'</f>
        <v>#REF!</v>
      </c>
      <c r="F366" s="6">
        <v>1241</v>
      </c>
      <c r="G366" s="74" t="e">
        <f t="shared" si="32"/>
        <v>#REF!</v>
      </c>
      <c r="H366" s="6" t="e">
        <f xml:space="preserve"> [1]!'NSC.US-Price'</f>
        <v>#REF!</v>
      </c>
      <c r="I366" s="6" t="e">
        <f xml:space="preserve"> [1]!'NSC.US-BestBid1'</f>
        <v>#REF!</v>
      </c>
      <c r="J366" s="6" t="e">
        <f xml:space="preserve"> [1]!'NSC.US-BestAsk1'</f>
        <v>#REF!</v>
      </c>
      <c r="K366" s="93" t="e">
        <f t="shared" si="29"/>
        <v>#REF!</v>
      </c>
      <c r="L366" s="93" t="e">
        <f t="shared" si="30"/>
        <v>#REF!</v>
      </c>
      <c r="M366" s="96" t="e">
        <f t="shared" si="31"/>
        <v>#REF!</v>
      </c>
    </row>
    <row r="367" spans="1:13">
      <c r="A367" s="25" t="e">
        <f t="shared" si="28"/>
        <v>#REF!</v>
      </c>
      <c r="B367" s="300" t="s">
        <v>1543</v>
      </c>
      <c r="C367" s="26" t="s">
        <v>540</v>
      </c>
      <c r="D367" s="26">
        <v>1</v>
      </c>
      <c r="E367" s="6" t="e">
        <f xml:space="preserve"> [1]!'NTAP.US-PreClose'</f>
        <v>#REF!</v>
      </c>
      <c r="F367" s="6">
        <v>1162</v>
      </c>
      <c r="G367" s="74" t="e">
        <f t="shared" si="32"/>
        <v>#REF!</v>
      </c>
      <c r="H367" s="6" t="e">
        <f xml:space="preserve"> [1]!'NTAP.US-Price'</f>
        <v>#REF!</v>
      </c>
      <c r="I367" s="6" t="e">
        <f xml:space="preserve"> [1]!'NTAP.US-BestBid1'</f>
        <v>#REF!</v>
      </c>
      <c r="J367" s="6" t="e">
        <f xml:space="preserve"> [1]!'NTAP.US-BestAsk1'</f>
        <v>#REF!</v>
      </c>
      <c r="K367" s="93" t="e">
        <f t="shared" si="29"/>
        <v>#REF!</v>
      </c>
      <c r="L367" s="93" t="e">
        <f t="shared" si="30"/>
        <v>#REF!</v>
      </c>
      <c r="M367" s="96" t="e">
        <f t="shared" si="31"/>
        <v>#REF!</v>
      </c>
    </row>
    <row r="368" spans="1:13">
      <c r="A368" s="25" t="e">
        <f t="shared" si="28"/>
        <v>#REF!</v>
      </c>
      <c r="B368" s="300" t="s">
        <v>1544</v>
      </c>
      <c r="C368" s="26" t="s">
        <v>541</v>
      </c>
      <c r="D368" s="26">
        <v>1</v>
      </c>
      <c r="E368" s="6" t="e">
        <f xml:space="preserve"> [1]!'NTRS.US-PreClose'</f>
        <v>#REF!</v>
      </c>
      <c r="F368" s="6">
        <v>925</v>
      </c>
      <c r="G368" s="74" t="e">
        <f t="shared" si="32"/>
        <v>#REF!</v>
      </c>
      <c r="H368" s="6" t="e">
        <f xml:space="preserve"> [1]!'NTRS.US-Price'</f>
        <v>#REF!</v>
      </c>
      <c r="I368" s="6" t="e">
        <f xml:space="preserve"> [1]!'NTRS.US-BestBid1'</f>
        <v>#REF!</v>
      </c>
      <c r="J368" s="6" t="e">
        <f xml:space="preserve"> [1]!'NTRS.US-BestAsk1'</f>
        <v>#REF!</v>
      </c>
      <c r="K368" s="93" t="e">
        <f t="shared" si="29"/>
        <v>#REF!</v>
      </c>
      <c r="L368" s="93" t="e">
        <f t="shared" si="30"/>
        <v>#REF!</v>
      </c>
      <c r="M368" s="96" t="e">
        <f t="shared" si="31"/>
        <v>#REF!</v>
      </c>
    </row>
    <row r="369" spans="1:13">
      <c r="A369" s="25" t="e">
        <f t="shared" si="28"/>
        <v>#REF!</v>
      </c>
      <c r="B369" s="300" t="s">
        <v>1545</v>
      </c>
      <c r="C369" s="26" t="s">
        <v>1091</v>
      </c>
      <c r="D369" s="26">
        <v>1</v>
      </c>
      <c r="E369" s="6" t="e">
        <f xml:space="preserve"> [1]!'NUE.US-PreClose'</f>
        <v>#REF!</v>
      </c>
      <c r="F369" s="6">
        <v>1376</v>
      </c>
      <c r="G369" s="74" t="e">
        <f t="shared" si="32"/>
        <v>#REF!</v>
      </c>
      <c r="H369" s="6" t="e">
        <f xml:space="preserve"> [1]!'NUE.US-Price'</f>
        <v>#REF!</v>
      </c>
      <c r="I369" s="6" t="e">
        <f xml:space="preserve"> [1]!'NUE.US-BestBid1'</f>
        <v>#REF!</v>
      </c>
      <c r="J369" s="6" t="e">
        <f xml:space="preserve"> [1]!'NUE.US-BestAsk1'</f>
        <v>#REF!</v>
      </c>
      <c r="K369" s="93" t="e">
        <f t="shared" si="29"/>
        <v>#REF!</v>
      </c>
      <c r="L369" s="93" t="e">
        <f t="shared" si="30"/>
        <v>#REF!</v>
      </c>
      <c r="M369" s="96" t="e">
        <f t="shared" si="31"/>
        <v>#REF!</v>
      </c>
    </row>
    <row r="370" spans="1:13">
      <c r="A370" s="25" t="e">
        <f t="shared" si="28"/>
        <v>#REF!</v>
      </c>
      <c r="B370" s="300" t="s">
        <v>1546</v>
      </c>
      <c r="C370" s="26" t="s">
        <v>542</v>
      </c>
      <c r="D370" s="26">
        <v>1</v>
      </c>
      <c r="E370" s="6" t="e">
        <f xml:space="preserve"> [1]!'NVDA.US-PreClose'</f>
        <v>#REF!</v>
      </c>
      <c r="F370" s="6">
        <v>2584</v>
      </c>
      <c r="G370" s="74" t="e">
        <f t="shared" si="32"/>
        <v>#REF!</v>
      </c>
      <c r="H370" s="6" t="e">
        <f xml:space="preserve"> [1]!'NVDA.US-Price'</f>
        <v>#REF!</v>
      </c>
      <c r="I370" s="6" t="e">
        <f xml:space="preserve"> [1]!'NVDA.US-BestBid1'</f>
        <v>#REF!</v>
      </c>
      <c r="J370" s="6" t="e">
        <f xml:space="preserve"> [1]!'NVDA.US-BestAsk1'</f>
        <v>#REF!</v>
      </c>
      <c r="K370" s="93" t="e">
        <f t="shared" si="29"/>
        <v>#REF!</v>
      </c>
      <c r="L370" s="93" t="e">
        <f t="shared" si="30"/>
        <v>#REF!</v>
      </c>
      <c r="M370" s="96" t="e">
        <f t="shared" si="31"/>
        <v>#REF!</v>
      </c>
    </row>
    <row r="371" spans="1:13">
      <c r="A371" s="25" t="e">
        <f t="shared" si="28"/>
        <v>#REF!</v>
      </c>
      <c r="B371" s="300" t="s">
        <v>1547</v>
      </c>
      <c r="C371" s="26" t="s">
        <v>1092</v>
      </c>
      <c r="D371" s="26">
        <v>1</v>
      </c>
      <c r="E371" s="6" t="e">
        <f xml:space="preserve"> [1]!'NWL.US-PreClose'</f>
        <v>#REF!</v>
      </c>
      <c r="F371" s="6">
        <v>2111</v>
      </c>
      <c r="G371" s="74" t="e">
        <f t="shared" si="32"/>
        <v>#REF!</v>
      </c>
      <c r="H371" s="6" t="e">
        <f xml:space="preserve"> [1]!'NWL.US-Price'</f>
        <v>#REF!</v>
      </c>
      <c r="I371" s="6" t="e">
        <f xml:space="preserve"> [1]!'NWL.US-BestBid1'</f>
        <v>#REF!</v>
      </c>
      <c r="J371" s="6" t="e">
        <f xml:space="preserve"> [1]!'NWL.US-BestAsk1'</f>
        <v>#REF!</v>
      </c>
      <c r="K371" s="93" t="e">
        <f t="shared" si="29"/>
        <v>#REF!</v>
      </c>
      <c r="L371" s="93" t="e">
        <f t="shared" si="30"/>
        <v>#REF!</v>
      </c>
      <c r="M371" s="96" t="e">
        <f t="shared" si="31"/>
        <v>#REF!</v>
      </c>
    </row>
    <row r="372" spans="1:13">
      <c r="A372" s="25" t="e">
        <f t="shared" si="28"/>
        <v>#REF!</v>
      </c>
      <c r="B372" s="300" t="s">
        <v>1548</v>
      </c>
      <c r="C372" s="26" t="s">
        <v>1093</v>
      </c>
      <c r="D372" s="26">
        <v>1</v>
      </c>
      <c r="E372" s="6" t="e">
        <f xml:space="preserve"> [1]!'NWS.US-PreClose'</f>
        <v>#REF!</v>
      </c>
      <c r="F372" s="6">
        <v>524</v>
      </c>
      <c r="G372" s="74" t="e">
        <f t="shared" si="32"/>
        <v>#REF!</v>
      </c>
      <c r="H372" s="6" t="e">
        <f xml:space="preserve"> [1]!'NWS.US-Price'</f>
        <v>#REF!</v>
      </c>
      <c r="I372" s="6" t="e">
        <f xml:space="preserve"> [1]!'NWS.US-BestBid1'</f>
        <v>#REF!</v>
      </c>
      <c r="J372" s="6" t="e">
        <f xml:space="preserve"> [1]!'NWS.US-BestAsk1'</f>
        <v>#REF!</v>
      </c>
      <c r="K372" s="93" t="e">
        <f t="shared" si="29"/>
        <v>#REF!</v>
      </c>
      <c r="L372" s="93" t="e">
        <f t="shared" si="30"/>
        <v>#REF!</v>
      </c>
      <c r="M372" s="96" t="e">
        <f t="shared" si="31"/>
        <v>#REF!</v>
      </c>
    </row>
    <row r="373" spans="1:13">
      <c r="A373" s="25" t="e">
        <f t="shared" si="28"/>
        <v>#REF!</v>
      </c>
      <c r="B373" s="300" t="s">
        <v>1549</v>
      </c>
      <c r="C373" s="26" t="s">
        <v>543</v>
      </c>
      <c r="D373" s="26">
        <v>1</v>
      </c>
      <c r="E373" s="6" t="e">
        <f xml:space="preserve"> [1]!'NWSA.US-PreClose'</f>
        <v>#REF!</v>
      </c>
      <c r="F373" s="6">
        <v>1646</v>
      </c>
      <c r="G373" s="74" t="e">
        <f t="shared" si="32"/>
        <v>#REF!</v>
      </c>
      <c r="H373" s="6" t="e">
        <f xml:space="preserve"> [1]!'NWSA.US-Price'</f>
        <v>#REF!</v>
      </c>
      <c r="I373" s="6" t="e">
        <f xml:space="preserve"> [1]!'NWSA.US-BestBid1'</f>
        <v>#REF!</v>
      </c>
      <c r="J373" s="6" t="e">
        <f xml:space="preserve"> [1]!'NWSA.US-BestAsk1'</f>
        <v>#REF!</v>
      </c>
      <c r="K373" s="93" t="e">
        <f t="shared" si="29"/>
        <v>#REF!</v>
      </c>
      <c r="L373" s="93" t="e">
        <f t="shared" si="30"/>
        <v>#REF!</v>
      </c>
      <c r="M373" s="96" t="e">
        <f t="shared" si="31"/>
        <v>#REF!</v>
      </c>
    </row>
    <row r="374" spans="1:13">
      <c r="A374" s="25" t="e">
        <f t="shared" si="28"/>
        <v>#VALUE!</v>
      </c>
      <c r="B374" s="300" t="s">
        <v>1550</v>
      </c>
      <c r="C374" s="26" t="s">
        <v>617</v>
      </c>
      <c r="D374" s="26">
        <v>1</v>
      </c>
      <c r="E374" s="6" t="str">
        <f xml:space="preserve"> [1]!'O.US-PreClose'</f>
        <v>N/A</v>
      </c>
      <c r="F374" s="6">
        <v>1180</v>
      </c>
      <c r="G374" s="74" t="e">
        <f t="shared" si="32"/>
        <v>#VALUE!</v>
      </c>
      <c r="H374" s="6" t="str">
        <f xml:space="preserve"> [1]!'O.US-Price'</f>
        <v>N/A</v>
      </c>
      <c r="I374" s="6" t="str">
        <f xml:space="preserve"> [1]!'O.US-BestBid1'</f>
        <v>N/A</v>
      </c>
      <c r="J374" s="6" t="str">
        <f xml:space="preserve"> [1]!'O.US-BestAsk1'</f>
        <v>N/A</v>
      </c>
      <c r="K374" s="93" t="e">
        <f t="shared" si="29"/>
        <v>#VALUE!</v>
      </c>
      <c r="L374" s="93" t="e">
        <f t="shared" si="30"/>
        <v>#VALUE!</v>
      </c>
      <c r="M374" s="96" t="e">
        <f t="shared" si="31"/>
        <v>#VALUE!</v>
      </c>
    </row>
    <row r="375" spans="1:13">
      <c r="A375" s="25" t="e">
        <f t="shared" si="28"/>
        <v>#REF!</v>
      </c>
      <c r="B375" s="300" t="s">
        <v>1551</v>
      </c>
      <c r="C375" s="26" t="s">
        <v>1094</v>
      </c>
      <c r="D375" s="26">
        <v>1</v>
      </c>
      <c r="E375" s="6" t="e">
        <f xml:space="preserve"> [1]!'OKE.US-PreClose'</f>
        <v>#REF!</v>
      </c>
      <c r="F375" s="6">
        <v>1636</v>
      </c>
      <c r="G375" s="74" t="e">
        <f t="shared" si="32"/>
        <v>#REF!</v>
      </c>
      <c r="H375" s="6" t="e">
        <f xml:space="preserve"> [1]!'OKE.US-Price'</f>
        <v>#REF!</v>
      </c>
      <c r="I375" s="6" t="e">
        <f xml:space="preserve"> [1]!'OKE.US-BestBid1'</f>
        <v>#REF!</v>
      </c>
      <c r="J375" s="6" t="e">
        <f xml:space="preserve"> [1]!'OKE.US-BestAsk1'</f>
        <v>#REF!</v>
      </c>
      <c r="K375" s="93" t="e">
        <f t="shared" si="29"/>
        <v>#REF!</v>
      </c>
      <c r="L375" s="93" t="e">
        <f t="shared" si="30"/>
        <v>#REF!</v>
      </c>
      <c r="M375" s="96" t="e">
        <f t="shared" si="31"/>
        <v>#REF!</v>
      </c>
    </row>
    <row r="376" spans="1:13">
      <c r="A376" s="25" t="e">
        <f t="shared" si="28"/>
        <v>#REF!</v>
      </c>
      <c r="B376" s="300" t="s">
        <v>1552</v>
      </c>
      <c r="C376" s="26" t="s">
        <v>1095</v>
      </c>
      <c r="D376" s="26">
        <v>1</v>
      </c>
      <c r="E376" s="6" t="e">
        <f xml:space="preserve"> [1]!'OMC.US-PreClose'</f>
        <v>#REF!</v>
      </c>
      <c r="F376" s="6">
        <v>994</v>
      </c>
      <c r="G376" s="74" t="e">
        <f t="shared" si="32"/>
        <v>#REF!</v>
      </c>
      <c r="H376" s="6" t="e">
        <f xml:space="preserve"> [1]!'OMC.US-Price'</f>
        <v>#REF!</v>
      </c>
      <c r="I376" s="6" t="e">
        <f xml:space="preserve"> [1]!'OMC.US-BestBid1'</f>
        <v>#REF!</v>
      </c>
      <c r="J376" s="6" t="e">
        <f xml:space="preserve"> [1]!'OMC.US-BestAsk1'</f>
        <v>#REF!</v>
      </c>
      <c r="K376" s="93" t="e">
        <f t="shared" si="29"/>
        <v>#REF!</v>
      </c>
      <c r="L376" s="93" t="e">
        <f t="shared" si="30"/>
        <v>#REF!</v>
      </c>
      <c r="M376" s="96" t="e">
        <f t="shared" si="31"/>
        <v>#REF!</v>
      </c>
    </row>
    <row r="377" spans="1:13">
      <c r="A377" s="25" t="e">
        <f t="shared" si="28"/>
        <v>#REF!</v>
      </c>
      <c r="B377" s="300" t="s">
        <v>1553</v>
      </c>
      <c r="C377" s="26" t="s">
        <v>544</v>
      </c>
      <c r="D377" s="26">
        <v>1</v>
      </c>
      <c r="E377" s="6" t="e">
        <f xml:space="preserve"> [1]!'ORCL.US-PreClose'</f>
        <v>#REF!</v>
      </c>
      <c r="F377" s="6">
        <v>13004</v>
      </c>
      <c r="G377" s="74" t="e">
        <f t="shared" si="32"/>
        <v>#REF!</v>
      </c>
      <c r="H377" s="6" t="e">
        <f xml:space="preserve"> [1]!'ORCL.US-Price'</f>
        <v>#REF!</v>
      </c>
      <c r="I377" s="6" t="e">
        <f xml:space="preserve"> [1]!'ORCL.US-BestBid1'</f>
        <v>#REF!</v>
      </c>
      <c r="J377" s="6" t="e">
        <f xml:space="preserve"> [1]!'ORCL.US-BestAsk1'</f>
        <v>#REF!</v>
      </c>
      <c r="K377" s="93" t="e">
        <f t="shared" si="29"/>
        <v>#REF!</v>
      </c>
      <c r="L377" s="93" t="e">
        <f t="shared" si="30"/>
        <v>#REF!</v>
      </c>
      <c r="M377" s="96" t="e">
        <f t="shared" si="31"/>
        <v>#REF!</v>
      </c>
    </row>
    <row r="378" spans="1:13">
      <c r="A378" s="25" t="e">
        <f t="shared" si="28"/>
        <v>#REF!</v>
      </c>
      <c r="B378" s="300" t="s">
        <v>1554</v>
      </c>
      <c r="C378" s="26" t="s">
        <v>545</v>
      </c>
      <c r="D378" s="26">
        <v>1</v>
      </c>
      <c r="E378" s="6" t="e">
        <f xml:space="preserve"> [1]!'ORLY.US-PreClose'</f>
        <v>#REF!</v>
      </c>
      <c r="F378" s="6">
        <v>380</v>
      </c>
      <c r="G378" s="74" t="e">
        <f t="shared" si="32"/>
        <v>#REF!</v>
      </c>
      <c r="H378" s="6" t="e">
        <f xml:space="preserve"> [1]!'ORLY.US-Price'</f>
        <v>#REF!</v>
      </c>
      <c r="I378" s="6" t="e">
        <f xml:space="preserve"> [1]!'ORLY.US-BestBid1'</f>
        <v>#REF!</v>
      </c>
      <c r="J378" s="6" t="e">
        <f xml:space="preserve"> [1]!'ORLY.US-BestAsk1'</f>
        <v>#REF!</v>
      </c>
      <c r="K378" s="93" t="e">
        <f t="shared" si="29"/>
        <v>#REF!</v>
      </c>
      <c r="L378" s="93" t="e">
        <f t="shared" si="30"/>
        <v>#REF!</v>
      </c>
      <c r="M378" s="96" t="e">
        <f t="shared" si="31"/>
        <v>#REF!</v>
      </c>
    </row>
    <row r="379" spans="1:13">
      <c r="A379" s="25" t="e">
        <f t="shared" si="28"/>
        <v>#VALUE!</v>
      </c>
      <c r="B379" s="300" t="s">
        <v>1555</v>
      </c>
      <c r="C379" s="26" t="s">
        <v>1096</v>
      </c>
      <c r="D379" s="26">
        <v>1</v>
      </c>
      <c r="E379" s="6" t="str">
        <f xml:space="preserve"> [1]!'OXY.US-PreClose'</f>
        <v>N/A</v>
      </c>
      <c r="F379" s="6">
        <v>3293</v>
      </c>
      <c r="G379" s="74" t="e">
        <f t="shared" si="32"/>
        <v>#VALUE!</v>
      </c>
      <c r="H379" s="6" t="str">
        <f xml:space="preserve"> [1]!'OXY.US-Price'</f>
        <v>N/A</v>
      </c>
      <c r="I379" s="6" t="str">
        <f xml:space="preserve"> [1]!'OXY.US-BestBid1'</f>
        <v>N/A</v>
      </c>
      <c r="J379" s="6" t="str">
        <f xml:space="preserve"> [1]!'OXY.US-BestAsk1'</f>
        <v>N/A</v>
      </c>
      <c r="K379" s="93" t="e">
        <f t="shared" si="29"/>
        <v>#VALUE!</v>
      </c>
      <c r="L379" s="93" t="e">
        <f t="shared" si="30"/>
        <v>#VALUE!</v>
      </c>
      <c r="M379" s="96" t="e">
        <f t="shared" si="31"/>
        <v>#VALUE!</v>
      </c>
    </row>
    <row r="380" spans="1:13">
      <c r="A380" s="25" t="e">
        <f t="shared" si="28"/>
        <v>#REF!</v>
      </c>
      <c r="B380" s="300" t="s">
        <v>1556</v>
      </c>
      <c r="C380" s="26" t="s">
        <v>546</v>
      </c>
      <c r="D380" s="26">
        <v>1</v>
      </c>
      <c r="E380" s="6" t="e">
        <f xml:space="preserve"> [1]!'PAYX.US-PreClose'</f>
        <v>#REF!</v>
      </c>
      <c r="F380" s="6">
        <v>1377</v>
      </c>
      <c r="G380" s="74" t="e">
        <f t="shared" si="32"/>
        <v>#REF!</v>
      </c>
      <c r="H380" s="6" t="e">
        <f xml:space="preserve"> [1]!'PAYX.US-Price'</f>
        <v>#REF!</v>
      </c>
      <c r="I380" s="6" t="e">
        <f xml:space="preserve"> [1]!'PAYX.US-BestBid1'</f>
        <v>#REF!</v>
      </c>
      <c r="J380" s="6" t="e">
        <f xml:space="preserve"> [1]!'PAYX.US-BestAsk1'</f>
        <v>#REF!</v>
      </c>
      <c r="K380" s="93" t="e">
        <f t="shared" si="29"/>
        <v>#REF!</v>
      </c>
      <c r="L380" s="93" t="e">
        <f t="shared" si="30"/>
        <v>#REF!</v>
      </c>
      <c r="M380" s="96" t="e">
        <f t="shared" si="31"/>
        <v>#REF!</v>
      </c>
    </row>
    <row r="381" spans="1:13">
      <c r="A381" s="25" t="e">
        <f t="shared" si="28"/>
        <v>#VALUE!</v>
      </c>
      <c r="B381" s="300" t="s">
        <v>1557</v>
      </c>
      <c r="C381" s="26" t="s">
        <v>547</v>
      </c>
      <c r="D381" s="26">
        <v>1</v>
      </c>
      <c r="E381" s="6" t="str">
        <f xml:space="preserve"> [1]!'PBCT.US-PreClose'</f>
        <v>N/A</v>
      </c>
      <c r="F381" s="6">
        <v>1483</v>
      </c>
      <c r="G381" s="74" t="e">
        <f t="shared" si="32"/>
        <v>#VALUE!</v>
      </c>
      <c r="H381" s="6" t="str">
        <f xml:space="preserve"> [1]!'PBCT.US-Price'</f>
        <v>N/A</v>
      </c>
      <c r="I381" s="6" t="str">
        <f xml:space="preserve"> [1]!'PBCT.US-BestBid1'</f>
        <v>N/A</v>
      </c>
      <c r="J381" s="6" t="str">
        <f xml:space="preserve"> [1]!'PBCT.US-BestAsk1'</f>
        <v>N/A</v>
      </c>
      <c r="K381" s="93" t="e">
        <f t="shared" si="29"/>
        <v>#VALUE!</v>
      </c>
      <c r="L381" s="93" t="e">
        <f t="shared" si="30"/>
        <v>#VALUE!</v>
      </c>
      <c r="M381" s="96" t="e">
        <f t="shared" si="31"/>
        <v>#VALUE!</v>
      </c>
    </row>
    <row r="382" spans="1:13">
      <c r="A382" s="25" t="e">
        <f t="shared" si="28"/>
        <v>#REF!</v>
      </c>
      <c r="B382" s="300" t="s">
        <v>1558</v>
      </c>
      <c r="C382" s="26" t="s">
        <v>548</v>
      </c>
      <c r="D382" s="26">
        <v>1</v>
      </c>
      <c r="E382" s="6" t="e">
        <f xml:space="preserve"> [1]!'PCAR.US-PreClose'</f>
        <v>#REF!</v>
      </c>
      <c r="F382" s="6">
        <v>1513</v>
      </c>
      <c r="G382" s="74" t="e">
        <f t="shared" si="32"/>
        <v>#REF!</v>
      </c>
      <c r="H382" s="6" t="e">
        <f xml:space="preserve"> [1]!'PCAR.US-Price'</f>
        <v>#REF!</v>
      </c>
      <c r="I382" s="6" t="e">
        <f xml:space="preserve"> [1]!'PCAR.US-BestBid1'</f>
        <v>#REF!</v>
      </c>
      <c r="J382" s="6" t="e">
        <f xml:space="preserve"> [1]!'PCAR.US-BestAsk1'</f>
        <v>#REF!</v>
      </c>
      <c r="K382" s="93" t="e">
        <f t="shared" si="29"/>
        <v>#REF!</v>
      </c>
      <c r="L382" s="93" t="e">
        <f t="shared" si="30"/>
        <v>#REF!</v>
      </c>
      <c r="M382" s="96" t="e">
        <f t="shared" si="31"/>
        <v>#REF!</v>
      </c>
    </row>
    <row r="383" spans="1:13">
      <c r="A383" s="25" t="e">
        <f t="shared" si="28"/>
        <v>#REF!</v>
      </c>
      <c r="B383" s="300" t="s">
        <v>1559</v>
      </c>
      <c r="C383" s="26" t="s">
        <v>1097</v>
      </c>
      <c r="D383" s="26">
        <v>1</v>
      </c>
      <c r="E383" s="6" t="e">
        <f xml:space="preserve"> [1]!'PCG.US-PreClose'</f>
        <v>#REF!</v>
      </c>
      <c r="F383" s="6">
        <v>2208</v>
      </c>
      <c r="G383" s="74" t="e">
        <f t="shared" si="32"/>
        <v>#REF!</v>
      </c>
      <c r="H383" s="6" t="e">
        <f xml:space="preserve"> [1]!'PCG.US-Price'</f>
        <v>#REF!</v>
      </c>
      <c r="I383" s="6" t="e">
        <f xml:space="preserve"> [1]!'PCG.US-BestBid1'</f>
        <v>#REF!</v>
      </c>
      <c r="J383" s="6" t="e">
        <f xml:space="preserve"> [1]!'PCG.US-BestAsk1'</f>
        <v>#REF!</v>
      </c>
      <c r="K383" s="93" t="e">
        <f t="shared" si="29"/>
        <v>#REF!</v>
      </c>
      <c r="L383" s="93" t="e">
        <f t="shared" si="30"/>
        <v>#REF!</v>
      </c>
      <c r="M383" s="96" t="e">
        <f t="shared" si="31"/>
        <v>#REF!</v>
      </c>
    </row>
    <row r="384" spans="1:13">
      <c r="A384" s="25" t="e">
        <f t="shared" si="28"/>
        <v>#REF!</v>
      </c>
      <c r="B384" s="300" t="s">
        <v>1560</v>
      </c>
      <c r="C384" s="26" t="s">
        <v>549</v>
      </c>
      <c r="D384" s="26">
        <v>1</v>
      </c>
      <c r="E384" s="6" t="e">
        <f xml:space="preserve"> [1]!'PCLN.US-PreClose'</f>
        <v>#REF!</v>
      </c>
      <c r="F384" s="6">
        <v>211</v>
      </c>
      <c r="G384" s="74" t="e">
        <f t="shared" si="32"/>
        <v>#REF!</v>
      </c>
      <c r="H384" s="6" t="e">
        <f xml:space="preserve"> [1]!'PCLN.US-Price'</f>
        <v>#REF!</v>
      </c>
      <c r="I384" s="6" t="e">
        <f xml:space="preserve"> [1]!'PCLN.US-BestBid1'</f>
        <v>#REF!</v>
      </c>
      <c r="J384" s="6" t="e">
        <f xml:space="preserve"> [1]!'PCLN.US-BestAsk1'</f>
        <v>#REF!</v>
      </c>
      <c r="K384" s="93" t="e">
        <f t="shared" si="29"/>
        <v>#REF!</v>
      </c>
      <c r="L384" s="93" t="e">
        <f t="shared" si="30"/>
        <v>#REF!</v>
      </c>
      <c r="M384" s="96" t="e">
        <f t="shared" si="31"/>
        <v>#REF!</v>
      </c>
    </row>
    <row r="385" spans="1:13">
      <c r="A385" s="25" t="e">
        <f t="shared" si="28"/>
        <v>#REF!</v>
      </c>
      <c r="B385" s="300" t="s">
        <v>1561</v>
      </c>
      <c r="C385" s="26" t="s">
        <v>550</v>
      </c>
      <c r="D385" s="26">
        <v>1</v>
      </c>
      <c r="E385" s="6" t="e">
        <f xml:space="preserve"> [1]!'PDCO.US-PreClose'</f>
        <v>#REF!</v>
      </c>
      <c r="F385" s="6">
        <v>347</v>
      </c>
      <c r="G385" s="74" t="e">
        <f t="shared" si="32"/>
        <v>#REF!</v>
      </c>
      <c r="H385" s="6" t="e">
        <f xml:space="preserve"> [1]!'PDCO.US-Price'</f>
        <v>#REF!</v>
      </c>
      <c r="I385" s="6" t="e">
        <f xml:space="preserve"> [1]!'PDCO.US-BestBid1'</f>
        <v>#REF!</v>
      </c>
      <c r="J385" s="6" t="e">
        <f xml:space="preserve"> [1]!'PDCO.US-BestAsk1'</f>
        <v>#REF!</v>
      </c>
      <c r="K385" s="93" t="e">
        <f t="shared" si="29"/>
        <v>#REF!</v>
      </c>
      <c r="L385" s="93" t="e">
        <f t="shared" si="30"/>
        <v>#REF!</v>
      </c>
      <c r="M385" s="96" t="e">
        <f t="shared" si="31"/>
        <v>#REF!</v>
      </c>
    </row>
    <row r="386" spans="1:13">
      <c r="A386" s="25" t="e">
        <f t="shared" si="28"/>
        <v>#VALUE!</v>
      </c>
      <c r="B386" s="300" t="s">
        <v>1562</v>
      </c>
      <c r="C386" s="26" t="s">
        <v>1098</v>
      </c>
      <c r="D386" s="26">
        <v>1</v>
      </c>
      <c r="E386" s="6" t="str">
        <f xml:space="preserve"> [1]!'PEG.US-PreClose'</f>
        <v>N/A</v>
      </c>
      <c r="F386" s="6">
        <v>2179</v>
      </c>
      <c r="G386" s="74" t="e">
        <f t="shared" si="32"/>
        <v>#VALUE!</v>
      </c>
      <c r="H386" s="6" t="str">
        <f xml:space="preserve"> [1]!'PEG.US-Price'</f>
        <v>N/A</v>
      </c>
      <c r="I386" s="6" t="str">
        <f xml:space="preserve"> [1]!'PEG.US-BestBid1'</f>
        <v>N/A</v>
      </c>
      <c r="J386" s="6" t="str">
        <f xml:space="preserve"> [1]!'PEG.US-BestAsk1'</f>
        <v>N/A</v>
      </c>
      <c r="K386" s="93" t="e">
        <f t="shared" si="29"/>
        <v>#VALUE!</v>
      </c>
      <c r="L386" s="93" t="e">
        <f t="shared" si="30"/>
        <v>#VALUE!</v>
      </c>
      <c r="M386" s="96" t="e">
        <f t="shared" si="31"/>
        <v>#VALUE!</v>
      </c>
    </row>
    <row r="387" spans="1:13">
      <c r="A387" s="25" t="e">
        <f t="shared" si="28"/>
        <v>#REF!</v>
      </c>
      <c r="B387" s="300" t="s">
        <v>1563</v>
      </c>
      <c r="C387" s="26" t="s">
        <v>1099</v>
      </c>
      <c r="D387" s="26">
        <v>1</v>
      </c>
      <c r="E387" s="6" t="e">
        <f xml:space="preserve"> [1]!'PEP.US-PreClose'</f>
        <v>#REF!</v>
      </c>
      <c r="F387" s="6">
        <v>6152</v>
      </c>
      <c r="G387" s="74" t="e">
        <f t="shared" si="32"/>
        <v>#REF!</v>
      </c>
      <c r="H387" s="6" t="e">
        <f xml:space="preserve"> [1]!'PEP.US-Price'</f>
        <v>#REF!</v>
      </c>
      <c r="I387" s="6" t="e">
        <f xml:space="preserve"> [1]!'PEP.US-BestBid1'</f>
        <v>#REF!</v>
      </c>
      <c r="J387" s="6" t="e">
        <f xml:space="preserve"> [1]!'PEP.US-BestAsk1'</f>
        <v>#REF!</v>
      </c>
      <c r="K387" s="93" t="e">
        <f t="shared" si="29"/>
        <v>#REF!</v>
      </c>
      <c r="L387" s="93" t="e">
        <f t="shared" si="30"/>
        <v>#REF!</v>
      </c>
      <c r="M387" s="96" t="e">
        <f t="shared" si="31"/>
        <v>#REF!</v>
      </c>
    </row>
    <row r="388" spans="1:13">
      <c r="A388" s="25" t="e">
        <f t="shared" si="28"/>
        <v>#VALUE!</v>
      </c>
      <c r="B388" s="300" t="s">
        <v>1564</v>
      </c>
      <c r="C388" s="26" t="s">
        <v>1100</v>
      </c>
      <c r="D388" s="26">
        <v>1</v>
      </c>
      <c r="E388" s="6" t="str">
        <f xml:space="preserve"> [1]!'PFE.US-PreClose'</f>
        <v>N/A</v>
      </c>
      <c r="F388" s="6">
        <v>25700</v>
      </c>
      <c r="G388" s="74" t="e">
        <f t="shared" si="32"/>
        <v>#VALUE!</v>
      </c>
      <c r="H388" s="6" t="str">
        <f xml:space="preserve"> [1]!'PFE.US-Price'</f>
        <v>N/A</v>
      </c>
      <c r="I388" s="6" t="str">
        <f xml:space="preserve"> [1]!'PFE.US-BestBid1'</f>
        <v>N/A</v>
      </c>
      <c r="J388" s="6" t="str">
        <f xml:space="preserve"> [1]!'PFE.US-BestAsk1'</f>
        <v>N/A</v>
      </c>
      <c r="K388" s="93" t="e">
        <f t="shared" si="29"/>
        <v>#VALUE!</v>
      </c>
      <c r="L388" s="93" t="e">
        <f t="shared" si="30"/>
        <v>#VALUE!</v>
      </c>
      <c r="M388" s="96" t="e">
        <f t="shared" si="31"/>
        <v>#VALUE!</v>
      </c>
    </row>
    <row r="389" spans="1:13">
      <c r="A389" s="25" t="e">
        <f t="shared" si="28"/>
        <v>#REF!</v>
      </c>
      <c r="B389" s="300" t="s">
        <v>1565</v>
      </c>
      <c r="C389" s="26" t="s">
        <v>1101</v>
      </c>
      <c r="D389" s="26">
        <v>1</v>
      </c>
      <c r="E389" s="6" t="e">
        <f xml:space="preserve"> [1]!'PFG.US-PreClose'</f>
        <v>#REF!</v>
      </c>
      <c r="F389" s="6">
        <v>1157</v>
      </c>
      <c r="G389" s="74" t="e">
        <f t="shared" si="32"/>
        <v>#REF!</v>
      </c>
      <c r="H389" s="6" t="e">
        <f xml:space="preserve"> [1]!'PFG.US-Price'</f>
        <v>#REF!</v>
      </c>
      <c r="I389" s="6" t="e">
        <f xml:space="preserve"> [1]!'PFG.US-BestBid1'</f>
        <v>#REF!</v>
      </c>
      <c r="J389" s="6" t="e">
        <f xml:space="preserve"> [1]!'PFG.US-BestAsk1'</f>
        <v>#REF!</v>
      </c>
      <c r="K389" s="93" t="e">
        <f t="shared" si="29"/>
        <v>#REF!</v>
      </c>
      <c r="L389" s="93" t="e">
        <f t="shared" si="30"/>
        <v>#REF!</v>
      </c>
      <c r="M389" s="96" t="e">
        <f t="shared" si="31"/>
        <v>#REF!</v>
      </c>
    </row>
    <row r="390" spans="1:13">
      <c r="A390" s="25" t="e">
        <f t="shared" si="28"/>
        <v>#VALUE!</v>
      </c>
      <c r="B390" s="300" t="s">
        <v>1566</v>
      </c>
      <c r="C390" s="26" t="s">
        <v>618</v>
      </c>
      <c r="D390" s="26">
        <v>1</v>
      </c>
      <c r="E390" s="6" t="str">
        <f xml:space="preserve"> [1]!'PG.US-PreClose'</f>
        <v>N/A</v>
      </c>
      <c r="F390" s="6">
        <v>10981</v>
      </c>
      <c r="G390" s="74" t="e">
        <f t="shared" si="32"/>
        <v>#VALUE!</v>
      </c>
      <c r="H390" s="6" t="str">
        <f xml:space="preserve"> [1]!'PG.US-Price'</f>
        <v>N/A</v>
      </c>
      <c r="I390" s="6" t="str">
        <f xml:space="preserve"> [1]!'PG.US-BestBid1'</f>
        <v>N/A</v>
      </c>
      <c r="J390" s="6" t="str">
        <f xml:space="preserve"> [1]!'PG.US-BestAsk1'</f>
        <v>N/A</v>
      </c>
      <c r="K390" s="93" t="e">
        <f t="shared" si="29"/>
        <v>#VALUE!</v>
      </c>
      <c r="L390" s="93" t="e">
        <f t="shared" si="30"/>
        <v>#VALUE!</v>
      </c>
      <c r="M390" s="96" t="e">
        <f t="shared" si="31"/>
        <v>#VALUE!</v>
      </c>
    </row>
    <row r="391" spans="1:13">
      <c r="A391" s="25" t="e">
        <f t="shared" si="28"/>
        <v>#REF!</v>
      </c>
      <c r="B391" s="300" t="s">
        <v>1567</v>
      </c>
      <c r="C391" s="26" t="s">
        <v>1102</v>
      </c>
      <c r="D391" s="26">
        <v>1</v>
      </c>
      <c r="E391" s="6" t="e">
        <f xml:space="preserve"> [1]!'PGR.US-PreClose'</f>
        <v>#REF!</v>
      </c>
      <c r="F391" s="6">
        <v>2506</v>
      </c>
      <c r="G391" s="74" t="e">
        <f t="shared" si="32"/>
        <v>#REF!</v>
      </c>
      <c r="H391" s="6" t="e">
        <f xml:space="preserve"> [1]!'PGR.US-Price'</f>
        <v>#REF!</v>
      </c>
      <c r="I391" s="6" t="e">
        <f xml:space="preserve"> [1]!'PGR.US-BestBid1'</f>
        <v>#REF!</v>
      </c>
      <c r="J391" s="6" t="e">
        <f xml:space="preserve"> [1]!'PGR.US-BestAsk1'</f>
        <v>#REF!</v>
      </c>
      <c r="K391" s="93" t="e">
        <f t="shared" si="29"/>
        <v>#REF!</v>
      </c>
      <c r="L391" s="93" t="e">
        <f t="shared" si="30"/>
        <v>#REF!</v>
      </c>
      <c r="M391" s="96" t="e">
        <f t="shared" si="31"/>
        <v>#REF!</v>
      </c>
    </row>
    <row r="392" spans="1:13">
      <c r="A392" s="25" t="e">
        <f t="shared" si="28"/>
        <v>#REF!</v>
      </c>
      <c r="B392" s="300" t="s">
        <v>1568</v>
      </c>
      <c r="C392" s="26" t="s">
        <v>619</v>
      </c>
      <c r="D392" s="26">
        <v>1</v>
      </c>
      <c r="E392" s="6" t="e">
        <f xml:space="preserve"> [1]!'PH.US-PreClose'</f>
        <v>#REF!</v>
      </c>
      <c r="F392" s="6">
        <v>573</v>
      </c>
      <c r="G392" s="74" t="e">
        <f t="shared" si="32"/>
        <v>#REF!</v>
      </c>
      <c r="H392" s="6" t="e">
        <f xml:space="preserve"> [1]!'PH.US-Price'</f>
        <v>#REF!</v>
      </c>
      <c r="I392" s="6" t="e">
        <f xml:space="preserve"> [1]!'PH.US-BestBid1'</f>
        <v>#REF!</v>
      </c>
      <c r="J392" s="6" t="e">
        <f xml:space="preserve"> [1]!'PH.US-BestAsk1'</f>
        <v>#REF!</v>
      </c>
      <c r="K392" s="93" t="e">
        <f t="shared" si="29"/>
        <v>#REF!</v>
      </c>
      <c r="L392" s="93" t="e">
        <f t="shared" si="30"/>
        <v>#REF!</v>
      </c>
      <c r="M392" s="96" t="e">
        <f t="shared" si="31"/>
        <v>#REF!</v>
      </c>
    </row>
    <row r="393" spans="1:13">
      <c r="A393" s="25" t="e">
        <f t="shared" si="28"/>
        <v>#REF!</v>
      </c>
      <c r="B393" s="300" t="s">
        <v>1569</v>
      </c>
      <c r="C393" s="26" t="s">
        <v>1103</v>
      </c>
      <c r="D393" s="26">
        <v>1</v>
      </c>
      <c r="E393" s="6" t="e">
        <f xml:space="preserve"> [1]!'PHM.US-PreClose'</f>
        <v>#REF!</v>
      </c>
      <c r="F393" s="6">
        <v>1170</v>
      </c>
      <c r="G393" s="74" t="e">
        <f t="shared" si="32"/>
        <v>#REF!</v>
      </c>
      <c r="H393" s="6" t="e">
        <f xml:space="preserve"> [1]!'PHM.US-Price'</f>
        <v>#REF!</v>
      </c>
      <c r="I393" s="6" t="e">
        <f xml:space="preserve"> [1]!'PHM.US-BestBid1'</f>
        <v>#REF!</v>
      </c>
      <c r="J393" s="6" t="e">
        <f xml:space="preserve"> [1]!'PHM.US-BestAsk1'</f>
        <v>#REF!</v>
      </c>
      <c r="K393" s="93" t="e">
        <f t="shared" si="29"/>
        <v>#REF!</v>
      </c>
      <c r="L393" s="93" t="e">
        <f t="shared" si="30"/>
        <v>#REF!</v>
      </c>
      <c r="M393" s="96" t="e">
        <f t="shared" si="31"/>
        <v>#REF!</v>
      </c>
    </row>
    <row r="394" spans="1:13">
      <c r="A394" s="25" t="e">
        <f t="shared" si="28"/>
        <v>#REF!</v>
      </c>
      <c r="B394" s="300" t="s">
        <v>1570</v>
      </c>
      <c r="C394" s="26" t="s">
        <v>1104</v>
      </c>
      <c r="D394" s="26">
        <v>1</v>
      </c>
      <c r="E394" s="6" t="e">
        <f xml:space="preserve"> [1]!'PKG.US-PreClose'</f>
        <v>#REF!</v>
      </c>
      <c r="F394" s="6">
        <v>406</v>
      </c>
      <c r="G394" s="74" t="e">
        <f t="shared" si="32"/>
        <v>#REF!</v>
      </c>
      <c r="H394" s="6" t="e">
        <f xml:space="preserve"> [1]!'PKG.US-Price'</f>
        <v>#REF!</v>
      </c>
      <c r="I394" s="6" t="e">
        <f xml:space="preserve"> [1]!'PKG.US-BestBid1'</f>
        <v>#REF!</v>
      </c>
      <c r="J394" s="6" t="e">
        <f xml:space="preserve"> [1]!'PKG.US-BestAsk1'</f>
        <v>#REF!</v>
      </c>
      <c r="K394" s="93" t="e">
        <f t="shared" si="29"/>
        <v>#REF!</v>
      </c>
      <c r="L394" s="93" t="e">
        <f t="shared" si="30"/>
        <v>#REF!</v>
      </c>
      <c r="M394" s="96" t="e">
        <f t="shared" si="31"/>
        <v>#REF!</v>
      </c>
    </row>
    <row r="395" spans="1:13">
      <c r="A395" s="25" t="e">
        <f t="shared" si="28"/>
        <v>#REF!</v>
      </c>
      <c r="B395" s="300" t="s">
        <v>1571</v>
      </c>
      <c r="C395" s="26" t="s">
        <v>1105</v>
      </c>
      <c r="D395" s="26">
        <v>1</v>
      </c>
      <c r="E395" s="6" t="e">
        <f xml:space="preserve"> [1]!'PKI.US-PreClose'</f>
        <v>#REF!</v>
      </c>
      <c r="F395" s="6">
        <v>475</v>
      </c>
      <c r="G395" s="74" t="e">
        <f t="shared" si="32"/>
        <v>#REF!</v>
      </c>
      <c r="H395" s="6" t="e">
        <f xml:space="preserve"> [1]!'PKI.US-Price'</f>
        <v>#REF!</v>
      </c>
      <c r="I395" s="6" t="e">
        <f xml:space="preserve"> [1]!'PKI.US-BestBid1'</f>
        <v>#REF!</v>
      </c>
      <c r="J395" s="6" t="e">
        <f xml:space="preserve"> [1]!'PKI.US-BestAsk1'</f>
        <v>#REF!</v>
      </c>
      <c r="K395" s="93" t="e">
        <f t="shared" si="29"/>
        <v>#REF!</v>
      </c>
      <c r="L395" s="93" t="e">
        <f t="shared" si="30"/>
        <v>#REF!</v>
      </c>
      <c r="M395" s="96" t="e">
        <f t="shared" si="31"/>
        <v>#REF!</v>
      </c>
    </row>
    <row r="396" spans="1:13">
      <c r="A396" s="25" t="e">
        <f t="shared" si="28"/>
        <v>#REF!</v>
      </c>
      <c r="B396" s="300" t="s">
        <v>1572</v>
      </c>
      <c r="C396" s="26" t="s">
        <v>1106</v>
      </c>
      <c r="D396" s="26">
        <v>1</v>
      </c>
      <c r="E396" s="6" t="e">
        <f xml:space="preserve"> [1]!'PLD.US-PreClose'</f>
        <v>#REF!</v>
      </c>
      <c r="F396" s="6">
        <v>2290</v>
      </c>
      <c r="G396" s="74" t="e">
        <f t="shared" si="32"/>
        <v>#REF!</v>
      </c>
      <c r="H396" s="6" t="e">
        <f xml:space="preserve"> [1]!'PLD.US-Price'</f>
        <v>#REF!</v>
      </c>
      <c r="I396" s="6" t="e">
        <f xml:space="preserve"> [1]!'PLD.US-BestBid1'</f>
        <v>#REF!</v>
      </c>
      <c r="J396" s="6" t="e">
        <f xml:space="preserve"> [1]!'PLD.US-BestAsk1'</f>
        <v>#REF!</v>
      </c>
      <c r="K396" s="93" t="e">
        <f t="shared" si="29"/>
        <v>#REF!</v>
      </c>
      <c r="L396" s="93" t="e">
        <f t="shared" si="30"/>
        <v>#REF!</v>
      </c>
      <c r="M396" s="96" t="e">
        <f t="shared" si="31"/>
        <v>#REF!</v>
      </c>
    </row>
    <row r="397" spans="1:13">
      <c r="A397" s="25" t="e">
        <f t="shared" si="28"/>
        <v>#VALUE!</v>
      </c>
      <c r="B397" s="300" t="s">
        <v>1573</v>
      </c>
      <c r="C397" s="26" t="s">
        <v>620</v>
      </c>
      <c r="D397" s="26">
        <v>1</v>
      </c>
      <c r="E397" s="6" t="str">
        <f xml:space="preserve"> [1]!'PM.US-PreClose'</f>
        <v>N/A</v>
      </c>
      <c r="F397" s="6">
        <v>6688</v>
      </c>
      <c r="G397" s="74" t="e">
        <f t="shared" si="32"/>
        <v>#VALUE!</v>
      </c>
      <c r="H397" s="6" t="str">
        <f xml:space="preserve"> [1]!'PM.US-Price'</f>
        <v>N/A</v>
      </c>
      <c r="I397" s="6" t="str">
        <f xml:space="preserve"> [1]!'PM.US-BestBid1'</f>
        <v>N/A</v>
      </c>
      <c r="J397" s="6" t="str">
        <f xml:space="preserve"> [1]!'PM.US-BestAsk1'</f>
        <v>N/A</v>
      </c>
      <c r="K397" s="93" t="e">
        <f t="shared" si="29"/>
        <v>#VALUE!</v>
      </c>
      <c r="L397" s="93" t="e">
        <f t="shared" si="30"/>
        <v>#VALUE!</v>
      </c>
      <c r="M397" s="96" t="e">
        <f t="shared" si="31"/>
        <v>#VALUE!</v>
      </c>
    </row>
    <row r="398" spans="1:13">
      <c r="A398" s="25" t="e">
        <f t="shared" si="28"/>
        <v>#REF!</v>
      </c>
      <c r="B398" s="300" t="s">
        <v>1574</v>
      </c>
      <c r="C398" s="26" t="s">
        <v>1107</v>
      </c>
      <c r="D398" s="26">
        <v>1</v>
      </c>
      <c r="E398" s="6" t="e">
        <f xml:space="preserve"> [1]!'PNC.US-PreClose'</f>
        <v>#REF!</v>
      </c>
      <c r="F398" s="6">
        <v>2064</v>
      </c>
      <c r="G398" s="74" t="e">
        <f t="shared" si="32"/>
        <v>#REF!</v>
      </c>
      <c r="H398" s="6" t="e">
        <f xml:space="preserve"> [1]!'PNC.US-Price'</f>
        <v>#REF!</v>
      </c>
      <c r="I398" s="6" t="e">
        <f xml:space="preserve"> [1]!'PNC.US-BestBid1'</f>
        <v>#REF!</v>
      </c>
      <c r="J398" s="6" t="e">
        <f xml:space="preserve"> [1]!'PNC.US-BestAsk1'</f>
        <v>#REF!</v>
      </c>
      <c r="K398" s="93" t="e">
        <f t="shared" si="29"/>
        <v>#REF!</v>
      </c>
      <c r="L398" s="93" t="e">
        <f t="shared" si="30"/>
        <v>#REF!</v>
      </c>
      <c r="M398" s="96" t="e">
        <f t="shared" si="31"/>
        <v>#REF!</v>
      </c>
    </row>
    <row r="399" spans="1:13">
      <c r="A399" s="25" t="e">
        <f t="shared" si="28"/>
        <v>#REF!</v>
      </c>
      <c r="B399" s="300" t="s">
        <v>1575</v>
      </c>
      <c r="C399" s="26" t="s">
        <v>1108</v>
      </c>
      <c r="D399" s="26">
        <v>1</v>
      </c>
      <c r="E399" s="6" t="e">
        <f xml:space="preserve"> [1]!'PNR.US-PreClose'</f>
        <v>#REF!</v>
      </c>
      <c r="F399" s="6">
        <v>719</v>
      </c>
      <c r="G399" s="74" t="e">
        <f t="shared" si="32"/>
        <v>#REF!</v>
      </c>
      <c r="H399" s="6" t="e">
        <f xml:space="preserve"> [1]!'PNR.US-Price'</f>
        <v>#REF!</v>
      </c>
      <c r="I399" s="6" t="e">
        <f xml:space="preserve"> [1]!'PNR.US-BestBid1'</f>
        <v>#REF!</v>
      </c>
      <c r="J399" s="6" t="e">
        <f xml:space="preserve"> [1]!'PNR.US-BestAsk1'</f>
        <v>#REF!</v>
      </c>
      <c r="K399" s="93" t="e">
        <f t="shared" si="29"/>
        <v>#REF!</v>
      </c>
      <c r="L399" s="93" t="e">
        <f t="shared" si="30"/>
        <v>#REF!</v>
      </c>
      <c r="M399" s="96" t="e">
        <f t="shared" si="31"/>
        <v>#REF!</v>
      </c>
    </row>
    <row r="400" spans="1:13">
      <c r="A400" s="25" t="e">
        <f t="shared" si="28"/>
        <v>#REF!</v>
      </c>
      <c r="B400" s="300" t="s">
        <v>1576</v>
      </c>
      <c r="C400" s="26" t="s">
        <v>1109</v>
      </c>
      <c r="D400" s="26">
        <v>1</v>
      </c>
      <c r="E400" s="6" t="e">
        <f xml:space="preserve"> [1]!'PNW.US-PreClose'</f>
        <v>#REF!</v>
      </c>
      <c r="F400" s="6">
        <v>481</v>
      </c>
      <c r="G400" s="74" t="e">
        <f t="shared" si="32"/>
        <v>#REF!</v>
      </c>
      <c r="H400" s="6" t="e">
        <f xml:space="preserve"> [1]!'PNW.US-Price'</f>
        <v>#REF!</v>
      </c>
      <c r="I400" s="6" t="e">
        <f xml:space="preserve"> [1]!'PNW.US-BestBid1'</f>
        <v>#REF!</v>
      </c>
      <c r="J400" s="6" t="e">
        <f xml:space="preserve"> [1]!'PNW.US-BestAsk1'</f>
        <v>#REF!</v>
      </c>
      <c r="K400" s="93" t="e">
        <f t="shared" si="29"/>
        <v>#REF!</v>
      </c>
      <c r="L400" s="93" t="e">
        <f t="shared" si="30"/>
        <v>#REF!</v>
      </c>
      <c r="M400" s="96" t="e">
        <f t="shared" si="31"/>
        <v>#REF!</v>
      </c>
    </row>
    <row r="401" spans="1:13">
      <c r="A401" s="25" t="e">
        <f t="shared" si="28"/>
        <v>#REF!</v>
      </c>
      <c r="B401" s="300" t="s">
        <v>1577</v>
      </c>
      <c r="C401" s="26" t="s">
        <v>1110</v>
      </c>
      <c r="D401" s="26">
        <v>1</v>
      </c>
      <c r="E401" s="6" t="e">
        <f xml:space="preserve"> [1]!'PPG.US-PreClose'</f>
        <v>#REF!</v>
      </c>
      <c r="F401" s="6">
        <v>1105</v>
      </c>
      <c r="G401" s="74" t="e">
        <f t="shared" si="32"/>
        <v>#REF!</v>
      </c>
      <c r="H401" s="6" t="e">
        <f xml:space="preserve"> [1]!'PPG.US-Price'</f>
        <v>#REF!</v>
      </c>
      <c r="I401" s="6" t="e">
        <f xml:space="preserve"> [1]!'PPG.US-BestBid1'</f>
        <v>#REF!</v>
      </c>
      <c r="J401" s="6" t="e">
        <f xml:space="preserve"> [1]!'PPG.US-BestAsk1'</f>
        <v>#REF!</v>
      </c>
      <c r="K401" s="93" t="e">
        <f t="shared" si="29"/>
        <v>#REF!</v>
      </c>
      <c r="L401" s="93" t="e">
        <f t="shared" si="30"/>
        <v>#REF!</v>
      </c>
      <c r="M401" s="96" t="e">
        <f t="shared" si="31"/>
        <v>#REF!</v>
      </c>
    </row>
    <row r="402" spans="1:13">
      <c r="A402" s="25" t="e">
        <f t="shared" si="28"/>
        <v>#VALUE!</v>
      </c>
      <c r="B402" s="300" t="s">
        <v>1578</v>
      </c>
      <c r="C402" s="26" t="s">
        <v>1111</v>
      </c>
      <c r="D402" s="26">
        <v>1</v>
      </c>
      <c r="E402" s="6" t="str">
        <f xml:space="preserve"> [1]!'PPL.US-PreClose'</f>
        <v>N/A</v>
      </c>
      <c r="F402" s="6">
        <v>2942</v>
      </c>
      <c r="G402" s="74" t="e">
        <f t="shared" si="32"/>
        <v>#VALUE!</v>
      </c>
      <c r="H402" s="6" t="str">
        <f xml:space="preserve"> [1]!'PPL.US-Price'</f>
        <v>N/A</v>
      </c>
      <c r="I402" s="6" t="str">
        <f xml:space="preserve"> [1]!'PPL.US-BestBid1'</f>
        <v>N/A</v>
      </c>
      <c r="J402" s="6" t="str">
        <f xml:space="preserve"> [1]!'PPL.US-BestAsk1'</f>
        <v>N/A</v>
      </c>
      <c r="K402" s="93" t="e">
        <f t="shared" si="29"/>
        <v>#VALUE!</v>
      </c>
      <c r="L402" s="93" t="e">
        <f t="shared" si="30"/>
        <v>#VALUE!</v>
      </c>
      <c r="M402" s="96" t="e">
        <f t="shared" si="31"/>
        <v>#VALUE!</v>
      </c>
    </row>
    <row r="403" spans="1:13">
      <c r="A403" s="25" t="e">
        <f t="shared" si="28"/>
        <v>#REF!</v>
      </c>
      <c r="B403" s="300" t="s">
        <v>1579</v>
      </c>
      <c r="C403" s="26" t="s">
        <v>551</v>
      </c>
      <c r="D403" s="26">
        <v>1</v>
      </c>
      <c r="E403" s="6" t="e">
        <f xml:space="preserve"> [1]!'PRGO.US-PreClose'</f>
        <v>#REF!</v>
      </c>
      <c r="F403" s="6">
        <v>614</v>
      </c>
      <c r="G403" s="74" t="e">
        <f t="shared" si="32"/>
        <v>#REF!</v>
      </c>
      <c r="H403" s="6" t="e">
        <f xml:space="preserve"> [1]!'PRGO.US-Price'</f>
        <v>#REF!</v>
      </c>
      <c r="I403" s="6" t="e">
        <f xml:space="preserve"> [1]!'PRGO.US-BestBid1'</f>
        <v>#REF!</v>
      </c>
      <c r="J403" s="6" t="e">
        <f xml:space="preserve"> [1]!'PRGO.US-BestAsk1'</f>
        <v>#REF!</v>
      </c>
      <c r="K403" s="93" t="e">
        <f t="shared" si="29"/>
        <v>#REF!</v>
      </c>
      <c r="L403" s="93" t="e">
        <f t="shared" si="30"/>
        <v>#REF!</v>
      </c>
      <c r="M403" s="96" t="e">
        <f t="shared" si="31"/>
        <v>#REF!</v>
      </c>
    </row>
    <row r="404" spans="1:13">
      <c r="A404" s="25" t="e">
        <f t="shared" si="28"/>
        <v>#REF!</v>
      </c>
      <c r="B404" s="300" t="s">
        <v>1580</v>
      </c>
      <c r="C404" s="26" t="s">
        <v>1112</v>
      </c>
      <c r="D404" s="26">
        <v>1</v>
      </c>
      <c r="E404" s="6" t="e">
        <f xml:space="preserve"> [1]!'PRU.US-PreClose'</f>
        <v>#REF!</v>
      </c>
      <c r="F404" s="6">
        <v>1839</v>
      </c>
      <c r="G404" s="74" t="e">
        <f t="shared" si="32"/>
        <v>#REF!</v>
      </c>
      <c r="H404" s="6" t="e">
        <f xml:space="preserve"> [1]!'PRU.US-Price'</f>
        <v>#REF!</v>
      </c>
      <c r="I404" s="6" t="e">
        <f xml:space="preserve"> [1]!'PRU.US-BestBid1'</f>
        <v>#REF!</v>
      </c>
      <c r="J404" s="6" t="e">
        <f xml:space="preserve"> [1]!'PRU.US-BestAsk1'</f>
        <v>#REF!</v>
      </c>
      <c r="K404" s="93" t="e">
        <f t="shared" si="29"/>
        <v>#REF!</v>
      </c>
      <c r="L404" s="93" t="e">
        <f t="shared" si="30"/>
        <v>#REF!</v>
      </c>
      <c r="M404" s="96" t="e">
        <f t="shared" si="31"/>
        <v>#REF!</v>
      </c>
    </row>
    <row r="405" spans="1:13">
      <c r="A405" s="25" t="e">
        <f t="shared" si="28"/>
        <v>#REF!</v>
      </c>
      <c r="B405" s="300" t="s">
        <v>1581</v>
      </c>
      <c r="C405" s="26" t="s">
        <v>1113</v>
      </c>
      <c r="D405" s="26">
        <v>1</v>
      </c>
      <c r="E405" s="6" t="e">
        <f xml:space="preserve"> [1]!'PSA.US-PreClose'</f>
        <v>#REF!</v>
      </c>
      <c r="F405" s="6">
        <v>644</v>
      </c>
      <c r="G405" s="74" t="e">
        <f t="shared" si="32"/>
        <v>#REF!</v>
      </c>
      <c r="H405" s="6" t="e">
        <f xml:space="preserve"> [1]!'PSA.US-Price'</f>
        <v>#REF!</v>
      </c>
      <c r="I405" s="6" t="e">
        <f xml:space="preserve"> [1]!'PSA.US-BestBid1'</f>
        <v>#REF!</v>
      </c>
      <c r="J405" s="6" t="e">
        <f xml:space="preserve"> [1]!'PSA.US-BestAsk1'</f>
        <v>#REF!</v>
      </c>
      <c r="K405" s="93" t="e">
        <f t="shared" si="29"/>
        <v>#REF!</v>
      </c>
      <c r="L405" s="93" t="e">
        <f t="shared" si="30"/>
        <v>#REF!</v>
      </c>
      <c r="M405" s="96" t="e">
        <f t="shared" si="31"/>
        <v>#REF!</v>
      </c>
    </row>
    <row r="406" spans="1:13">
      <c r="A406" s="25" t="e">
        <f t="shared" si="28"/>
        <v>#VALUE!</v>
      </c>
      <c r="B406" s="300" t="s">
        <v>1582</v>
      </c>
      <c r="C406" s="26" t="s">
        <v>1114</v>
      </c>
      <c r="D406" s="26">
        <v>1</v>
      </c>
      <c r="E406" s="6" t="str">
        <f xml:space="preserve"> [1]!'PSX.US-PreClose'</f>
        <v>N/A</v>
      </c>
      <c r="F406" s="6">
        <v>1872</v>
      </c>
      <c r="G406" s="74" t="e">
        <f t="shared" si="32"/>
        <v>#VALUE!</v>
      </c>
      <c r="H406" s="6" t="str">
        <f xml:space="preserve"> [1]!'PSX.US-Price'</f>
        <v>N/A</v>
      </c>
      <c r="I406" s="6" t="str">
        <f xml:space="preserve"> [1]!'PSX.US-BestBid1'</f>
        <v>N/A</v>
      </c>
      <c r="J406" s="6" t="str">
        <f xml:space="preserve"> [1]!'PSX.US-BestAsk1'</f>
        <v>N/A</v>
      </c>
      <c r="K406" s="93" t="e">
        <f t="shared" si="29"/>
        <v>#VALUE!</v>
      </c>
      <c r="L406" s="93" t="e">
        <f t="shared" si="30"/>
        <v>#VALUE!</v>
      </c>
      <c r="M406" s="96" t="e">
        <f t="shared" si="31"/>
        <v>#VALUE!</v>
      </c>
    </row>
    <row r="407" spans="1:13">
      <c r="A407" s="25" t="e">
        <f t="shared" ref="A407:A470" si="33">G407/$C$6</f>
        <v>#REF!</v>
      </c>
      <c r="B407" s="300" t="s">
        <v>1583</v>
      </c>
      <c r="C407" s="26" t="s">
        <v>1115</v>
      </c>
      <c r="D407" s="26">
        <v>1</v>
      </c>
      <c r="E407" s="6" t="e">
        <f xml:space="preserve"> [1]!'PVH.US-PreClose'</f>
        <v>#REF!</v>
      </c>
      <c r="F407" s="6">
        <v>333</v>
      </c>
      <c r="G407" s="74" t="e">
        <f t="shared" si="32"/>
        <v>#REF!</v>
      </c>
      <c r="H407" s="6" t="e">
        <f xml:space="preserve"> [1]!'PVH.US-Price'</f>
        <v>#REF!</v>
      </c>
      <c r="I407" s="6" t="e">
        <f xml:space="preserve"> [1]!'PVH.US-BestBid1'</f>
        <v>#REF!</v>
      </c>
      <c r="J407" s="6" t="e">
        <f xml:space="preserve"> [1]!'PVH.US-BestAsk1'</f>
        <v>#REF!</v>
      </c>
      <c r="K407" s="93" t="e">
        <f t="shared" ref="K407:K470" si="34">IF(ISNUMBER(H407)=TRUE,H407*F407*D407,E407*F407*D407)*$N$2</f>
        <v>#REF!</v>
      </c>
      <c r="L407" s="93" t="e">
        <f t="shared" ref="L407:L470" si="35">IF(ISNUMBER(I407)=TRUE,I407*F407*D407,E407*F407*D407)*$N$2</f>
        <v>#REF!</v>
      </c>
      <c r="M407" s="96" t="e">
        <f t="shared" ref="M407:M470" si="36">IF(ISNUMBER(J407)=TRUE,J407*F407*D407,E407*F407*D407)*$N$2</f>
        <v>#REF!</v>
      </c>
    </row>
    <row r="408" spans="1:13">
      <c r="A408" s="25" t="e">
        <f t="shared" si="33"/>
        <v>#REF!</v>
      </c>
      <c r="B408" s="300" t="s">
        <v>1584</v>
      </c>
      <c r="C408" s="26" t="s">
        <v>1116</v>
      </c>
      <c r="D408" s="26">
        <v>1</v>
      </c>
      <c r="E408" s="6" t="e">
        <f xml:space="preserve"> [1]!'PWR.US-PreClose'</f>
        <v>#REF!</v>
      </c>
      <c r="F408" s="6">
        <v>651</v>
      </c>
      <c r="G408" s="74" t="e">
        <f t="shared" si="32"/>
        <v>#REF!</v>
      </c>
      <c r="H408" s="6" t="e">
        <f xml:space="preserve"> [1]!'PWR.US-Price'</f>
        <v>#REF!</v>
      </c>
      <c r="I408" s="6" t="e">
        <f xml:space="preserve"> [1]!'PWR.US-BestBid1'</f>
        <v>#REF!</v>
      </c>
      <c r="J408" s="6" t="e">
        <f xml:space="preserve"> [1]!'PWR.US-BestAsk1'</f>
        <v>#REF!</v>
      </c>
      <c r="K408" s="93" t="e">
        <f t="shared" si="34"/>
        <v>#REF!</v>
      </c>
      <c r="L408" s="93" t="e">
        <f t="shared" si="35"/>
        <v>#REF!</v>
      </c>
      <c r="M408" s="96" t="e">
        <f t="shared" si="36"/>
        <v>#REF!</v>
      </c>
    </row>
    <row r="409" spans="1:13">
      <c r="A409" s="25" t="e">
        <f t="shared" si="33"/>
        <v>#REF!</v>
      </c>
      <c r="B409" s="300" t="s">
        <v>1585</v>
      </c>
      <c r="C409" s="26" t="s">
        <v>621</v>
      </c>
      <c r="D409" s="26">
        <v>1</v>
      </c>
      <c r="E409" s="6" t="e">
        <f xml:space="preserve"> [1]!'PX.US-PreClose'</f>
        <v>#REF!</v>
      </c>
      <c r="F409" s="6">
        <v>1232</v>
      </c>
      <c r="G409" s="74" t="e">
        <f t="shared" ref="G409:G472" si="37">D409*E409*F409*$O$2</f>
        <v>#REF!</v>
      </c>
      <c r="H409" s="6" t="e">
        <f xml:space="preserve"> [1]!'PX.US-Price'</f>
        <v>#REF!</v>
      </c>
      <c r="I409" s="6" t="e">
        <f xml:space="preserve"> [1]!'PX.US-BestBid1'</f>
        <v>#REF!</v>
      </c>
      <c r="J409" s="6" t="e">
        <f xml:space="preserve"> [1]!'PX.US-BestAsk1'</f>
        <v>#REF!</v>
      </c>
      <c r="K409" s="93" t="e">
        <f t="shared" si="34"/>
        <v>#REF!</v>
      </c>
      <c r="L409" s="93" t="e">
        <f t="shared" si="35"/>
        <v>#REF!</v>
      </c>
      <c r="M409" s="96" t="e">
        <f t="shared" si="36"/>
        <v>#REF!</v>
      </c>
    </row>
    <row r="410" spans="1:13">
      <c r="A410" s="25" t="e">
        <f t="shared" si="33"/>
        <v>#REF!</v>
      </c>
      <c r="B410" s="300" t="s">
        <v>1586</v>
      </c>
      <c r="C410" s="26" t="s">
        <v>1117</v>
      </c>
      <c r="D410" s="26">
        <v>1</v>
      </c>
      <c r="E410" s="6" t="e">
        <f xml:space="preserve"> [1]!'PXD.US-PreClose'</f>
        <v>#REF!</v>
      </c>
      <c r="F410" s="6">
        <v>732</v>
      </c>
      <c r="G410" s="74" t="e">
        <f t="shared" si="37"/>
        <v>#REF!</v>
      </c>
      <c r="H410" s="6" t="e">
        <f xml:space="preserve"> [1]!'PXD.US-Price'</f>
        <v>#REF!</v>
      </c>
      <c r="I410" s="6" t="e">
        <f xml:space="preserve"> [1]!'PXD.US-BestBid1'</f>
        <v>#REF!</v>
      </c>
      <c r="J410" s="6" t="e">
        <f xml:space="preserve"> [1]!'PXD.US-BestAsk1'</f>
        <v>#REF!</v>
      </c>
      <c r="K410" s="93" t="e">
        <f t="shared" si="34"/>
        <v>#REF!</v>
      </c>
      <c r="L410" s="93" t="e">
        <f t="shared" si="35"/>
        <v>#REF!</v>
      </c>
      <c r="M410" s="96" t="e">
        <f t="shared" si="36"/>
        <v>#REF!</v>
      </c>
    </row>
    <row r="411" spans="1:13">
      <c r="A411" s="25" t="e">
        <f t="shared" si="33"/>
        <v>#REF!</v>
      </c>
      <c r="B411" s="300" t="s">
        <v>1587</v>
      </c>
      <c r="C411" s="26" t="s">
        <v>552</v>
      </c>
      <c r="D411" s="26">
        <v>1</v>
      </c>
      <c r="E411" s="6" t="e">
        <f xml:space="preserve"> [1]!'PYPL.US-PreClose'</f>
        <v>#REF!</v>
      </c>
      <c r="F411" s="6">
        <v>4816</v>
      </c>
      <c r="G411" s="74" t="e">
        <f t="shared" si="37"/>
        <v>#REF!</v>
      </c>
      <c r="H411" s="6" t="e">
        <f xml:space="preserve"> [1]!'PYPL.US-Price'</f>
        <v>#REF!</v>
      </c>
      <c r="I411" s="6" t="e">
        <f xml:space="preserve"> [1]!'PYPL.US-BestBid1'</f>
        <v>#REF!</v>
      </c>
      <c r="J411" s="6" t="e">
        <f xml:space="preserve"> [1]!'PYPL.US-BestAsk1'</f>
        <v>#REF!</v>
      </c>
      <c r="K411" s="93" t="e">
        <f t="shared" si="34"/>
        <v>#REF!</v>
      </c>
      <c r="L411" s="93" t="e">
        <f t="shared" si="35"/>
        <v>#REF!</v>
      </c>
      <c r="M411" s="96" t="e">
        <f t="shared" si="36"/>
        <v>#REF!</v>
      </c>
    </row>
    <row r="412" spans="1:13">
      <c r="A412" s="25" t="e">
        <f t="shared" si="33"/>
        <v>#REF!</v>
      </c>
      <c r="B412" s="300" t="s">
        <v>1588</v>
      </c>
      <c r="C412" s="26" t="s">
        <v>1118</v>
      </c>
      <c r="D412" s="26">
        <v>1</v>
      </c>
      <c r="E412" s="6" t="e">
        <f xml:space="preserve"> [1]!'Q.US-PreClose'</f>
        <v>#REF!</v>
      </c>
      <c r="F412" s="6">
        <v>513</v>
      </c>
      <c r="G412" s="74" t="e">
        <f t="shared" si="37"/>
        <v>#REF!</v>
      </c>
      <c r="H412" s="6" t="e">
        <f xml:space="preserve"> [1]!'Q.US-Price'</f>
        <v>#REF!</v>
      </c>
      <c r="I412" s="6" t="e">
        <f xml:space="preserve"> [1]!'Q.US-BestBid1'</f>
        <v>#REF!</v>
      </c>
      <c r="J412" s="6" t="e">
        <f xml:space="preserve"> [1]!'Q.US-BestAsk1'</f>
        <v>#REF!</v>
      </c>
      <c r="K412" s="93" t="e">
        <f t="shared" si="34"/>
        <v>#REF!</v>
      </c>
      <c r="L412" s="93" t="e">
        <f t="shared" si="35"/>
        <v>#REF!</v>
      </c>
      <c r="M412" s="96" t="e">
        <f t="shared" si="36"/>
        <v>#REF!</v>
      </c>
    </row>
    <row r="413" spans="1:13">
      <c r="A413" s="25" t="e">
        <f t="shared" si="33"/>
        <v>#REF!</v>
      </c>
      <c r="B413" s="300" t="s">
        <v>1589</v>
      </c>
      <c r="C413" s="26" t="s">
        <v>553</v>
      </c>
      <c r="D413" s="26">
        <v>1</v>
      </c>
      <c r="E413" s="6" t="e">
        <f xml:space="preserve"> [1]!'QCOM.US-PreClose'</f>
        <v>#REF!</v>
      </c>
      <c r="F413" s="6">
        <v>6362</v>
      </c>
      <c r="G413" s="74" t="e">
        <f t="shared" si="37"/>
        <v>#REF!</v>
      </c>
      <c r="H413" s="6" t="e">
        <f xml:space="preserve"> [1]!'QCOM.US-Price'</f>
        <v>#REF!</v>
      </c>
      <c r="I413" s="6" t="e">
        <f xml:space="preserve"> [1]!'QCOM.US-BestBid1'</f>
        <v>#REF!</v>
      </c>
      <c r="J413" s="6" t="e">
        <f xml:space="preserve"> [1]!'QCOM.US-BestAsk1'</f>
        <v>#REF!</v>
      </c>
      <c r="K413" s="93" t="e">
        <f t="shared" si="34"/>
        <v>#REF!</v>
      </c>
      <c r="L413" s="93" t="e">
        <f t="shared" si="35"/>
        <v>#REF!</v>
      </c>
      <c r="M413" s="96" t="e">
        <f t="shared" si="36"/>
        <v>#REF!</v>
      </c>
    </row>
    <row r="414" spans="1:13">
      <c r="A414" s="25" t="e">
        <f t="shared" si="33"/>
        <v>#REF!</v>
      </c>
      <c r="B414" s="300" t="s">
        <v>1590</v>
      </c>
      <c r="C414" s="26" t="s">
        <v>554</v>
      </c>
      <c r="D414" s="26">
        <v>1</v>
      </c>
      <c r="E414" s="6" t="e">
        <f xml:space="preserve"> [1]!'QRVO.US-PreClose'</f>
        <v>#REF!</v>
      </c>
      <c r="F414" s="6">
        <v>548</v>
      </c>
      <c r="G414" s="74" t="e">
        <f t="shared" si="37"/>
        <v>#REF!</v>
      </c>
      <c r="H414" s="6" t="e">
        <f xml:space="preserve"> [1]!'QRVO.US-Price'</f>
        <v>#REF!</v>
      </c>
      <c r="I414" s="6" t="e">
        <f xml:space="preserve"> [1]!'QRVO.US-BestBid1'</f>
        <v>#REF!</v>
      </c>
      <c r="J414" s="6" t="e">
        <f xml:space="preserve"> [1]!'QRVO.US-BestAsk1'</f>
        <v>#REF!</v>
      </c>
      <c r="K414" s="93" t="e">
        <f t="shared" si="34"/>
        <v>#REF!</v>
      </c>
      <c r="L414" s="93" t="e">
        <f t="shared" si="35"/>
        <v>#REF!</v>
      </c>
      <c r="M414" s="96" t="e">
        <f t="shared" si="36"/>
        <v>#REF!</v>
      </c>
    </row>
    <row r="415" spans="1:13">
      <c r="A415" s="25" t="e">
        <f t="shared" si="33"/>
        <v>#REF!</v>
      </c>
      <c r="B415" s="300" t="s">
        <v>1591</v>
      </c>
      <c r="C415" s="26" t="s">
        <v>1119</v>
      </c>
      <c r="D415" s="26">
        <v>1</v>
      </c>
      <c r="E415" s="6" t="e">
        <f xml:space="preserve"> [1]!'RCL.US-PreClose'</f>
        <v>#REF!</v>
      </c>
      <c r="F415" s="6">
        <v>741</v>
      </c>
      <c r="G415" s="74" t="e">
        <f t="shared" si="37"/>
        <v>#REF!</v>
      </c>
      <c r="H415" s="6" t="e">
        <f xml:space="preserve"> [1]!'RCL.US-Price'</f>
        <v>#REF!</v>
      </c>
      <c r="I415" s="6" t="e">
        <f xml:space="preserve"> [1]!'RCL.US-BestBid1'</f>
        <v>#REF!</v>
      </c>
      <c r="J415" s="6" t="e">
        <f xml:space="preserve"> [1]!'RCL.US-BestAsk1'</f>
        <v>#REF!</v>
      </c>
      <c r="K415" s="93" t="e">
        <f t="shared" si="34"/>
        <v>#REF!</v>
      </c>
      <c r="L415" s="93" t="e">
        <f t="shared" si="35"/>
        <v>#REF!</v>
      </c>
      <c r="M415" s="96" t="e">
        <f t="shared" si="36"/>
        <v>#REF!</v>
      </c>
    </row>
    <row r="416" spans="1:13">
      <c r="A416" s="25" t="e">
        <f t="shared" si="33"/>
        <v>#REF!</v>
      </c>
      <c r="B416" s="300" t="s">
        <v>1592</v>
      </c>
      <c r="C416" s="26" t="s">
        <v>1120</v>
      </c>
      <c r="D416" s="26">
        <v>1</v>
      </c>
      <c r="E416" s="6" t="e">
        <f xml:space="preserve"> [1]!'RE.US-PreClose'</f>
        <v>#REF!</v>
      </c>
      <c r="F416" s="6">
        <v>177</v>
      </c>
      <c r="G416" s="74" t="e">
        <f t="shared" si="37"/>
        <v>#REF!</v>
      </c>
      <c r="H416" s="6" t="e">
        <f xml:space="preserve"> [1]!'RE.US-Price'</f>
        <v>#REF!</v>
      </c>
      <c r="I416" s="6" t="e">
        <f xml:space="preserve"> [1]!'RE.US-BestBid1'</f>
        <v>#REF!</v>
      </c>
      <c r="J416" s="6" t="e">
        <f xml:space="preserve"> [1]!'RE.US-BestAsk1'</f>
        <v>#REF!</v>
      </c>
      <c r="K416" s="93" t="e">
        <f t="shared" si="34"/>
        <v>#REF!</v>
      </c>
      <c r="L416" s="93" t="e">
        <f t="shared" si="35"/>
        <v>#REF!</v>
      </c>
      <c r="M416" s="96" t="e">
        <f t="shared" si="36"/>
        <v>#REF!</v>
      </c>
    </row>
    <row r="417" spans="1:13">
      <c r="A417" s="25" t="e">
        <f t="shared" si="33"/>
        <v>#REF!</v>
      </c>
      <c r="B417" s="300" t="s">
        <v>1593</v>
      </c>
      <c r="C417" s="26" t="s">
        <v>1121</v>
      </c>
      <c r="D417" s="26">
        <v>1</v>
      </c>
      <c r="E417" s="6" t="e">
        <f xml:space="preserve"> [1]!'REG.US-PreClose'</f>
        <v>#REF!</v>
      </c>
      <c r="F417" s="6">
        <v>637</v>
      </c>
      <c r="G417" s="74" t="e">
        <f t="shared" si="37"/>
        <v>#REF!</v>
      </c>
      <c r="H417" s="6" t="e">
        <f xml:space="preserve"> [1]!'REG.US-Price'</f>
        <v>#REF!</v>
      </c>
      <c r="I417" s="6" t="e">
        <f xml:space="preserve"> [1]!'REG.US-BestBid1'</f>
        <v>#REF!</v>
      </c>
      <c r="J417" s="6" t="e">
        <f xml:space="preserve"> [1]!'REG.US-BestAsk1'</f>
        <v>#REF!</v>
      </c>
      <c r="K417" s="93" t="e">
        <f t="shared" si="34"/>
        <v>#REF!</v>
      </c>
      <c r="L417" s="93" t="e">
        <f t="shared" si="35"/>
        <v>#REF!</v>
      </c>
      <c r="M417" s="96" t="e">
        <f t="shared" si="36"/>
        <v>#REF!</v>
      </c>
    </row>
    <row r="418" spans="1:13">
      <c r="A418" s="25" t="e">
        <f t="shared" si="33"/>
        <v>#REF!</v>
      </c>
      <c r="B418" s="300" t="s">
        <v>1594</v>
      </c>
      <c r="C418" s="26" t="s">
        <v>555</v>
      </c>
      <c r="D418" s="26">
        <v>1</v>
      </c>
      <c r="E418" s="6" t="e">
        <f xml:space="preserve"> [1]!'REGN.US-PreClose'</f>
        <v>#REF!</v>
      </c>
      <c r="F418" s="6">
        <v>331</v>
      </c>
      <c r="G418" s="74" t="e">
        <f t="shared" si="37"/>
        <v>#REF!</v>
      </c>
      <c r="H418" s="6" t="e">
        <f xml:space="preserve"> [1]!'REGN.US-Price'</f>
        <v>#REF!</v>
      </c>
      <c r="I418" s="6" t="e">
        <f xml:space="preserve"> [1]!'REGN.US-BestBid1'</f>
        <v>#REF!</v>
      </c>
      <c r="J418" s="6" t="e">
        <f xml:space="preserve"> [1]!'REGN.US-BestAsk1'</f>
        <v>#REF!</v>
      </c>
      <c r="K418" s="93" t="e">
        <f t="shared" si="34"/>
        <v>#REF!</v>
      </c>
      <c r="L418" s="93" t="e">
        <f t="shared" si="35"/>
        <v>#REF!</v>
      </c>
      <c r="M418" s="96" t="e">
        <f t="shared" si="36"/>
        <v>#REF!</v>
      </c>
    </row>
    <row r="419" spans="1:13">
      <c r="A419" s="25" t="e">
        <f t="shared" si="33"/>
        <v>#REF!</v>
      </c>
      <c r="B419" s="300" t="s">
        <v>1595</v>
      </c>
      <c r="C419" s="26" t="s">
        <v>622</v>
      </c>
      <c r="D419" s="26">
        <v>1</v>
      </c>
      <c r="E419" s="6" t="e">
        <f xml:space="preserve"> [1]!'RF.US-PreClose'</f>
        <v>#REF!</v>
      </c>
      <c r="F419" s="6">
        <v>5146</v>
      </c>
      <c r="G419" s="74" t="e">
        <f t="shared" si="37"/>
        <v>#REF!</v>
      </c>
      <c r="H419" s="6" t="e">
        <f xml:space="preserve"> [1]!'RF.US-Price'</f>
        <v>#REF!</v>
      </c>
      <c r="I419" s="6" t="e">
        <f xml:space="preserve"> [1]!'RF.US-BestBid1'</f>
        <v>#REF!</v>
      </c>
      <c r="J419" s="6" t="e">
        <f xml:space="preserve"> [1]!'RF.US-BestAsk1'</f>
        <v>#REF!</v>
      </c>
      <c r="K419" s="93" t="e">
        <f t="shared" si="34"/>
        <v>#REF!</v>
      </c>
      <c r="L419" s="93" t="e">
        <f t="shared" si="35"/>
        <v>#REF!</v>
      </c>
      <c r="M419" s="96" t="e">
        <f t="shared" si="36"/>
        <v>#REF!</v>
      </c>
    </row>
    <row r="420" spans="1:13">
      <c r="A420" s="25" t="e">
        <f t="shared" si="33"/>
        <v>#REF!</v>
      </c>
      <c r="B420" s="300" t="s">
        <v>1596</v>
      </c>
      <c r="C420" s="26" t="s">
        <v>1122</v>
      </c>
      <c r="D420" s="26">
        <v>1</v>
      </c>
      <c r="E420" s="6" t="e">
        <f xml:space="preserve"> [1]!'RHI.US-PreClose'</f>
        <v>#REF!</v>
      </c>
      <c r="F420" s="6">
        <v>543</v>
      </c>
      <c r="G420" s="74" t="e">
        <f t="shared" si="37"/>
        <v>#REF!</v>
      </c>
      <c r="H420" s="6" t="e">
        <f xml:space="preserve"> [1]!'RHI.US-Price'</f>
        <v>#REF!</v>
      </c>
      <c r="I420" s="6" t="e">
        <f xml:space="preserve"> [1]!'RHI.US-BestBid1'</f>
        <v>#REF!</v>
      </c>
      <c r="J420" s="6" t="e">
        <f xml:space="preserve"> [1]!'RHI.US-BestAsk1'</f>
        <v>#REF!</v>
      </c>
      <c r="K420" s="93" t="e">
        <f t="shared" si="34"/>
        <v>#REF!</v>
      </c>
      <c r="L420" s="93" t="e">
        <f t="shared" si="35"/>
        <v>#REF!</v>
      </c>
      <c r="M420" s="96" t="e">
        <f t="shared" si="36"/>
        <v>#REF!</v>
      </c>
    </row>
    <row r="421" spans="1:13">
      <c r="A421" s="25" t="e">
        <f t="shared" si="33"/>
        <v>#REF!</v>
      </c>
      <c r="B421" s="300" t="s">
        <v>1597</v>
      </c>
      <c r="C421" s="26" t="s">
        <v>1123</v>
      </c>
      <c r="D421" s="26">
        <v>1</v>
      </c>
      <c r="E421" s="6" t="e">
        <f xml:space="preserve"> [1]!'RHT.US-PreClose'</f>
        <v>#REF!</v>
      </c>
      <c r="F421" s="6">
        <v>764</v>
      </c>
      <c r="G421" s="74" t="e">
        <f t="shared" si="37"/>
        <v>#REF!</v>
      </c>
      <c r="H421" s="6" t="e">
        <f xml:space="preserve"> [1]!'RHT.US-Price'</f>
        <v>#REF!</v>
      </c>
      <c r="I421" s="6" t="e">
        <f xml:space="preserve"> [1]!'RHT.US-BestBid1'</f>
        <v>#REF!</v>
      </c>
      <c r="J421" s="6" t="e">
        <f xml:space="preserve"> [1]!'RHT.US-BestAsk1'</f>
        <v>#REF!</v>
      </c>
      <c r="K421" s="93" t="e">
        <f t="shared" si="34"/>
        <v>#REF!</v>
      </c>
      <c r="L421" s="93" t="e">
        <f t="shared" si="35"/>
        <v>#REF!</v>
      </c>
      <c r="M421" s="96" t="e">
        <f t="shared" si="36"/>
        <v>#REF!</v>
      </c>
    </row>
    <row r="422" spans="1:13">
      <c r="A422" s="25" t="e">
        <f t="shared" si="33"/>
        <v>#REF!</v>
      </c>
      <c r="B422" s="300" t="s">
        <v>1598</v>
      </c>
      <c r="C422" s="26" t="s">
        <v>1124</v>
      </c>
      <c r="D422" s="26">
        <v>1</v>
      </c>
      <c r="E422" s="6" t="e">
        <f xml:space="preserve"> [1]!'RJF.US-PreClose'</f>
        <v>#REF!</v>
      </c>
      <c r="F422" s="6">
        <v>553</v>
      </c>
      <c r="G422" s="74" t="e">
        <f t="shared" si="37"/>
        <v>#REF!</v>
      </c>
      <c r="H422" s="6" t="e">
        <f xml:space="preserve"> [1]!'RJF.US-Price'</f>
        <v>#REF!</v>
      </c>
      <c r="I422" s="6" t="e">
        <f xml:space="preserve"> [1]!'RJF.US-BestBid1'</f>
        <v>#REF!</v>
      </c>
      <c r="J422" s="6" t="e">
        <f xml:space="preserve"> [1]!'RJF.US-BestAsk1'</f>
        <v>#REF!</v>
      </c>
      <c r="K422" s="93" t="e">
        <f t="shared" si="34"/>
        <v>#REF!</v>
      </c>
      <c r="L422" s="93" t="e">
        <f t="shared" si="35"/>
        <v>#REF!</v>
      </c>
      <c r="M422" s="96" t="e">
        <f t="shared" si="36"/>
        <v>#REF!</v>
      </c>
    </row>
    <row r="423" spans="1:13">
      <c r="A423" s="25" t="e">
        <f t="shared" si="33"/>
        <v>#REF!</v>
      </c>
      <c r="B423" s="300" t="s">
        <v>1599</v>
      </c>
      <c r="C423" s="26" t="s">
        <v>623</v>
      </c>
      <c r="D423" s="26">
        <v>1</v>
      </c>
      <c r="E423" s="6" t="e">
        <f xml:space="preserve"> [1]!'RL.US-PreClose'</f>
        <v>#REF!</v>
      </c>
      <c r="F423" s="6">
        <v>238</v>
      </c>
      <c r="G423" s="74" t="e">
        <f t="shared" si="37"/>
        <v>#REF!</v>
      </c>
      <c r="H423" s="6" t="e">
        <f xml:space="preserve"> [1]!'RL.US-Price'</f>
        <v>#REF!</v>
      </c>
      <c r="I423" s="6" t="e">
        <f xml:space="preserve"> [1]!'RL.US-BestBid1'</f>
        <v>#REF!</v>
      </c>
      <c r="J423" s="6" t="e">
        <f xml:space="preserve"> [1]!'RL.US-BestAsk1'</f>
        <v>#REF!</v>
      </c>
      <c r="K423" s="93" t="e">
        <f t="shared" si="34"/>
        <v>#REF!</v>
      </c>
      <c r="L423" s="93" t="e">
        <f t="shared" si="35"/>
        <v>#REF!</v>
      </c>
      <c r="M423" s="96" t="e">
        <f t="shared" si="36"/>
        <v>#REF!</v>
      </c>
    </row>
    <row r="424" spans="1:13">
      <c r="A424" s="25" t="e">
        <f t="shared" si="33"/>
        <v>#REF!</v>
      </c>
      <c r="B424" s="300" t="s">
        <v>1600</v>
      </c>
      <c r="C424" s="26" t="s">
        <v>1125</v>
      </c>
      <c r="D424" s="26">
        <v>1</v>
      </c>
      <c r="E424" s="6" t="e">
        <f xml:space="preserve"> [1]!'RMD.US-PreClose'</f>
        <v>#REF!</v>
      </c>
      <c r="F424" s="6">
        <v>612</v>
      </c>
      <c r="G424" s="74" t="e">
        <f t="shared" si="37"/>
        <v>#REF!</v>
      </c>
      <c r="H424" s="6" t="e">
        <f xml:space="preserve"> [1]!'RMD.US-Price'</f>
        <v>#REF!</v>
      </c>
      <c r="I424" s="6" t="e">
        <f xml:space="preserve"> [1]!'RMD.US-BestBid1'</f>
        <v>#REF!</v>
      </c>
      <c r="J424" s="6" t="e">
        <f xml:space="preserve"> [1]!'RMD.US-BestAsk1'</f>
        <v>#REF!</v>
      </c>
      <c r="K424" s="93" t="e">
        <f t="shared" si="34"/>
        <v>#REF!</v>
      </c>
      <c r="L424" s="93" t="e">
        <f t="shared" si="35"/>
        <v>#REF!</v>
      </c>
      <c r="M424" s="96" t="e">
        <f t="shared" si="36"/>
        <v>#REF!</v>
      </c>
    </row>
    <row r="425" spans="1:13">
      <c r="A425" s="25" t="e">
        <f t="shared" si="33"/>
        <v>#REF!</v>
      </c>
      <c r="B425" s="300" t="s">
        <v>1601</v>
      </c>
      <c r="C425" s="26" t="s">
        <v>1126</v>
      </c>
      <c r="D425" s="26">
        <v>1</v>
      </c>
      <c r="E425" s="6" t="e">
        <f xml:space="preserve"> [1]!'ROK.US-PreClose'</f>
        <v>#REF!</v>
      </c>
      <c r="F425" s="6">
        <v>553</v>
      </c>
      <c r="G425" s="74" t="e">
        <f t="shared" si="37"/>
        <v>#REF!</v>
      </c>
      <c r="H425" s="6" t="e">
        <f xml:space="preserve"> [1]!'ROK.US-Price'</f>
        <v>#REF!</v>
      </c>
      <c r="I425" s="6" t="e">
        <f xml:space="preserve"> [1]!'ROK.US-BestBid1'</f>
        <v>#REF!</v>
      </c>
      <c r="J425" s="6" t="e">
        <f xml:space="preserve"> [1]!'ROK.US-BestAsk1'</f>
        <v>#REF!</v>
      </c>
      <c r="K425" s="93" t="e">
        <f t="shared" si="34"/>
        <v>#REF!</v>
      </c>
      <c r="L425" s="93" t="e">
        <f t="shared" si="35"/>
        <v>#REF!</v>
      </c>
      <c r="M425" s="96" t="e">
        <f t="shared" si="36"/>
        <v>#REF!</v>
      </c>
    </row>
    <row r="426" spans="1:13">
      <c r="A426" s="25" t="e">
        <f t="shared" si="33"/>
        <v>#REF!</v>
      </c>
      <c r="B426" s="300" t="s">
        <v>1602</v>
      </c>
      <c r="C426" s="26" t="s">
        <v>1127</v>
      </c>
      <c r="D426" s="26">
        <v>1</v>
      </c>
      <c r="E426" s="6" t="e">
        <f xml:space="preserve"> [1]!'ROP.US-PreClose'</f>
        <v>#REF!</v>
      </c>
      <c r="F426" s="6">
        <v>440</v>
      </c>
      <c r="G426" s="74" t="e">
        <f t="shared" si="37"/>
        <v>#REF!</v>
      </c>
      <c r="H426" s="6" t="e">
        <f xml:space="preserve"> [1]!'ROP.US-Price'</f>
        <v>#REF!</v>
      </c>
      <c r="I426" s="6" t="e">
        <f xml:space="preserve"> [1]!'ROP.US-BestBid1'</f>
        <v>#REF!</v>
      </c>
      <c r="J426" s="6" t="e">
        <f xml:space="preserve"> [1]!'ROP.US-BestAsk1'</f>
        <v>#REF!</v>
      </c>
      <c r="K426" s="93" t="e">
        <f t="shared" si="34"/>
        <v>#REF!</v>
      </c>
      <c r="L426" s="93" t="e">
        <f t="shared" si="35"/>
        <v>#REF!</v>
      </c>
      <c r="M426" s="96" t="e">
        <f t="shared" si="36"/>
        <v>#REF!</v>
      </c>
    </row>
    <row r="427" spans="1:13">
      <c r="A427" s="25" t="e">
        <f t="shared" si="33"/>
        <v>#REF!</v>
      </c>
      <c r="B427" s="300" t="s">
        <v>1603</v>
      </c>
      <c r="C427" s="26" t="s">
        <v>556</v>
      </c>
      <c r="D427" s="26">
        <v>1</v>
      </c>
      <c r="E427" s="6" t="e">
        <f xml:space="preserve"> [1]!'ROST.US-PreClose'</f>
        <v>#REF!</v>
      </c>
      <c r="F427" s="6">
        <v>1676</v>
      </c>
      <c r="G427" s="74" t="e">
        <f t="shared" si="37"/>
        <v>#REF!</v>
      </c>
      <c r="H427" s="6" t="e">
        <f xml:space="preserve"> [1]!'ROST.US-Price'</f>
        <v>#REF!</v>
      </c>
      <c r="I427" s="6" t="e">
        <f xml:space="preserve"> [1]!'ROST.US-BestBid1'</f>
        <v>#REF!</v>
      </c>
      <c r="J427" s="6" t="e">
        <f xml:space="preserve"> [1]!'ROST.US-BestAsk1'</f>
        <v>#REF!</v>
      </c>
      <c r="K427" s="93" t="e">
        <f t="shared" si="34"/>
        <v>#REF!</v>
      </c>
      <c r="L427" s="93" t="e">
        <f t="shared" si="35"/>
        <v>#REF!</v>
      </c>
      <c r="M427" s="96" t="e">
        <f t="shared" si="36"/>
        <v>#REF!</v>
      </c>
    </row>
    <row r="428" spans="1:13">
      <c r="A428" s="25" t="e">
        <f t="shared" si="33"/>
        <v>#REF!</v>
      </c>
      <c r="B428" s="300" t="s">
        <v>1604</v>
      </c>
      <c r="C428" s="26" t="s">
        <v>1128</v>
      </c>
      <c r="D428" s="26">
        <v>1</v>
      </c>
      <c r="E428" s="6" t="e">
        <f xml:space="preserve"> [1]!'RRC.US-PreClose'</f>
        <v>#REF!</v>
      </c>
      <c r="F428" s="6">
        <v>812</v>
      </c>
      <c r="G428" s="74" t="e">
        <f t="shared" si="37"/>
        <v>#REF!</v>
      </c>
      <c r="H428" s="6" t="e">
        <f xml:space="preserve"> [1]!'RRC.US-Price'</f>
        <v>#REF!</v>
      </c>
      <c r="I428" s="6" t="e">
        <f xml:space="preserve"> [1]!'RRC.US-BestBid1'</f>
        <v>#REF!</v>
      </c>
      <c r="J428" s="6" t="e">
        <f xml:space="preserve"> [1]!'RRC.US-BestAsk1'</f>
        <v>#REF!</v>
      </c>
      <c r="K428" s="93" t="e">
        <f t="shared" si="34"/>
        <v>#REF!</v>
      </c>
      <c r="L428" s="93" t="e">
        <f t="shared" si="35"/>
        <v>#REF!</v>
      </c>
      <c r="M428" s="96" t="e">
        <f t="shared" si="36"/>
        <v>#REF!</v>
      </c>
    </row>
    <row r="429" spans="1:13">
      <c r="A429" s="25" t="e">
        <f t="shared" si="33"/>
        <v>#REF!</v>
      </c>
      <c r="B429" s="300" t="s">
        <v>1605</v>
      </c>
      <c r="C429" s="26" t="s">
        <v>1129</v>
      </c>
      <c r="D429" s="26">
        <v>1</v>
      </c>
      <c r="E429" s="6" t="e">
        <f xml:space="preserve"> [1]!'RSG.US-PreClose'</f>
        <v>#REF!</v>
      </c>
      <c r="F429" s="6">
        <v>986</v>
      </c>
      <c r="G429" s="74" t="e">
        <f t="shared" si="37"/>
        <v>#REF!</v>
      </c>
      <c r="H429" s="6" t="e">
        <f xml:space="preserve"> [1]!'RSG.US-Price'</f>
        <v>#REF!</v>
      </c>
      <c r="I429" s="6" t="e">
        <f xml:space="preserve"> [1]!'RSG.US-BestBid1'</f>
        <v>#REF!</v>
      </c>
      <c r="J429" s="6" t="e">
        <f xml:space="preserve"> [1]!'RSG.US-BestAsk1'</f>
        <v>#REF!</v>
      </c>
      <c r="K429" s="93" t="e">
        <f t="shared" si="34"/>
        <v>#REF!</v>
      </c>
      <c r="L429" s="93" t="e">
        <f t="shared" si="35"/>
        <v>#REF!</v>
      </c>
      <c r="M429" s="96" t="e">
        <f t="shared" si="36"/>
        <v>#REF!</v>
      </c>
    </row>
    <row r="430" spans="1:13">
      <c r="A430" s="25" t="e">
        <f t="shared" si="33"/>
        <v>#REF!</v>
      </c>
      <c r="B430" s="300" t="s">
        <v>1606</v>
      </c>
      <c r="C430" s="26" t="s">
        <v>1130</v>
      </c>
      <c r="D430" s="26">
        <v>1</v>
      </c>
      <c r="E430" s="6" t="e">
        <f xml:space="preserve"> [1]!'RTN.US-PreClose'</f>
        <v>#REF!</v>
      </c>
      <c r="F430" s="6">
        <v>1250</v>
      </c>
      <c r="G430" s="74" t="e">
        <f t="shared" si="37"/>
        <v>#REF!</v>
      </c>
      <c r="H430" s="6" t="e">
        <f xml:space="preserve"> [1]!'RTN.US-Price'</f>
        <v>#REF!</v>
      </c>
      <c r="I430" s="6" t="e">
        <f xml:space="preserve"> [1]!'RTN.US-BestBid1'</f>
        <v>#REF!</v>
      </c>
      <c r="J430" s="6" t="e">
        <f xml:space="preserve"> [1]!'RTN.US-BestAsk1'</f>
        <v>#REF!</v>
      </c>
      <c r="K430" s="93" t="e">
        <f t="shared" si="34"/>
        <v>#REF!</v>
      </c>
      <c r="L430" s="93" t="e">
        <f t="shared" si="35"/>
        <v>#REF!</v>
      </c>
      <c r="M430" s="96" t="e">
        <f t="shared" si="36"/>
        <v>#REF!</v>
      </c>
    </row>
    <row r="431" spans="1:13">
      <c r="A431" s="25" t="e">
        <f t="shared" si="33"/>
        <v>#REF!</v>
      </c>
      <c r="B431" s="300" t="s">
        <v>1607</v>
      </c>
      <c r="C431" s="26" t="s">
        <v>1131</v>
      </c>
      <c r="D431" s="26">
        <v>1</v>
      </c>
      <c r="E431" s="6" t="e">
        <f xml:space="preserve"> [1]!'SBAC.US-PreClose'</f>
        <v>#REF!</v>
      </c>
      <c r="F431" s="6">
        <v>518</v>
      </c>
      <c r="G431" s="74" t="e">
        <f t="shared" si="37"/>
        <v>#REF!</v>
      </c>
      <c r="H431" s="6" t="e">
        <f xml:space="preserve"> [1]!'SBAC.US-Price'</f>
        <v>#REF!</v>
      </c>
      <c r="I431" s="6" t="e">
        <f xml:space="preserve"> [1]!'SBAC.US-BestBid1'</f>
        <v>#REF!</v>
      </c>
      <c r="J431" s="6" t="e">
        <f xml:space="preserve"> [1]!'SBAC.US-BestAsk1'</f>
        <v>#REF!</v>
      </c>
      <c r="K431" s="93" t="e">
        <f t="shared" si="34"/>
        <v>#REF!</v>
      </c>
      <c r="L431" s="93" t="e">
        <f t="shared" si="35"/>
        <v>#REF!</v>
      </c>
      <c r="M431" s="96" t="e">
        <f t="shared" si="36"/>
        <v>#REF!</v>
      </c>
    </row>
    <row r="432" spans="1:13">
      <c r="A432" s="25" t="e">
        <f t="shared" si="33"/>
        <v>#REF!</v>
      </c>
      <c r="B432" s="300" t="s">
        <v>1608</v>
      </c>
      <c r="C432" s="26" t="s">
        <v>557</v>
      </c>
      <c r="D432" s="26">
        <v>1</v>
      </c>
      <c r="E432" s="6" t="e">
        <f xml:space="preserve"> [1]!'SBUX.US-PreClose'</f>
        <v>#REF!</v>
      </c>
      <c r="F432" s="6">
        <v>6218</v>
      </c>
      <c r="G432" s="74" t="e">
        <f t="shared" si="37"/>
        <v>#REF!</v>
      </c>
      <c r="H432" s="6" t="e">
        <f xml:space="preserve"> [1]!'SBUX.US-Price'</f>
        <v>#REF!</v>
      </c>
      <c r="I432" s="6" t="e">
        <f xml:space="preserve"> [1]!'SBUX.US-BestBid1'</f>
        <v>#REF!</v>
      </c>
      <c r="J432" s="6" t="e">
        <f xml:space="preserve"> [1]!'SBUX.US-BestAsk1'</f>
        <v>#REF!</v>
      </c>
      <c r="K432" s="93" t="e">
        <f t="shared" si="34"/>
        <v>#REF!</v>
      </c>
      <c r="L432" s="93" t="e">
        <f t="shared" si="35"/>
        <v>#REF!</v>
      </c>
      <c r="M432" s="96" t="e">
        <f t="shared" si="36"/>
        <v>#REF!</v>
      </c>
    </row>
    <row r="433" spans="1:13">
      <c r="A433" s="25" t="e">
        <f t="shared" si="33"/>
        <v>#REF!</v>
      </c>
      <c r="B433" s="300" t="s">
        <v>1609</v>
      </c>
      <c r="C433" s="26" t="s">
        <v>1132</v>
      </c>
      <c r="D433" s="26">
        <v>1</v>
      </c>
      <c r="E433" s="6" t="e">
        <f xml:space="preserve"> [1]!'SCG.US-PreClose'</f>
        <v>#REF!</v>
      </c>
      <c r="F433" s="6">
        <v>615</v>
      </c>
      <c r="G433" s="74" t="e">
        <f t="shared" si="37"/>
        <v>#REF!</v>
      </c>
      <c r="H433" s="6" t="e">
        <f xml:space="preserve"> [1]!'SCG.US-Price'</f>
        <v>#REF!</v>
      </c>
      <c r="I433" s="6" t="e">
        <f xml:space="preserve"> [1]!'SCG.US-BestBid1'</f>
        <v>#REF!</v>
      </c>
      <c r="J433" s="6" t="e">
        <f xml:space="preserve"> [1]!'SCG.US-BestAsk1'</f>
        <v>#REF!</v>
      </c>
      <c r="K433" s="93" t="e">
        <f t="shared" si="34"/>
        <v>#REF!</v>
      </c>
      <c r="L433" s="93" t="e">
        <f t="shared" si="35"/>
        <v>#REF!</v>
      </c>
      <c r="M433" s="96" t="e">
        <f t="shared" si="36"/>
        <v>#REF!</v>
      </c>
    </row>
    <row r="434" spans="1:13">
      <c r="A434" s="25" t="e">
        <f t="shared" si="33"/>
        <v>#REF!</v>
      </c>
      <c r="B434" s="300" t="s">
        <v>1610</v>
      </c>
      <c r="C434" s="26" t="s">
        <v>558</v>
      </c>
      <c r="D434" s="26">
        <v>1</v>
      </c>
      <c r="E434" s="6" t="e">
        <f xml:space="preserve"> [1]!'SCHW.US-PreClose'</f>
        <v>#REF!</v>
      </c>
      <c r="F434" s="6">
        <v>5248</v>
      </c>
      <c r="G434" s="74" t="e">
        <f t="shared" si="37"/>
        <v>#REF!</v>
      </c>
      <c r="H434" s="6" t="e">
        <f xml:space="preserve"> [1]!'SCHW.US-Price'</f>
        <v>#REF!</v>
      </c>
      <c r="I434" s="6" t="e">
        <f xml:space="preserve"> [1]!'SCHW.US-BestBid1'</f>
        <v>#REF!</v>
      </c>
      <c r="J434" s="6" t="e">
        <f xml:space="preserve"> [1]!'SCHW.US-BestAsk1'</f>
        <v>#REF!</v>
      </c>
      <c r="K434" s="93" t="e">
        <f t="shared" si="34"/>
        <v>#REF!</v>
      </c>
      <c r="L434" s="93" t="e">
        <f t="shared" si="35"/>
        <v>#REF!</v>
      </c>
      <c r="M434" s="96" t="e">
        <f t="shared" si="36"/>
        <v>#REF!</v>
      </c>
    </row>
    <row r="435" spans="1:13">
      <c r="A435" s="25" t="e">
        <f t="shared" si="33"/>
        <v>#REF!</v>
      </c>
      <c r="B435" s="300" t="s">
        <v>1611</v>
      </c>
      <c r="C435" s="26" t="s">
        <v>1133</v>
      </c>
      <c r="D435" s="26">
        <v>1</v>
      </c>
      <c r="E435" s="6" t="e">
        <f xml:space="preserve"> [1]!'SEE.US-PreClose'</f>
        <v>#REF!</v>
      </c>
      <c r="F435" s="6">
        <v>819</v>
      </c>
      <c r="G435" s="74" t="e">
        <f t="shared" si="37"/>
        <v>#REF!</v>
      </c>
      <c r="H435" s="6" t="e">
        <f xml:space="preserve"> [1]!'SEE.US-Price'</f>
        <v>#REF!</v>
      </c>
      <c r="I435" s="6" t="e">
        <f xml:space="preserve"> [1]!'SEE.US-BestBid1'</f>
        <v>#REF!</v>
      </c>
      <c r="J435" s="6" t="e">
        <f xml:space="preserve"> [1]!'SEE.US-BestAsk1'</f>
        <v>#REF!</v>
      </c>
      <c r="K435" s="93" t="e">
        <f t="shared" si="34"/>
        <v>#REF!</v>
      </c>
      <c r="L435" s="93" t="e">
        <f t="shared" si="35"/>
        <v>#REF!</v>
      </c>
      <c r="M435" s="96" t="e">
        <f t="shared" si="36"/>
        <v>#REF!</v>
      </c>
    </row>
    <row r="436" spans="1:13">
      <c r="A436" s="25" t="e">
        <f t="shared" si="33"/>
        <v>#REF!</v>
      </c>
      <c r="B436" s="300" t="s">
        <v>1612</v>
      </c>
      <c r="C436" s="26" t="s">
        <v>1134</v>
      </c>
      <c r="D436" s="26">
        <v>1</v>
      </c>
      <c r="E436" s="6" t="e">
        <f xml:space="preserve"> [1]!'SHW.US-PreClose'</f>
        <v>#REF!</v>
      </c>
      <c r="F436" s="6">
        <v>350</v>
      </c>
      <c r="G436" s="74" t="e">
        <f t="shared" si="37"/>
        <v>#REF!</v>
      </c>
      <c r="H436" s="6" t="e">
        <f xml:space="preserve"> [1]!'SHW.US-Price'</f>
        <v>#REF!</v>
      </c>
      <c r="I436" s="6" t="e">
        <f xml:space="preserve"> [1]!'SHW.US-BestBid1'</f>
        <v>#REF!</v>
      </c>
      <c r="J436" s="6" t="e">
        <f xml:space="preserve"> [1]!'SHW.US-BestAsk1'</f>
        <v>#REF!</v>
      </c>
      <c r="K436" s="93" t="e">
        <f t="shared" si="34"/>
        <v>#REF!</v>
      </c>
      <c r="L436" s="93" t="e">
        <f t="shared" si="35"/>
        <v>#REF!</v>
      </c>
      <c r="M436" s="96" t="e">
        <f t="shared" si="36"/>
        <v>#REF!</v>
      </c>
    </row>
    <row r="437" spans="1:13">
      <c r="A437" s="25" t="e">
        <f t="shared" si="33"/>
        <v>#REF!</v>
      </c>
      <c r="B437" s="300" t="s">
        <v>1613</v>
      </c>
      <c r="C437" s="26" t="s">
        <v>1135</v>
      </c>
      <c r="D437" s="26">
        <v>1</v>
      </c>
      <c r="E437" s="6" t="e">
        <f xml:space="preserve"> [1]!'SIG.US-PreClose'</f>
        <v>#REF!</v>
      </c>
      <c r="F437" s="6">
        <v>261</v>
      </c>
      <c r="G437" s="74" t="e">
        <f t="shared" si="37"/>
        <v>#REF!</v>
      </c>
      <c r="H437" s="6" t="e">
        <f xml:space="preserve"> [1]!'SIG.US-Price'</f>
        <v>#REF!</v>
      </c>
      <c r="I437" s="6" t="e">
        <f xml:space="preserve"> [1]!'SIG.US-BestBid1'</f>
        <v>#REF!</v>
      </c>
      <c r="J437" s="6" t="e">
        <f xml:space="preserve"> [1]!'SIG.US-BestAsk1'</f>
        <v>#REF!</v>
      </c>
      <c r="K437" s="93" t="e">
        <f t="shared" si="34"/>
        <v>#REF!</v>
      </c>
      <c r="L437" s="93" t="e">
        <f t="shared" si="35"/>
        <v>#REF!</v>
      </c>
      <c r="M437" s="96" t="e">
        <f t="shared" si="36"/>
        <v>#REF!</v>
      </c>
    </row>
    <row r="438" spans="1:13">
      <c r="A438" s="25" t="e">
        <f t="shared" si="33"/>
        <v>#REF!</v>
      </c>
      <c r="B438" s="300" t="s">
        <v>1614</v>
      </c>
      <c r="C438" s="26" t="s">
        <v>1136</v>
      </c>
      <c r="D438" s="26">
        <v>1</v>
      </c>
      <c r="E438" s="6" t="e">
        <f xml:space="preserve"> [1]!'SJM.US-PreClose'</f>
        <v>#REF!</v>
      </c>
      <c r="F438" s="6">
        <v>490</v>
      </c>
      <c r="G438" s="74" t="e">
        <f t="shared" si="37"/>
        <v>#REF!</v>
      </c>
      <c r="H438" s="6" t="e">
        <f xml:space="preserve"> [1]!'SJM.US-Price'</f>
        <v>#REF!</v>
      </c>
      <c r="I438" s="6" t="e">
        <f xml:space="preserve"> [1]!'SJM.US-BestBid1'</f>
        <v>#REF!</v>
      </c>
      <c r="J438" s="6" t="e">
        <f xml:space="preserve"> [1]!'SJM.US-BestAsk1'</f>
        <v>#REF!</v>
      </c>
      <c r="K438" s="93" t="e">
        <f t="shared" si="34"/>
        <v>#REF!</v>
      </c>
      <c r="L438" s="93" t="e">
        <f t="shared" si="35"/>
        <v>#REF!</v>
      </c>
      <c r="M438" s="96" t="e">
        <f t="shared" si="36"/>
        <v>#REF!</v>
      </c>
    </row>
    <row r="439" spans="1:13">
      <c r="A439" s="25" t="e">
        <f t="shared" si="33"/>
        <v>#VALUE!</v>
      </c>
      <c r="B439" s="300" t="s">
        <v>1615</v>
      </c>
      <c r="C439" s="26" t="s">
        <v>1137</v>
      </c>
      <c r="D439" s="26">
        <v>1</v>
      </c>
      <c r="E439" s="6" t="str">
        <f xml:space="preserve"> [1]!'SLB.US-PreClose'</f>
        <v>N/A</v>
      </c>
      <c r="F439" s="6">
        <v>5984</v>
      </c>
      <c r="G439" s="74" t="e">
        <f t="shared" si="37"/>
        <v>#VALUE!</v>
      </c>
      <c r="H439" s="6" t="str">
        <f xml:space="preserve"> [1]!'SLB.US-Price'</f>
        <v>N/A</v>
      </c>
      <c r="I439" s="6" t="str">
        <f xml:space="preserve"> [1]!'SLB.US-BestBid1'</f>
        <v>N/A</v>
      </c>
      <c r="J439" s="6" t="str">
        <f xml:space="preserve"> [1]!'SLB.US-BestAsk1'</f>
        <v>N/A</v>
      </c>
      <c r="K439" s="93" t="e">
        <f t="shared" si="34"/>
        <v>#VALUE!</v>
      </c>
      <c r="L439" s="93" t="e">
        <f t="shared" si="35"/>
        <v>#VALUE!</v>
      </c>
      <c r="M439" s="96" t="e">
        <f t="shared" si="36"/>
        <v>#VALUE!</v>
      </c>
    </row>
    <row r="440" spans="1:13">
      <c r="A440" s="25" t="e">
        <f t="shared" si="33"/>
        <v>#REF!</v>
      </c>
      <c r="B440" s="300" t="s">
        <v>1616</v>
      </c>
      <c r="C440" s="26" t="s">
        <v>1138</v>
      </c>
      <c r="D440" s="26">
        <v>1</v>
      </c>
      <c r="E440" s="6" t="e">
        <f xml:space="preserve"> [1]!'SLG.US-PreClose'</f>
        <v>#REF!</v>
      </c>
      <c r="F440" s="6">
        <v>427</v>
      </c>
      <c r="G440" s="74" t="e">
        <f t="shared" si="37"/>
        <v>#REF!</v>
      </c>
      <c r="H440" s="6" t="e">
        <f xml:space="preserve"> [1]!'SLG.US-Price'</f>
        <v>#REF!</v>
      </c>
      <c r="I440" s="6" t="e">
        <f xml:space="preserve"> [1]!'SLG.US-BestBid1'</f>
        <v>#REF!</v>
      </c>
      <c r="J440" s="6" t="e">
        <f xml:space="preserve"> [1]!'SLG.US-BestAsk1'</f>
        <v>#REF!</v>
      </c>
      <c r="K440" s="93" t="e">
        <f t="shared" si="34"/>
        <v>#REF!</v>
      </c>
      <c r="L440" s="93" t="e">
        <f t="shared" si="35"/>
        <v>#REF!</v>
      </c>
      <c r="M440" s="96" t="e">
        <f t="shared" si="36"/>
        <v>#REF!</v>
      </c>
    </row>
    <row r="441" spans="1:13">
      <c r="A441" s="25" t="e">
        <f t="shared" si="33"/>
        <v>#REF!</v>
      </c>
      <c r="B441" s="300" t="s">
        <v>1617</v>
      </c>
      <c r="C441" s="26" t="s">
        <v>1139</v>
      </c>
      <c r="D441" s="26">
        <v>1</v>
      </c>
      <c r="E441" s="6" t="e">
        <f xml:space="preserve"> [1]!'SNA.US-PreClose'</f>
        <v>#REF!</v>
      </c>
      <c r="F441" s="6">
        <v>248</v>
      </c>
      <c r="G441" s="74" t="e">
        <f t="shared" si="37"/>
        <v>#REF!</v>
      </c>
      <c r="H441" s="6" t="e">
        <f xml:space="preserve"> [1]!'SNA.US-Price'</f>
        <v>#REF!</v>
      </c>
      <c r="I441" s="6" t="e">
        <f xml:space="preserve"> [1]!'SNA.US-BestBid1'</f>
        <v>#REF!</v>
      </c>
      <c r="J441" s="6" t="e">
        <f xml:space="preserve"> [1]!'SNA.US-BestAsk1'</f>
        <v>#REF!</v>
      </c>
      <c r="K441" s="93" t="e">
        <f t="shared" si="34"/>
        <v>#REF!</v>
      </c>
      <c r="L441" s="93" t="e">
        <f t="shared" si="35"/>
        <v>#REF!</v>
      </c>
      <c r="M441" s="96" t="e">
        <f t="shared" si="36"/>
        <v>#REF!</v>
      </c>
    </row>
    <row r="442" spans="1:13">
      <c r="A442" s="25" t="e">
        <f t="shared" si="33"/>
        <v>#REF!</v>
      </c>
      <c r="B442" s="300" t="s">
        <v>1618</v>
      </c>
      <c r="C442" s="26" t="s">
        <v>1140</v>
      </c>
      <c r="D442" s="26">
        <v>1</v>
      </c>
      <c r="E442" s="6" t="e">
        <f xml:space="preserve"> [1]!'SNI.US-PreClose'</f>
        <v>#REF!</v>
      </c>
      <c r="F442" s="6">
        <v>413</v>
      </c>
      <c r="G442" s="74" t="e">
        <f t="shared" si="37"/>
        <v>#REF!</v>
      </c>
      <c r="H442" s="6" t="e">
        <f xml:space="preserve"> [1]!'SNI.US-Price'</f>
        <v>#REF!</v>
      </c>
      <c r="I442" s="6" t="e">
        <f xml:space="preserve"> [1]!'SNI.US-BestBid1'</f>
        <v>#REF!</v>
      </c>
      <c r="J442" s="6" t="e">
        <f xml:space="preserve"> [1]!'SNI.US-BestAsk1'</f>
        <v>#REF!</v>
      </c>
      <c r="K442" s="93" t="e">
        <f t="shared" si="34"/>
        <v>#REF!</v>
      </c>
      <c r="L442" s="93" t="e">
        <f t="shared" si="35"/>
        <v>#REF!</v>
      </c>
      <c r="M442" s="96" t="e">
        <f t="shared" si="36"/>
        <v>#REF!</v>
      </c>
    </row>
    <row r="443" spans="1:13">
      <c r="A443" s="25" t="e">
        <f t="shared" si="33"/>
        <v>#REF!</v>
      </c>
      <c r="B443" s="300" t="s">
        <v>1619</v>
      </c>
      <c r="C443" s="26" t="s">
        <v>559</v>
      </c>
      <c r="D443" s="26">
        <v>1</v>
      </c>
      <c r="E443" s="6" t="e">
        <f xml:space="preserve"> [1]!'SNPS.US-PreClose'</f>
        <v>#REF!</v>
      </c>
      <c r="F443" s="6">
        <v>647</v>
      </c>
      <c r="G443" s="74" t="e">
        <f t="shared" si="37"/>
        <v>#REF!</v>
      </c>
      <c r="H443" s="6" t="e">
        <f xml:space="preserve"> [1]!'SNPS.US-Price'</f>
        <v>#REF!</v>
      </c>
      <c r="I443" s="6" t="e">
        <f xml:space="preserve"> [1]!'SNPS.US-BestBid1'</f>
        <v>#REF!</v>
      </c>
      <c r="J443" s="6" t="e">
        <f xml:space="preserve"> [1]!'SNPS.US-BestAsk1'</f>
        <v>#REF!</v>
      </c>
      <c r="K443" s="93" t="e">
        <f t="shared" si="34"/>
        <v>#REF!</v>
      </c>
      <c r="L443" s="93" t="e">
        <f t="shared" si="35"/>
        <v>#REF!</v>
      </c>
      <c r="M443" s="96" t="e">
        <f t="shared" si="36"/>
        <v>#REF!</v>
      </c>
    </row>
    <row r="444" spans="1:13">
      <c r="A444" s="25" t="e">
        <f t="shared" si="33"/>
        <v>#VALUE!</v>
      </c>
      <c r="B444" s="300" t="s">
        <v>1620</v>
      </c>
      <c r="C444" s="26" t="s">
        <v>624</v>
      </c>
      <c r="D444" s="26">
        <v>1</v>
      </c>
      <c r="E444" s="6" t="str">
        <f xml:space="preserve"> [1]!'SO.US-PreClose'</f>
        <v>N/A</v>
      </c>
      <c r="F444" s="6">
        <v>4304</v>
      </c>
      <c r="G444" s="74" t="e">
        <f t="shared" si="37"/>
        <v>#VALUE!</v>
      </c>
      <c r="H444" s="6" t="str">
        <f xml:space="preserve"> [1]!'SO.US-Price'</f>
        <v>N/A</v>
      </c>
      <c r="I444" s="6" t="str">
        <f xml:space="preserve"> [1]!'SO.US-BestBid1'</f>
        <v>N/A</v>
      </c>
      <c r="J444" s="6" t="str">
        <f xml:space="preserve"> [1]!'SO.US-BestAsk1'</f>
        <v>N/A</v>
      </c>
      <c r="K444" s="93" t="e">
        <f t="shared" si="34"/>
        <v>#VALUE!</v>
      </c>
      <c r="L444" s="93" t="e">
        <f t="shared" si="35"/>
        <v>#VALUE!</v>
      </c>
      <c r="M444" s="96" t="e">
        <f t="shared" si="36"/>
        <v>#VALUE!</v>
      </c>
    </row>
    <row r="445" spans="1:13">
      <c r="A445" s="25" t="e">
        <f t="shared" si="33"/>
        <v>#VALUE!</v>
      </c>
      <c r="B445" s="300" t="s">
        <v>1621</v>
      </c>
      <c r="C445" s="26" t="s">
        <v>1141</v>
      </c>
      <c r="D445" s="26">
        <v>1</v>
      </c>
      <c r="E445" s="6" t="str">
        <f xml:space="preserve"> [1]!'SPG.US-PreClose'</f>
        <v>N/A</v>
      </c>
      <c r="F445" s="6">
        <v>1339</v>
      </c>
      <c r="G445" s="74" t="e">
        <f t="shared" si="37"/>
        <v>#VALUE!</v>
      </c>
      <c r="H445" s="6" t="str">
        <f xml:space="preserve"> [1]!'SPG.US-Price'</f>
        <v>N/A</v>
      </c>
      <c r="I445" s="6" t="str">
        <f xml:space="preserve"> [1]!'SPG.US-BestBid1'</f>
        <v>N/A</v>
      </c>
      <c r="J445" s="6" t="str">
        <f xml:space="preserve"> [1]!'SPG.US-BestAsk1'</f>
        <v>N/A</v>
      </c>
      <c r="K445" s="93" t="e">
        <f t="shared" si="34"/>
        <v>#VALUE!</v>
      </c>
      <c r="L445" s="93" t="e">
        <f t="shared" si="35"/>
        <v>#VALUE!</v>
      </c>
      <c r="M445" s="96" t="e">
        <f t="shared" si="36"/>
        <v>#VALUE!</v>
      </c>
    </row>
    <row r="446" spans="1:13">
      <c r="A446" s="25" t="e">
        <f t="shared" si="33"/>
        <v>#REF!</v>
      </c>
      <c r="B446" s="300" t="s">
        <v>1622</v>
      </c>
      <c r="C446" s="26" t="s">
        <v>560</v>
      </c>
      <c r="D446" s="26">
        <v>1</v>
      </c>
      <c r="E446" s="6" t="e">
        <f xml:space="preserve"> [1]!'SPGI.US-PreClose'</f>
        <v>#REF!</v>
      </c>
      <c r="F446" s="6">
        <v>1107</v>
      </c>
      <c r="G446" s="74" t="e">
        <f t="shared" si="37"/>
        <v>#REF!</v>
      </c>
      <c r="H446" s="6" t="e">
        <f xml:space="preserve"> [1]!'SPGI.US-Price'</f>
        <v>#REF!</v>
      </c>
      <c r="I446" s="6" t="e">
        <f xml:space="preserve"> [1]!'SPGI.US-BestBid1'</f>
        <v>#REF!</v>
      </c>
      <c r="J446" s="6" t="e">
        <f xml:space="preserve"> [1]!'SPGI.US-BestAsk1'</f>
        <v>#REF!</v>
      </c>
      <c r="K446" s="93" t="e">
        <f t="shared" si="34"/>
        <v>#REF!</v>
      </c>
      <c r="L446" s="93" t="e">
        <f t="shared" si="35"/>
        <v>#REF!</v>
      </c>
      <c r="M446" s="96" t="e">
        <f t="shared" si="36"/>
        <v>#REF!</v>
      </c>
    </row>
    <row r="447" spans="1:13">
      <c r="A447" s="25" t="e">
        <f t="shared" si="33"/>
        <v>#REF!</v>
      </c>
      <c r="B447" s="300" t="s">
        <v>1623</v>
      </c>
      <c r="C447" s="26" t="s">
        <v>561</v>
      </c>
      <c r="D447" s="26">
        <v>1</v>
      </c>
      <c r="E447" s="6" t="e">
        <f xml:space="preserve"> [1]!'SRCL.US-PreClose'</f>
        <v>#REF!</v>
      </c>
      <c r="F447" s="6">
        <v>368</v>
      </c>
      <c r="G447" s="74" t="e">
        <f t="shared" si="37"/>
        <v>#REF!</v>
      </c>
      <c r="H447" s="6" t="e">
        <f xml:space="preserve"> [1]!'SRCL.US-Price'</f>
        <v>#REF!</v>
      </c>
      <c r="I447" s="6" t="e">
        <f xml:space="preserve"> [1]!'SRCL.US-BestBid1'</f>
        <v>#REF!</v>
      </c>
      <c r="J447" s="6" t="e">
        <f xml:space="preserve"> [1]!'SRCL.US-BestAsk1'</f>
        <v>#REF!</v>
      </c>
      <c r="K447" s="93" t="e">
        <f t="shared" si="34"/>
        <v>#REF!</v>
      </c>
      <c r="L447" s="93" t="e">
        <f t="shared" si="35"/>
        <v>#REF!</v>
      </c>
      <c r="M447" s="96" t="e">
        <f t="shared" si="36"/>
        <v>#REF!</v>
      </c>
    </row>
    <row r="448" spans="1:13">
      <c r="A448" s="25" t="e">
        <f t="shared" si="33"/>
        <v>#REF!</v>
      </c>
      <c r="B448" s="300" t="s">
        <v>1624</v>
      </c>
      <c r="C448" s="26" t="s">
        <v>1142</v>
      </c>
      <c r="D448" s="26">
        <v>1</v>
      </c>
      <c r="E448" s="6" t="e">
        <f xml:space="preserve"> [1]!'SRE.US-PreClose'</f>
        <v>#REF!</v>
      </c>
      <c r="F448" s="6">
        <v>1081</v>
      </c>
      <c r="G448" s="74" t="e">
        <f t="shared" si="37"/>
        <v>#REF!</v>
      </c>
      <c r="H448" s="6" t="e">
        <f xml:space="preserve"> [1]!'SRE.US-Price'</f>
        <v>#REF!</v>
      </c>
      <c r="I448" s="6" t="e">
        <f xml:space="preserve"> [1]!'SRE.US-BestBid1'</f>
        <v>#REF!</v>
      </c>
      <c r="J448" s="6" t="e">
        <f xml:space="preserve"> [1]!'SRE.US-BestAsk1'</f>
        <v>#REF!</v>
      </c>
      <c r="K448" s="93" t="e">
        <f t="shared" si="34"/>
        <v>#REF!</v>
      </c>
      <c r="L448" s="93" t="e">
        <f t="shared" si="35"/>
        <v>#REF!</v>
      </c>
      <c r="M448" s="96" t="e">
        <f t="shared" si="36"/>
        <v>#REF!</v>
      </c>
    </row>
    <row r="449" spans="1:13">
      <c r="A449" s="25" t="e">
        <f t="shared" si="33"/>
        <v>#REF!</v>
      </c>
      <c r="B449" s="300" t="s">
        <v>1625</v>
      </c>
      <c r="C449" s="26" t="s">
        <v>1143</v>
      </c>
      <c r="D449" s="26">
        <v>1</v>
      </c>
      <c r="E449" s="6" t="e">
        <f xml:space="preserve"> [1]!'STI.US-PreClose'</f>
        <v>#REF!</v>
      </c>
      <c r="F449" s="6">
        <v>2067</v>
      </c>
      <c r="G449" s="74" t="e">
        <f t="shared" si="37"/>
        <v>#REF!</v>
      </c>
      <c r="H449" s="6" t="e">
        <f xml:space="preserve"> [1]!'STI.US-Price'</f>
        <v>#REF!</v>
      </c>
      <c r="I449" s="6" t="e">
        <f xml:space="preserve"> [1]!'STI.US-BestBid1'</f>
        <v>#REF!</v>
      </c>
      <c r="J449" s="6" t="e">
        <f xml:space="preserve"> [1]!'STI.US-BestAsk1'</f>
        <v>#REF!</v>
      </c>
      <c r="K449" s="93" t="e">
        <f t="shared" si="34"/>
        <v>#REF!</v>
      </c>
      <c r="L449" s="93" t="e">
        <f t="shared" si="35"/>
        <v>#REF!</v>
      </c>
      <c r="M449" s="96" t="e">
        <f t="shared" si="36"/>
        <v>#REF!</v>
      </c>
    </row>
    <row r="450" spans="1:13">
      <c r="A450" s="25" t="e">
        <f t="shared" si="33"/>
        <v>#REF!</v>
      </c>
      <c r="B450" s="300" t="s">
        <v>1626</v>
      </c>
      <c r="C450" s="26" t="s">
        <v>1144</v>
      </c>
      <c r="D450" s="26">
        <v>1</v>
      </c>
      <c r="E450" s="6" t="e">
        <f xml:space="preserve"> [1]!'STT.US-PreClose'</f>
        <v>#REF!</v>
      </c>
      <c r="F450" s="6">
        <v>1514</v>
      </c>
      <c r="G450" s="74" t="e">
        <f t="shared" si="37"/>
        <v>#REF!</v>
      </c>
      <c r="H450" s="6" t="e">
        <f xml:space="preserve"> [1]!'STT.US-Price'</f>
        <v>#REF!</v>
      </c>
      <c r="I450" s="6" t="e">
        <f xml:space="preserve"> [1]!'STT.US-BestBid1'</f>
        <v>#REF!</v>
      </c>
      <c r="J450" s="6" t="e">
        <f xml:space="preserve"> [1]!'STT.US-BestAsk1'</f>
        <v>#REF!</v>
      </c>
      <c r="K450" s="93" t="e">
        <f t="shared" si="34"/>
        <v>#REF!</v>
      </c>
      <c r="L450" s="93" t="e">
        <f t="shared" si="35"/>
        <v>#REF!</v>
      </c>
      <c r="M450" s="96" t="e">
        <f t="shared" si="36"/>
        <v>#REF!</v>
      </c>
    </row>
    <row r="451" spans="1:13">
      <c r="A451" s="25" t="e">
        <f t="shared" si="33"/>
        <v>#REF!</v>
      </c>
      <c r="B451" s="300" t="s">
        <v>1627</v>
      </c>
      <c r="C451" s="26" t="s">
        <v>1145</v>
      </c>
      <c r="D451" s="26">
        <v>1</v>
      </c>
      <c r="E451" s="6" t="e">
        <f xml:space="preserve"> [1]!'STX.US-PreClose'</f>
        <v>#REF!</v>
      </c>
      <c r="F451" s="6">
        <v>1240</v>
      </c>
      <c r="G451" s="74" t="e">
        <f t="shared" si="37"/>
        <v>#REF!</v>
      </c>
      <c r="H451" s="6" t="e">
        <f xml:space="preserve"> [1]!'STX.US-Price'</f>
        <v>#REF!</v>
      </c>
      <c r="I451" s="6" t="e">
        <f xml:space="preserve"> [1]!'STX.US-BestBid1'</f>
        <v>#REF!</v>
      </c>
      <c r="J451" s="6" t="e">
        <f xml:space="preserve"> [1]!'STX.US-BestAsk1'</f>
        <v>#REF!</v>
      </c>
      <c r="K451" s="93" t="e">
        <f t="shared" si="34"/>
        <v>#REF!</v>
      </c>
      <c r="L451" s="93" t="e">
        <f t="shared" si="35"/>
        <v>#REF!</v>
      </c>
      <c r="M451" s="96" t="e">
        <f t="shared" si="36"/>
        <v>#REF!</v>
      </c>
    </row>
    <row r="452" spans="1:13">
      <c r="A452" s="25" t="e">
        <f t="shared" si="33"/>
        <v>#REF!</v>
      </c>
      <c r="B452" s="300" t="s">
        <v>1628</v>
      </c>
      <c r="C452" s="26" t="s">
        <v>1146</v>
      </c>
      <c r="D452" s="26">
        <v>1</v>
      </c>
      <c r="E452" s="6" t="e">
        <f xml:space="preserve"> [1]!'STZ.US-PreClose'</f>
        <v>#REF!</v>
      </c>
      <c r="F452" s="6">
        <v>740</v>
      </c>
      <c r="G452" s="74" t="e">
        <f t="shared" si="37"/>
        <v>#REF!</v>
      </c>
      <c r="H452" s="6" t="e">
        <f xml:space="preserve"> [1]!'STZ.US-Price'</f>
        <v>#REF!</v>
      </c>
      <c r="I452" s="6" t="e">
        <f xml:space="preserve"> [1]!'STZ.US-BestBid1'</f>
        <v>#REF!</v>
      </c>
      <c r="J452" s="6" t="e">
        <f xml:space="preserve"> [1]!'STZ.US-BestAsk1'</f>
        <v>#REF!</v>
      </c>
      <c r="K452" s="93" t="e">
        <f t="shared" si="34"/>
        <v>#REF!</v>
      </c>
      <c r="L452" s="93" t="e">
        <f t="shared" si="35"/>
        <v>#REF!</v>
      </c>
      <c r="M452" s="96" t="e">
        <f t="shared" si="36"/>
        <v>#REF!</v>
      </c>
    </row>
    <row r="453" spans="1:13">
      <c r="A453" s="25" t="e">
        <f t="shared" si="33"/>
        <v>#REF!</v>
      </c>
      <c r="B453" s="300" t="s">
        <v>1629</v>
      </c>
      <c r="C453" s="26" t="s">
        <v>1147</v>
      </c>
      <c r="D453" s="26">
        <v>1</v>
      </c>
      <c r="E453" s="6" t="e">
        <f xml:space="preserve"> [1]!'SWK.US-PreClose'</f>
        <v>#REF!</v>
      </c>
      <c r="F453" s="6">
        <v>660</v>
      </c>
      <c r="G453" s="74" t="e">
        <f t="shared" si="37"/>
        <v>#REF!</v>
      </c>
      <c r="H453" s="6" t="e">
        <f xml:space="preserve"> [1]!'SWK.US-Price'</f>
        <v>#REF!</v>
      </c>
      <c r="I453" s="6" t="e">
        <f xml:space="preserve"> [1]!'SWK.US-BestBid1'</f>
        <v>#REF!</v>
      </c>
      <c r="J453" s="6" t="e">
        <f xml:space="preserve"> [1]!'SWK.US-BestAsk1'</f>
        <v>#REF!</v>
      </c>
      <c r="K453" s="93" t="e">
        <f t="shared" si="34"/>
        <v>#REF!</v>
      </c>
      <c r="L453" s="93" t="e">
        <f t="shared" si="35"/>
        <v>#REF!</v>
      </c>
      <c r="M453" s="96" t="e">
        <f t="shared" si="36"/>
        <v>#REF!</v>
      </c>
    </row>
    <row r="454" spans="1:13">
      <c r="A454" s="25" t="e">
        <f t="shared" si="33"/>
        <v>#REF!</v>
      </c>
      <c r="B454" s="300" t="s">
        <v>1630</v>
      </c>
      <c r="C454" s="26" t="s">
        <v>562</v>
      </c>
      <c r="D454" s="26">
        <v>1</v>
      </c>
      <c r="E454" s="6" t="e">
        <f xml:space="preserve"> [1]!'SWKS.US-PreClose'</f>
        <v>#REF!</v>
      </c>
      <c r="F454" s="6">
        <v>791</v>
      </c>
      <c r="G454" s="74" t="e">
        <f t="shared" si="37"/>
        <v>#REF!</v>
      </c>
      <c r="H454" s="6" t="e">
        <f xml:space="preserve"> [1]!'SWKS.US-Price'</f>
        <v>#REF!</v>
      </c>
      <c r="I454" s="6" t="e">
        <f xml:space="preserve"> [1]!'SWKS.US-BestBid1'</f>
        <v>#REF!</v>
      </c>
      <c r="J454" s="6" t="e">
        <f xml:space="preserve"> [1]!'SWKS.US-BestAsk1'</f>
        <v>#REF!</v>
      </c>
      <c r="K454" s="93" t="e">
        <f t="shared" si="34"/>
        <v>#REF!</v>
      </c>
      <c r="L454" s="93" t="e">
        <f t="shared" si="35"/>
        <v>#REF!</v>
      </c>
      <c r="M454" s="96" t="e">
        <f t="shared" si="36"/>
        <v>#REF!</v>
      </c>
    </row>
    <row r="455" spans="1:13">
      <c r="A455" s="25" t="e">
        <f t="shared" si="33"/>
        <v>#REF!</v>
      </c>
      <c r="B455" s="300" t="s">
        <v>1631</v>
      </c>
      <c r="C455" s="26" t="s">
        <v>1148</v>
      </c>
      <c r="D455" s="26">
        <v>1</v>
      </c>
      <c r="E455" s="6" t="e">
        <f xml:space="preserve"> [1]!'SYF.US-PreClose'</f>
        <v>#REF!</v>
      </c>
      <c r="F455" s="6">
        <v>3254</v>
      </c>
      <c r="G455" s="74" t="e">
        <f t="shared" si="37"/>
        <v>#REF!</v>
      </c>
      <c r="H455" s="6" t="e">
        <f xml:space="preserve"> [1]!'SYF.US-Price'</f>
        <v>#REF!</v>
      </c>
      <c r="I455" s="6" t="e">
        <f xml:space="preserve"> [1]!'SYF.US-BestBid1'</f>
        <v>#REF!</v>
      </c>
      <c r="J455" s="6" t="e">
        <f xml:space="preserve"> [1]!'SYF.US-BestAsk1'</f>
        <v>#REF!</v>
      </c>
      <c r="K455" s="93" t="e">
        <f t="shared" si="34"/>
        <v>#REF!</v>
      </c>
      <c r="L455" s="93" t="e">
        <f t="shared" si="35"/>
        <v>#REF!</v>
      </c>
      <c r="M455" s="96" t="e">
        <f t="shared" si="36"/>
        <v>#REF!</v>
      </c>
    </row>
    <row r="456" spans="1:13">
      <c r="A456" s="25" t="e">
        <f t="shared" si="33"/>
        <v>#REF!</v>
      </c>
      <c r="B456" s="300" t="s">
        <v>1632</v>
      </c>
      <c r="C456" s="26" t="s">
        <v>1149</v>
      </c>
      <c r="D456" s="26">
        <v>1</v>
      </c>
      <c r="E456" s="6" t="e">
        <f xml:space="preserve"> [1]!'SYK.US-PreClose'</f>
        <v>#REF!</v>
      </c>
      <c r="F456" s="6">
        <v>1337</v>
      </c>
      <c r="G456" s="74" t="e">
        <f t="shared" si="37"/>
        <v>#REF!</v>
      </c>
      <c r="H456" s="6" t="e">
        <f xml:space="preserve"> [1]!'SYK.US-Price'</f>
        <v>#REF!</v>
      </c>
      <c r="I456" s="6" t="e">
        <f xml:space="preserve"> [1]!'SYK.US-BestBid1'</f>
        <v>#REF!</v>
      </c>
      <c r="J456" s="6" t="e">
        <f xml:space="preserve"> [1]!'SYK.US-BestAsk1'</f>
        <v>#REF!</v>
      </c>
      <c r="K456" s="93" t="e">
        <f t="shared" si="34"/>
        <v>#REF!</v>
      </c>
      <c r="L456" s="93" t="e">
        <f t="shared" si="35"/>
        <v>#REF!</v>
      </c>
      <c r="M456" s="96" t="e">
        <f t="shared" si="36"/>
        <v>#REF!</v>
      </c>
    </row>
    <row r="457" spans="1:13">
      <c r="A457" s="25" t="e">
        <f t="shared" si="33"/>
        <v>#REF!</v>
      </c>
      <c r="B457" s="300" t="s">
        <v>1633</v>
      </c>
      <c r="C457" s="26" t="s">
        <v>563</v>
      </c>
      <c r="D457" s="26">
        <v>1</v>
      </c>
      <c r="E457" s="6" t="e">
        <f xml:space="preserve"> [1]!'SYMC.US-PreClose'</f>
        <v>#REF!</v>
      </c>
      <c r="F457" s="6">
        <v>2646</v>
      </c>
      <c r="G457" s="74" t="e">
        <f t="shared" si="37"/>
        <v>#REF!</v>
      </c>
      <c r="H457" s="6" t="e">
        <f xml:space="preserve"> [1]!'SYMC.US-Price'</f>
        <v>#REF!</v>
      </c>
      <c r="I457" s="6" t="e">
        <f xml:space="preserve"> [1]!'SYMC.US-BestBid1'</f>
        <v>#REF!</v>
      </c>
      <c r="J457" s="6" t="e">
        <f xml:space="preserve"> [1]!'SYMC.US-BestAsk1'</f>
        <v>#REF!</v>
      </c>
      <c r="K457" s="93" t="e">
        <f t="shared" si="34"/>
        <v>#REF!</v>
      </c>
      <c r="L457" s="93" t="e">
        <f t="shared" si="35"/>
        <v>#REF!</v>
      </c>
      <c r="M457" s="96" t="e">
        <f t="shared" si="36"/>
        <v>#REF!</v>
      </c>
    </row>
    <row r="458" spans="1:13">
      <c r="A458" s="25" t="e">
        <f t="shared" si="33"/>
        <v>#REF!</v>
      </c>
      <c r="B458" s="300" t="s">
        <v>1634</v>
      </c>
      <c r="C458" s="26" t="s">
        <v>1150</v>
      </c>
      <c r="D458" s="26">
        <v>1</v>
      </c>
      <c r="E458" s="6" t="e">
        <f xml:space="preserve"> [1]!'SYY.US-PreClose'</f>
        <v>#REF!</v>
      </c>
      <c r="F458" s="6">
        <v>2092</v>
      </c>
      <c r="G458" s="74" t="e">
        <f t="shared" si="37"/>
        <v>#REF!</v>
      </c>
      <c r="H458" s="6" t="e">
        <f xml:space="preserve"> [1]!'SYY.US-Price'</f>
        <v>#REF!</v>
      </c>
      <c r="I458" s="6" t="e">
        <f xml:space="preserve"> [1]!'SYY.US-BestBid1'</f>
        <v>#REF!</v>
      </c>
      <c r="J458" s="6" t="e">
        <f xml:space="preserve"> [1]!'SYY.US-BestAsk1'</f>
        <v>#REF!</v>
      </c>
      <c r="K458" s="93" t="e">
        <f t="shared" si="34"/>
        <v>#REF!</v>
      </c>
      <c r="L458" s="93" t="e">
        <f t="shared" si="35"/>
        <v>#REF!</v>
      </c>
      <c r="M458" s="96" t="e">
        <f t="shared" si="36"/>
        <v>#REF!</v>
      </c>
    </row>
    <row r="459" spans="1:13">
      <c r="A459" s="25" t="e">
        <f t="shared" si="33"/>
        <v>#VALUE!</v>
      </c>
      <c r="B459" s="300" t="s">
        <v>1635</v>
      </c>
      <c r="C459" s="26" t="s">
        <v>625</v>
      </c>
      <c r="D459" s="26">
        <v>1</v>
      </c>
      <c r="E459" s="6" t="str">
        <f xml:space="preserve"> [1]!'T.US-PreClose'</f>
        <v>N/A</v>
      </c>
      <c r="F459" s="6">
        <v>26441</v>
      </c>
      <c r="G459" s="74" t="e">
        <f t="shared" si="37"/>
        <v>#VALUE!</v>
      </c>
      <c r="H459" s="6" t="str">
        <f xml:space="preserve"> [1]!'T.US-Price'</f>
        <v>N/A</v>
      </c>
      <c r="I459" s="6" t="str">
        <f xml:space="preserve"> [1]!'T.US-BestBid1'</f>
        <v>N/A</v>
      </c>
      <c r="J459" s="6" t="str">
        <f xml:space="preserve"> [1]!'T.US-BestAsk1'</f>
        <v>N/A</v>
      </c>
      <c r="K459" s="93" t="e">
        <f t="shared" si="34"/>
        <v>#VALUE!</v>
      </c>
      <c r="L459" s="93" t="e">
        <f t="shared" si="35"/>
        <v>#VALUE!</v>
      </c>
      <c r="M459" s="96" t="e">
        <f t="shared" si="36"/>
        <v>#VALUE!</v>
      </c>
    </row>
    <row r="460" spans="1:13">
      <c r="A460" s="25" t="e">
        <f t="shared" si="33"/>
        <v>#REF!</v>
      </c>
      <c r="B460" s="300" t="s">
        <v>1636</v>
      </c>
      <c r="C460" s="26" t="s">
        <v>1151</v>
      </c>
      <c r="D460" s="26">
        <v>1</v>
      </c>
      <c r="E460" s="6" t="e">
        <f xml:space="preserve"> [1]!'TAP.US-PreClose'</f>
        <v>#REF!</v>
      </c>
      <c r="F460" s="6">
        <v>795</v>
      </c>
      <c r="G460" s="74" t="e">
        <f t="shared" si="37"/>
        <v>#REF!</v>
      </c>
      <c r="H460" s="6" t="e">
        <f xml:space="preserve"> [1]!'TAP.US-Price'</f>
        <v>#REF!</v>
      </c>
      <c r="I460" s="6" t="e">
        <f xml:space="preserve"> [1]!'TAP.US-BestBid1'</f>
        <v>#REF!</v>
      </c>
      <c r="J460" s="6" t="e">
        <f xml:space="preserve"> [1]!'TAP.US-BestAsk1'</f>
        <v>#REF!</v>
      </c>
      <c r="K460" s="93" t="e">
        <f t="shared" si="34"/>
        <v>#REF!</v>
      </c>
      <c r="L460" s="93" t="e">
        <f t="shared" si="35"/>
        <v>#REF!</v>
      </c>
      <c r="M460" s="96" t="e">
        <f t="shared" si="36"/>
        <v>#REF!</v>
      </c>
    </row>
    <row r="461" spans="1:13">
      <c r="A461" s="25" t="e">
        <f t="shared" si="33"/>
        <v>#REF!</v>
      </c>
      <c r="B461" s="300" t="s">
        <v>1637</v>
      </c>
      <c r="C461" s="26" t="s">
        <v>1152</v>
      </c>
      <c r="D461" s="26">
        <v>1</v>
      </c>
      <c r="E461" s="6" t="e">
        <f xml:space="preserve"> [1]!'TDG.US-PreClose'</f>
        <v>#REF!</v>
      </c>
      <c r="F461" s="6">
        <v>210</v>
      </c>
      <c r="G461" s="74" t="e">
        <f t="shared" si="37"/>
        <v>#REF!</v>
      </c>
      <c r="H461" s="6" t="e">
        <f xml:space="preserve"> [1]!'TDG.US-Price'</f>
        <v>#REF!</v>
      </c>
      <c r="I461" s="6" t="e">
        <f xml:space="preserve"> [1]!'TDG.US-BestBid1'</f>
        <v>#REF!</v>
      </c>
      <c r="J461" s="6" t="e">
        <f xml:space="preserve"> [1]!'TDG.US-BestAsk1'</f>
        <v>#REF!</v>
      </c>
      <c r="K461" s="93" t="e">
        <f t="shared" si="34"/>
        <v>#REF!</v>
      </c>
      <c r="L461" s="93" t="e">
        <f t="shared" si="35"/>
        <v>#REF!</v>
      </c>
      <c r="M461" s="96" t="e">
        <f t="shared" si="36"/>
        <v>#REF!</v>
      </c>
    </row>
    <row r="462" spans="1:13">
      <c r="A462" s="25" t="e">
        <f t="shared" si="33"/>
        <v>#REF!</v>
      </c>
      <c r="B462" s="300" t="s">
        <v>1638</v>
      </c>
      <c r="C462" s="26" t="s">
        <v>1153</v>
      </c>
      <c r="D462" s="26">
        <v>1</v>
      </c>
      <c r="E462" s="6" t="e">
        <f xml:space="preserve"> [1]!'TEL.US-PreClose'</f>
        <v>#REF!</v>
      </c>
      <c r="F462" s="6">
        <v>1522</v>
      </c>
      <c r="G462" s="74" t="e">
        <f t="shared" si="37"/>
        <v>#REF!</v>
      </c>
      <c r="H462" s="6" t="e">
        <f xml:space="preserve"> [1]!'TEL.US-Price'</f>
        <v>#REF!</v>
      </c>
      <c r="I462" s="6" t="e">
        <f xml:space="preserve"> [1]!'TEL.US-BestBid1'</f>
        <v>#REF!</v>
      </c>
      <c r="J462" s="6" t="e">
        <f xml:space="preserve"> [1]!'TEL.US-BestAsk1'</f>
        <v>#REF!</v>
      </c>
      <c r="K462" s="93" t="e">
        <f t="shared" si="34"/>
        <v>#REF!</v>
      </c>
      <c r="L462" s="93" t="e">
        <f t="shared" si="35"/>
        <v>#REF!</v>
      </c>
      <c r="M462" s="96" t="e">
        <f t="shared" si="36"/>
        <v>#REF!</v>
      </c>
    </row>
    <row r="463" spans="1:13">
      <c r="A463" s="25" t="e">
        <f t="shared" si="33"/>
        <v>#REF!</v>
      </c>
      <c r="B463" s="300" t="s">
        <v>1639</v>
      </c>
      <c r="C463" s="26" t="s">
        <v>1154</v>
      </c>
      <c r="D463" s="26">
        <v>1</v>
      </c>
      <c r="E463" s="6" t="e">
        <f xml:space="preserve"> [1]!'TGT.US-PreClose'</f>
        <v>#REF!</v>
      </c>
      <c r="F463" s="6">
        <v>2353</v>
      </c>
      <c r="G463" s="74" t="e">
        <f t="shared" si="37"/>
        <v>#REF!</v>
      </c>
      <c r="H463" s="6" t="e">
        <f xml:space="preserve"> [1]!'TGT.US-Price'</f>
        <v>#REF!</v>
      </c>
      <c r="I463" s="6" t="e">
        <f xml:space="preserve"> [1]!'TGT.US-BestBid1'</f>
        <v>#REF!</v>
      </c>
      <c r="J463" s="6" t="e">
        <f xml:space="preserve"> [1]!'TGT.US-BestAsk1'</f>
        <v>#REF!</v>
      </c>
      <c r="K463" s="93" t="e">
        <f t="shared" si="34"/>
        <v>#REF!</v>
      </c>
      <c r="L463" s="93" t="e">
        <f t="shared" si="35"/>
        <v>#REF!</v>
      </c>
      <c r="M463" s="96" t="e">
        <f t="shared" si="36"/>
        <v>#REF!</v>
      </c>
    </row>
    <row r="464" spans="1:13">
      <c r="A464" s="25" t="e">
        <f t="shared" si="33"/>
        <v>#REF!</v>
      </c>
      <c r="B464" s="300" t="s">
        <v>1640</v>
      </c>
      <c r="C464" s="26" t="s">
        <v>1155</v>
      </c>
      <c r="D464" s="26">
        <v>1</v>
      </c>
      <c r="E464" s="6" t="e">
        <f xml:space="preserve"> [1]!'TIF.US-PreClose'</f>
        <v>#REF!</v>
      </c>
      <c r="F464" s="6">
        <v>461</v>
      </c>
      <c r="G464" s="74" t="e">
        <f t="shared" si="37"/>
        <v>#REF!</v>
      </c>
      <c r="H464" s="6" t="e">
        <f xml:space="preserve"> [1]!'TIF.US-Price'</f>
        <v>#REF!</v>
      </c>
      <c r="I464" s="6" t="e">
        <f xml:space="preserve"> [1]!'TIF.US-BestBid1'</f>
        <v>#REF!</v>
      </c>
      <c r="J464" s="6" t="e">
        <f xml:space="preserve"> [1]!'TIF.US-BestAsk1'</f>
        <v>#REF!</v>
      </c>
      <c r="K464" s="93" t="e">
        <f t="shared" si="34"/>
        <v>#REF!</v>
      </c>
      <c r="L464" s="93" t="e">
        <f t="shared" si="35"/>
        <v>#REF!</v>
      </c>
      <c r="M464" s="96" t="e">
        <f t="shared" si="36"/>
        <v>#REF!</v>
      </c>
    </row>
    <row r="465" spans="1:13">
      <c r="A465" s="25" t="e">
        <f t="shared" si="33"/>
        <v>#REF!</v>
      </c>
      <c r="B465" s="300" t="s">
        <v>1641</v>
      </c>
      <c r="C465" s="26" t="s">
        <v>1156</v>
      </c>
      <c r="D465" s="26">
        <v>1</v>
      </c>
      <c r="E465" s="6" t="e">
        <f xml:space="preserve"> [1]!'TJX.US-PreClose'</f>
        <v>#REF!</v>
      </c>
      <c r="F465" s="6">
        <v>2741</v>
      </c>
      <c r="G465" s="74" t="e">
        <f t="shared" si="37"/>
        <v>#REF!</v>
      </c>
      <c r="H465" s="6" t="e">
        <f xml:space="preserve"> [1]!'TJX.US-Price'</f>
        <v>#REF!</v>
      </c>
      <c r="I465" s="6" t="e">
        <f xml:space="preserve"> [1]!'TJX.US-BestBid1'</f>
        <v>#REF!</v>
      </c>
      <c r="J465" s="6" t="e">
        <f xml:space="preserve"> [1]!'TJX.US-BestAsk1'</f>
        <v>#REF!</v>
      </c>
      <c r="K465" s="93" t="e">
        <f t="shared" si="34"/>
        <v>#REF!</v>
      </c>
      <c r="L465" s="93" t="e">
        <f t="shared" si="35"/>
        <v>#REF!</v>
      </c>
      <c r="M465" s="96" t="e">
        <f t="shared" si="36"/>
        <v>#REF!</v>
      </c>
    </row>
    <row r="466" spans="1:13">
      <c r="A466" s="25" t="e">
        <f t="shared" si="33"/>
        <v>#REF!</v>
      </c>
      <c r="B466" s="300" t="s">
        <v>1642</v>
      </c>
      <c r="C466" s="26" t="s">
        <v>1157</v>
      </c>
      <c r="D466" s="26">
        <v>1</v>
      </c>
      <c r="E466" s="6" t="e">
        <f xml:space="preserve"> [1]!'TMK.US-PreClose'</f>
        <v>#REF!</v>
      </c>
      <c r="F466" s="6">
        <v>466</v>
      </c>
      <c r="G466" s="74" t="e">
        <f t="shared" si="37"/>
        <v>#REF!</v>
      </c>
      <c r="H466" s="6" t="e">
        <f xml:space="preserve"> [1]!'TMK.US-Price'</f>
        <v>#REF!</v>
      </c>
      <c r="I466" s="6" t="e">
        <f xml:space="preserve"> [1]!'TMK.US-BestBid1'</f>
        <v>#REF!</v>
      </c>
      <c r="J466" s="6" t="e">
        <f xml:space="preserve"> [1]!'TMK.US-BestAsk1'</f>
        <v>#REF!</v>
      </c>
      <c r="K466" s="93" t="e">
        <f t="shared" si="34"/>
        <v>#REF!</v>
      </c>
      <c r="L466" s="93" t="e">
        <f t="shared" si="35"/>
        <v>#REF!</v>
      </c>
      <c r="M466" s="96" t="e">
        <f t="shared" si="36"/>
        <v>#REF!</v>
      </c>
    </row>
    <row r="467" spans="1:13">
      <c r="A467" s="25" t="e">
        <f t="shared" si="33"/>
        <v>#REF!</v>
      </c>
      <c r="B467" s="300" t="s">
        <v>1643</v>
      </c>
      <c r="C467" s="26" t="s">
        <v>1158</v>
      </c>
      <c r="D467" s="26">
        <v>1</v>
      </c>
      <c r="E467" s="6" t="e">
        <f xml:space="preserve"> [1]!'TMO.US-PreClose'</f>
        <v>#REF!</v>
      </c>
      <c r="F467" s="6">
        <v>1723</v>
      </c>
      <c r="G467" s="74" t="e">
        <f t="shared" si="37"/>
        <v>#REF!</v>
      </c>
      <c r="H467" s="6" t="e">
        <f xml:space="preserve"> [1]!'TMO.US-Price'</f>
        <v>#REF!</v>
      </c>
      <c r="I467" s="6" t="e">
        <f xml:space="preserve"> [1]!'TMO.US-BestBid1'</f>
        <v>#REF!</v>
      </c>
      <c r="J467" s="6" t="e">
        <f xml:space="preserve"> [1]!'TMO.US-BestAsk1'</f>
        <v>#REF!</v>
      </c>
      <c r="K467" s="93" t="e">
        <f t="shared" si="34"/>
        <v>#REF!</v>
      </c>
      <c r="L467" s="93" t="e">
        <f t="shared" si="35"/>
        <v>#REF!</v>
      </c>
      <c r="M467" s="96" t="e">
        <f t="shared" si="36"/>
        <v>#REF!</v>
      </c>
    </row>
    <row r="468" spans="1:13">
      <c r="A468" s="25" t="e">
        <f t="shared" si="33"/>
        <v>#REF!</v>
      </c>
      <c r="B468" s="300" t="s">
        <v>1644</v>
      </c>
      <c r="C468" s="26" t="s">
        <v>564</v>
      </c>
      <c r="D468" s="26">
        <v>1</v>
      </c>
      <c r="E468" s="6" t="e">
        <f xml:space="preserve"> [1]!'TRIP.US-PreClose'</f>
        <v>#REF!</v>
      </c>
      <c r="F468" s="6">
        <v>467</v>
      </c>
      <c r="G468" s="74" t="e">
        <f t="shared" si="37"/>
        <v>#REF!</v>
      </c>
      <c r="H468" s="6" t="e">
        <f xml:space="preserve"> [1]!'TRIP.US-Price'</f>
        <v>#REF!</v>
      </c>
      <c r="I468" s="6" t="e">
        <f xml:space="preserve"> [1]!'TRIP.US-BestBid1'</f>
        <v>#REF!</v>
      </c>
      <c r="J468" s="6" t="e">
        <f xml:space="preserve"> [1]!'TRIP.US-BestAsk1'</f>
        <v>#REF!</v>
      </c>
      <c r="K468" s="93" t="e">
        <f t="shared" si="34"/>
        <v>#REF!</v>
      </c>
      <c r="L468" s="93" t="e">
        <f t="shared" si="35"/>
        <v>#REF!</v>
      </c>
      <c r="M468" s="96" t="e">
        <f t="shared" si="36"/>
        <v>#REF!</v>
      </c>
    </row>
    <row r="469" spans="1:13">
      <c r="A469" s="25" t="e">
        <f t="shared" si="33"/>
        <v>#VALUE!</v>
      </c>
      <c r="B469" s="300" t="s">
        <v>1645</v>
      </c>
      <c r="C469" s="26" t="s">
        <v>565</v>
      </c>
      <c r="D469" s="26">
        <v>1</v>
      </c>
      <c r="E469" s="6" t="str">
        <f xml:space="preserve"> [1]!'TROW.US-PreClose'</f>
        <v>N/A</v>
      </c>
      <c r="F469" s="6">
        <v>1035</v>
      </c>
      <c r="G469" s="74" t="e">
        <f t="shared" si="37"/>
        <v>#VALUE!</v>
      </c>
      <c r="H469" s="6" t="str">
        <f xml:space="preserve"> [1]!'TROW.US-Price'</f>
        <v>N/A</v>
      </c>
      <c r="I469" s="6" t="str">
        <f xml:space="preserve"> [1]!'TROW.US-BestBid1'</f>
        <v>N/A</v>
      </c>
      <c r="J469" s="6" t="str">
        <f xml:space="preserve"> [1]!'TROW.US-BestAsk1'</f>
        <v>N/A</v>
      </c>
      <c r="K469" s="93" t="e">
        <f t="shared" si="34"/>
        <v>#VALUE!</v>
      </c>
      <c r="L469" s="93" t="e">
        <f t="shared" si="35"/>
        <v>#VALUE!</v>
      </c>
      <c r="M469" s="96" t="e">
        <f t="shared" si="36"/>
        <v>#VALUE!</v>
      </c>
    </row>
    <row r="470" spans="1:13">
      <c r="A470" s="25" t="e">
        <f t="shared" si="33"/>
        <v>#VALUE!</v>
      </c>
      <c r="B470" s="300" t="s">
        <v>1646</v>
      </c>
      <c r="C470" s="26" t="s">
        <v>1159</v>
      </c>
      <c r="D470" s="26">
        <v>1</v>
      </c>
      <c r="E470" s="6" t="str">
        <f xml:space="preserve"> [1]!'TRV.US-PreClose'</f>
        <v>N/A</v>
      </c>
      <c r="F470" s="6">
        <v>1189</v>
      </c>
      <c r="G470" s="74" t="e">
        <f t="shared" si="37"/>
        <v>#VALUE!</v>
      </c>
      <c r="H470" s="6" t="str">
        <f xml:space="preserve"> [1]!'TRV.US-Price'</f>
        <v>N/A</v>
      </c>
      <c r="I470" s="6" t="str">
        <f xml:space="preserve"> [1]!'TRV.US-BestBid1'</f>
        <v>N/A</v>
      </c>
      <c r="J470" s="6" t="str">
        <f xml:space="preserve"> [1]!'TRV.US-BestAsk1'</f>
        <v>N/A</v>
      </c>
      <c r="K470" s="93" t="e">
        <f t="shared" si="34"/>
        <v>#VALUE!</v>
      </c>
      <c r="L470" s="93" t="e">
        <f t="shared" si="35"/>
        <v>#VALUE!</v>
      </c>
      <c r="M470" s="96" t="e">
        <f t="shared" si="36"/>
        <v>#VALUE!</v>
      </c>
    </row>
    <row r="471" spans="1:13">
      <c r="A471" s="25" t="e">
        <f t="shared" ref="A471:A528" si="38">G471/$C$6</f>
        <v>#REF!</v>
      </c>
      <c r="B471" s="300" t="s">
        <v>1647</v>
      </c>
      <c r="C471" s="26" t="s">
        <v>566</v>
      </c>
      <c r="D471" s="26">
        <v>1</v>
      </c>
      <c r="E471" s="6" t="e">
        <f xml:space="preserve"> [1]!'TSCO.US-PreClose'</f>
        <v>#REF!</v>
      </c>
      <c r="F471" s="6">
        <v>546</v>
      </c>
      <c r="G471" s="74" t="e">
        <f t="shared" si="37"/>
        <v>#REF!</v>
      </c>
      <c r="H471" s="6" t="e">
        <f xml:space="preserve"> [1]!'TSCO.US-Price'</f>
        <v>#REF!</v>
      </c>
      <c r="I471" s="6" t="e">
        <f xml:space="preserve"> [1]!'TSCO.US-BestBid1'</f>
        <v>#REF!</v>
      </c>
      <c r="J471" s="6" t="e">
        <f xml:space="preserve"> [1]!'TSCO.US-BestAsk1'</f>
        <v>#REF!</v>
      </c>
      <c r="K471" s="93" t="e">
        <f t="shared" ref="K471:K528" si="39">IF(ISNUMBER(H471)=TRUE,H471*F471*D471,E471*F471*D471)*$N$2</f>
        <v>#REF!</v>
      </c>
      <c r="L471" s="93" t="e">
        <f t="shared" ref="L471:L528" si="40">IF(ISNUMBER(I471)=TRUE,I471*F471*D471,E471*F471*D471)*$N$2</f>
        <v>#REF!</v>
      </c>
      <c r="M471" s="96" t="e">
        <f t="shared" ref="M471:M528" si="41">IF(ISNUMBER(J471)=TRUE,J471*F471*D471,E471*F471*D471)*$N$2</f>
        <v>#REF!</v>
      </c>
    </row>
    <row r="472" spans="1:13">
      <c r="A472" s="25" t="e">
        <f t="shared" si="38"/>
        <v>#REF!</v>
      </c>
      <c r="B472" s="300" t="s">
        <v>1648</v>
      </c>
      <c r="C472" s="26" t="s">
        <v>1160</v>
      </c>
      <c r="D472" s="26">
        <v>1</v>
      </c>
      <c r="E472" s="6" t="e">
        <f xml:space="preserve"> [1]!'TSN.US-PreClose'</f>
        <v>#REF!</v>
      </c>
      <c r="F472" s="6">
        <v>1246</v>
      </c>
      <c r="G472" s="74" t="e">
        <f t="shared" si="37"/>
        <v>#REF!</v>
      </c>
      <c r="H472" s="6" t="e">
        <f xml:space="preserve"> [1]!'TSN.US-Price'</f>
        <v>#REF!</v>
      </c>
      <c r="I472" s="6" t="e">
        <f xml:space="preserve"> [1]!'TSN.US-BestBid1'</f>
        <v>#REF!</v>
      </c>
      <c r="J472" s="6" t="e">
        <f xml:space="preserve"> [1]!'TSN.US-BestAsk1'</f>
        <v>#REF!</v>
      </c>
      <c r="K472" s="93" t="e">
        <f t="shared" si="39"/>
        <v>#REF!</v>
      </c>
      <c r="L472" s="93" t="e">
        <f t="shared" si="40"/>
        <v>#REF!</v>
      </c>
      <c r="M472" s="96" t="e">
        <f t="shared" si="41"/>
        <v>#REF!</v>
      </c>
    </row>
    <row r="473" spans="1:13">
      <c r="A473" s="25" t="e">
        <f t="shared" si="38"/>
        <v>#REF!</v>
      </c>
      <c r="B473" s="300" t="s">
        <v>1649</v>
      </c>
      <c r="C473" s="26" t="s">
        <v>1161</v>
      </c>
      <c r="D473" s="26">
        <v>1</v>
      </c>
      <c r="E473" s="6" t="e">
        <f xml:space="preserve"> [1]!'TSS.US-PreClose'</f>
        <v>#REF!</v>
      </c>
      <c r="F473" s="6">
        <v>714</v>
      </c>
      <c r="G473" s="74" t="e">
        <f t="shared" ref="G473:G528" si="42">D473*E473*F473*$O$2</f>
        <v>#REF!</v>
      </c>
      <c r="H473" s="6" t="e">
        <f xml:space="preserve"> [1]!'TSS.US-Price'</f>
        <v>#REF!</v>
      </c>
      <c r="I473" s="6" t="e">
        <f xml:space="preserve"> [1]!'TSS.US-BestBid1'</f>
        <v>#REF!</v>
      </c>
      <c r="J473" s="6" t="e">
        <f xml:space="preserve"> [1]!'TSS.US-BestAsk1'</f>
        <v>#REF!</v>
      </c>
      <c r="K473" s="93" t="e">
        <f t="shared" si="39"/>
        <v>#REF!</v>
      </c>
      <c r="L473" s="93" t="e">
        <f t="shared" si="40"/>
        <v>#REF!</v>
      </c>
      <c r="M473" s="96" t="e">
        <f t="shared" si="41"/>
        <v>#REF!</v>
      </c>
    </row>
    <row r="474" spans="1:13">
      <c r="A474" s="25" t="e">
        <f t="shared" si="38"/>
        <v>#REF!</v>
      </c>
      <c r="B474" s="300" t="s">
        <v>1650</v>
      </c>
      <c r="C474" s="26" t="s">
        <v>1162</v>
      </c>
      <c r="D474" s="26">
        <v>1</v>
      </c>
      <c r="E474" s="6" t="e">
        <f xml:space="preserve"> [1]!'TWX.US-PreClose'</f>
        <v>#REF!</v>
      </c>
      <c r="F474" s="6">
        <v>3350</v>
      </c>
      <c r="G474" s="74" t="e">
        <f t="shared" si="42"/>
        <v>#REF!</v>
      </c>
      <c r="H474" s="6" t="e">
        <f xml:space="preserve"> [1]!'TWX.US-Price'</f>
        <v>#REF!</v>
      </c>
      <c r="I474" s="6" t="e">
        <f xml:space="preserve"> [1]!'TWX.US-BestBid1'</f>
        <v>#REF!</v>
      </c>
      <c r="J474" s="6" t="e">
        <f xml:space="preserve"> [1]!'TWX.US-BestAsk1'</f>
        <v>#REF!</v>
      </c>
      <c r="K474" s="93" t="e">
        <f t="shared" si="39"/>
        <v>#REF!</v>
      </c>
      <c r="L474" s="93" t="e">
        <f t="shared" si="40"/>
        <v>#REF!</v>
      </c>
      <c r="M474" s="96" t="e">
        <f t="shared" si="41"/>
        <v>#REF!</v>
      </c>
    </row>
    <row r="475" spans="1:13">
      <c r="A475" s="25" t="e">
        <f t="shared" si="38"/>
        <v>#REF!</v>
      </c>
      <c r="B475" s="300" t="s">
        <v>1651</v>
      </c>
      <c r="C475" s="26" t="s">
        <v>1163</v>
      </c>
      <c r="D475" s="26">
        <v>1</v>
      </c>
      <c r="E475" s="6" t="e">
        <f xml:space="preserve"> [1]!'TXN.US-PreClose'</f>
        <v>#REF!</v>
      </c>
      <c r="F475" s="6">
        <v>4263</v>
      </c>
      <c r="G475" s="74" t="e">
        <f t="shared" si="42"/>
        <v>#REF!</v>
      </c>
      <c r="H475" s="6" t="e">
        <f xml:space="preserve"> [1]!'TXN.US-Price'</f>
        <v>#REF!</v>
      </c>
      <c r="I475" s="6" t="e">
        <f xml:space="preserve"> [1]!'TXN.US-BestBid1'</f>
        <v>#REF!</v>
      </c>
      <c r="J475" s="6" t="e">
        <f xml:space="preserve"> [1]!'TXN.US-BestAsk1'</f>
        <v>#REF!</v>
      </c>
      <c r="K475" s="93" t="e">
        <f t="shared" si="39"/>
        <v>#REF!</v>
      </c>
      <c r="L475" s="93" t="e">
        <f t="shared" si="40"/>
        <v>#REF!</v>
      </c>
      <c r="M475" s="96" t="e">
        <f t="shared" si="41"/>
        <v>#REF!</v>
      </c>
    </row>
    <row r="476" spans="1:13">
      <c r="A476" s="25" t="e">
        <f t="shared" si="38"/>
        <v>#REF!</v>
      </c>
      <c r="B476" s="300" t="s">
        <v>1652</v>
      </c>
      <c r="C476" s="26" t="s">
        <v>1164</v>
      </c>
      <c r="D476" s="26">
        <v>1</v>
      </c>
      <c r="E476" s="6" t="e">
        <f xml:space="preserve"> [1]!'TXT.US-PreClose'</f>
        <v>#REF!</v>
      </c>
      <c r="F476" s="6">
        <v>1140</v>
      </c>
      <c r="G476" s="74" t="e">
        <f t="shared" si="42"/>
        <v>#REF!</v>
      </c>
      <c r="H476" s="6" t="e">
        <f xml:space="preserve"> [1]!'TXT.US-Price'</f>
        <v>#REF!</v>
      </c>
      <c r="I476" s="6" t="e">
        <f xml:space="preserve"> [1]!'TXT.US-BestBid1'</f>
        <v>#REF!</v>
      </c>
      <c r="J476" s="6" t="e">
        <f xml:space="preserve"> [1]!'TXT.US-BestAsk1'</f>
        <v>#REF!</v>
      </c>
      <c r="K476" s="93" t="e">
        <f t="shared" si="39"/>
        <v>#REF!</v>
      </c>
      <c r="L476" s="93" t="e">
        <f t="shared" si="40"/>
        <v>#REF!</v>
      </c>
      <c r="M476" s="96" t="e">
        <f t="shared" si="41"/>
        <v>#REF!</v>
      </c>
    </row>
    <row r="477" spans="1:13">
      <c r="A477" s="25" t="e">
        <f t="shared" si="38"/>
        <v>#REF!</v>
      </c>
      <c r="B477" s="300" t="s">
        <v>1653</v>
      </c>
      <c r="C477" s="26" t="s">
        <v>626</v>
      </c>
      <c r="D477" s="26">
        <v>1</v>
      </c>
      <c r="E477" s="6" t="e">
        <f xml:space="preserve"> [1]!'UA.US-PreClose'</f>
        <v>#REF!</v>
      </c>
      <c r="F477" s="6">
        <v>802</v>
      </c>
      <c r="G477" s="74" t="e">
        <f t="shared" si="42"/>
        <v>#REF!</v>
      </c>
      <c r="H477" s="6" t="e">
        <f xml:space="preserve"> [1]!'UA.US-Price'</f>
        <v>#REF!</v>
      </c>
      <c r="I477" s="6" t="e">
        <f xml:space="preserve"> [1]!'UA.US-BestBid1'</f>
        <v>#REF!</v>
      </c>
      <c r="J477" s="6" t="e">
        <f xml:space="preserve"> [1]!'UA.US-BestAsk1'</f>
        <v>#REF!</v>
      </c>
      <c r="K477" s="93" t="e">
        <f t="shared" si="39"/>
        <v>#REF!</v>
      </c>
      <c r="L477" s="93" t="e">
        <f t="shared" si="40"/>
        <v>#REF!</v>
      </c>
      <c r="M477" s="96" t="e">
        <f t="shared" si="41"/>
        <v>#REF!</v>
      </c>
    </row>
    <row r="478" spans="1:13">
      <c r="A478" s="25" t="e">
        <f t="shared" si="38"/>
        <v>#REF!</v>
      </c>
      <c r="B478" s="300" t="s">
        <v>1654</v>
      </c>
      <c r="C478" s="26" t="s">
        <v>1165</v>
      </c>
      <c r="D478" s="26">
        <v>1</v>
      </c>
      <c r="E478" s="6" t="e">
        <f xml:space="preserve"> [1]!'UAA.US-PreClose'</f>
        <v>#REF!</v>
      </c>
      <c r="F478" s="6">
        <v>796</v>
      </c>
      <c r="G478" s="74" t="e">
        <f t="shared" si="42"/>
        <v>#REF!</v>
      </c>
      <c r="H478" s="6" t="e">
        <f xml:space="preserve"> [1]!'UAA.US-Price'</f>
        <v>#REF!</v>
      </c>
      <c r="I478" s="6" t="e">
        <f xml:space="preserve"> [1]!'UAA.US-BestBid1'</f>
        <v>#REF!</v>
      </c>
      <c r="J478" s="6" t="e">
        <f xml:space="preserve"> [1]!'UAA.US-BestAsk1'</f>
        <v>#REF!</v>
      </c>
      <c r="K478" s="93" t="e">
        <f t="shared" si="39"/>
        <v>#REF!</v>
      </c>
      <c r="L478" s="93" t="e">
        <f t="shared" si="40"/>
        <v>#REF!</v>
      </c>
      <c r="M478" s="96" t="e">
        <f t="shared" si="41"/>
        <v>#REF!</v>
      </c>
    </row>
    <row r="479" spans="1:13">
      <c r="A479" s="25" t="e">
        <f t="shared" si="38"/>
        <v>#REF!</v>
      </c>
      <c r="B479" s="300" t="s">
        <v>1655</v>
      </c>
      <c r="C479" s="26" t="s">
        <v>1166</v>
      </c>
      <c r="D479" s="26">
        <v>1</v>
      </c>
      <c r="E479" s="6" t="e">
        <f xml:space="preserve"> [1]!'UAL.US-PreClose'</f>
        <v>#REF!</v>
      </c>
      <c r="F479" s="6">
        <v>1193</v>
      </c>
      <c r="G479" s="74" t="e">
        <f t="shared" si="42"/>
        <v>#REF!</v>
      </c>
      <c r="H479" s="6" t="e">
        <f xml:space="preserve"> [1]!'UAL.US-Price'</f>
        <v>#REF!</v>
      </c>
      <c r="I479" s="6" t="e">
        <f xml:space="preserve"> [1]!'UAL.US-BestBid1'</f>
        <v>#REF!</v>
      </c>
      <c r="J479" s="6" t="e">
        <f xml:space="preserve"> [1]!'UAL.US-BestAsk1'</f>
        <v>#REF!</v>
      </c>
      <c r="K479" s="93" t="e">
        <f t="shared" si="39"/>
        <v>#REF!</v>
      </c>
      <c r="L479" s="93" t="e">
        <f t="shared" si="40"/>
        <v>#REF!</v>
      </c>
      <c r="M479" s="96" t="e">
        <f t="shared" si="41"/>
        <v>#REF!</v>
      </c>
    </row>
    <row r="480" spans="1:13">
      <c r="A480" s="25" t="e">
        <f t="shared" si="38"/>
        <v>#REF!</v>
      </c>
      <c r="B480" s="300" t="s">
        <v>1656</v>
      </c>
      <c r="C480" s="26" t="s">
        <v>1167</v>
      </c>
      <c r="D480" s="26">
        <v>1</v>
      </c>
      <c r="E480" s="6" t="e">
        <f xml:space="preserve"> [1]!'UDR.US-PreClose'</f>
        <v>#REF!</v>
      </c>
      <c r="F480" s="6">
        <v>1152</v>
      </c>
      <c r="G480" s="74" t="e">
        <f t="shared" si="42"/>
        <v>#REF!</v>
      </c>
      <c r="H480" s="6" t="e">
        <f xml:space="preserve"> [1]!'UDR.US-Price'</f>
        <v>#REF!</v>
      </c>
      <c r="I480" s="6" t="e">
        <f xml:space="preserve"> [1]!'UDR.US-BestBid1'</f>
        <v>#REF!</v>
      </c>
      <c r="J480" s="6" t="e">
        <f xml:space="preserve"> [1]!'UDR.US-BestAsk1'</f>
        <v>#REF!</v>
      </c>
      <c r="K480" s="93" t="e">
        <f t="shared" si="39"/>
        <v>#REF!</v>
      </c>
      <c r="L480" s="93" t="e">
        <f t="shared" si="40"/>
        <v>#REF!</v>
      </c>
      <c r="M480" s="96" t="e">
        <f t="shared" si="41"/>
        <v>#REF!</v>
      </c>
    </row>
    <row r="481" spans="1:13">
      <c r="A481" s="25" t="e">
        <f t="shared" si="38"/>
        <v>#REF!</v>
      </c>
      <c r="B481" s="300" t="s">
        <v>1657</v>
      </c>
      <c r="C481" s="26" t="s">
        <v>1168</v>
      </c>
      <c r="D481" s="26">
        <v>1</v>
      </c>
      <c r="E481" s="6" t="e">
        <f xml:space="preserve"> [1]!'UHS.US-PreClose'</f>
        <v>#REF!</v>
      </c>
      <c r="F481" s="6">
        <v>381</v>
      </c>
      <c r="G481" s="74" t="e">
        <f t="shared" si="42"/>
        <v>#REF!</v>
      </c>
      <c r="H481" s="6" t="e">
        <f xml:space="preserve"> [1]!'UHS.US-Price'</f>
        <v>#REF!</v>
      </c>
      <c r="I481" s="6" t="e">
        <f xml:space="preserve"> [1]!'UHS.US-BestBid1'</f>
        <v>#REF!</v>
      </c>
      <c r="J481" s="6" t="e">
        <f xml:space="preserve"> [1]!'UHS.US-BestAsk1'</f>
        <v>#REF!</v>
      </c>
      <c r="K481" s="93" t="e">
        <f t="shared" si="39"/>
        <v>#REF!</v>
      </c>
      <c r="L481" s="93" t="e">
        <f t="shared" si="40"/>
        <v>#REF!</v>
      </c>
      <c r="M481" s="96" t="e">
        <f t="shared" si="41"/>
        <v>#REF!</v>
      </c>
    </row>
    <row r="482" spans="1:13">
      <c r="A482" s="25" t="e">
        <f t="shared" si="38"/>
        <v>#REF!</v>
      </c>
      <c r="B482" s="300" t="s">
        <v>1658</v>
      </c>
      <c r="C482" s="26" t="s">
        <v>567</v>
      </c>
      <c r="D482" s="26">
        <v>1</v>
      </c>
      <c r="E482" s="6" t="e">
        <f xml:space="preserve"> [1]!'ULTA.US-PreClose'</f>
        <v>#REF!</v>
      </c>
      <c r="F482" s="6">
        <v>249</v>
      </c>
      <c r="G482" s="74" t="e">
        <f t="shared" si="42"/>
        <v>#REF!</v>
      </c>
      <c r="H482" s="6" t="e">
        <f xml:space="preserve"> [1]!'ULTA.US-Price'</f>
        <v>#REF!</v>
      </c>
      <c r="I482" s="6" t="e">
        <f xml:space="preserve"> [1]!'ULTA.US-BestBid1'</f>
        <v>#REF!</v>
      </c>
      <c r="J482" s="6" t="e">
        <f xml:space="preserve"> [1]!'ULTA.US-BestAsk1'</f>
        <v>#REF!</v>
      </c>
      <c r="K482" s="93" t="e">
        <f t="shared" si="39"/>
        <v>#REF!</v>
      </c>
      <c r="L482" s="93" t="e">
        <f t="shared" si="40"/>
        <v>#REF!</v>
      </c>
      <c r="M482" s="96" t="e">
        <f t="shared" si="41"/>
        <v>#REF!</v>
      </c>
    </row>
    <row r="483" spans="1:13">
      <c r="A483" s="25" t="e">
        <f t="shared" si="38"/>
        <v>#VALUE!</v>
      </c>
      <c r="B483" s="300" t="s">
        <v>1659</v>
      </c>
      <c r="C483" s="26" t="s">
        <v>1169</v>
      </c>
      <c r="D483" s="26">
        <v>1</v>
      </c>
      <c r="E483" s="6" t="str">
        <f xml:space="preserve"> [1]!'UNH.US-PreClose'</f>
        <v>N/A</v>
      </c>
      <c r="F483" s="6">
        <v>4164</v>
      </c>
      <c r="G483" s="74" t="e">
        <f t="shared" si="42"/>
        <v>#VALUE!</v>
      </c>
      <c r="H483" s="6" t="str">
        <f xml:space="preserve"> [1]!'UNH.US-Price'</f>
        <v>N/A</v>
      </c>
      <c r="I483" s="6" t="str">
        <f xml:space="preserve"> [1]!'UNH.US-BestBid1'</f>
        <v>N/A</v>
      </c>
      <c r="J483" s="6" t="str">
        <f xml:space="preserve"> [1]!'UNH.US-BestAsk1'</f>
        <v>N/A</v>
      </c>
      <c r="K483" s="93" t="e">
        <f t="shared" si="39"/>
        <v>#VALUE!</v>
      </c>
      <c r="L483" s="93" t="e">
        <f t="shared" si="40"/>
        <v>#VALUE!</v>
      </c>
      <c r="M483" s="96" t="e">
        <f t="shared" si="41"/>
        <v>#VALUE!</v>
      </c>
    </row>
    <row r="484" spans="1:13">
      <c r="A484" s="25" t="e">
        <f t="shared" si="38"/>
        <v>#REF!</v>
      </c>
      <c r="B484" s="300" t="s">
        <v>1660</v>
      </c>
      <c r="C484" s="26" t="s">
        <v>1170</v>
      </c>
      <c r="D484" s="26">
        <v>1</v>
      </c>
      <c r="E484" s="6" t="e">
        <f xml:space="preserve"> [1]!'UNM.US-PreClose'</f>
        <v>#REF!</v>
      </c>
      <c r="F484" s="6">
        <v>972</v>
      </c>
      <c r="G484" s="74" t="e">
        <f t="shared" si="42"/>
        <v>#REF!</v>
      </c>
      <c r="H484" s="6" t="e">
        <f xml:space="preserve"> [1]!'UNM.US-Price'</f>
        <v>#REF!</v>
      </c>
      <c r="I484" s="6" t="e">
        <f xml:space="preserve"> [1]!'UNM.US-BestBid1'</f>
        <v>#REF!</v>
      </c>
      <c r="J484" s="6" t="e">
        <f xml:space="preserve"> [1]!'UNM.US-BestAsk1'</f>
        <v>#REF!</v>
      </c>
      <c r="K484" s="93" t="e">
        <f t="shared" si="39"/>
        <v>#REF!</v>
      </c>
      <c r="L484" s="93" t="e">
        <f t="shared" si="40"/>
        <v>#REF!</v>
      </c>
      <c r="M484" s="96" t="e">
        <f t="shared" si="41"/>
        <v>#REF!</v>
      </c>
    </row>
    <row r="485" spans="1:13">
      <c r="A485" s="25" t="e">
        <f t="shared" si="38"/>
        <v>#REF!</v>
      </c>
      <c r="B485" s="300" t="s">
        <v>1661</v>
      </c>
      <c r="C485" s="26" t="s">
        <v>1171</v>
      </c>
      <c r="D485" s="26">
        <v>1</v>
      </c>
      <c r="E485" s="6" t="e">
        <f xml:space="preserve"> [1]!'UNP.US-PreClose'</f>
        <v>#REF!</v>
      </c>
      <c r="F485" s="6">
        <v>3447</v>
      </c>
      <c r="G485" s="74" t="e">
        <f t="shared" si="42"/>
        <v>#REF!</v>
      </c>
      <c r="H485" s="6" t="e">
        <f xml:space="preserve"> [1]!'UNP.US-Price'</f>
        <v>#REF!</v>
      </c>
      <c r="I485" s="6" t="e">
        <f xml:space="preserve"> [1]!'UNP.US-BestBid1'</f>
        <v>#REF!</v>
      </c>
      <c r="J485" s="6" t="e">
        <f xml:space="preserve"> [1]!'UNP.US-BestAsk1'</f>
        <v>#REF!</v>
      </c>
      <c r="K485" s="93" t="e">
        <f t="shared" si="39"/>
        <v>#REF!</v>
      </c>
      <c r="L485" s="93" t="e">
        <f t="shared" si="40"/>
        <v>#REF!</v>
      </c>
      <c r="M485" s="96" t="e">
        <f t="shared" si="41"/>
        <v>#REF!</v>
      </c>
    </row>
    <row r="486" spans="1:13">
      <c r="A486" s="25" t="e">
        <f t="shared" si="38"/>
        <v>#REF!</v>
      </c>
      <c r="B486" s="300" t="s">
        <v>1662</v>
      </c>
      <c r="C486" s="26" t="s">
        <v>1172</v>
      </c>
      <c r="D486" s="26">
        <v>1</v>
      </c>
      <c r="E486" s="6" t="e">
        <f xml:space="preserve"> [1]!'UPS.US-PreClose'</f>
        <v>#REF!</v>
      </c>
      <c r="F486" s="6">
        <v>2966</v>
      </c>
      <c r="G486" s="74" t="e">
        <f t="shared" si="42"/>
        <v>#REF!</v>
      </c>
      <c r="H486" s="6" t="e">
        <f xml:space="preserve"> [1]!'UPS.US-Price'</f>
        <v>#REF!</v>
      </c>
      <c r="I486" s="6" t="e">
        <f xml:space="preserve"> [1]!'UPS.US-BestBid1'</f>
        <v>#REF!</v>
      </c>
      <c r="J486" s="6" t="e">
        <f xml:space="preserve"> [1]!'UPS.US-BestAsk1'</f>
        <v>#REF!</v>
      </c>
      <c r="K486" s="93" t="e">
        <f t="shared" si="39"/>
        <v>#REF!</v>
      </c>
      <c r="L486" s="93" t="e">
        <f t="shared" si="40"/>
        <v>#REF!</v>
      </c>
      <c r="M486" s="96" t="e">
        <f t="shared" si="41"/>
        <v>#REF!</v>
      </c>
    </row>
    <row r="487" spans="1:13">
      <c r="A487" s="25" t="e">
        <f t="shared" si="38"/>
        <v>#REF!</v>
      </c>
      <c r="B487" s="300" t="s">
        <v>1663</v>
      </c>
      <c r="C487" s="26" t="s">
        <v>1173</v>
      </c>
      <c r="D487" s="26">
        <v>1</v>
      </c>
      <c r="E487" s="6" t="e">
        <f xml:space="preserve"> [1]!'URI.US-PreClose'</f>
        <v>#REF!</v>
      </c>
      <c r="F487" s="6">
        <v>364</v>
      </c>
      <c r="G487" s="74" t="e">
        <f t="shared" si="42"/>
        <v>#REF!</v>
      </c>
      <c r="H487" s="6" t="e">
        <f xml:space="preserve"> [1]!'URI.US-Price'</f>
        <v>#REF!</v>
      </c>
      <c r="I487" s="6" t="e">
        <f xml:space="preserve"> [1]!'URI.US-BestBid1'</f>
        <v>#REF!</v>
      </c>
      <c r="J487" s="6" t="e">
        <f xml:space="preserve"> [1]!'URI.US-BestAsk1'</f>
        <v>#REF!</v>
      </c>
      <c r="K487" s="93" t="e">
        <f t="shared" si="39"/>
        <v>#REF!</v>
      </c>
      <c r="L487" s="93" t="e">
        <f t="shared" si="40"/>
        <v>#REF!</v>
      </c>
      <c r="M487" s="96" t="e">
        <f t="shared" si="41"/>
        <v>#REF!</v>
      </c>
    </row>
    <row r="488" spans="1:13">
      <c r="A488" s="25" t="e">
        <f t="shared" si="38"/>
        <v>#REF!</v>
      </c>
      <c r="B488" s="300" t="s">
        <v>1664</v>
      </c>
      <c r="C488" s="26" t="s">
        <v>1174</v>
      </c>
      <c r="D488" s="26">
        <v>1</v>
      </c>
      <c r="E488" s="6" t="e">
        <f xml:space="preserve"> [1]!'USB.US-PreClose'</f>
        <v>#REF!</v>
      </c>
      <c r="F488" s="6">
        <v>6771</v>
      </c>
      <c r="G488" s="74" t="e">
        <f t="shared" si="42"/>
        <v>#REF!</v>
      </c>
      <c r="H488" s="6" t="e">
        <f xml:space="preserve"> [1]!'USB.US-Price'</f>
        <v>#REF!</v>
      </c>
      <c r="I488" s="6" t="e">
        <f xml:space="preserve"> [1]!'USB.US-BestBid1'</f>
        <v>#REF!</v>
      </c>
      <c r="J488" s="6" t="e">
        <f xml:space="preserve"> [1]!'USB.US-BestAsk1'</f>
        <v>#REF!</v>
      </c>
      <c r="K488" s="93" t="e">
        <f t="shared" si="39"/>
        <v>#REF!</v>
      </c>
      <c r="L488" s="93" t="e">
        <f t="shared" si="40"/>
        <v>#REF!</v>
      </c>
      <c r="M488" s="96" t="e">
        <f t="shared" si="41"/>
        <v>#REF!</v>
      </c>
    </row>
    <row r="489" spans="1:13">
      <c r="A489" s="25" t="e">
        <f t="shared" si="38"/>
        <v>#VALUE!</v>
      </c>
      <c r="B489" s="300" t="s">
        <v>1665</v>
      </c>
      <c r="C489" s="26" t="s">
        <v>1175</v>
      </c>
      <c r="D489" s="26">
        <v>1</v>
      </c>
      <c r="E489" s="6" t="str">
        <f xml:space="preserve"> [1]!'UTX.US-PreClose'</f>
        <v>N/A</v>
      </c>
      <c r="F489" s="6">
        <v>3199</v>
      </c>
      <c r="G489" s="74" t="e">
        <f t="shared" si="42"/>
        <v>#VALUE!</v>
      </c>
      <c r="H489" s="6" t="str">
        <f xml:space="preserve"> [1]!'UTX.US-Price'</f>
        <v>N/A</v>
      </c>
      <c r="I489" s="6" t="str">
        <f xml:space="preserve"> [1]!'UTX.US-BestBid1'</f>
        <v>N/A</v>
      </c>
      <c r="J489" s="6" t="str">
        <f xml:space="preserve"> [1]!'UTX.US-BestAsk1'</f>
        <v>N/A</v>
      </c>
      <c r="K489" s="93" t="e">
        <f t="shared" si="39"/>
        <v>#VALUE!</v>
      </c>
      <c r="L489" s="93" t="e">
        <f t="shared" si="40"/>
        <v>#VALUE!</v>
      </c>
      <c r="M489" s="96" t="e">
        <f t="shared" si="41"/>
        <v>#VALUE!</v>
      </c>
    </row>
    <row r="490" spans="1:13">
      <c r="A490" s="25" t="e">
        <f t="shared" si="38"/>
        <v>#VALUE!</v>
      </c>
      <c r="B490" s="300" t="s">
        <v>1666</v>
      </c>
      <c r="C490" s="26" t="s">
        <v>627</v>
      </c>
      <c r="D490" s="26">
        <v>1</v>
      </c>
      <c r="E490" s="6" t="str">
        <f xml:space="preserve"> [1]!'V.US-PreClose'</f>
        <v>N/A</v>
      </c>
      <c r="F490" s="6">
        <v>7878</v>
      </c>
      <c r="G490" s="74" t="e">
        <f t="shared" si="42"/>
        <v>#VALUE!</v>
      </c>
      <c r="H490" s="6" t="str">
        <f xml:space="preserve"> [1]!'V.US-Price'</f>
        <v>N/A</v>
      </c>
      <c r="I490" s="6" t="str">
        <f xml:space="preserve"> [1]!'V.US-BestBid1'</f>
        <v>N/A</v>
      </c>
      <c r="J490" s="6" t="str">
        <f xml:space="preserve"> [1]!'V.US-BestAsk1'</f>
        <v>N/A</v>
      </c>
      <c r="K490" s="93" t="e">
        <f t="shared" si="39"/>
        <v>#VALUE!</v>
      </c>
      <c r="L490" s="93" t="e">
        <f t="shared" si="40"/>
        <v>#VALUE!</v>
      </c>
      <c r="M490" s="96" t="e">
        <f t="shared" si="41"/>
        <v>#VALUE!</v>
      </c>
    </row>
    <row r="491" spans="1:13">
      <c r="A491" s="25" t="e">
        <f t="shared" si="38"/>
        <v>#REF!</v>
      </c>
      <c r="B491" s="300" t="s">
        <v>1667</v>
      </c>
      <c r="C491" s="26" t="s">
        <v>1176</v>
      </c>
      <c r="D491" s="26">
        <v>1</v>
      </c>
      <c r="E491" s="6" t="e">
        <f xml:space="preserve"> [1]!'VAR.US-PreClose'</f>
        <v>#REF!</v>
      </c>
      <c r="F491" s="6">
        <v>395</v>
      </c>
      <c r="G491" s="74" t="e">
        <f t="shared" si="42"/>
        <v>#REF!</v>
      </c>
      <c r="H491" s="6" t="e">
        <f xml:space="preserve"> [1]!'VAR.US-Price'</f>
        <v>#REF!</v>
      </c>
      <c r="I491" s="6" t="e">
        <f xml:space="preserve"> [1]!'VAR.US-BestBid1'</f>
        <v>#REF!</v>
      </c>
      <c r="J491" s="6" t="e">
        <f xml:space="preserve"> [1]!'VAR.US-BestAsk1'</f>
        <v>#REF!</v>
      </c>
      <c r="K491" s="93" t="e">
        <f t="shared" si="39"/>
        <v>#REF!</v>
      </c>
      <c r="L491" s="93" t="e">
        <f t="shared" si="40"/>
        <v>#REF!</v>
      </c>
      <c r="M491" s="96" t="e">
        <f t="shared" si="41"/>
        <v>#REF!</v>
      </c>
    </row>
    <row r="492" spans="1:13">
      <c r="A492" s="25" t="e">
        <f t="shared" si="38"/>
        <v>#REF!</v>
      </c>
      <c r="B492" s="300" t="s">
        <v>1668</v>
      </c>
      <c r="C492" s="26" t="s">
        <v>1177</v>
      </c>
      <c r="D492" s="26">
        <v>1</v>
      </c>
      <c r="E492" s="6" t="e">
        <f xml:space="preserve"> [1]!'VFC.US-PreClose'</f>
        <v>#REF!</v>
      </c>
      <c r="F492" s="6">
        <v>1357</v>
      </c>
      <c r="G492" s="74" t="e">
        <f t="shared" si="42"/>
        <v>#REF!</v>
      </c>
      <c r="H492" s="6" t="e">
        <f xml:space="preserve"> [1]!'VFC.US-Price'</f>
        <v>#REF!</v>
      </c>
      <c r="I492" s="6" t="e">
        <f xml:space="preserve"> [1]!'VFC.US-BestBid1'</f>
        <v>#REF!</v>
      </c>
      <c r="J492" s="6" t="e">
        <f xml:space="preserve"> [1]!'VFC.US-BestAsk1'</f>
        <v>#REF!</v>
      </c>
      <c r="K492" s="93" t="e">
        <f t="shared" si="39"/>
        <v>#REF!</v>
      </c>
      <c r="L492" s="93" t="e">
        <f t="shared" si="40"/>
        <v>#REF!</v>
      </c>
      <c r="M492" s="96" t="e">
        <f t="shared" si="41"/>
        <v>#REF!</v>
      </c>
    </row>
    <row r="493" spans="1:13">
      <c r="A493" s="25" t="e">
        <f t="shared" si="38"/>
        <v>#REF!</v>
      </c>
      <c r="B493" s="300" t="s">
        <v>1669</v>
      </c>
      <c r="C493" s="26" t="s">
        <v>568</v>
      </c>
      <c r="D493" s="26">
        <v>1</v>
      </c>
      <c r="E493" s="6" t="e">
        <f xml:space="preserve"> [1]!'VIAB.US-PreClose'</f>
        <v>#REF!</v>
      </c>
      <c r="F493" s="6">
        <v>1519</v>
      </c>
      <c r="G493" s="74" t="e">
        <f t="shared" si="42"/>
        <v>#REF!</v>
      </c>
      <c r="H493" s="6" t="e">
        <f xml:space="preserve"> [1]!'VIAB.US-Price'</f>
        <v>#REF!</v>
      </c>
      <c r="I493" s="6" t="e">
        <f xml:space="preserve"> [1]!'VIAB.US-BestBid1'</f>
        <v>#REF!</v>
      </c>
      <c r="J493" s="6" t="e">
        <f xml:space="preserve"> [1]!'VIAB.US-BestAsk1'</f>
        <v>#REF!</v>
      </c>
      <c r="K493" s="93" t="e">
        <f t="shared" si="39"/>
        <v>#REF!</v>
      </c>
      <c r="L493" s="93" t="e">
        <f t="shared" si="40"/>
        <v>#REF!</v>
      </c>
      <c r="M493" s="96" t="e">
        <f t="shared" si="41"/>
        <v>#REF!</v>
      </c>
    </row>
    <row r="494" spans="1:13">
      <c r="A494" s="25" t="e">
        <f t="shared" si="38"/>
        <v>#REF!</v>
      </c>
      <c r="B494" s="300" t="s">
        <v>1670</v>
      </c>
      <c r="C494" s="26" t="s">
        <v>1178</v>
      </c>
      <c r="D494" s="26">
        <v>1</v>
      </c>
      <c r="E494" s="6" t="e">
        <f xml:space="preserve"> [1]!'VLO.US-PreClose'</f>
        <v>#REF!</v>
      </c>
      <c r="F494" s="6">
        <v>1902</v>
      </c>
      <c r="G494" s="74" t="e">
        <f t="shared" si="42"/>
        <v>#REF!</v>
      </c>
      <c r="H494" s="6" t="e">
        <f xml:space="preserve"> [1]!'VLO.US-Price'</f>
        <v>#REF!</v>
      </c>
      <c r="I494" s="6" t="e">
        <f xml:space="preserve"> [1]!'VLO.US-BestBid1'</f>
        <v>#REF!</v>
      </c>
      <c r="J494" s="6" t="e">
        <f xml:space="preserve"> [1]!'VLO.US-BestAsk1'</f>
        <v>#REF!</v>
      </c>
      <c r="K494" s="93" t="e">
        <f t="shared" si="39"/>
        <v>#REF!</v>
      </c>
      <c r="L494" s="93" t="e">
        <f t="shared" si="40"/>
        <v>#REF!</v>
      </c>
      <c r="M494" s="96" t="e">
        <f t="shared" si="41"/>
        <v>#REF!</v>
      </c>
    </row>
    <row r="495" spans="1:13">
      <c r="A495" s="25" t="e">
        <f t="shared" si="38"/>
        <v>#REF!</v>
      </c>
      <c r="B495" s="300" t="s">
        <v>1671</v>
      </c>
      <c r="C495" s="26" t="s">
        <v>1179</v>
      </c>
      <c r="D495" s="26">
        <v>1</v>
      </c>
      <c r="E495" s="6" t="e">
        <f xml:space="preserve"> [1]!'VMC.US-PreClose'</f>
        <v>#REF!</v>
      </c>
      <c r="F495" s="6">
        <v>570</v>
      </c>
      <c r="G495" s="74" t="e">
        <f t="shared" si="42"/>
        <v>#REF!</v>
      </c>
      <c r="H495" s="6" t="e">
        <f xml:space="preserve"> [1]!'VMC.US-Price'</f>
        <v>#REF!</v>
      </c>
      <c r="I495" s="6" t="e">
        <f xml:space="preserve"> [1]!'VMC.US-BestBid1'</f>
        <v>#REF!</v>
      </c>
      <c r="J495" s="6" t="e">
        <f xml:space="preserve"> [1]!'VMC.US-BestAsk1'</f>
        <v>#REF!</v>
      </c>
      <c r="K495" s="93" t="e">
        <f t="shared" si="39"/>
        <v>#REF!</v>
      </c>
      <c r="L495" s="93" t="e">
        <f t="shared" si="40"/>
        <v>#REF!</v>
      </c>
      <c r="M495" s="96" t="e">
        <f t="shared" si="41"/>
        <v>#REF!</v>
      </c>
    </row>
    <row r="496" spans="1:13">
      <c r="A496" s="25" t="e">
        <f t="shared" si="38"/>
        <v>#REF!</v>
      </c>
      <c r="B496" s="300" t="s">
        <v>1672</v>
      </c>
      <c r="C496" s="26" t="s">
        <v>1180</v>
      </c>
      <c r="D496" s="26">
        <v>1</v>
      </c>
      <c r="E496" s="6" t="e">
        <f xml:space="preserve"> [1]!'VNO.US-PreClose'</f>
        <v>#REF!</v>
      </c>
      <c r="F496" s="6">
        <v>742</v>
      </c>
      <c r="G496" s="74" t="e">
        <f t="shared" si="42"/>
        <v>#REF!</v>
      </c>
      <c r="H496" s="6" t="e">
        <f xml:space="preserve"> [1]!'VNO.US-Price'</f>
        <v>#REF!</v>
      </c>
      <c r="I496" s="6" t="e">
        <f xml:space="preserve"> [1]!'VNO.US-BestBid1'</f>
        <v>#REF!</v>
      </c>
      <c r="J496" s="6" t="e">
        <f xml:space="preserve"> [1]!'VNO.US-BestAsk1'</f>
        <v>#REF!</v>
      </c>
      <c r="K496" s="93" t="e">
        <f t="shared" si="39"/>
        <v>#REF!</v>
      </c>
      <c r="L496" s="93" t="e">
        <f t="shared" si="40"/>
        <v>#REF!</v>
      </c>
      <c r="M496" s="96" t="e">
        <f t="shared" si="41"/>
        <v>#REF!</v>
      </c>
    </row>
    <row r="497" spans="1:13">
      <c r="A497" s="25" t="e">
        <f t="shared" si="38"/>
        <v>#REF!</v>
      </c>
      <c r="B497" s="300" t="s">
        <v>1673</v>
      </c>
      <c r="C497" s="26" t="s">
        <v>569</v>
      </c>
      <c r="D497" s="26">
        <v>1</v>
      </c>
      <c r="E497" s="6" t="e">
        <f xml:space="preserve"> [1]!'VRSK.US-PreClose'</f>
        <v>#REF!</v>
      </c>
      <c r="F497" s="6">
        <v>669</v>
      </c>
      <c r="G497" s="74" t="e">
        <f t="shared" si="42"/>
        <v>#REF!</v>
      </c>
      <c r="H497" s="6" t="e">
        <f xml:space="preserve"> [1]!'VRSK.US-Price'</f>
        <v>#REF!</v>
      </c>
      <c r="I497" s="6" t="e">
        <f xml:space="preserve"> [1]!'VRSK.US-BestBid1'</f>
        <v>#REF!</v>
      </c>
      <c r="J497" s="6" t="e">
        <f xml:space="preserve"> [1]!'VRSK.US-BestAsk1'</f>
        <v>#REF!</v>
      </c>
      <c r="K497" s="93" t="e">
        <f t="shared" si="39"/>
        <v>#REF!</v>
      </c>
      <c r="L497" s="93" t="e">
        <f t="shared" si="40"/>
        <v>#REF!</v>
      </c>
      <c r="M497" s="96" t="e">
        <f t="shared" si="41"/>
        <v>#REF!</v>
      </c>
    </row>
    <row r="498" spans="1:13">
      <c r="A498" s="25" t="e">
        <f t="shared" si="38"/>
        <v>#REF!</v>
      </c>
      <c r="B498" s="300" t="s">
        <v>1674</v>
      </c>
      <c r="C498" s="26" t="s">
        <v>570</v>
      </c>
      <c r="D498" s="26">
        <v>1</v>
      </c>
      <c r="E498" s="6" t="e">
        <f xml:space="preserve"> [1]!'VRSN.US-PreClose'</f>
        <v>#REF!</v>
      </c>
      <c r="F498" s="6">
        <v>375</v>
      </c>
      <c r="G498" s="74" t="e">
        <f t="shared" si="42"/>
        <v>#REF!</v>
      </c>
      <c r="H498" s="6" t="e">
        <f xml:space="preserve"> [1]!'VRSN.US-Price'</f>
        <v>#REF!</v>
      </c>
      <c r="I498" s="6" t="e">
        <f xml:space="preserve"> [1]!'VRSN.US-BestBid1'</f>
        <v>#REF!</v>
      </c>
      <c r="J498" s="6" t="e">
        <f xml:space="preserve"> [1]!'VRSN.US-BestAsk1'</f>
        <v>#REF!</v>
      </c>
      <c r="K498" s="93" t="e">
        <f t="shared" si="39"/>
        <v>#REF!</v>
      </c>
      <c r="L498" s="93" t="e">
        <f t="shared" si="40"/>
        <v>#REF!</v>
      </c>
      <c r="M498" s="96" t="e">
        <f t="shared" si="41"/>
        <v>#REF!</v>
      </c>
    </row>
    <row r="499" spans="1:13">
      <c r="A499" s="25" t="e">
        <f t="shared" si="38"/>
        <v>#REF!</v>
      </c>
      <c r="B499" s="300" t="s">
        <v>1675</v>
      </c>
      <c r="C499" s="26" t="s">
        <v>571</v>
      </c>
      <c r="D499" s="26">
        <v>1</v>
      </c>
      <c r="E499" s="6" t="e">
        <f xml:space="preserve"> [1]!'VRTX.US-PreClose'</f>
        <v>#REF!</v>
      </c>
      <c r="F499" s="6">
        <v>1086</v>
      </c>
      <c r="G499" s="74" t="e">
        <f t="shared" si="42"/>
        <v>#REF!</v>
      </c>
      <c r="H499" s="6" t="e">
        <f xml:space="preserve"> [1]!'VRTX.US-Price'</f>
        <v>#REF!</v>
      </c>
      <c r="I499" s="6" t="e">
        <f xml:space="preserve"> [1]!'VRTX.US-BestBid1'</f>
        <v>#REF!</v>
      </c>
      <c r="J499" s="6" t="e">
        <f xml:space="preserve"> [1]!'VRTX.US-BestAsk1'</f>
        <v>#REF!</v>
      </c>
      <c r="K499" s="93" t="e">
        <f t="shared" si="39"/>
        <v>#REF!</v>
      </c>
      <c r="L499" s="93" t="e">
        <f t="shared" si="40"/>
        <v>#REF!</v>
      </c>
      <c r="M499" s="96" t="e">
        <f t="shared" si="41"/>
        <v>#REF!</v>
      </c>
    </row>
    <row r="500" spans="1:13">
      <c r="A500" s="25" t="e">
        <f t="shared" si="38"/>
        <v>#VALUE!</v>
      </c>
      <c r="B500" s="300" t="s">
        <v>1676</v>
      </c>
      <c r="C500" s="26" t="s">
        <v>1181</v>
      </c>
      <c r="D500" s="26">
        <v>1</v>
      </c>
      <c r="E500" s="6" t="str">
        <f xml:space="preserve"> [1]!'VTR.US-PreClose'</f>
        <v>N/A</v>
      </c>
      <c r="F500" s="6">
        <v>1534</v>
      </c>
      <c r="G500" s="74" t="e">
        <f t="shared" si="42"/>
        <v>#VALUE!</v>
      </c>
      <c r="H500" s="6" t="str">
        <f xml:space="preserve"> [1]!'VTR.US-Price'</f>
        <v>N/A</v>
      </c>
      <c r="I500" s="6" t="str">
        <f xml:space="preserve"> [1]!'VTR.US-BestBid1'</f>
        <v>N/A</v>
      </c>
      <c r="J500" s="6" t="str">
        <f xml:space="preserve"> [1]!'VTR.US-BestAsk1'</f>
        <v>N/A</v>
      </c>
      <c r="K500" s="93" t="e">
        <f t="shared" si="39"/>
        <v>#VALUE!</v>
      </c>
      <c r="L500" s="93" t="e">
        <f t="shared" si="40"/>
        <v>#VALUE!</v>
      </c>
      <c r="M500" s="96" t="e">
        <f t="shared" si="41"/>
        <v>#VALUE!</v>
      </c>
    </row>
    <row r="501" spans="1:13">
      <c r="A501" s="25" t="e">
        <f t="shared" si="38"/>
        <v>#VALUE!</v>
      </c>
      <c r="B501" s="300" t="s">
        <v>1677</v>
      </c>
      <c r="C501" s="26" t="s">
        <v>628</v>
      </c>
      <c r="D501" s="26">
        <v>1</v>
      </c>
      <c r="E501" s="6" t="str">
        <f xml:space="preserve"> [1]!'VZ.US-PreClose'</f>
        <v>N/A</v>
      </c>
      <c r="F501" s="6">
        <v>17567</v>
      </c>
      <c r="G501" s="74" t="e">
        <f t="shared" si="42"/>
        <v>#VALUE!</v>
      </c>
      <c r="H501" s="6" t="str">
        <f xml:space="preserve"> [1]!'VZ.US-Price'</f>
        <v>N/A</v>
      </c>
      <c r="I501" s="6" t="str">
        <f xml:space="preserve"> [1]!'VZ.US-BestBid1'</f>
        <v>N/A</v>
      </c>
      <c r="J501" s="6" t="str">
        <f xml:space="preserve"> [1]!'VZ.US-BestAsk1'</f>
        <v>N/A</v>
      </c>
      <c r="K501" s="93" t="e">
        <f t="shared" si="39"/>
        <v>#VALUE!</v>
      </c>
      <c r="L501" s="93" t="e">
        <f t="shared" si="40"/>
        <v>#VALUE!</v>
      </c>
      <c r="M501" s="96" t="e">
        <f t="shared" si="41"/>
        <v>#VALUE!</v>
      </c>
    </row>
    <row r="502" spans="1:13">
      <c r="A502" s="25" t="e">
        <f t="shared" si="38"/>
        <v>#REF!</v>
      </c>
      <c r="B502" s="300" t="s">
        <v>1678</v>
      </c>
      <c r="C502" s="26" t="s">
        <v>1182</v>
      </c>
      <c r="D502" s="26">
        <v>1</v>
      </c>
      <c r="E502" s="6" t="e">
        <f xml:space="preserve"> [1]!'WAT.US-PreClose'</f>
        <v>#REF!</v>
      </c>
      <c r="F502" s="6">
        <v>344</v>
      </c>
      <c r="G502" s="74" t="e">
        <f t="shared" si="42"/>
        <v>#REF!</v>
      </c>
      <c r="H502" s="6" t="e">
        <f xml:space="preserve"> [1]!'WAT.US-Price'</f>
        <v>#REF!</v>
      </c>
      <c r="I502" s="6" t="e">
        <f xml:space="preserve"> [1]!'WAT.US-BestBid1'</f>
        <v>#REF!</v>
      </c>
      <c r="J502" s="6" t="e">
        <f xml:space="preserve"> [1]!'WAT.US-BestAsk1'</f>
        <v>#REF!</v>
      </c>
      <c r="K502" s="93" t="e">
        <f t="shared" si="39"/>
        <v>#REF!</v>
      </c>
      <c r="L502" s="93" t="e">
        <f t="shared" si="40"/>
        <v>#REF!</v>
      </c>
      <c r="M502" s="96" t="e">
        <f t="shared" si="41"/>
        <v>#REF!</v>
      </c>
    </row>
    <row r="503" spans="1:13">
      <c r="A503" s="25" t="e">
        <f t="shared" si="38"/>
        <v>#REF!</v>
      </c>
      <c r="B503" s="300" t="s">
        <v>1679</v>
      </c>
      <c r="C503" s="26" t="s">
        <v>1183</v>
      </c>
      <c r="D503" s="26">
        <v>1</v>
      </c>
      <c r="E503" s="6" t="e">
        <f xml:space="preserve"> [1]!'WBA.US-PreClose'</f>
        <v>#REF!</v>
      </c>
      <c r="F503" s="6">
        <v>3641</v>
      </c>
      <c r="G503" s="74" t="e">
        <f t="shared" si="42"/>
        <v>#REF!</v>
      </c>
      <c r="H503" s="6" t="e">
        <f xml:space="preserve"> [1]!'WBA.US-Price'</f>
        <v>#REF!</v>
      </c>
      <c r="I503" s="6" t="e">
        <f xml:space="preserve"> [1]!'WBA.US-BestBid1'</f>
        <v>#REF!</v>
      </c>
      <c r="J503" s="6" t="e">
        <f xml:space="preserve"> [1]!'WBA.US-BestAsk1'</f>
        <v>#REF!</v>
      </c>
      <c r="K503" s="93" t="e">
        <f t="shared" si="39"/>
        <v>#REF!</v>
      </c>
      <c r="L503" s="93" t="e">
        <f t="shared" si="40"/>
        <v>#REF!</v>
      </c>
      <c r="M503" s="96" t="e">
        <f t="shared" si="41"/>
        <v>#REF!</v>
      </c>
    </row>
    <row r="504" spans="1:13">
      <c r="A504" s="25" t="e">
        <f t="shared" si="38"/>
        <v>#REF!</v>
      </c>
      <c r="B504" s="300" t="s">
        <v>1680</v>
      </c>
      <c r="C504" s="26" t="s">
        <v>1184</v>
      </c>
      <c r="D504" s="26">
        <v>1</v>
      </c>
      <c r="E504" s="6" t="e">
        <f xml:space="preserve"> [1]!'WDC.US-PreClose'</f>
        <v>#REF!</v>
      </c>
      <c r="F504" s="6">
        <v>1270</v>
      </c>
      <c r="G504" s="74" t="e">
        <f t="shared" si="42"/>
        <v>#REF!</v>
      </c>
      <c r="H504" s="6" t="e">
        <f xml:space="preserve"> [1]!'WDC.US-Price'</f>
        <v>#REF!</v>
      </c>
      <c r="I504" s="6" t="e">
        <f xml:space="preserve"> [1]!'WDC.US-BestBid1'</f>
        <v>#REF!</v>
      </c>
      <c r="J504" s="6" t="e">
        <f xml:space="preserve"> [1]!'WDC.US-BestAsk1'</f>
        <v>#REF!</v>
      </c>
      <c r="K504" s="93" t="e">
        <f t="shared" si="39"/>
        <v>#REF!</v>
      </c>
      <c r="L504" s="93" t="e">
        <f t="shared" si="40"/>
        <v>#REF!</v>
      </c>
      <c r="M504" s="96" t="e">
        <f t="shared" si="41"/>
        <v>#REF!</v>
      </c>
    </row>
    <row r="505" spans="1:13">
      <c r="A505" s="25" t="e">
        <f t="shared" si="38"/>
        <v>#REF!</v>
      </c>
      <c r="B505" s="300" t="s">
        <v>1681</v>
      </c>
      <c r="C505" s="26" t="s">
        <v>1185</v>
      </c>
      <c r="D505" s="26">
        <v>1</v>
      </c>
      <c r="E505" s="6" t="e">
        <f xml:space="preserve"> [1]!'WEC.US-PreClose'</f>
        <v>#REF!</v>
      </c>
      <c r="F505" s="6">
        <v>1359</v>
      </c>
      <c r="G505" s="74" t="e">
        <f t="shared" si="42"/>
        <v>#REF!</v>
      </c>
      <c r="H505" s="6" t="e">
        <f xml:space="preserve"> [1]!'WEC.US-Price'</f>
        <v>#REF!</v>
      </c>
      <c r="I505" s="6" t="e">
        <f xml:space="preserve"> [1]!'WEC.US-BestBid1'</f>
        <v>#REF!</v>
      </c>
      <c r="J505" s="6" t="e">
        <f xml:space="preserve"> [1]!'WEC.US-BestAsk1'</f>
        <v>#REF!</v>
      </c>
      <c r="K505" s="93" t="e">
        <f t="shared" si="39"/>
        <v>#REF!</v>
      </c>
      <c r="L505" s="93" t="e">
        <f t="shared" si="40"/>
        <v>#REF!</v>
      </c>
      <c r="M505" s="96" t="e">
        <f t="shared" si="41"/>
        <v>#REF!</v>
      </c>
    </row>
    <row r="506" spans="1:13">
      <c r="A506" s="25" t="e">
        <f t="shared" si="38"/>
        <v>#REF!</v>
      </c>
      <c r="B506" s="300" t="s">
        <v>1682</v>
      </c>
      <c r="C506" s="26" t="s">
        <v>1186</v>
      </c>
      <c r="D506" s="26">
        <v>1</v>
      </c>
      <c r="E506" s="6" t="e">
        <f xml:space="preserve"> [1]!'WFC.US-PreClose'</f>
        <v>#REF!</v>
      </c>
      <c r="F506" s="6">
        <v>19239</v>
      </c>
      <c r="G506" s="74" t="e">
        <f t="shared" si="42"/>
        <v>#REF!</v>
      </c>
      <c r="H506" s="6" t="e">
        <f xml:space="preserve"> [1]!'WFC.US-Price'</f>
        <v>#REF!</v>
      </c>
      <c r="I506" s="6" t="e">
        <f xml:space="preserve"> [1]!'WFC.US-BestBid1'</f>
        <v>#REF!</v>
      </c>
      <c r="J506" s="6" t="e">
        <f xml:space="preserve"> [1]!'WFC.US-BestAsk1'</f>
        <v>#REF!</v>
      </c>
      <c r="K506" s="93" t="e">
        <f t="shared" si="39"/>
        <v>#REF!</v>
      </c>
      <c r="L506" s="93" t="e">
        <f t="shared" si="40"/>
        <v>#REF!</v>
      </c>
      <c r="M506" s="96" t="e">
        <f t="shared" si="41"/>
        <v>#REF!</v>
      </c>
    </row>
    <row r="507" spans="1:13">
      <c r="A507" s="25" t="e">
        <f t="shared" si="38"/>
        <v>#REF!</v>
      </c>
      <c r="B507" s="300" t="s">
        <v>1683</v>
      </c>
      <c r="C507" s="26" t="s">
        <v>1187</v>
      </c>
      <c r="D507" s="26">
        <v>1</v>
      </c>
      <c r="E507" s="6" t="e">
        <f xml:space="preserve"> [1]!'WHR.US-PreClose'</f>
        <v>#REF!</v>
      </c>
      <c r="F507" s="6">
        <v>315</v>
      </c>
      <c r="G507" s="74" t="e">
        <f t="shared" si="42"/>
        <v>#REF!</v>
      </c>
      <c r="H507" s="6" t="e">
        <f xml:space="preserve"> [1]!'WHR.US-Price'</f>
        <v>#REF!</v>
      </c>
      <c r="I507" s="6" t="e">
        <f xml:space="preserve"> [1]!'WHR.US-BestBid1'</f>
        <v>#REF!</v>
      </c>
      <c r="J507" s="6" t="e">
        <f xml:space="preserve"> [1]!'WHR.US-BestAsk1'</f>
        <v>#REF!</v>
      </c>
      <c r="K507" s="93" t="e">
        <f t="shared" si="39"/>
        <v>#REF!</v>
      </c>
      <c r="L507" s="93" t="e">
        <f t="shared" si="40"/>
        <v>#REF!</v>
      </c>
      <c r="M507" s="96" t="e">
        <f t="shared" si="41"/>
        <v>#REF!</v>
      </c>
    </row>
    <row r="508" spans="1:13">
      <c r="A508" s="25" t="e">
        <f t="shared" si="38"/>
        <v>#REF!</v>
      </c>
      <c r="B508" s="300" t="s">
        <v>1684</v>
      </c>
      <c r="C508" s="26" t="s">
        <v>572</v>
      </c>
      <c r="D508" s="26">
        <v>1</v>
      </c>
      <c r="E508" s="6" t="e">
        <f xml:space="preserve"> [1]!'WLTW.US-PreClose'</f>
        <v>#REF!</v>
      </c>
      <c r="F508" s="6">
        <v>544</v>
      </c>
      <c r="G508" s="74" t="e">
        <f t="shared" si="42"/>
        <v>#REF!</v>
      </c>
      <c r="H508" s="6" t="e">
        <f xml:space="preserve"> [1]!'WLTW.US-Price'</f>
        <v>#REF!</v>
      </c>
      <c r="I508" s="6" t="e">
        <f xml:space="preserve"> [1]!'WLTW.US-BestBid1'</f>
        <v>#REF!</v>
      </c>
      <c r="J508" s="6" t="e">
        <f xml:space="preserve"> [1]!'WLTW.US-BestAsk1'</f>
        <v>#REF!</v>
      </c>
      <c r="K508" s="93" t="e">
        <f t="shared" si="39"/>
        <v>#REF!</v>
      </c>
      <c r="L508" s="93" t="e">
        <f t="shared" si="40"/>
        <v>#REF!</v>
      </c>
      <c r="M508" s="96" t="e">
        <f t="shared" si="41"/>
        <v>#REF!</v>
      </c>
    </row>
    <row r="509" spans="1:13">
      <c r="A509" s="25" t="e">
        <f t="shared" si="38"/>
        <v>#REF!</v>
      </c>
      <c r="B509" s="300" t="s">
        <v>1685</v>
      </c>
      <c r="C509" s="26" t="s">
        <v>629</v>
      </c>
      <c r="D509" s="26">
        <v>1</v>
      </c>
      <c r="E509" s="6" t="e">
        <f xml:space="preserve"> [1]!'WM.US-PreClose'</f>
        <v>#REF!</v>
      </c>
      <c r="F509" s="6">
        <v>1743</v>
      </c>
      <c r="G509" s="74" t="e">
        <f t="shared" si="42"/>
        <v>#REF!</v>
      </c>
      <c r="H509" s="6" t="e">
        <f xml:space="preserve"> [1]!'WM.US-Price'</f>
        <v>#REF!</v>
      </c>
      <c r="I509" s="6" t="e">
        <f xml:space="preserve"> [1]!'WM.US-BestBid1'</f>
        <v>#REF!</v>
      </c>
      <c r="J509" s="6" t="e">
        <f xml:space="preserve"> [1]!'WM.US-BestAsk1'</f>
        <v>#REF!</v>
      </c>
      <c r="K509" s="93" t="e">
        <f t="shared" si="39"/>
        <v>#REF!</v>
      </c>
      <c r="L509" s="93" t="e">
        <f t="shared" si="40"/>
        <v>#REF!</v>
      </c>
      <c r="M509" s="96" t="e">
        <f t="shared" si="41"/>
        <v>#REF!</v>
      </c>
    </row>
    <row r="510" spans="1:13">
      <c r="A510" s="25" t="e">
        <f t="shared" si="38"/>
        <v>#REF!</v>
      </c>
      <c r="B510" s="300" t="s">
        <v>1686</v>
      </c>
      <c r="C510" s="26" t="s">
        <v>1188</v>
      </c>
      <c r="D510" s="26">
        <v>1</v>
      </c>
      <c r="E510" s="6" t="e">
        <f xml:space="preserve"> [1]!'WMB.US-PreClose'</f>
        <v>#REF!</v>
      </c>
      <c r="F510" s="6">
        <v>3560</v>
      </c>
      <c r="G510" s="74" t="e">
        <f t="shared" si="42"/>
        <v>#REF!</v>
      </c>
      <c r="H510" s="6" t="e">
        <f xml:space="preserve"> [1]!'WMB.US-Price'</f>
        <v>#REF!</v>
      </c>
      <c r="I510" s="6" t="e">
        <f xml:space="preserve"> [1]!'WMB.US-BestBid1'</f>
        <v>#REF!</v>
      </c>
      <c r="J510" s="6" t="e">
        <f xml:space="preserve"> [1]!'WMB.US-BestAsk1'</f>
        <v>#REF!</v>
      </c>
      <c r="K510" s="93" t="e">
        <f t="shared" si="39"/>
        <v>#REF!</v>
      </c>
      <c r="L510" s="93" t="e">
        <f t="shared" si="40"/>
        <v>#REF!</v>
      </c>
      <c r="M510" s="96" t="e">
        <f t="shared" si="41"/>
        <v>#REF!</v>
      </c>
    </row>
    <row r="511" spans="1:13">
      <c r="A511" s="25" t="e">
        <f t="shared" si="38"/>
        <v>#VALUE!</v>
      </c>
      <c r="B511" s="300" t="s">
        <v>1687</v>
      </c>
      <c r="C511" s="26" t="s">
        <v>1189</v>
      </c>
      <c r="D511" s="26">
        <v>1</v>
      </c>
      <c r="E511" s="6" t="str">
        <f xml:space="preserve"> [1]!'WMT.US-PreClose'</f>
        <v>N/A</v>
      </c>
      <c r="F511" s="6">
        <v>6303</v>
      </c>
      <c r="G511" s="74" t="e">
        <f t="shared" si="42"/>
        <v>#VALUE!</v>
      </c>
      <c r="H511" s="6" t="str">
        <f xml:space="preserve"> [1]!'WMT.US-Price'</f>
        <v>N/A</v>
      </c>
      <c r="I511" s="6" t="str">
        <f xml:space="preserve"> [1]!'WMT.US-BestBid1'</f>
        <v>N/A</v>
      </c>
      <c r="J511" s="6" t="str">
        <f xml:space="preserve"> [1]!'WMT.US-BestAsk1'</f>
        <v>N/A</v>
      </c>
      <c r="K511" s="93" t="e">
        <f t="shared" si="39"/>
        <v>#VALUE!</v>
      </c>
      <c r="L511" s="93" t="e">
        <f t="shared" si="40"/>
        <v>#VALUE!</v>
      </c>
      <c r="M511" s="96" t="e">
        <f t="shared" si="41"/>
        <v>#VALUE!</v>
      </c>
    </row>
    <row r="512" spans="1:13">
      <c r="A512" s="25" t="e">
        <f t="shared" si="38"/>
        <v>#REF!</v>
      </c>
      <c r="B512" s="300" t="s">
        <v>1688</v>
      </c>
      <c r="C512" s="26" t="s">
        <v>1190</v>
      </c>
      <c r="D512" s="26">
        <v>1</v>
      </c>
      <c r="E512" s="6" t="e">
        <f xml:space="preserve"> [1]!'WRK.US-PreClose'</f>
        <v>#REF!</v>
      </c>
      <c r="F512" s="6">
        <v>1094</v>
      </c>
      <c r="G512" s="74" t="e">
        <f t="shared" si="42"/>
        <v>#REF!</v>
      </c>
      <c r="H512" s="6" t="e">
        <f xml:space="preserve"> [1]!'WRK.US-Price'</f>
        <v>#REF!</v>
      </c>
      <c r="I512" s="6" t="e">
        <f xml:space="preserve"> [1]!'WRK.US-BestBid1'</f>
        <v>#REF!</v>
      </c>
      <c r="J512" s="6" t="e">
        <f xml:space="preserve"> [1]!'WRK.US-BestAsk1'</f>
        <v>#REF!</v>
      </c>
      <c r="K512" s="93" t="e">
        <f t="shared" si="39"/>
        <v>#REF!</v>
      </c>
      <c r="L512" s="93" t="e">
        <f t="shared" si="40"/>
        <v>#REF!</v>
      </c>
      <c r="M512" s="96" t="e">
        <f t="shared" si="41"/>
        <v>#REF!</v>
      </c>
    </row>
    <row r="513" spans="1:13">
      <c r="A513" s="25" t="e">
        <f t="shared" si="38"/>
        <v>#VALUE!</v>
      </c>
      <c r="B513" s="300" t="s">
        <v>1689</v>
      </c>
      <c r="C513" s="26" t="s">
        <v>630</v>
      </c>
      <c r="D513" s="26">
        <v>1</v>
      </c>
      <c r="E513" s="6" t="str">
        <f xml:space="preserve"> [1]!'WU.US-PreClose'</f>
        <v>N/A</v>
      </c>
      <c r="F513" s="6">
        <v>1999</v>
      </c>
      <c r="G513" s="74" t="e">
        <f t="shared" si="42"/>
        <v>#VALUE!</v>
      </c>
      <c r="H513" s="6" t="str">
        <f xml:space="preserve"> [1]!'WU.US-Price'</f>
        <v>N/A</v>
      </c>
      <c r="I513" s="6" t="str">
        <f xml:space="preserve"> [1]!'WU.US-BestBid1'</f>
        <v>N/A</v>
      </c>
      <c r="J513" s="6" t="str">
        <f xml:space="preserve"> [1]!'WU.US-BestAsk1'</f>
        <v>N/A</v>
      </c>
      <c r="K513" s="93" t="e">
        <f t="shared" si="39"/>
        <v>#VALUE!</v>
      </c>
      <c r="L513" s="93" t="e">
        <f t="shared" si="40"/>
        <v>#VALUE!</v>
      </c>
      <c r="M513" s="96" t="e">
        <f t="shared" si="41"/>
        <v>#VALUE!</v>
      </c>
    </row>
    <row r="514" spans="1:13">
      <c r="A514" s="25" t="e">
        <f t="shared" si="38"/>
        <v>#REF!</v>
      </c>
      <c r="B514" s="300" t="s">
        <v>1690</v>
      </c>
      <c r="C514" s="26" t="s">
        <v>631</v>
      </c>
      <c r="D514" s="26">
        <v>1</v>
      </c>
      <c r="E514" s="6" t="e">
        <f xml:space="preserve"> [1]!'WY.US-PreClose'</f>
        <v>#REF!</v>
      </c>
      <c r="F514" s="6">
        <v>3242</v>
      </c>
      <c r="G514" s="74" t="e">
        <f t="shared" si="42"/>
        <v>#REF!</v>
      </c>
      <c r="H514" s="6" t="e">
        <f xml:space="preserve"> [1]!'WY.US-Price'</f>
        <v>#REF!</v>
      </c>
      <c r="I514" s="6" t="e">
        <f xml:space="preserve"> [1]!'WY.US-BestBid1'</f>
        <v>#REF!</v>
      </c>
      <c r="J514" s="6" t="e">
        <f xml:space="preserve"> [1]!'WY.US-BestAsk1'</f>
        <v>#REF!</v>
      </c>
      <c r="K514" s="93" t="e">
        <f t="shared" si="39"/>
        <v>#REF!</v>
      </c>
      <c r="L514" s="93" t="e">
        <f t="shared" si="40"/>
        <v>#REF!</v>
      </c>
      <c r="M514" s="96" t="e">
        <f t="shared" si="41"/>
        <v>#REF!</v>
      </c>
    </row>
    <row r="515" spans="1:13">
      <c r="A515" s="25" t="e">
        <f t="shared" si="38"/>
        <v>#REF!</v>
      </c>
      <c r="B515" s="300" t="s">
        <v>1691</v>
      </c>
      <c r="C515" s="26" t="s">
        <v>1191</v>
      </c>
      <c r="D515" s="26">
        <v>1</v>
      </c>
      <c r="E515" s="6" t="e">
        <f xml:space="preserve"> [1]!'WYN.US-PreClose'</f>
        <v>#REF!</v>
      </c>
      <c r="F515" s="6">
        <v>443</v>
      </c>
      <c r="G515" s="74" t="e">
        <f t="shared" si="42"/>
        <v>#REF!</v>
      </c>
      <c r="H515" s="6" t="e">
        <f xml:space="preserve"> [1]!'WYN.US-Price'</f>
        <v>#REF!</v>
      </c>
      <c r="I515" s="6" t="e">
        <f xml:space="preserve"> [1]!'WYN.US-BestBid1'</f>
        <v>#REF!</v>
      </c>
      <c r="J515" s="6" t="e">
        <f xml:space="preserve"> [1]!'WYN.US-BestAsk1'</f>
        <v>#REF!</v>
      </c>
      <c r="K515" s="93" t="e">
        <f t="shared" si="39"/>
        <v>#REF!</v>
      </c>
      <c r="L515" s="93" t="e">
        <f t="shared" si="40"/>
        <v>#REF!</v>
      </c>
      <c r="M515" s="96" t="e">
        <f t="shared" si="41"/>
        <v>#REF!</v>
      </c>
    </row>
    <row r="516" spans="1:13">
      <c r="A516" s="25" t="e">
        <f t="shared" si="38"/>
        <v>#REF!</v>
      </c>
      <c r="B516" s="300" t="s">
        <v>1692</v>
      </c>
      <c r="C516" s="26" t="s">
        <v>573</v>
      </c>
      <c r="D516" s="26">
        <v>1</v>
      </c>
      <c r="E516" s="6" t="e">
        <f xml:space="preserve"> [1]!'WYNN.US-PreClose'</f>
        <v>#REF!</v>
      </c>
      <c r="F516" s="6">
        <v>345</v>
      </c>
      <c r="G516" s="74" t="e">
        <f t="shared" si="42"/>
        <v>#REF!</v>
      </c>
      <c r="H516" s="6" t="e">
        <f xml:space="preserve"> [1]!'WYNN.US-Price'</f>
        <v>#REF!</v>
      </c>
      <c r="I516" s="6" t="e">
        <f xml:space="preserve"> [1]!'WYNN.US-BestBid1'</f>
        <v>#REF!</v>
      </c>
      <c r="J516" s="6" t="e">
        <f xml:space="preserve"> [1]!'WYNN.US-BestAsk1'</f>
        <v>#REF!</v>
      </c>
      <c r="K516" s="93" t="e">
        <f t="shared" si="39"/>
        <v>#REF!</v>
      </c>
      <c r="L516" s="93" t="e">
        <f t="shared" si="40"/>
        <v>#REF!</v>
      </c>
      <c r="M516" s="96" t="e">
        <f t="shared" si="41"/>
        <v>#REF!</v>
      </c>
    </row>
    <row r="517" spans="1:13">
      <c r="A517" s="25" t="e">
        <f t="shared" si="38"/>
        <v>#REF!</v>
      </c>
      <c r="B517" s="300" t="s">
        <v>1693</v>
      </c>
      <c r="C517" s="26" t="s">
        <v>1192</v>
      </c>
      <c r="D517" s="26">
        <v>1</v>
      </c>
      <c r="E517" s="6" t="e">
        <f xml:space="preserve"> [1]!'XEC.US-PreClose'</f>
        <v>#REF!</v>
      </c>
      <c r="F517" s="6">
        <v>410</v>
      </c>
      <c r="G517" s="74" t="e">
        <f t="shared" si="42"/>
        <v>#REF!</v>
      </c>
      <c r="H517" s="6" t="e">
        <f xml:space="preserve"> [1]!'XEC.US-Price'</f>
        <v>#REF!</v>
      </c>
      <c r="I517" s="6" t="e">
        <f xml:space="preserve"> [1]!'XEC.US-BestBid1'</f>
        <v>#REF!</v>
      </c>
      <c r="J517" s="6" t="e">
        <f xml:space="preserve"> [1]!'XEC.US-BestAsk1'</f>
        <v>#REF!</v>
      </c>
      <c r="K517" s="93" t="e">
        <f t="shared" si="39"/>
        <v>#REF!</v>
      </c>
      <c r="L517" s="93" t="e">
        <f t="shared" si="40"/>
        <v>#REF!</v>
      </c>
      <c r="M517" s="96" t="e">
        <f t="shared" si="41"/>
        <v>#REF!</v>
      </c>
    </row>
    <row r="518" spans="1:13">
      <c r="A518" s="25" t="e">
        <f t="shared" si="38"/>
        <v>#REF!</v>
      </c>
      <c r="B518" s="300" t="s">
        <v>1694</v>
      </c>
      <c r="C518" s="26" t="s">
        <v>1193</v>
      </c>
      <c r="D518" s="26">
        <v>1</v>
      </c>
      <c r="E518" s="6" t="e">
        <f xml:space="preserve"> [1]!'XEL.US-PreClose'</f>
        <v>#REF!</v>
      </c>
      <c r="F518" s="6">
        <v>2187</v>
      </c>
      <c r="G518" s="74" t="e">
        <f t="shared" si="42"/>
        <v>#REF!</v>
      </c>
      <c r="H518" s="6" t="e">
        <f xml:space="preserve"> [1]!'XEL.US-Price'</f>
        <v>#REF!</v>
      </c>
      <c r="I518" s="6" t="e">
        <f xml:space="preserve"> [1]!'XEL.US-BestBid1'</f>
        <v>#REF!</v>
      </c>
      <c r="J518" s="6" t="e">
        <f xml:space="preserve"> [1]!'XEL.US-BestAsk1'</f>
        <v>#REF!</v>
      </c>
      <c r="K518" s="93" t="e">
        <f t="shared" si="39"/>
        <v>#REF!</v>
      </c>
      <c r="L518" s="93" t="e">
        <f t="shared" si="40"/>
        <v>#REF!</v>
      </c>
      <c r="M518" s="96" t="e">
        <f t="shared" si="41"/>
        <v>#REF!</v>
      </c>
    </row>
    <row r="519" spans="1:13">
      <c r="A519" s="25" t="e">
        <f t="shared" si="38"/>
        <v>#REF!</v>
      </c>
      <c r="B519" s="300" t="s">
        <v>1695</v>
      </c>
      <c r="C519" s="26" t="s">
        <v>632</v>
      </c>
      <c r="D519" s="26">
        <v>1</v>
      </c>
      <c r="E519" s="6" t="e">
        <f xml:space="preserve"> [1]!'XL.US-PreClose'</f>
        <v>#REF!</v>
      </c>
      <c r="F519" s="6">
        <v>1111</v>
      </c>
      <c r="G519" s="74" t="e">
        <f t="shared" si="42"/>
        <v>#REF!</v>
      </c>
      <c r="H519" s="6" t="e">
        <f xml:space="preserve"> [1]!'XL.US-Price'</f>
        <v>#REF!</v>
      </c>
      <c r="I519" s="6" t="e">
        <f xml:space="preserve"> [1]!'XL.US-BestBid1'</f>
        <v>#REF!</v>
      </c>
      <c r="J519" s="6" t="e">
        <f xml:space="preserve"> [1]!'XL.US-BestAsk1'</f>
        <v>#REF!</v>
      </c>
      <c r="K519" s="93" t="e">
        <f t="shared" si="39"/>
        <v>#REF!</v>
      </c>
      <c r="L519" s="93" t="e">
        <f t="shared" si="40"/>
        <v>#REF!</v>
      </c>
      <c r="M519" s="96" t="e">
        <f t="shared" si="41"/>
        <v>#REF!</v>
      </c>
    </row>
    <row r="520" spans="1:13">
      <c r="A520" s="25" t="e">
        <f t="shared" si="38"/>
        <v>#REF!</v>
      </c>
      <c r="B520" s="300" t="s">
        <v>1696</v>
      </c>
      <c r="C520" s="26" t="s">
        <v>574</v>
      </c>
      <c r="D520" s="26">
        <v>1</v>
      </c>
      <c r="E520" s="6" t="e">
        <f xml:space="preserve"> [1]!'XLNX.US-PreClose'</f>
        <v>#REF!</v>
      </c>
      <c r="F520" s="6">
        <v>1071</v>
      </c>
      <c r="G520" s="74" t="e">
        <f t="shared" si="42"/>
        <v>#REF!</v>
      </c>
      <c r="H520" s="6" t="e">
        <f xml:space="preserve"> [1]!'XLNX.US-Price'</f>
        <v>#REF!</v>
      </c>
      <c r="I520" s="6" t="e">
        <f xml:space="preserve"> [1]!'XLNX.US-BestBid1'</f>
        <v>#REF!</v>
      </c>
      <c r="J520" s="6" t="e">
        <f xml:space="preserve"> [1]!'XLNX.US-BestAsk1'</f>
        <v>#REF!</v>
      </c>
      <c r="K520" s="93" t="e">
        <f t="shared" si="39"/>
        <v>#REF!</v>
      </c>
      <c r="L520" s="93" t="e">
        <f t="shared" si="40"/>
        <v>#REF!</v>
      </c>
      <c r="M520" s="96" t="e">
        <f t="shared" si="41"/>
        <v>#REF!</v>
      </c>
    </row>
    <row r="521" spans="1:13">
      <c r="A521" s="25" t="e">
        <f t="shared" si="38"/>
        <v>#VALUE!</v>
      </c>
      <c r="B521" s="300" t="s">
        <v>1697</v>
      </c>
      <c r="C521" s="26" t="s">
        <v>1194</v>
      </c>
      <c r="D521" s="26">
        <v>1</v>
      </c>
      <c r="E521" s="6" t="str">
        <f xml:space="preserve"> [1]!'XOM.US-PreClose'</f>
        <v>N/A</v>
      </c>
      <c r="F521" s="6">
        <v>18247</v>
      </c>
      <c r="G521" s="74" t="e">
        <f t="shared" si="42"/>
        <v>#VALUE!</v>
      </c>
      <c r="H521" s="6" t="str">
        <f xml:space="preserve"> [1]!'XOM.US-Price'</f>
        <v>N/A</v>
      </c>
      <c r="I521" s="6" t="str">
        <f xml:space="preserve"> [1]!'XOM.US-BestBid1'</f>
        <v>N/A</v>
      </c>
      <c r="J521" s="6" t="str">
        <f xml:space="preserve"> [1]!'XOM.US-BestAsk1'</f>
        <v>N/A</v>
      </c>
      <c r="K521" s="93" t="e">
        <f t="shared" si="39"/>
        <v>#VALUE!</v>
      </c>
      <c r="L521" s="93" t="e">
        <f t="shared" si="40"/>
        <v>#VALUE!</v>
      </c>
      <c r="M521" s="96" t="e">
        <f t="shared" si="41"/>
        <v>#VALUE!</v>
      </c>
    </row>
    <row r="522" spans="1:13">
      <c r="A522" s="25" t="e">
        <f t="shared" si="38"/>
        <v>#REF!</v>
      </c>
      <c r="B522" s="300" t="s">
        <v>1698</v>
      </c>
      <c r="C522" s="26" t="s">
        <v>575</v>
      </c>
      <c r="D522" s="26">
        <v>1</v>
      </c>
      <c r="E522" s="6" t="e">
        <f xml:space="preserve"> [1]!'XRAY.US-PreClose'</f>
        <v>#REF!</v>
      </c>
      <c r="F522" s="6">
        <v>988</v>
      </c>
      <c r="G522" s="74" t="e">
        <f t="shared" si="42"/>
        <v>#REF!</v>
      </c>
      <c r="H522" s="6" t="e">
        <f xml:space="preserve"> [1]!'XRAY.US-Price'</f>
        <v>#REF!</v>
      </c>
      <c r="I522" s="6" t="e">
        <f xml:space="preserve"> [1]!'XRAY.US-BestBid1'</f>
        <v>#REF!</v>
      </c>
      <c r="J522" s="6" t="e">
        <f xml:space="preserve"> [1]!'XRAY.US-BestAsk1'</f>
        <v>#REF!</v>
      </c>
      <c r="K522" s="93" t="e">
        <f t="shared" si="39"/>
        <v>#REF!</v>
      </c>
      <c r="L522" s="93" t="e">
        <f t="shared" si="40"/>
        <v>#REF!</v>
      </c>
      <c r="M522" s="96" t="e">
        <f t="shared" si="41"/>
        <v>#REF!</v>
      </c>
    </row>
    <row r="523" spans="1:13">
      <c r="A523" s="25" t="e">
        <f t="shared" si="38"/>
        <v>#REF!</v>
      </c>
      <c r="B523" s="300" t="s">
        <v>1699</v>
      </c>
      <c r="C523" s="26" t="s">
        <v>1195</v>
      </c>
      <c r="D523" s="26">
        <v>1</v>
      </c>
      <c r="E523" s="6" t="e">
        <f xml:space="preserve"> [1]!'XRX.US-PreClose'</f>
        <v>#REF!</v>
      </c>
      <c r="F523" s="6">
        <v>919</v>
      </c>
      <c r="G523" s="74" t="e">
        <f t="shared" si="42"/>
        <v>#REF!</v>
      </c>
      <c r="H523" s="6" t="e">
        <f xml:space="preserve"> [1]!'XRX.US-Price'</f>
        <v>#REF!</v>
      </c>
      <c r="I523" s="6" t="e">
        <f xml:space="preserve"> [1]!'XRX.US-BestBid1'</f>
        <v>#REF!</v>
      </c>
      <c r="J523" s="6" t="e">
        <f xml:space="preserve"> [1]!'XRX.US-BestAsk1'</f>
        <v>#REF!</v>
      </c>
      <c r="K523" s="93" t="e">
        <f t="shared" si="39"/>
        <v>#REF!</v>
      </c>
      <c r="L523" s="93" t="e">
        <f t="shared" si="40"/>
        <v>#REF!</v>
      </c>
      <c r="M523" s="96" t="e">
        <f t="shared" si="41"/>
        <v>#REF!</v>
      </c>
    </row>
    <row r="524" spans="1:13">
      <c r="A524" s="25" t="e">
        <f t="shared" si="38"/>
        <v>#REF!</v>
      </c>
      <c r="B524" s="300" t="s">
        <v>1700</v>
      </c>
      <c r="C524" s="26" t="s">
        <v>1196</v>
      </c>
      <c r="D524" s="26">
        <v>1</v>
      </c>
      <c r="E524" s="6" t="e">
        <f xml:space="preserve"> [1]!'XYL.US-PreClose'</f>
        <v>#REF!</v>
      </c>
      <c r="F524" s="6">
        <v>773</v>
      </c>
      <c r="G524" s="74" t="e">
        <f t="shared" si="42"/>
        <v>#REF!</v>
      </c>
      <c r="H524" s="6" t="e">
        <f xml:space="preserve"> [1]!'XYL.US-Price'</f>
        <v>#REF!</v>
      </c>
      <c r="I524" s="6" t="e">
        <f xml:space="preserve"> [1]!'XYL.US-BestBid1'</f>
        <v>#REF!</v>
      </c>
      <c r="J524" s="6" t="e">
        <f xml:space="preserve"> [1]!'XYL.US-BestAsk1'</f>
        <v>#REF!</v>
      </c>
      <c r="K524" s="93" t="e">
        <f t="shared" si="39"/>
        <v>#REF!</v>
      </c>
      <c r="L524" s="93" t="e">
        <f t="shared" si="40"/>
        <v>#REF!</v>
      </c>
      <c r="M524" s="96" t="e">
        <f t="shared" si="41"/>
        <v>#REF!</v>
      </c>
    </row>
    <row r="525" spans="1:13">
      <c r="A525" s="25" t="e">
        <f t="shared" si="38"/>
        <v>#REF!</v>
      </c>
      <c r="B525" s="300" t="s">
        <v>1701</v>
      </c>
      <c r="C525" s="26" t="s">
        <v>1197</v>
      </c>
      <c r="D525" s="26">
        <v>1</v>
      </c>
      <c r="E525" s="6" t="e">
        <f xml:space="preserve"> [1]!'YUM.US-PreClose'</f>
        <v>#REF!</v>
      </c>
      <c r="F525" s="6">
        <v>1411</v>
      </c>
      <c r="G525" s="74" t="e">
        <f t="shared" si="42"/>
        <v>#REF!</v>
      </c>
      <c r="H525" s="6" t="e">
        <f xml:space="preserve"> [1]!'YUM.US-Price'</f>
        <v>#REF!</v>
      </c>
      <c r="I525" s="6" t="e">
        <f xml:space="preserve"> [1]!'YUM.US-BestBid1'</f>
        <v>#REF!</v>
      </c>
      <c r="J525" s="6" t="e">
        <f xml:space="preserve"> [1]!'YUM.US-BestAsk1'</f>
        <v>#REF!</v>
      </c>
      <c r="K525" s="93" t="e">
        <f t="shared" si="39"/>
        <v>#REF!</v>
      </c>
      <c r="L525" s="93" t="e">
        <f t="shared" si="40"/>
        <v>#REF!</v>
      </c>
      <c r="M525" s="96" t="e">
        <f t="shared" si="41"/>
        <v>#REF!</v>
      </c>
    </row>
    <row r="526" spans="1:13">
      <c r="A526" s="25" t="e">
        <f t="shared" si="38"/>
        <v>#REF!</v>
      </c>
      <c r="B526" s="300" t="s">
        <v>1702</v>
      </c>
      <c r="C526" s="26" t="s">
        <v>1198</v>
      </c>
      <c r="D526" s="26">
        <v>1</v>
      </c>
      <c r="E526" s="6" t="e">
        <f xml:space="preserve"> [1]!'ZBH.US-PreClose'</f>
        <v>#REF!</v>
      </c>
      <c r="F526" s="6">
        <v>871</v>
      </c>
      <c r="G526" s="74" t="e">
        <f t="shared" si="42"/>
        <v>#REF!</v>
      </c>
      <c r="H526" s="6" t="e">
        <f xml:space="preserve"> [1]!'ZBH.US-Price'</f>
        <v>#REF!</v>
      </c>
      <c r="I526" s="6" t="e">
        <f xml:space="preserve"> [1]!'ZBH.US-BestBid1'</f>
        <v>#REF!</v>
      </c>
      <c r="J526" s="6" t="e">
        <f xml:space="preserve"> [1]!'ZBH.US-BestAsk1'</f>
        <v>#REF!</v>
      </c>
      <c r="K526" s="93" t="e">
        <f t="shared" si="39"/>
        <v>#REF!</v>
      </c>
      <c r="L526" s="93" t="e">
        <f t="shared" si="40"/>
        <v>#REF!</v>
      </c>
      <c r="M526" s="96" t="e">
        <f t="shared" si="41"/>
        <v>#REF!</v>
      </c>
    </row>
    <row r="527" spans="1:13">
      <c r="A527" s="25" t="e">
        <f t="shared" si="38"/>
        <v>#REF!</v>
      </c>
      <c r="B527" s="300" t="s">
        <v>1703</v>
      </c>
      <c r="C527" s="26" t="s">
        <v>576</v>
      </c>
      <c r="D527" s="26">
        <v>1</v>
      </c>
      <c r="E527" s="6" t="e">
        <f xml:space="preserve"> [1]!'ZION.US-PreClose'</f>
        <v>#REF!</v>
      </c>
      <c r="F527" s="6">
        <v>871</v>
      </c>
      <c r="G527" s="74" t="e">
        <f t="shared" si="42"/>
        <v>#REF!</v>
      </c>
      <c r="H527" s="6" t="e">
        <f xml:space="preserve"> [1]!'ZION.US-Price'</f>
        <v>#REF!</v>
      </c>
      <c r="I527" s="6" t="e">
        <f xml:space="preserve"> [1]!'ZION.US-BestBid1'</f>
        <v>#REF!</v>
      </c>
      <c r="J527" s="6" t="e">
        <f xml:space="preserve"> [1]!'ZION.US-BestAsk1'</f>
        <v>#REF!</v>
      </c>
      <c r="K527" s="93" t="e">
        <f t="shared" si="39"/>
        <v>#REF!</v>
      </c>
      <c r="L527" s="93" t="e">
        <f t="shared" si="40"/>
        <v>#REF!</v>
      </c>
      <c r="M527" s="96" t="e">
        <f t="shared" si="41"/>
        <v>#REF!</v>
      </c>
    </row>
    <row r="528" spans="1:13">
      <c r="A528" s="25" t="e">
        <f t="shared" si="38"/>
        <v>#REF!</v>
      </c>
      <c r="B528" s="300" t="s">
        <v>1704</v>
      </c>
      <c r="C528" s="26" t="s">
        <v>1199</v>
      </c>
      <c r="D528" s="26">
        <v>1</v>
      </c>
      <c r="E528" s="6" t="e">
        <f xml:space="preserve"> [1]!'ZTS.US-PreClose'</f>
        <v>#REF!</v>
      </c>
      <c r="F528" s="6">
        <v>2114</v>
      </c>
      <c r="G528" s="74" t="e">
        <f t="shared" si="42"/>
        <v>#REF!</v>
      </c>
      <c r="H528" s="6" t="e">
        <f xml:space="preserve"> [1]!'ZTS.US-Price'</f>
        <v>#REF!</v>
      </c>
      <c r="I528" s="6" t="e">
        <f xml:space="preserve"> [1]!'ZTS.US-BestBid1'</f>
        <v>#REF!</v>
      </c>
      <c r="J528" s="6" t="e">
        <f xml:space="preserve"> [1]!'ZTS.US-BestAsk1'</f>
        <v>#REF!</v>
      </c>
      <c r="K528" s="93" t="e">
        <f t="shared" si="39"/>
        <v>#REF!</v>
      </c>
      <c r="L528" s="93" t="e">
        <f t="shared" si="40"/>
        <v>#REF!</v>
      </c>
      <c r="M528" s="96" t="e">
        <f t="shared" si="41"/>
        <v>#REF!</v>
      </c>
    </row>
  </sheetData>
  <mergeCells count="3">
    <mergeCell ref="F1:F2"/>
    <mergeCell ref="F3:F4"/>
    <mergeCell ref="F5:F6"/>
  </mergeCells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688001" r:id="rId3" name="CommandButton1">
          <controlPr defaultSize="0" autoLine="0" r:id="rId4">
            <anchor moveWithCells="1">
              <from>
                <xdr:col>13</xdr:col>
                <xdr:colOff>390525</xdr:colOff>
                <xdr:row>22</xdr:row>
                <xdr:rowOff>190500</xdr:rowOff>
              </from>
              <to>
                <xdr:col>14</xdr:col>
                <xdr:colOff>666750</xdr:colOff>
                <xdr:row>25</xdr:row>
                <xdr:rowOff>161925</xdr:rowOff>
              </to>
            </anchor>
          </controlPr>
        </control>
      </mc:Choice>
      <mc:Fallback>
        <control shapeId="3468800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Y43"/>
  <sheetViews>
    <sheetView view="pageBreakPreview" workbookViewId="0">
      <selection activeCell="A2" sqref="A2"/>
    </sheetView>
  </sheetViews>
  <sheetFormatPr defaultRowHeight="16.5"/>
  <cols>
    <col min="1" max="1" width="10.625" bestFit="1" customWidth="1"/>
    <col min="2" max="2" width="13.5" customWidth="1"/>
    <col min="3" max="3" width="15.625" customWidth="1"/>
    <col min="4" max="4" width="13.625" customWidth="1"/>
    <col min="5" max="5" width="13.25" customWidth="1"/>
    <col min="6" max="6" width="19.125" customWidth="1"/>
    <col min="7" max="7" width="18.75" customWidth="1"/>
    <col min="8" max="8" width="16" customWidth="1"/>
    <col min="9" max="9" width="15.5" customWidth="1"/>
    <col min="10" max="10" width="21.375" customWidth="1"/>
    <col min="11" max="11" width="18.875" customWidth="1"/>
    <col min="12" max="12" width="20.75" customWidth="1"/>
    <col min="13" max="13" width="18.625" customWidth="1"/>
    <col min="14" max="14" width="13.375" customWidth="1"/>
    <col min="15" max="15" width="14.75" customWidth="1"/>
    <col min="16" max="16" width="4.625" customWidth="1"/>
    <col min="17" max="17" width="20.375" customWidth="1"/>
    <col min="18" max="18" width="20.75" customWidth="1"/>
    <col min="19" max="19" width="16.875" customWidth="1"/>
    <col min="20" max="20" width="13.25" customWidth="1"/>
    <col min="21" max="21" width="11.375" customWidth="1"/>
    <col min="22" max="22" width="10.875" customWidth="1"/>
    <col min="23" max="24" width="9" hidden="1" customWidth="1"/>
    <col min="25" max="25" width="10.25" style="23" customWidth="1"/>
  </cols>
  <sheetData>
    <row r="1" spans="1:25">
      <c r="A1" s="17" t="s">
        <v>137</v>
      </c>
      <c r="B1" s="18" t="s">
        <v>350</v>
      </c>
      <c r="C1" s="18" t="s">
        <v>138</v>
      </c>
      <c r="D1" s="18" t="s">
        <v>139</v>
      </c>
      <c r="E1" s="19" t="s">
        <v>140</v>
      </c>
      <c r="F1" s="514" t="s">
        <v>21</v>
      </c>
      <c r="G1" s="62" t="s">
        <v>157</v>
      </c>
      <c r="H1" s="9" t="s">
        <v>52</v>
      </c>
      <c r="I1" s="10" t="s">
        <v>53</v>
      </c>
      <c r="J1" s="62" t="s">
        <v>353</v>
      </c>
      <c r="K1" s="18" t="s">
        <v>353</v>
      </c>
      <c r="L1" s="19" t="s">
        <v>353</v>
      </c>
      <c r="M1" s="114" t="s">
        <v>49</v>
      </c>
      <c r="N1" s="102" t="s">
        <v>151</v>
      </c>
      <c r="O1" s="115" t="s">
        <v>712</v>
      </c>
    </row>
    <row r="2" spans="1:25" ht="17.25" thickBot="1">
      <c r="A2" s="13" t="s">
        <v>76</v>
      </c>
      <c r="B2" s="113">
        <f>C2/100000000</f>
        <v>17.894020000000001</v>
      </c>
      <c r="C2" s="86">
        <f>'ETF Update'!D37*1000</f>
        <v>1789402000</v>
      </c>
      <c r="D2" s="15">
        <f>'ETF Update'!E37</f>
        <v>105321</v>
      </c>
      <c r="E2" s="11">
        <f>'ETF Update'!C37</f>
        <v>16.989999999999998</v>
      </c>
      <c r="F2" s="515"/>
      <c r="G2" s="63" t="e">
        <f>J2/(D2*1000)</f>
        <v>#REF!</v>
      </c>
      <c r="H2" s="64" t="e">
        <f>K2/(D2*1000)</f>
        <v>#REF!</v>
      </c>
      <c r="I2" s="65" t="e">
        <f>L2/(D2*1000)</f>
        <v>#REF!</v>
      </c>
      <c r="J2" s="107" t="e">
        <f>C2+(SUM(K10:K11)-SUM(G10:G11))-N10+C2*O10*(N2/O2-1)</f>
        <v>#REF!</v>
      </c>
      <c r="K2" s="108" t="e">
        <f>C2+(SUM(L10:L11)-SUM(G10:G11))-N10+C2*O10*(N2/O2-1)</f>
        <v>#REF!</v>
      </c>
      <c r="L2" s="109" t="e">
        <f>C2+(SUM(M10:M11)-SUM(G10:G11))-N10+C2*O10*(N2/O2-1)</f>
        <v>#REF!</v>
      </c>
      <c r="M2" s="114" t="s">
        <v>337</v>
      </c>
      <c r="N2" s="116" t="e">
        <f>匯率報價!D16</f>
        <v>#REF!</v>
      </c>
      <c r="O2" s="116">
        <v>30.15</v>
      </c>
      <c r="Q2" s="241" t="s">
        <v>844</v>
      </c>
      <c r="R2" s="74">
        <v>5229612612</v>
      </c>
      <c r="S2" s="240"/>
      <c r="T2" s="240"/>
      <c r="U2" s="240"/>
      <c r="V2" s="23"/>
    </row>
    <row r="3" spans="1:25">
      <c r="A3" s="17" t="s">
        <v>137</v>
      </c>
      <c r="B3" s="82" t="s">
        <v>350</v>
      </c>
      <c r="C3" s="18" t="s">
        <v>138</v>
      </c>
      <c r="D3" s="18" t="s">
        <v>139</v>
      </c>
      <c r="E3" s="19" t="s">
        <v>140</v>
      </c>
      <c r="F3" s="514" t="s">
        <v>21</v>
      </c>
      <c r="G3" s="62" t="s">
        <v>157</v>
      </c>
      <c r="H3" s="9" t="s">
        <v>52</v>
      </c>
      <c r="I3" s="10" t="s">
        <v>53</v>
      </c>
      <c r="J3" s="62" t="s">
        <v>353</v>
      </c>
      <c r="K3" s="18" t="s">
        <v>353</v>
      </c>
      <c r="L3" s="19" t="s">
        <v>353</v>
      </c>
      <c r="M3" s="114" t="s">
        <v>847</v>
      </c>
      <c r="N3" s="116" t="e">
        <f>匯率報價!D2</f>
        <v>#REF!</v>
      </c>
      <c r="O3" s="116">
        <v>111.39</v>
      </c>
      <c r="Q3" s="26" t="s">
        <v>753</v>
      </c>
      <c r="R3" s="26" t="s">
        <v>818</v>
      </c>
      <c r="S3" s="26" t="s">
        <v>816</v>
      </c>
      <c r="T3" s="26" t="s">
        <v>766</v>
      </c>
      <c r="U3" s="26" t="s">
        <v>767</v>
      </c>
      <c r="V3" s="26" t="s">
        <v>768</v>
      </c>
      <c r="W3" s="23"/>
    </row>
    <row r="4" spans="1:25" ht="17.25" thickBot="1">
      <c r="A4" s="13" t="s">
        <v>144</v>
      </c>
      <c r="B4" s="113">
        <f>C4/100000000</f>
        <v>74.809160000000006</v>
      </c>
      <c r="C4" s="86">
        <f>'ETF Update'!D62*1000</f>
        <v>7480916000</v>
      </c>
      <c r="D4" s="86">
        <f>'ETF Update'!E62</f>
        <v>464187</v>
      </c>
      <c r="E4" s="11">
        <f>'ETF Update'!C62</f>
        <v>16.12</v>
      </c>
      <c r="F4" s="515"/>
      <c r="G4" s="63" t="e">
        <f>J4/D4/1000</f>
        <v>#REF!</v>
      </c>
      <c r="H4" s="64" t="e">
        <f>K4/D4/1000</f>
        <v>#REF!</v>
      </c>
      <c r="I4" s="65" t="e">
        <f>L4/D4/1000</f>
        <v>#REF!</v>
      </c>
      <c r="J4" s="107" t="e">
        <f>C4+(SUM(K15)-SUM(G15))-N10+C4*O10*(N2/O2-1)</f>
        <v>#REF!</v>
      </c>
      <c r="K4" s="108" t="e">
        <f>C4+(SUM(L10:L10)-SUM(G10:G10))-N10+C4*O10*(N2/O2-1)</f>
        <v>#REF!</v>
      </c>
      <c r="L4" s="109" t="e">
        <f>C4+(SUM(M15)-SUM(G15))-N15+C4*O15*(N2/O2-1)</f>
        <v>#REF!</v>
      </c>
      <c r="M4" s="114" t="s">
        <v>848</v>
      </c>
      <c r="N4" s="116" t="e">
        <f>匯率報價!D7</f>
        <v>#REF!</v>
      </c>
      <c r="O4" s="116">
        <v>1.2</v>
      </c>
      <c r="Q4" s="272" t="s">
        <v>749</v>
      </c>
      <c r="R4" s="273">
        <v>0</v>
      </c>
      <c r="S4" s="289"/>
      <c r="T4" s="298">
        <f>S4/$S$13</f>
        <v>0</v>
      </c>
      <c r="U4" s="274"/>
      <c r="V4" s="274"/>
      <c r="W4" s="23" t="s">
        <v>769</v>
      </c>
      <c r="Y4" s="23" t="s">
        <v>851</v>
      </c>
    </row>
    <row r="5" spans="1:25">
      <c r="A5" s="17" t="s">
        <v>137</v>
      </c>
      <c r="B5" s="82" t="s">
        <v>350</v>
      </c>
      <c r="C5" s="18" t="s">
        <v>138</v>
      </c>
      <c r="D5" s="18" t="s">
        <v>139</v>
      </c>
      <c r="E5" s="19" t="s">
        <v>140</v>
      </c>
      <c r="F5" s="514" t="s">
        <v>21</v>
      </c>
      <c r="G5" s="62" t="s">
        <v>157</v>
      </c>
      <c r="H5" s="9" t="s">
        <v>52</v>
      </c>
      <c r="I5" s="10" t="s">
        <v>53</v>
      </c>
      <c r="J5" s="62" t="s">
        <v>353</v>
      </c>
      <c r="K5" s="18" t="s">
        <v>353</v>
      </c>
      <c r="L5" s="19" t="s">
        <v>353</v>
      </c>
      <c r="M5" s="114" t="s">
        <v>339</v>
      </c>
      <c r="N5" s="116" t="e">
        <f>匯率報價!D17</f>
        <v>#REF!</v>
      </c>
      <c r="O5" s="116">
        <v>4.5869999999999997</v>
      </c>
      <c r="Q5" s="275" t="s">
        <v>750</v>
      </c>
      <c r="R5" s="242">
        <v>1784848273</v>
      </c>
      <c r="S5" s="287">
        <f>R5</f>
        <v>1784848273</v>
      </c>
      <c r="T5" s="244">
        <f>S5/$S$13</f>
        <v>0.3407953929320971</v>
      </c>
      <c r="U5" s="243"/>
      <c r="V5" s="243">
        <f>T5</f>
        <v>0.3407953929320971</v>
      </c>
      <c r="W5" s="24" t="e">
        <f>T6+T8+T10+#REF!</f>
        <v>#REF!</v>
      </c>
      <c r="Y5" s="24">
        <f>U6+U8+U10</f>
        <v>0.19144663116779573</v>
      </c>
    </row>
    <row r="6" spans="1:25" ht="17.25" thickBot="1">
      <c r="A6" s="121" t="s">
        <v>145</v>
      </c>
      <c r="B6" s="113">
        <f>C6/100000000</f>
        <v>8.4180299999999999</v>
      </c>
      <c r="C6" s="86">
        <f>'ETF Update'!D63*1000</f>
        <v>841803000</v>
      </c>
      <c r="D6" s="86">
        <f>'ETF Update'!E63</f>
        <v>55703</v>
      </c>
      <c r="E6" s="11">
        <f>'ETF Update'!C63</f>
        <v>15.11</v>
      </c>
      <c r="F6" s="515"/>
      <c r="G6" s="63" t="e">
        <f>J6/D6/1000</f>
        <v>#REF!</v>
      </c>
      <c r="H6" s="64" t="e">
        <f>L6/D6/1000</f>
        <v>#REF!</v>
      </c>
      <c r="I6" s="65" t="e">
        <f>K6/D6/1000</f>
        <v>#REF!</v>
      </c>
      <c r="J6" s="107" t="e">
        <f>C6+(SUM(K19:K19)-SUM(G19:G19))-N19+C6*O19*(N2/O2-1)</f>
        <v>#REF!</v>
      </c>
      <c r="K6" s="108" t="e">
        <f>C6+(SUM(L19:L19)-SUM(G19:G19))-N19+C6*O19*(N2/O2-1)</f>
        <v>#REF!</v>
      </c>
      <c r="L6" s="109" t="e">
        <f>C6+(SUM(M19:M19)-SUM(G19:G19))-N19+C6*O19*(N2/O2-1)</f>
        <v>#REF!</v>
      </c>
      <c r="M6" s="114" t="s">
        <v>345</v>
      </c>
      <c r="N6" s="116" t="e">
        <f>匯率報價!D18</f>
        <v>#REF!</v>
      </c>
      <c r="O6" s="116">
        <v>3.8610000000000002</v>
      </c>
      <c r="Q6" s="275" t="s">
        <v>770</v>
      </c>
      <c r="R6" s="242">
        <v>28204531</v>
      </c>
      <c r="S6" s="287">
        <f>R6*O2</f>
        <v>850366609.64999998</v>
      </c>
      <c r="T6" s="244">
        <f t="shared" ref="T6:T12" si="0">S6/$S$13</f>
        <v>0.16236731561776119</v>
      </c>
      <c r="U6" s="243">
        <f>T6</f>
        <v>0.16236731561776119</v>
      </c>
      <c r="V6" s="243"/>
      <c r="W6" s="23" t="s">
        <v>810</v>
      </c>
    </row>
    <row r="7" spans="1:25">
      <c r="Q7" s="6" t="s">
        <v>771</v>
      </c>
      <c r="R7" s="242">
        <v>570807524</v>
      </c>
      <c r="S7" s="287">
        <f>R7</f>
        <v>570807524</v>
      </c>
      <c r="T7" s="244">
        <f t="shared" si="0"/>
        <v>0.10898885769332699</v>
      </c>
      <c r="U7" s="244"/>
      <c r="V7" s="244">
        <f>T7</f>
        <v>0.10898885769332699</v>
      </c>
      <c r="W7" s="23">
        <v>0</v>
      </c>
    </row>
    <row r="8" spans="1:25">
      <c r="A8" s="120" t="s">
        <v>76</v>
      </c>
      <c r="F8" s="81" t="s">
        <v>361</v>
      </c>
      <c r="G8" s="119"/>
      <c r="Q8" s="6" t="s">
        <v>759</v>
      </c>
      <c r="R8" s="242">
        <v>5051315</v>
      </c>
      <c r="S8" s="288">
        <f>R8*O2</f>
        <v>152297147.25</v>
      </c>
      <c r="T8" s="244">
        <f t="shared" si="0"/>
        <v>2.9079315550034544E-2</v>
      </c>
      <c r="U8" s="244">
        <f>T8</f>
        <v>2.9079315550034544E-2</v>
      </c>
      <c r="V8" s="244"/>
      <c r="W8" s="23"/>
    </row>
    <row r="9" spans="1:25" s="23" customFormat="1">
      <c r="A9" s="82" t="s">
        <v>319</v>
      </c>
      <c r="B9" s="82" t="s">
        <v>320</v>
      </c>
      <c r="C9" s="82" t="s">
        <v>231</v>
      </c>
      <c r="D9" s="82" t="s">
        <v>321</v>
      </c>
      <c r="E9" s="82" t="s">
        <v>322</v>
      </c>
      <c r="F9" s="82" t="s">
        <v>323</v>
      </c>
      <c r="G9" s="82" t="s">
        <v>324</v>
      </c>
      <c r="H9" s="82" t="s">
        <v>232</v>
      </c>
      <c r="I9" s="82" t="s">
        <v>325</v>
      </c>
      <c r="J9" s="82" t="s">
        <v>326</v>
      </c>
      <c r="K9" s="82" t="s">
        <v>327</v>
      </c>
      <c r="L9" s="82" t="s">
        <v>328</v>
      </c>
      <c r="M9" s="82" t="s">
        <v>329</v>
      </c>
      <c r="N9" s="250" t="s">
        <v>787</v>
      </c>
      <c r="O9" s="250" t="s">
        <v>788</v>
      </c>
      <c r="Q9" s="6" t="s">
        <v>849</v>
      </c>
      <c r="R9" s="242">
        <v>699800000</v>
      </c>
      <c r="S9" s="288">
        <f>R9</f>
        <v>699800000</v>
      </c>
      <c r="T9" s="244">
        <f t="shared" si="0"/>
        <v>0.1336184254883617</v>
      </c>
      <c r="U9" s="244"/>
      <c r="V9" s="244">
        <f>T9</f>
        <v>0.1336184254883617</v>
      </c>
    </row>
    <row r="10" spans="1:25">
      <c r="A10" s="25">
        <f>G10/C2</f>
        <v>0</v>
      </c>
      <c r="B10" s="26" t="s">
        <v>352</v>
      </c>
      <c r="C10" s="26" t="s">
        <v>351</v>
      </c>
      <c r="D10" s="26">
        <v>1000</v>
      </c>
      <c r="E10" s="84">
        <f>群益海期報價!K20</f>
        <v>49.09</v>
      </c>
      <c r="F10" s="26">
        <v>0</v>
      </c>
      <c r="G10" s="71">
        <f>F10*E10*D10*O2</f>
        <v>0</v>
      </c>
      <c r="H10" s="84">
        <f>群益海期報價!H20</f>
        <v>48.98</v>
      </c>
      <c r="I10" s="84">
        <f>群益海期報價!L20</f>
        <v>48.97</v>
      </c>
      <c r="J10" s="84">
        <f>群益海期報價!N20</f>
        <v>48.98</v>
      </c>
      <c r="K10" s="112" t="e">
        <f>IF(ISNUMBER(H10)=TRUE,H10*$F$10*$D$10,E10*$F$10*$D$10)*N2</f>
        <v>#REF!</v>
      </c>
      <c r="L10" s="112" t="e">
        <f>IF(ISNUMBER(I10)=TRUE,I10*$F$10*$D$10,F10*$F$10*$D$10)*N2</f>
        <v>#REF!</v>
      </c>
      <c r="M10" s="112" t="e">
        <f>IF(ISNUMBER(J10)=TRUE,J10*$F$10*$D$10,G10*$F$10*$D$10)*N2</f>
        <v>#REF!</v>
      </c>
      <c r="N10" s="90" t="e">
        <f>1.04%/365*(C2+SUM(K10:K11)-SUM(G10:G11))</f>
        <v>#REF!</v>
      </c>
      <c r="O10" s="98">
        <f>Y5</f>
        <v>0.19144663116779573</v>
      </c>
      <c r="Q10" s="6" t="s">
        <v>850</v>
      </c>
      <c r="R10" s="242">
        <v>1331771604</v>
      </c>
      <c r="S10" s="288">
        <f>R10</f>
        <v>1331771604</v>
      </c>
      <c r="T10" s="244">
        <f t="shared" si="0"/>
        <v>0.25428583143268069</v>
      </c>
      <c r="U10" s="244"/>
      <c r="V10" s="244">
        <f>T10</f>
        <v>0.25428583143268069</v>
      </c>
      <c r="W10" s="24"/>
    </row>
    <row r="11" spans="1:25" s="147" customFormat="1">
      <c r="A11" s="25">
        <f>G11/C2</f>
        <v>2.9013292015991934</v>
      </c>
      <c r="B11" s="26" t="s">
        <v>352</v>
      </c>
      <c r="C11" s="26" t="s">
        <v>664</v>
      </c>
      <c r="D11" s="26">
        <v>1000</v>
      </c>
      <c r="E11" s="84">
        <f>群益海期報價!K22</f>
        <v>50.96</v>
      </c>
      <c r="F11" s="26">
        <v>3379</v>
      </c>
      <c r="G11" s="71">
        <f>F11*E11*D11*O2</f>
        <v>5191644276</v>
      </c>
      <c r="H11" s="84">
        <f>群益海期報價!H22</f>
        <v>50.82</v>
      </c>
      <c r="I11" s="84">
        <f>群益海期報價!L22</f>
        <v>50.78</v>
      </c>
      <c r="J11" s="84">
        <f>群益海期報價!N22</f>
        <v>50.81</v>
      </c>
      <c r="K11" s="112" t="e">
        <f>IF(ISNUMBER(H11)=TRUE,H11*$F$11*$D$11,E11*$F$11*$D$11)*N2</f>
        <v>#REF!</v>
      </c>
      <c r="L11" s="112" t="e">
        <f>IF(ISNUMBER(I11)=TRUE,I11*$F$11*$D$11,F11*$F$11*$D$11)*N2</f>
        <v>#REF!</v>
      </c>
      <c r="M11" s="112" t="e">
        <f>IF(ISNUMBER(J11)=TRUE,J11*$F$11*$D$11,G11*$F$11*$D$11)*N2</f>
        <v>#REF!</v>
      </c>
      <c r="N11"/>
      <c r="O11"/>
      <c r="Q11" s="6" t="s">
        <v>812</v>
      </c>
      <c r="R11" s="242">
        <v>1520054</v>
      </c>
      <c r="S11" s="288">
        <f>R11</f>
        <v>1520054</v>
      </c>
      <c r="T11" s="244">
        <f t="shared" si="0"/>
        <v>2.9023609908157495E-4</v>
      </c>
      <c r="U11" s="244"/>
      <c r="V11" s="244">
        <f>T11</f>
        <v>2.9023609908157495E-4</v>
      </c>
      <c r="W11" s="23"/>
      <c r="Y11" s="23"/>
    </row>
    <row r="12" spans="1:25">
      <c r="A12" s="4"/>
      <c r="Q12" s="276" t="s">
        <v>772</v>
      </c>
      <c r="R12" s="299">
        <v>-154109564</v>
      </c>
      <c r="S12" s="299">
        <f>R12</f>
        <v>-154109564</v>
      </c>
      <c r="T12" s="21">
        <f t="shared" si="0"/>
        <v>-2.9425374813343681E-2</v>
      </c>
      <c r="U12" s="21"/>
      <c r="V12" s="21">
        <f>T12</f>
        <v>-2.9425374813343681E-2</v>
      </c>
      <c r="W12" s="23"/>
    </row>
    <row r="13" spans="1:25">
      <c r="A13" s="120" t="s">
        <v>144</v>
      </c>
      <c r="Q13" s="6" t="s">
        <v>763</v>
      </c>
      <c r="R13" s="285"/>
      <c r="S13" s="285">
        <f>SUM(S5:S12)</f>
        <v>5237301647.8999996</v>
      </c>
      <c r="T13" s="244">
        <f>SUM(T5:T12)</f>
        <v>0.99999999999999978</v>
      </c>
      <c r="U13" s="244">
        <f>SUM(U5:U12)</f>
        <v>0.19144663116779573</v>
      </c>
      <c r="V13" s="244">
        <f>SUM(V5:V12)</f>
        <v>0.8085533688322043</v>
      </c>
      <c r="W13" s="23"/>
      <c r="Y13" s="24">
        <f>U13+V13</f>
        <v>1</v>
      </c>
    </row>
    <row r="14" spans="1:25" s="23" customFormat="1">
      <c r="A14" s="82" t="s">
        <v>319</v>
      </c>
      <c r="B14" s="82" t="s">
        <v>320</v>
      </c>
      <c r="C14" s="82" t="s">
        <v>231</v>
      </c>
      <c r="D14" s="82" t="s">
        <v>321</v>
      </c>
      <c r="E14" s="82" t="s">
        <v>322</v>
      </c>
      <c r="F14" s="82" t="s">
        <v>323</v>
      </c>
      <c r="G14" s="82" t="s">
        <v>324</v>
      </c>
      <c r="H14" s="82" t="s">
        <v>232</v>
      </c>
      <c r="I14" s="82" t="s">
        <v>325</v>
      </c>
      <c r="J14" s="82" t="s">
        <v>326</v>
      </c>
      <c r="K14" s="82" t="s">
        <v>327</v>
      </c>
      <c r="L14" s="82" t="s">
        <v>328</v>
      </c>
      <c r="M14" s="82" t="s">
        <v>329</v>
      </c>
      <c r="N14" s="250" t="s">
        <v>787</v>
      </c>
      <c r="O14" s="250" t="s">
        <v>788</v>
      </c>
      <c r="W14" s="291"/>
    </row>
    <row r="15" spans="1:25">
      <c r="A15" s="25">
        <f>G15/C4</f>
        <v>1.9636138458846486</v>
      </c>
      <c r="B15" s="26" t="s">
        <v>352</v>
      </c>
      <c r="C15" s="26" t="s">
        <v>351</v>
      </c>
      <c r="D15" s="26">
        <v>1000</v>
      </c>
      <c r="E15" s="84">
        <f>群益海期報價!K20</f>
        <v>49.09</v>
      </c>
      <c r="F15" s="26">
        <v>9925</v>
      </c>
      <c r="G15" s="71">
        <f>F15*E15*D15*O2</f>
        <v>14689630237.500002</v>
      </c>
      <c r="H15" s="84">
        <f>群益海期報價!H20</f>
        <v>48.98</v>
      </c>
      <c r="I15" s="84">
        <f>群益海期報價!L20</f>
        <v>48.97</v>
      </c>
      <c r="J15" s="84">
        <f>群益海期報價!N20</f>
        <v>48.98</v>
      </c>
      <c r="K15" s="112" t="e">
        <f>IF(ISNUMBER(H15)=TRUE,H15*$F$15*$D$15,E15*$F$15*$D$15)*N2</f>
        <v>#REF!</v>
      </c>
      <c r="L15" s="112" t="e">
        <f>IF(ISNUMBER(I15)=TRUE,I15*$F$15*$D$15,F15*$F$15*$D$15)*N2</f>
        <v>#REF!</v>
      </c>
      <c r="M15" s="112" t="e">
        <f>IF(ISNUMBER(J15)=TRUE,J15*$F$15*$D$15,G15*$F$15*$D$15)*N2</f>
        <v>#REF!</v>
      </c>
      <c r="N15" s="90" t="e">
        <f>1.04%/365*(C4+SUM(K15:K15)-SUM(G15:G15))</f>
        <v>#REF!</v>
      </c>
      <c r="O15" s="98">
        <f>Y19</f>
        <v>0.35367096396408582</v>
      </c>
      <c r="W15" s="4">
        <f>U13+V13</f>
        <v>1</v>
      </c>
    </row>
    <row r="16" spans="1:25">
      <c r="A16" s="4"/>
      <c r="F16" s="5"/>
      <c r="Q16" s="241" t="s">
        <v>845</v>
      </c>
      <c r="R16" s="74">
        <v>7705243942</v>
      </c>
      <c r="S16" s="240"/>
      <c r="T16" s="240"/>
      <c r="U16" s="240"/>
      <c r="V16" s="23"/>
    </row>
    <row r="17" spans="1:25">
      <c r="A17" s="120" t="s">
        <v>145</v>
      </c>
      <c r="Q17" s="26" t="s">
        <v>753</v>
      </c>
      <c r="R17" s="26" t="s">
        <v>818</v>
      </c>
      <c r="S17" s="26" t="s">
        <v>816</v>
      </c>
      <c r="T17" s="26" t="s">
        <v>766</v>
      </c>
      <c r="U17" s="26" t="s">
        <v>767</v>
      </c>
      <c r="V17" s="26" t="s">
        <v>768</v>
      </c>
    </row>
    <row r="18" spans="1:25" s="23" customFormat="1">
      <c r="A18" s="82" t="s">
        <v>319</v>
      </c>
      <c r="B18" s="82" t="s">
        <v>320</v>
      </c>
      <c r="C18" s="82" t="s">
        <v>231</v>
      </c>
      <c r="D18" s="82" t="s">
        <v>321</v>
      </c>
      <c r="E18" s="82" t="s">
        <v>322</v>
      </c>
      <c r="F18" s="82" t="s">
        <v>323</v>
      </c>
      <c r="G18" s="82" t="s">
        <v>324</v>
      </c>
      <c r="H18" s="82" t="s">
        <v>232</v>
      </c>
      <c r="I18" s="82" t="s">
        <v>325</v>
      </c>
      <c r="J18" s="82" t="s">
        <v>326</v>
      </c>
      <c r="K18" s="82" t="s">
        <v>327</v>
      </c>
      <c r="L18" s="82" t="s">
        <v>328</v>
      </c>
      <c r="M18" s="82" t="s">
        <v>329</v>
      </c>
      <c r="N18" s="250" t="s">
        <v>787</v>
      </c>
      <c r="O18" s="250" t="s">
        <v>788</v>
      </c>
      <c r="Q18" s="272" t="s">
        <v>749</v>
      </c>
      <c r="R18" s="273">
        <v>0</v>
      </c>
      <c r="S18" s="289"/>
      <c r="T18" s="274"/>
      <c r="U18" s="274"/>
      <c r="V18" s="274"/>
      <c r="Y18" s="23" t="s">
        <v>851</v>
      </c>
    </row>
    <row r="19" spans="1:25">
      <c r="A19" s="25">
        <f>G19/C6</f>
        <v>-1.6597469289132971</v>
      </c>
      <c r="B19" s="26" t="s">
        <v>352</v>
      </c>
      <c r="C19" s="26" t="s">
        <v>351</v>
      </c>
      <c r="D19" s="26">
        <v>1000</v>
      </c>
      <c r="E19" s="84">
        <f>群益海期報價!K20</f>
        <v>49.09</v>
      </c>
      <c r="F19" s="122">
        <v>-944</v>
      </c>
      <c r="G19" s="112">
        <f>F19*E19*D19*O2</f>
        <v>-1397179944.0000002</v>
      </c>
      <c r="H19" s="84">
        <f>群益海期報價!H20</f>
        <v>48.98</v>
      </c>
      <c r="I19" s="84">
        <f>群益海期報價!L20</f>
        <v>48.97</v>
      </c>
      <c r="J19" s="84">
        <f>群益海期報價!N20</f>
        <v>48.98</v>
      </c>
      <c r="K19" s="112" t="e">
        <f>IF(ISNUMBER(H19)=TRUE,H19*$F$19*$D$19,E19*$F$19*$D$19)*N2</f>
        <v>#REF!</v>
      </c>
      <c r="L19" s="112" t="e">
        <f>IF(ISNUMBER(I19)=TRUE,I19*$F$19*$D$19,F19*$F$19*$D$19)*N2</f>
        <v>#REF!</v>
      </c>
      <c r="M19" s="112" t="e">
        <f>IF(ISNUMBER(J19)=TRUE,J19*$F$19*$D$19,G19*$F$19*$D$19)*N2</f>
        <v>#REF!</v>
      </c>
      <c r="N19" s="90" t="e">
        <f>1.04%/365*(C4+SUM(K19:K19)-SUM(G19:G19))</f>
        <v>#REF!</v>
      </c>
      <c r="O19" s="98">
        <f>Y34</f>
        <v>0.12566325612954721</v>
      </c>
      <c r="Q19" s="275" t="s">
        <v>750</v>
      </c>
      <c r="R19" s="242">
        <v>2318709466</v>
      </c>
      <c r="S19" s="287">
        <f>R19</f>
        <v>2318709466</v>
      </c>
      <c r="T19" s="243">
        <f>S19/$S$28</f>
        <v>0.29261384470527002</v>
      </c>
      <c r="U19" s="243"/>
      <c r="V19" s="243">
        <f>T19</f>
        <v>0.29261384470527002</v>
      </c>
      <c r="Y19" s="24">
        <f>U20+U22+U24+U26</f>
        <v>0.35367096396408582</v>
      </c>
    </row>
    <row r="20" spans="1:25">
      <c r="Q20" s="275" t="s">
        <v>770</v>
      </c>
      <c r="R20" s="242">
        <v>73879962.269999996</v>
      </c>
      <c r="S20" s="287">
        <f>R20*O2</f>
        <v>2227480862.4404998</v>
      </c>
      <c r="T20" s="243">
        <f t="shared" ref="T20:T27" si="1">S20/$S$28</f>
        <v>0.28110108175412318</v>
      </c>
      <c r="U20" s="243">
        <f>T20</f>
        <v>0.28110108175412318</v>
      </c>
      <c r="V20" s="243"/>
      <c r="W20" s="23"/>
    </row>
    <row r="21" spans="1:25">
      <c r="Q21" s="6" t="s">
        <v>771</v>
      </c>
      <c r="R21" s="242">
        <v>1598479563</v>
      </c>
      <c r="S21" s="287">
        <f>R21</f>
        <v>1598479563</v>
      </c>
      <c r="T21" s="243">
        <f t="shared" si="1"/>
        <v>0.20172309531263624</v>
      </c>
      <c r="U21" s="244"/>
      <c r="V21" s="244">
        <f>T21</f>
        <v>0.20172309531263624</v>
      </c>
      <c r="W21" s="23" t="s">
        <v>769</v>
      </c>
    </row>
    <row r="22" spans="1:25">
      <c r="Q22" s="6" t="s">
        <v>759</v>
      </c>
      <c r="R22" s="242">
        <v>19073068.399999999</v>
      </c>
      <c r="S22" s="288">
        <f>R22*O2</f>
        <v>575053012.25999987</v>
      </c>
      <c r="T22" s="243">
        <f t="shared" si="1"/>
        <v>7.2569882209962619E-2</v>
      </c>
      <c r="U22" s="244">
        <f>T22</f>
        <v>7.2569882209962619E-2</v>
      </c>
      <c r="V22" s="244"/>
      <c r="W22" s="24">
        <f>T20+T22+T24+T26</f>
        <v>0.35367096396408582</v>
      </c>
    </row>
    <row r="23" spans="1:25">
      <c r="Q23" s="6" t="s">
        <v>814</v>
      </c>
      <c r="R23" s="242">
        <v>2100295432</v>
      </c>
      <c r="S23" s="288">
        <f>R23</f>
        <v>2100295432</v>
      </c>
      <c r="T23" s="243">
        <f t="shared" si="1"/>
        <v>0.26505068029701828</v>
      </c>
      <c r="U23" s="244"/>
      <c r="V23" s="244">
        <f>T23</f>
        <v>0.26505068029701828</v>
      </c>
      <c r="W23" s="23" t="s">
        <v>810</v>
      </c>
    </row>
    <row r="24" spans="1:25">
      <c r="Q24" s="6" t="s">
        <v>815</v>
      </c>
      <c r="R24" s="242">
        <v>0</v>
      </c>
      <c r="S24" s="288">
        <f>R24*O2</f>
        <v>0</v>
      </c>
      <c r="T24" s="243">
        <f t="shared" si="1"/>
        <v>0</v>
      </c>
      <c r="U24" s="244">
        <f>T24</f>
        <v>0</v>
      </c>
      <c r="V24" s="244"/>
      <c r="W24" s="23">
        <v>0</v>
      </c>
    </row>
    <row r="25" spans="1:25">
      <c r="Q25" s="6" t="s">
        <v>812</v>
      </c>
      <c r="R25" s="242">
        <v>1172084</v>
      </c>
      <c r="S25" s="288">
        <f>R25</f>
        <v>1172084</v>
      </c>
      <c r="T25" s="243">
        <f t="shared" si="1"/>
        <v>1.4791331582787083E-4</v>
      </c>
      <c r="U25" s="244"/>
      <c r="V25" s="244">
        <f>T25</f>
        <v>1.4791331582787083E-4</v>
      </c>
      <c r="W25" s="23"/>
    </row>
    <row r="26" spans="1:25">
      <c r="Q26" s="6" t="s">
        <v>813</v>
      </c>
      <c r="R26" s="242">
        <v>0</v>
      </c>
      <c r="S26" s="242">
        <f>R26*O2</f>
        <v>0</v>
      </c>
      <c r="T26" s="243">
        <f t="shared" si="1"/>
        <v>0</v>
      </c>
      <c r="U26" s="244">
        <f>T26</f>
        <v>0</v>
      </c>
      <c r="V26" s="244"/>
      <c r="W26" s="23"/>
    </row>
    <row r="27" spans="1:25">
      <c r="Q27" s="276" t="s">
        <v>772</v>
      </c>
      <c r="R27" s="242">
        <v>-897062741</v>
      </c>
      <c r="S27" s="242">
        <f>R27</f>
        <v>-897062741</v>
      </c>
      <c r="T27" s="243">
        <f t="shared" si="1"/>
        <v>-0.11320649759483832</v>
      </c>
      <c r="U27" s="244"/>
      <c r="V27" s="244">
        <f>T27</f>
        <v>-0.11320649759483832</v>
      </c>
      <c r="W27" s="24"/>
    </row>
    <row r="28" spans="1:25">
      <c r="Q28" s="6" t="s">
        <v>763</v>
      </c>
      <c r="R28" s="285"/>
      <c r="S28" s="285">
        <f>SUM(S19:S27)</f>
        <v>7924127678.7005005</v>
      </c>
      <c r="T28" s="284">
        <f>SUM(T19:T27)</f>
        <v>1</v>
      </c>
      <c r="U28" s="244">
        <f>SUM(U19:U27)</f>
        <v>0.35367096396408582</v>
      </c>
      <c r="V28" s="244">
        <f>SUM(V19:V27)</f>
        <v>0.64632903603591407</v>
      </c>
      <c r="W28" s="23"/>
      <c r="Y28" s="24">
        <f>U28+V28</f>
        <v>0.99999999999999989</v>
      </c>
    </row>
    <row r="29" spans="1:25">
      <c r="W29" s="23"/>
    </row>
    <row r="30" spans="1:25">
      <c r="W30" s="23"/>
    </row>
    <row r="31" spans="1:25">
      <c r="Q31" s="241" t="s">
        <v>846</v>
      </c>
      <c r="R31" s="74">
        <v>1398652528</v>
      </c>
      <c r="S31" s="240"/>
      <c r="T31" s="240"/>
      <c r="U31" s="240"/>
      <c r="V31" s="23"/>
      <c r="W31" s="291"/>
    </row>
    <row r="32" spans="1:25">
      <c r="Q32" s="26" t="s">
        <v>773</v>
      </c>
      <c r="R32" s="26" t="s">
        <v>817</v>
      </c>
      <c r="S32" s="26" t="s">
        <v>765</v>
      </c>
      <c r="T32" s="26" t="s">
        <v>766</v>
      </c>
      <c r="U32" s="26" t="s">
        <v>852</v>
      </c>
      <c r="V32" s="26" t="s">
        <v>747</v>
      </c>
      <c r="W32" s="4">
        <f>U28+V28</f>
        <v>0.99999999999999989</v>
      </c>
    </row>
    <row r="33" spans="17:25">
      <c r="Q33" s="272" t="s">
        <v>748</v>
      </c>
      <c r="R33" s="273">
        <v>0</v>
      </c>
      <c r="S33" s="289"/>
      <c r="T33" s="274"/>
      <c r="U33" s="274"/>
      <c r="V33" s="274"/>
      <c r="Y33" s="23" t="s">
        <v>851</v>
      </c>
    </row>
    <row r="34" spans="17:25">
      <c r="Q34" s="275" t="s">
        <v>781</v>
      </c>
      <c r="R34" s="242">
        <v>475096595</v>
      </c>
      <c r="S34" s="287">
        <f>R34</f>
        <v>475096595</v>
      </c>
      <c r="T34" s="243">
        <f>S34/$S$43</f>
        <v>0.33944995953327706</v>
      </c>
      <c r="U34" s="243"/>
      <c r="V34" s="243">
        <f>T34</f>
        <v>0.33944995953327706</v>
      </c>
      <c r="Y34" s="24">
        <f>U35+U37+U39+U41</f>
        <v>0.12566325612954721</v>
      </c>
    </row>
    <row r="35" spans="17:25">
      <c r="Q35" s="275" t="s">
        <v>770</v>
      </c>
      <c r="R35" s="242">
        <v>3760145.01</v>
      </c>
      <c r="S35" s="287">
        <f>R35*O2</f>
        <v>113368372.05149999</v>
      </c>
      <c r="T35" s="243">
        <f t="shared" ref="T35:T42" si="2">S35/$S$43</f>
        <v>8.1000137046309859E-2</v>
      </c>
      <c r="U35" s="243">
        <f>T35</f>
        <v>8.1000137046309859E-2</v>
      </c>
      <c r="V35" s="243"/>
    </row>
    <row r="36" spans="17:25">
      <c r="Q36" s="6" t="s">
        <v>751</v>
      </c>
      <c r="R36" s="242">
        <v>553717199</v>
      </c>
      <c r="S36" s="287">
        <f>R36</f>
        <v>553717199</v>
      </c>
      <c r="T36" s="243">
        <f t="shared" si="2"/>
        <v>0.3956232959182322</v>
      </c>
      <c r="U36" s="244"/>
      <c r="V36" s="244">
        <f>T36</f>
        <v>0.3956232959182322</v>
      </c>
    </row>
    <row r="37" spans="17:25">
      <c r="Q37" s="6" t="s">
        <v>780</v>
      </c>
      <c r="R37" s="242">
        <v>2073327.41</v>
      </c>
      <c r="S37" s="288">
        <f>R37*O2</f>
        <v>62510821.411499992</v>
      </c>
      <c r="T37" s="243">
        <f t="shared" si="2"/>
        <v>4.4663119083237342E-2</v>
      </c>
      <c r="U37" s="244">
        <f>T37</f>
        <v>4.4663119083237342E-2</v>
      </c>
      <c r="V37" s="244"/>
    </row>
    <row r="38" spans="17:25">
      <c r="Q38" s="6" t="s">
        <v>814</v>
      </c>
      <c r="R38" s="242">
        <v>200239176</v>
      </c>
      <c r="S38" s="288">
        <f>R38</f>
        <v>200239176</v>
      </c>
      <c r="T38" s="243">
        <f t="shared" si="2"/>
        <v>0.14306812741980765</v>
      </c>
      <c r="U38" s="244"/>
      <c r="V38" s="244">
        <f>T38</f>
        <v>0.14306812741980765</v>
      </c>
    </row>
    <row r="39" spans="17:25">
      <c r="Q39" s="6" t="s">
        <v>815</v>
      </c>
      <c r="R39" s="242">
        <v>0</v>
      </c>
      <c r="S39" s="288">
        <f>R39*O2</f>
        <v>0</v>
      </c>
      <c r="T39" s="243">
        <f t="shared" si="2"/>
        <v>0</v>
      </c>
      <c r="U39" s="244">
        <f>T39</f>
        <v>0</v>
      </c>
      <c r="V39" s="244"/>
    </row>
    <row r="40" spans="17:25">
      <c r="Q40" s="6" t="s">
        <v>812</v>
      </c>
      <c r="R40" s="242">
        <v>122125</v>
      </c>
      <c r="S40" s="288">
        <f>R40</f>
        <v>122125</v>
      </c>
      <c r="T40" s="243">
        <f t="shared" si="2"/>
        <v>8.72566268508017E-5</v>
      </c>
      <c r="U40" s="244"/>
      <c r="V40" s="244">
        <f>T40</f>
        <v>8.72566268508017E-5</v>
      </c>
    </row>
    <row r="41" spans="17:25">
      <c r="Q41" s="6" t="s">
        <v>813</v>
      </c>
      <c r="R41" s="242">
        <v>0</v>
      </c>
      <c r="S41" s="242">
        <f>R41*O2</f>
        <v>0</v>
      </c>
      <c r="T41" s="243">
        <f t="shared" si="2"/>
        <v>0</v>
      </c>
      <c r="U41" s="244">
        <f>T41</f>
        <v>0</v>
      </c>
      <c r="V41" s="244"/>
    </row>
    <row r="42" spans="17:25">
      <c r="Q42" s="276" t="s">
        <v>762</v>
      </c>
      <c r="R42" s="242">
        <v>-5447125</v>
      </c>
      <c r="S42" s="242">
        <f>R42</f>
        <v>-5447125</v>
      </c>
      <c r="T42" s="243">
        <f t="shared" si="2"/>
        <v>-3.891895627714827E-3</v>
      </c>
      <c r="U42" s="244"/>
      <c r="V42" s="244">
        <f>T42</f>
        <v>-3.891895627714827E-3</v>
      </c>
    </row>
    <row r="43" spans="17:25">
      <c r="Q43" s="6" t="s">
        <v>752</v>
      </c>
      <c r="R43" s="285"/>
      <c r="S43" s="285">
        <f>SUM(S34:S42)</f>
        <v>1399607163.4629998</v>
      </c>
      <c r="T43" s="243">
        <f>SUM(T34:T42)</f>
        <v>1.0000000000000002</v>
      </c>
      <c r="U43" s="244">
        <f>SUM(U34:U42)</f>
        <v>0.12566325612954721</v>
      </c>
      <c r="V43" s="244">
        <f>SUM(V34:V42)</f>
        <v>0.8743367438704529</v>
      </c>
      <c r="Y43" s="24">
        <f>U43+V43</f>
        <v>1</v>
      </c>
    </row>
  </sheetData>
  <mergeCells count="3">
    <mergeCell ref="F1:F2"/>
    <mergeCell ref="F3:F4"/>
    <mergeCell ref="F5:F6"/>
  </mergeCells>
  <phoneticPr fontId="0" type="noConversion"/>
  <pageMargins left="0.75" right="0.75" top="1" bottom="1" header="0.5" footer="0.5"/>
  <pageSetup paperSize="9" scale="22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Y43"/>
  <sheetViews>
    <sheetView view="pageBreakPreview" workbookViewId="0">
      <selection activeCell="A2" sqref="A2"/>
    </sheetView>
  </sheetViews>
  <sheetFormatPr defaultRowHeight="16.5"/>
  <cols>
    <col min="1" max="1" width="10.625" style="147" bestFit="1" customWidth="1"/>
    <col min="2" max="2" width="13.5" style="147" customWidth="1"/>
    <col min="3" max="3" width="15.625" style="147" customWidth="1"/>
    <col min="4" max="4" width="13.625" style="147" customWidth="1"/>
    <col min="5" max="5" width="13.25" style="147" customWidth="1"/>
    <col min="6" max="6" width="19.125" style="147" customWidth="1"/>
    <col min="7" max="7" width="18.75" style="147" customWidth="1"/>
    <col min="8" max="8" width="16" style="147" customWidth="1"/>
    <col min="9" max="9" width="15.5" style="147" customWidth="1"/>
    <col min="10" max="10" width="21.375" style="147" customWidth="1"/>
    <col min="11" max="11" width="18.875" style="147" customWidth="1"/>
    <col min="12" max="12" width="20.75" style="147" customWidth="1"/>
    <col min="13" max="13" width="18.625" style="147" customWidth="1"/>
    <col min="14" max="14" width="11.875" style="147" customWidth="1"/>
    <col min="15" max="15" width="14.875" style="147" customWidth="1"/>
    <col min="16" max="16" width="13.875" style="147" customWidth="1"/>
    <col min="17" max="17" width="20.375" style="291" customWidth="1"/>
    <col min="18" max="18" width="20.75" style="291" customWidth="1"/>
    <col min="19" max="19" width="16.875" style="291" customWidth="1"/>
    <col min="20" max="20" width="13.25" style="291" customWidth="1"/>
    <col min="21" max="21" width="11.375" style="291" customWidth="1"/>
    <col min="22" max="22" width="10.875" style="291" customWidth="1"/>
    <col min="23" max="24" width="9" style="291" hidden="1" customWidth="1"/>
    <col min="25" max="25" width="10.25" style="23" customWidth="1"/>
    <col min="26" max="16384" width="9" style="147"/>
  </cols>
  <sheetData>
    <row r="1" spans="1:25">
      <c r="A1" s="17" t="s">
        <v>137</v>
      </c>
      <c r="B1" s="18" t="s">
        <v>350</v>
      </c>
      <c r="C1" s="18" t="s">
        <v>138</v>
      </c>
      <c r="D1" s="18" t="s">
        <v>139</v>
      </c>
      <c r="E1" s="19" t="s">
        <v>140</v>
      </c>
      <c r="F1" s="514" t="s">
        <v>21</v>
      </c>
      <c r="G1" s="62" t="s">
        <v>157</v>
      </c>
      <c r="H1" s="9" t="s">
        <v>52</v>
      </c>
      <c r="I1" s="10" t="s">
        <v>53</v>
      </c>
      <c r="J1" s="62" t="s">
        <v>353</v>
      </c>
      <c r="K1" s="18" t="s">
        <v>353</v>
      </c>
      <c r="L1" s="19" t="s">
        <v>353</v>
      </c>
      <c r="M1" s="114" t="s">
        <v>49</v>
      </c>
      <c r="N1" s="102" t="s">
        <v>151</v>
      </c>
      <c r="O1" s="115" t="s">
        <v>712</v>
      </c>
    </row>
    <row r="2" spans="1:25" ht="17.25" thickBot="1">
      <c r="A2" s="13" t="s">
        <v>443</v>
      </c>
      <c r="B2" s="113">
        <f>C2/100000000</f>
        <v>10.85791</v>
      </c>
      <c r="C2" s="86">
        <f>'ETF Update'!D36*1000</f>
        <v>1085791000</v>
      </c>
      <c r="D2" s="15">
        <f>'ETF Update'!E36</f>
        <v>53014</v>
      </c>
      <c r="E2" s="148">
        <f>'ETF Update'!C36</f>
        <v>20.48</v>
      </c>
      <c r="F2" s="515"/>
      <c r="G2" s="63" t="e">
        <f>J2/(D2*1000)</f>
        <v>#REF!</v>
      </c>
      <c r="H2" s="64" t="e">
        <f>K2/(D2*1000)</f>
        <v>#REF!</v>
      </c>
      <c r="I2" s="65" t="e">
        <f>L2/(D2*1000)</f>
        <v>#REF!</v>
      </c>
      <c r="J2" s="107" t="e">
        <f>C2+(SUM(K10:K11)-SUM(G10:G11))-N10+C2*O10*(N2/O2-1)</f>
        <v>#REF!</v>
      </c>
      <c r="K2" s="108" t="e">
        <f>C2+(SUM(L10:L11)-SUM(G10:G11))-N10+C2*O10*(N2/O2-1)</f>
        <v>#REF!</v>
      </c>
      <c r="L2" s="109" t="e">
        <f>C2+(SUM(M10:M11)-SUM(G10:G11))-N10+C2*O10*(N2/O2-1)</f>
        <v>#REF!</v>
      </c>
      <c r="M2" s="114" t="s">
        <v>337</v>
      </c>
      <c r="N2" s="116" t="e">
        <f>匯率報價!D16</f>
        <v>#REF!</v>
      </c>
      <c r="O2" s="116">
        <v>30.15</v>
      </c>
      <c r="Q2" s="241" t="s">
        <v>853</v>
      </c>
      <c r="R2" s="74">
        <v>1079557097</v>
      </c>
      <c r="V2" s="23"/>
    </row>
    <row r="3" spans="1:25">
      <c r="A3" s="17" t="s">
        <v>137</v>
      </c>
      <c r="B3" s="82" t="s">
        <v>350</v>
      </c>
      <c r="C3" s="18" t="s">
        <v>138</v>
      </c>
      <c r="D3" s="18" t="s">
        <v>139</v>
      </c>
      <c r="E3" s="19" t="s">
        <v>140</v>
      </c>
      <c r="F3" s="514" t="s">
        <v>21</v>
      </c>
      <c r="G3" s="62" t="s">
        <v>157</v>
      </c>
      <c r="H3" s="9" t="s">
        <v>52</v>
      </c>
      <c r="I3" s="10" t="s">
        <v>53</v>
      </c>
      <c r="J3" s="62" t="s">
        <v>353</v>
      </c>
      <c r="K3" s="18" t="s">
        <v>353</v>
      </c>
      <c r="L3" s="19" t="s">
        <v>353</v>
      </c>
      <c r="M3" s="114" t="s">
        <v>847</v>
      </c>
      <c r="N3" s="116" t="e">
        <f>匯率報價!D2</f>
        <v>#REF!</v>
      </c>
      <c r="O3" s="116">
        <v>111.39</v>
      </c>
      <c r="Q3" s="26" t="s">
        <v>753</v>
      </c>
      <c r="R3" s="26" t="s">
        <v>818</v>
      </c>
      <c r="S3" s="26" t="s">
        <v>816</v>
      </c>
      <c r="T3" s="26" t="s">
        <v>766</v>
      </c>
      <c r="U3" s="26" t="s">
        <v>767</v>
      </c>
      <c r="V3" s="26" t="s">
        <v>768</v>
      </c>
      <c r="W3" s="23"/>
    </row>
    <row r="4" spans="1:25" ht="17.25" thickBot="1">
      <c r="A4" s="13" t="s">
        <v>463</v>
      </c>
      <c r="B4" s="113">
        <f>C4/100000000</f>
        <v>12.466939999999999</v>
      </c>
      <c r="C4" s="86">
        <f>'ETF Update'!D90*1000</f>
        <v>1246694000</v>
      </c>
      <c r="D4" s="86">
        <f>'ETF Update'!E90</f>
        <v>62573</v>
      </c>
      <c r="E4" s="148">
        <f>'ETF Update'!C90</f>
        <v>19.920000000000002</v>
      </c>
      <c r="F4" s="515"/>
      <c r="G4" s="63" t="e">
        <f>J4/D4/1000</f>
        <v>#REF!</v>
      </c>
      <c r="H4" s="64" t="e">
        <f>K4/D4/1000</f>
        <v>#REF!</v>
      </c>
      <c r="I4" s="65" t="e">
        <f>L4/D4/1000</f>
        <v>#REF!</v>
      </c>
      <c r="J4" s="107" t="e">
        <f>C4+(SUM(K15)-SUM(G15))-N10+C4*O10*(N2/O2-1)</f>
        <v>#REF!</v>
      </c>
      <c r="K4" s="108" t="e">
        <f>C4+(SUM(L10:L10)-SUM(G10:G10))-N10+C4*O10*(N2/O2-1)</f>
        <v>#REF!</v>
      </c>
      <c r="L4" s="109" t="e">
        <f>C4+(SUM(M15)-SUM(G15))-N15+C4*O15*(N2/O2-1)</f>
        <v>#REF!</v>
      </c>
      <c r="M4" s="114" t="s">
        <v>848</v>
      </c>
      <c r="N4" s="116" t="e">
        <f>匯率報價!D7</f>
        <v>#REF!</v>
      </c>
      <c r="O4" s="116">
        <v>1.2</v>
      </c>
      <c r="Q4" s="272" t="s">
        <v>749</v>
      </c>
      <c r="R4" s="273">
        <v>0</v>
      </c>
      <c r="S4" s="289"/>
      <c r="T4" s="298">
        <f>S4/$S$13</f>
        <v>0</v>
      </c>
      <c r="U4" s="274"/>
      <c r="V4" s="274"/>
      <c r="W4" s="23" t="s">
        <v>769</v>
      </c>
      <c r="Y4" s="23" t="s">
        <v>851</v>
      </c>
    </row>
    <row r="5" spans="1:25">
      <c r="A5" s="17" t="s">
        <v>137</v>
      </c>
      <c r="B5" s="82" t="s">
        <v>350</v>
      </c>
      <c r="C5" s="18" t="s">
        <v>138</v>
      </c>
      <c r="D5" s="18" t="s">
        <v>139</v>
      </c>
      <c r="E5" s="19" t="s">
        <v>140</v>
      </c>
      <c r="F5" s="514" t="s">
        <v>21</v>
      </c>
      <c r="G5" s="62" t="s">
        <v>157</v>
      </c>
      <c r="H5" s="9" t="s">
        <v>52</v>
      </c>
      <c r="I5" s="10" t="s">
        <v>53</v>
      </c>
      <c r="J5" s="62" t="s">
        <v>353</v>
      </c>
      <c r="K5" s="18" t="s">
        <v>353</v>
      </c>
      <c r="L5" s="19" t="s">
        <v>353</v>
      </c>
      <c r="M5" s="114" t="s">
        <v>339</v>
      </c>
      <c r="N5" s="116" t="e">
        <f>匯率報價!D17</f>
        <v>#REF!</v>
      </c>
      <c r="O5" s="116">
        <v>4.5869999999999997</v>
      </c>
      <c r="Q5" s="275" t="s">
        <v>750</v>
      </c>
      <c r="R5" s="242">
        <v>355529127</v>
      </c>
      <c r="S5" s="287">
        <f>R5</f>
        <v>355529127</v>
      </c>
      <c r="T5" s="244">
        <f>S5/$S$13</f>
        <v>0.32880422419370631</v>
      </c>
      <c r="U5" s="243"/>
      <c r="V5" s="243">
        <f>T5</f>
        <v>0.32880422419370631</v>
      </c>
      <c r="W5" s="24" t="e">
        <f>T6+T8+T10+#REF!</f>
        <v>#REF!</v>
      </c>
      <c r="Y5" s="24">
        <f>U6+U8+U10</f>
        <v>0.62860925109175048</v>
      </c>
    </row>
    <row r="6" spans="1:25" ht="17.25" thickBot="1">
      <c r="A6" s="121" t="s">
        <v>445</v>
      </c>
      <c r="B6" s="113">
        <f>C6/100000000</f>
        <v>0.92093000000000003</v>
      </c>
      <c r="C6" s="86">
        <f>'ETF Update'!D64*1000</f>
        <v>92093000</v>
      </c>
      <c r="D6" s="86">
        <f>'ETF Update'!E64</f>
        <v>5103</v>
      </c>
      <c r="E6" s="148">
        <f>'ETF Update'!C64</f>
        <v>18.05</v>
      </c>
      <c r="F6" s="515"/>
      <c r="G6" s="63" t="e">
        <f>J6/D6/1000</f>
        <v>#REF!</v>
      </c>
      <c r="H6" s="64" t="e">
        <f>L6/D6/1000</f>
        <v>#REF!</v>
      </c>
      <c r="I6" s="65" t="e">
        <f>K6/D6/1000</f>
        <v>#REF!</v>
      </c>
      <c r="J6" s="107" t="e">
        <f>C6+(SUM(K19:K19)-SUM(G19:G19))-N19+C6*O19*(N2/O2-1)</f>
        <v>#REF!</v>
      </c>
      <c r="K6" s="108" t="e">
        <f>C6+(SUM(L19:L19)-SUM(G19:G19))-N19+C6*O19*(N2/O2-1)</f>
        <v>#REF!</v>
      </c>
      <c r="L6" s="109" t="e">
        <f>C6+(SUM(M19:M19)-SUM(G19:G19))-N19+C6*O19*(N2/O2-1)</f>
        <v>#REF!</v>
      </c>
      <c r="M6" s="114" t="s">
        <v>345</v>
      </c>
      <c r="N6" s="116" t="e">
        <f>匯率報價!D18</f>
        <v>#REF!</v>
      </c>
      <c r="O6" s="116">
        <v>3.8610000000000002</v>
      </c>
      <c r="Q6" s="275" t="s">
        <v>770</v>
      </c>
      <c r="R6" s="242">
        <v>4224944.22</v>
      </c>
      <c r="S6" s="287">
        <f>R6*O2</f>
        <v>127382068.23299998</v>
      </c>
      <c r="T6" s="244">
        <f t="shared" ref="T6:T12" si="0">S6/$S$13</f>
        <v>0.11780683758588736</v>
      </c>
      <c r="U6" s="243">
        <f>T6</f>
        <v>0.11780683758588736</v>
      </c>
      <c r="V6" s="243"/>
      <c r="W6" s="23" t="s">
        <v>810</v>
      </c>
    </row>
    <row r="7" spans="1:25">
      <c r="Q7" s="6" t="s">
        <v>771</v>
      </c>
      <c r="R7" s="242">
        <v>66319492</v>
      </c>
      <c r="S7" s="287">
        <f>R7</f>
        <v>66319492</v>
      </c>
      <c r="T7" s="244">
        <f t="shared" si="0"/>
        <v>6.133429713616885E-2</v>
      </c>
      <c r="U7" s="244"/>
      <c r="V7" s="244">
        <f>T7</f>
        <v>6.133429713616885E-2</v>
      </c>
      <c r="W7" s="23">
        <v>0</v>
      </c>
    </row>
    <row r="8" spans="1:25">
      <c r="A8" s="120" t="s">
        <v>443</v>
      </c>
      <c r="G8" s="119"/>
      <c r="Q8" s="6" t="s">
        <v>759</v>
      </c>
      <c r="R8" s="242">
        <v>60725.16</v>
      </c>
      <c r="S8" s="288">
        <f>R8*O2</f>
        <v>1830863.574</v>
      </c>
      <c r="T8" s="244">
        <f t="shared" si="0"/>
        <v>1.69323870067497E-3</v>
      </c>
      <c r="U8" s="244">
        <f>T8</f>
        <v>1.69323870067497E-3</v>
      </c>
      <c r="V8" s="244"/>
      <c r="W8" s="23"/>
    </row>
    <row r="9" spans="1:25" s="23" customFormat="1">
      <c r="A9" s="82" t="s">
        <v>319</v>
      </c>
      <c r="B9" s="82" t="s">
        <v>320</v>
      </c>
      <c r="C9" s="82" t="s">
        <v>231</v>
      </c>
      <c r="D9" s="82" t="s">
        <v>321</v>
      </c>
      <c r="E9" s="82" t="s">
        <v>322</v>
      </c>
      <c r="F9" s="82" t="s">
        <v>323</v>
      </c>
      <c r="G9" s="82" t="s">
        <v>324</v>
      </c>
      <c r="H9" s="82" t="s">
        <v>232</v>
      </c>
      <c r="I9" s="82" t="s">
        <v>325</v>
      </c>
      <c r="J9" s="82" t="s">
        <v>326</v>
      </c>
      <c r="K9" s="82" t="s">
        <v>327</v>
      </c>
      <c r="L9" s="82" t="s">
        <v>328</v>
      </c>
      <c r="M9" s="82" t="s">
        <v>329</v>
      </c>
      <c r="N9" s="250" t="s">
        <v>787</v>
      </c>
      <c r="O9" s="250" t="s">
        <v>788</v>
      </c>
      <c r="Q9" s="6" t="s">
        <v>849</v>
      </c>
      <c r="R9" s="242">
        <v>0</v>
      </c>
      <c r="S9" s="288">
        <f>R9</f>
        <v>0</v>
      </c>
      <c r="T9" s="244">
        <f t="shared" si="0"/>
        <v>0</v>
      </c>
      <c r="U9" s="244"/>
      <c r="V9" s="244">
        <f>T9</f>
        <v>0</v>
      </c>
    </row>
    <row r="10" spans="1:25">
      <c r="A10" s="25">
        <f>G10/C2</f>
        <v>1.0198592767853114</v>
      </c>
      <c r="B10" s="26" t="s">
        <v>668</v>
      </c>
      <c r="C10" s="26" t="s">
        <v>669</v>
      </c>
      <c r="D10" s="26">
        <f>1*100</f>
        <v>100</v>
      </c>
      <c r="E10" s="84">
        <f>群益海期報價!K24</f>
        <v>1350.3</v>
      </c>
      <c r="F10" s="26">
        <v>272</v>
      </c>
      <c r="G10" s="71">
        <f>F10*E10*D10*O2</f>
        <v>1107354024</v>
      </c>
      <c r="H10" s="84">
        <f>群益海期報價!H24</f>
        <v>1357.7</v>
      </c>
      <c r="I10" s="84">
        <f>群益海期報價!L24</f>
        <v>1357.7</v>
      </c>
      <c r="J10" s="84">
        <f>群益海期報價!N24</f>
        <v>1357.8</v>
      </c>
      <c r="K10" s="112" t="e">
        <f>IF(ISNUMBER(H10)=TRUE,H10*$F$10*$D$10,E10*$F$10*$D$10)*N2</f>
        <v>#REF!</v>
      </c>
      <c r="L10" s="112" t="e">
        <f>IF(ISNUMBER(I10)=TRUE,I10*$F$10*$D$10,F10*$F$10*$D$10)*N2</f>
        <v>#REF!</v>
      </c>
      <c r="M10" s="112" t="e">
        <f>IF(ISNUMBER(J10)=TRUE,J10*$F$10*$D$10,G10*$F$10*$D$10)*N2</f>
        <v>#REF!</v>
      </c>
      <c r="N10" s="90" t="e">
        <f>1.04%/365*(C2+SUM(K10:K11)-SUM(G10:G11))</f>
        <v>#REF!</v>
      </c>
      <c r="O10" s="98">
        <f>Y5</f>
        <v>0.62860925109175048</v>
      </c>
      <c r="Q10" s="6" t="s">
        <v>850</v>
      </c>
      <c r="R10" s="242">
        <v>550489097</v>
      </c>
      <c r="S10" s="288">
        <f>R10</f>
        <v>550489097</v>
      </c>
      <c r="T10" s="244">
        <f t="shared" si="0"/>
        <v>0.50910917480518814</v>
      </c>
      <c r="U10" s="244">
        <f>T10</f>
        <v>0.50910917480518814</v>
      </c>
      <c r="V10" s="244"/>
      <c r="W10" s="24"/>
    </row>
    <row r="11" spans="1:25">
      <c r="A11" s="25">
        <f>G11/C2</f>
        <v>0</v>
      </c>
      <c r="B11" s="26" t="s">
        <v>668</v>
      </c>
      <c r="C11" s="26" t="s">
        <v>670</v>
      </c>
      <c r="D11" s="26">
        <f>1*100</f>
        <v>100</v>
      </c>
      <c r="E11" s="84">
        <f>群益海期報價!K24</f>
        <v>1350.3</v>
      </c>
      <c r="F11" s="26">
        <v>0</v>
      </c>
      <c r="G11" s="71">
        <f>F11*E11*D11*O2</f>
        <v>0</v>
      </c>
      <c r="H11" s="84">
        <f>群益海期報價!H24</f>
        <v>1357.7</v>
      </c>
      <c r="I11" s="84">
        <f>群益海期報價!L24</f>
        <v>1357.7</v>
      </c>
      <c r="J11" s="84">
        <f>群益海期報價!N24</f>
        <v>1357.8</v>
      </c>
      <c r="K11" s="112" t="e">
        <f>IF(ISNUMBER(H11)=TRUE,H11*$F$11*$D$11,E11*$F$11*$D$11)*N2</f>
        <v>#REF!</v>
      </c>
      <c r="L11" s="112" t="e">
        <f>IF(ISNUMBER(I11)=TRUE,I11*$F$11*$D$11,F11*$F$11*$D$11)*N2</f>
        <v>#REF!</v>
      </c>
      <c r="M11" s="112" t="e">
        <f>IF(ISNUMBER(J11)=TRUE,J11*$F$11*$D$11,G11*$F$11*$D$11)*N2</f>
        <v>#REF!</v>
      </c>
      <c r="Q11" s="6" t="s">
        <v>812</v>
      </c>
      <c r="R11" s="242">
        <v>190096</v>
      </c>
      <c r="S11" s="288">
        <f>R11</f>
        <v>190096</v>
      </c>
      <c r="T11" s="244">
        <f t="shared" si="0"/>
        <v>1.7580660220372547E-4</v>
      </c>
      <c r="U11" s="244"/>
      <c r="V11" s="244">
        <f>T11</f>
        <v>1.7580660220372547E-4</v>
      </c>
      <c r="W11" s="23"/>
    </row>
    <row r="12" spans="1:25">
      <c r="A12" s="4"/>
      <c r="Q12" s="276" t="s">
        <v>772</v>
      </c>
      <c r="R12" s="299">
        <v>-20461670</v>
      </c>
      <c r="S12" s="299">
        <f>R12</f>
        <v>-20461670</v>
      </c>
      <c r="T12" s="21">
        <f t="shared" si="0"/>
        <v>-1.8923579023829556E-2</v>
      </c>
      <c r="U12" s="21"/>
      <c r="V12" s="21">
        <f>T12</f>
        <v>-1.8923579023829556E-2</v>
      </c>
      <c r="W12" s="23"/>
    </row>
    <row r="13" spans="1:25">
      <c r="A13" s="120" t="s">
        <v>463</v>
      </c>
      <c r="Q13" s="6" t="s">
        <v>763</v>
      </c>
      <c r="R13" s="285"/>
      <c r="S13" s="285">
        <f>SUM(S5:S12)</f>
        <v>1081279073.8070002</v>
      </c>
      <c r="T13" s="244">
        <f>SUM(T5:T12)</f>
        <v>0.99999999999999978</v>
      </c>
      <c r="U13" s="244">
        <f>SUM(U5:U12)</f>
        <v>0.62860925109175048</v>
      </c>
      <c r="V13" s="244">
        <f>SUM(V5:V12)</f>
        <v>0.3713907489082493</v>
      </c>
      <c r="W13" s="23"/>
      <c r="Y13" s="24">
        <f>U13+V13</f>
        <v>0.99999999999999978</v>
      </c>
    </row>
    <row r="14" spans="1:25" s="23" customFormat="1">
      <c r="A14" s="82" t="s">
        <v>319</v>
      </c>
      <c r="B14" s="82" t="s">
        <v>320</v>
      </c>
      <c r="C14" s="82" t="s">
        <v>231</v>
      </c>
      <c r="D14" s="82" t="s">
        <v>321</v>
      </c>
      <c r="E14" s="82" t="s">
        <v>322</v>
      </c>
      <c r="F14" s="82" t="s">
        <v>323</v>
      </c>
      <c r="G14" s="82" t="s">
        <v>324</v>
      </c>
      <c r="H14" s="82" t="s">
        <v>232</v>
      </c>
      <c r="I14" s="82" t="s">
        <v>325</v>
      </c>
      <c r="J14" s="82" t="s">
        <v>326</v>
      </c>
      <c r="K14" s="82" t="s">
        <v>327</v>
      </c>
      <c r="L14" s="82" t="s">
        <v>328</v>
      </c>
      <c r="M14" s="82" t="s">
        <v>329</v>
      </c>
      <c r="N14" s="250" t="s">
        <v>787</v>
      </c>
      <c r="O14" s="250" t="s">
        <v>788</v>
      </c>
      <c r="W14" s="291"/>
    </row>
    <row r="15" spans="1:25">
      <c r="A15" s="25">
        <f>G15/C4</f>
        <v>0.37880500106682147</v>
      </c>
      <c r="B15" s="26" t="s">
        <v>668</v>
      </c>
      <c r="C15" s="26" t="s">
        <v>669</v>
      </c>
      <c r="D15" s="26">
        <f>1*100</f>
        <v>100</v>
      </c>
      <c r="E15" s="84">
        <f>群益海期報價!K24</f>
        <v>1350.3</v>
      </c>
      <c r="F15" s="26">
        <v>116</v>
      </c>
      <c r="G15" s="71">
        <f>F15*E15*D15*O2</f>
        <v>472253921.99999994</v>
      </c>
      <c r="H15" s="84">
        <f>群益海期報價!H24</f>
        <v>1357.7</v>
      </c>
      <c r="I15" s="84">
        <f>群益海期報價!L24</f>
        <v>1357.7</v>
      </c>
      <c r="J15" s="84">
        <f>群益海期報價!N24</f>
        <v>1357.8</v>
      </c>
      <c r="K15" s="112" t="e">
        <f>IF(ISNUMBER(H15)=TRUE,H15*$F$15*$D$15,E15*$F$15*$D$15)*N2</f>
        <v>#REF!</v>
      </c>
      <c r="L15" s="112" t="e">
        <f>IF(ISNUMBER(I15)=TRUE,I15*$F$15*$D$15,F15*$F$15*$D$15)*N2</f>
        <v>#REF!</v>
      </c>
      <c r="M15" s="112" t="e">
        <f>IF(ISNUMBER(J15)=TRUE,J15*$F$15*$D$15,G15*$F$15*$D$15)*N2</f>
        <v>#REF!</v>
      </c>
      <c r="N15" s="90" t="e">
        <f>1.04%/365*(C4+SUM(K15:K15)-SUM(G15:G15))</f>
        <v>#REF!</v>
      </c>
      <c r="O15" s="98">
        <f>Y19</f>
        <v>0.11046339394265603</v>
      </c>
      <c r="W15" s="4">
        <f>U13+V13</f>
        <v>0.99999999999999978</v>
      </c>
    </row>
    <row r="16" spans="1:25">
      <c r="A16" s="4"/>
      <c r="F16" s="5"/>
      <c r="Q16" s="241" t="s">
        <v>854</v>
      </c>
      <c r="R16" s="74">
        <v>231474494</v>
      </c>
      <c r="V16" s="23"/>
    </row>
    <row r="17" spans="1:25">
      <c r="A17" s="120" t="s">
        <v>445</v>
      </c>
      <c r="Q17" s="26" t="s">
        <v>753</v>
      </c>
      <c r="R17" s="26" t="s">
        <v>818</v>
      </c>
      <c r="S17" s="26" t="s">
        <v>816</v>
      </c>
      <c r="T17" s="26" t="s">
        <v>766</v>
      </c>
      <c r="U17" s="26" t="s">
        <v>767</v>
      </c>
      <c r="V17" s="26" t="s">
        <v>768</v>
      </c>
    </row>
    <row r="18" spans="1:25" s="23" customFormat="1">
      <c r="A18" s="82" t="s">
        <v>319</v>
      </c>
      <c r="B18" s="82" t="s">
        <v>320</v>
      </c>
      <c r="C18" s="82" t="s">
        <v>231</v>
      </c>
      <c r="D18" s="82" t="s">
        <v>321</v>
      </c>
      <c r="E18" s="82" t="s">
        <v>322</v>
      </c>
      <c r="F18" s="82" t="s">
        <v>323</v>
      </c>
      <c r="G18" s="82" t="s">
        <v>324</v>
      </c>
      <c r="H18" s="82" t="s">
        <v>232</v>
      </c>
      <c r="I18" s="82" t="s">
        <v>325</v>
      </c>
      <c r="J18" s="82" t="s">
        <v>326</v>
      </c>
      <c r="K18" s="82" t="s">
        <v>327</v>
      </c>
      <c r="L18" s="82" t="s">
        <v>328</v>
      </c>
      <c r="M18" s="82" t="s">
        <v>329</v>
      </c>
      <c r="N18" s="250" t="s">
        <v>787</v>
      </c>
      <c r="O18" s="250" t="s">
        <v>788</v>
      </c>
      <c r="Q18" s="272" t="s">
        <v>749</v>
      </c>
      <c r="R18" s="273">
        <v>0</v>
      </c>
      <c r="S18" s="289"/>
      <c r="T18" s="274"/>
      <c r="U18" s="274"/>
      <c r="V18" s="274"/>
      <c r="Y18" s="23" t="s">
        <v>851</v>
      </c>
    </row>
    <row r="19" spans="1:25">
      <c r="A19" s="25">
        <f>G19/C6</f>
        <v>-1.7240726819627985</v>
      </c>
      <c r="B19" s="26" t="s">
        <v>668</v>
      </c>
      <c r="C19" s="26" t="s">
        <v>669</v>
      </c>
      <c r="D19" s="26">
        <f>1*100</f>
        <v>100</v>
      </c>
      <c r="E19" s="84">
        <f>群益海期報價!K24</f>
        <v>1350.3</v>
      </c>
      <c r="F19" s="122">
        <v>-39</v>
      </c>
      <c r="G19" s="112">
        <f>F19*E19*D19*O2</f>
        <v>-158775025.5</v>
      </c>
      <c r="H19" s="84">
        <f>群益海期報價!H24</f>
        <v>1357.7</v>
      </c>
      <c r="I19" s="84">
        <f>群益海期報價!L24</f>
        <v>1357.7</v>
      </c>
      <c r="J19" s="84">
        <f>群益海期報價!N24</f>
        <v>1357.8</v>
      </c>
      <c r="K19" s="112" t="e">
        <f>IF(ISNUMBER(H19)=TRUE,H19*$F$19*$D$19,E19*$F$19*$D$19)*N2</f>
        <v>#REF!</v>
      </c>
      <c r="L19" s="112" t="e">
        <f>IF(ISNUMBER(I19)=TRUE,I19*$F$19*$D$19,F19*$F$19*$D$19)*N2</f>
        <v>#REF!</v>
      </c>
      <c r="M19" s="112" t="e">
        <f>IF(ISNUMBER(J19)=TRUE,J19*$F$19*$D$19,G19*$F$19*$D$19)*N2</f>
        <v>#REF!</v>
      </c>
      <c r="N19" s="90" t="e">
        <f>1.04%/365*(C4+SUM(K19:K19)-SUM(G19:G19))</f>
        <v>#REF!</v>
      </c>
      <c r="O19" s="98">
        <f>Y34</f>
        <v>8.1824632714864537E-2</v>
      </c>
      <c r="Q19" s="275" t="s">
        <v>750</v>
      </c>
      <c r="R19" s="242">
        <v>85000000</v>
      </c>
      <c r="S19" s="287">
        <f>R19</f>
        <v>85000000</v>
      </c>
      <c r="T19" s="243">
        <f>S19/$S$28</f>
        <v>0.36701880600061348</v>
      </c>
      <c r="U19" s="243"/>
      <c r="V19" s="243">
        <f>T19</f>
        <v>0.36701880600061348</v>
      </c>
      <c r="Y19" s="24">
        <f>U20+U22+U24+U26</f>
        <v>0.11046339394265603</v>
      </c>
    </row>
    <row r="20" spans="1:25">
      <c r="Q20" s="275" t="s">
        <v>770</v>
      </c>
      <c r="R20" s="242">
        <v>848519.2</v>
      </c>
      <c r="S20" s="287">
        <f>R20*O2</f>
        <v>25582853.879999999</v>
      </c>
      <c r="T20" s="243">
        <f t="shared" ref="T20:T27" si="1">S20/$S$28</f>
        <v>0.11046339394265603</v>
      </c>
      <c r="U20" s="243">
        <f>T20</f>
        <v>0.11046339394265603</v>
      </c>
      <c r="V20" s="243"/>
      <c r="W20" s="23"/>
    </row>
    <row r="21" spans="1:25">
      <c r="Q21" s="6" t="s">
        <v>771</v>
      </c>
      <c r="R21" s="242">
        <v>52897224</v>
      </c>
      <c r="S21" s="287">
        <f>R21</f>
        <v>52897224</v>
      </c>
      <c r="T21" s="243">
        <f t="shared" si="1"/>
        <v>0.22840324697914113</v>
      </c>
      <c r="U21" s="244"/>
      <c r="V21" s="244">
        <f>T21</f>
        <v>0.22840324697914113</v>
      </c>
      <c r="W21" s="23" t="s">
        <v>769</v>
      </c>
    </row>
    <row r="22" spans="1:25">
      <c r="Q22" s="6" t="s">
        <v>759</v>
      </c>
      <c r="R22" s="242">
        <v>0</v>
      </c>
      <c r="S22" s="288">
        <f>R22*O2</f>
        <v>0</v>
      </c>
      <c r="T22" s="243">
        <f t="shared" si="1"/>
        <v>0</v>
      </c>
      <c r="U22" s="244">
        <f>T22</f>
        <v>0</v>
      </c>
      <c r="V22" s="244"/>
      <c r="W22" s="24">
        <f>T20+T22+T24+T26</f>
        <v>0.11046339394265603</v>
      </c>
    </row>
    <row r="23" spans="1:25">
      <c r="Q23" s="6" t="s">
        <v>814</v>
      </c>
      <c r="R23" s="242">
        <v>70000000</v>
      </c>
      <c r="S23" s="288">
        <f>R23</f>
        <v>70000000</v>
      </c>
      <c r="T23" s="243">
        <f t="shared" si="1"/>
        <v>0.30225078141226996</v>
      </c>
      <c r="U23" s="244"/>
      <c r="V23" s="244">
        <f>T23</f>
        <v>0.30225078141226996</v>
      </c>
      <c r="W23" s="23" t="s">
        <v>810</v>
      </c>
    </row>
    <row r="24" spans="1:25">
      <c r="Q24" s="6" t="s">
        <v>815</v>
      </c>
      <c r="R24" s="242">
        <v>0</v>
      </c>
      <c r="S24" s="288">
        <f>R24*O2</f>
        <v>0</v>
      </c>
      <c r="T24" s="243">
        <f t="shared" si="1"/>
        <v>0</v>
      </c>
      <c r="U24" s="244">
        <f>T24</f>
        <v>0</v>
      </c>
      <c r="V24" s="244"/>
      <c r="W24" s="23">
        <v>0</v>
      </c>
    </row>
    <row r="25" spans="1:25">
      <c r="Q25" s="6" t="s">
        <v>812</v>
      </c>
      <c r="R25" s="242">
        <v>19216</v>
      </c>
      <c r="S25" s="288">
        <f>R25</f>
        <v>19216</v>
      </c>
      <c r="T25" s="243">
        <f t="shared" si="1"/>
        <v>8.2972157365973989E-5</v>
      </c>
      <c r="U25" s="244"/>
      <c r="V25" s="244">
        <f>T25</f>
        <v>8.2972157365973989E-5</v>
      </c>
      <c r="W25" s="23"/>
    </row>
    <row r="26" spans="1:25">
      <c r="Q26" s="6" t="s">
        <v>813</v>
      </c>
      <c r="R26" s="242">
        <v>0</v>
      </c>
      <c r="S26" s="242">
        <f>R26*O2</f>
        <v>0</v>
      </c>
      <c r="T26" s="243">
        <f t="shared" si="1"/>
        <v>0</v>
      </c>
      <c r="U26" s="244">
        <f>T26</f>
        <v>0</v>
      </c>
      <c r="V26" s="244"/>
      <c r="W26" s="23"/>
    </row>
    <row r="27" spans="1:25">
      <c r="Q27" s="276" t="s">
        <v>772</v>
      </c>
      <c r="R27" s="242">
        <v>-1903532</v>
      </c>
      <c r="S27" s="242">
        <f>R27</f>
        <v>-1903532</v>
      </c>
      <c r="T27" s="243">
        <f t="shared" si="1"/>
        <v>-8.2192004920465869E-3</v>
      </c>
      <c r="U27" s="244"/>
      <c r="V27" s="244">
        <f>T27</f>
        <v>-8.2192004920465869E-3</v>
      </c>
      <c r="W27" s="24"/>
    </row>
    <row r="28" spans="1:25">
      <c r="Q28" s="6" t="s">
        <v>763</v>
      </c>
      <c r="R28" s="285"/>
      <c r="S28" s="285">
        <f>SUM(S19:S27)</f>
        <v>231595761.88</v>
      </c>
      <c r="T28" s="284">
        <f>SUM(T19:T27)</f>
        <v>1.0000000000000002</v>
      </c>
      <c r="U28" s="244">
        <f>SUM(U19:U27)</f>
        <v>0.11046339394265603</v>
      </c>
      <c r="V28" s="244">
        <f>SUM(V19:V27)</f>
        <v>0.88953660605734397</v>
      </c>
      <c r="W28" s="23"/>
      <c r="Y28" s="24">
        <f>U28+V28</f>
        <v>1</v>
      </c>
    </row>
    <row r="29" spans="1:25">
      <c r="W29" s="23"/>
    </row>
    <row r="30" spans="1:25">
      <c r="W30" s="23"/>
    </row>
    <row r="31" spans="1:25">
      <c r="Q31" s="241" t="s">
        <v>855</v>
      </c>
      <c r="R31" s="74">
        <v>154596694</v>
      </c>
      <c r="V31" s="23"/>
    </row>
    <row r="32" spans="1:25">
      <c r="Q32" s="26" t="s">
        <v>773</v>
      </c>
      <c r="R32" s="26" t="s">
        <v>817</v>
      </c>
      <c r="S32" s="26" t="s">
        <v>765</v>
      </c>
      <c r="T32" s="26" t="s">
        <v>766</v>
      </c>
      <c r="U32" s="26" t="s">
        <v>852</v>
      </c>
      <c r="V32" s="26" t="s">
        <v>747</v>
      </c>
      <c r="W32" s="4">
        <f>U28+V28</f>
        <v>1</v>
      </c>
    </row>
    <row r="33" spans="17:25">
      <c r="Q33" s="272" t="s">
        <v>748</v>
      </c>
      <c r="R33" s="273">
        <v>0</v>
      </c>
      <c r="S33" s="289"/>
      <c r="T33" s="274"/>
      <c r="U33" s="274"/>
      <c r="V33" s="274"/>
      <c r="Y33" s="23" t="s">
        <v>851</v>
      </c>
    </row>
    <row r="34" spans="17:25">
      <c r="Q34" s="275" t="s">
        <v>781</v>
      </c>
      <c r="R34" s="242">
        <v>59223628</v>
      </c>
      <c r="S34" s="287">
        <f>R34</f>
        <v>59223628</v>
      </c>
      <c r="T34" s="243">
        <f>S34/$S$43</f>
        <v>0.38207766418606703</v>
      </c>
      <c r="U34" s="243"/>
      <c r="V34" s="243">
        <f>T34</f>
        <v>0.38207766418606703</v>
      </c>
      <c r="Y34" s="24">
        <f>U35+U37+U39+U41</f>
        <v>8.1824632714864537E-2</v>
      </c>
    </row>
    <row r="35" spans="17:25">
      <c r="Q35" s="275" t="s">
        <v>770</v>
      </c>
      <c r="R35" s="242">
        <v>420668.61</v>
      </c>
      <c r="S35" s="287">
        <f>R35*O2</f>
        <v>12683158.591499999</v>
      </c>
      <c r="T35" s="243">
        <f t="shared" ref="T35:T42" si="2">S35/$S$43</f>
        <v>8.1824632714864537E-2</v>
      </c>
      <c r="U35" s="243">
        <f>T35</f>
        <v>8.1824632714864537E-2</v>
      </c>
      <c r="V35" s="243"/>
    </row>
    <row r="36" spans="17:25">
      <c r="Q36" s="6" t="s">
        <v>751</v>
      </c>
      <c r="R36" s="242">
        <v>38068478</v>
      </c>
      <c r="S36" s="287">
        <f>R36</f>
        <v>38068478</v>
      </c>
      <c r="T36" s="243">
        <f t="shared" si="2"/>
        <v>0.24559648985635735</v>
      </c>
      <c r="U36" s="244"/>
      <c r="V36" s="244">
        <f>T36</f>
        <v>0.24559648985635735</v>
      </c>
    </row>
    <row r="37" spans="17:25">
      <c r="Q37" s="6" t="s">
        <v>780</v>
      </c>
      <c r="R37" s="242">
        <v>0</v>
      </c>
      <c r="S37" s="288">
        <f>R37*O2</f>
        <v>0</v>
      </c>
      <c r="T37" s="243">
        <f t="shared" si="2"/>
        <v>0</v>
      </c>
      <c r="U37" s="244">
        <f>T37</f>
        <v>0</v>
      </c>
      <c r="V37" s="244"/>
    </row>
    <row r="38" spans="17:25">
      <c r="Q38" s="6" t="s">
        <v>814</v>
      </c>
      <c r="R38" s="242">
        <v>45016315</v>
      </c>
      <c r="S38" s="288">
        <f>R38</f>
        <v>45016315</v>
      </c>
      <c r="T38" s="243">
        <f t="shared" si="2"/>
        <v>0.29042004122854836</v>
      </c>
      <c r="U38" s="244"/>
      <c r="V38" s="244">
        <f>T38</f>
        <v>0.29042004122854836</v>
      </c>
    </row>
    <row r="39" spans="17:25">
      <c r="Q39" s="6" t="s">
        <v>815</v>
      </c>
      <c r="R39" s="242">
        <v>0</v>
      </c>
      <c r="S39" s="288">
        <f>R39*O2</f>
        <v>0</v>
      </c>
      <c r="T39" s="243">
        <f t="shared" si="2"/>
        <v>0</v>
      </c>
      <c r="U39" s="244">
        <f>T39</f>
        <v>0</v>
      </c>
      <c r="V39" s="244"/>
    </row>
    <row r="40" spans="17:25">
      <c r="Q40" s="6" t="s">
        <v>812</v>
      </c>
      <c r="R40" s="242">
        <v>12582</v>
      </c>
      <c r="S40" s="288">
        <f>R40</f>
        <v>12582</v>
      </c>
      <c r="T40" s="243">
        <f t="shared" si="2"/>
        <v>8.1172014162811767E-5</v>
      </c>
      <c r="U40" s="244"/>
      <c r="V40" s="244">
        <f>T40</f>
        <v>8.1172014162811767E-5</v>
      </c>
    </row>
    <row r="41" spans="17:25">
      <c r="Q41" s="6" t="s">
        <v>813</v>
      </c>
      <c r="R41" s="242">
        <v>0</v>
      </c>
      <c r="S41" s="242">
        <f>R41*O2</f>
        <v>0</v>
      </c>
      <c r="T41" s="243">
        <f t="shared" si="2"/>
        <v>0</v>
      </c>
      <c r="U41" s="244">
        <f>T41</f>
        <v>0</v>
      </c>
      <c r="V41" s="244"/>
    </row>
    <row r="42" spans="17:25">
      <c r="Q42" s="276" t="s">
        <v>762</v>
      </c>
      <c r="R42" s="242">
        <v>0</v>
      </c>
      <c r="S42" s="242">
        <f>R42</f>
        <v>0</v>
      </c>
      <c r="T42" s="243">
        <f t="shared" si="2"/>
        <v>0</v>
      </c>
      <c r="U42" s="244"/>
      <c r="V42" s="244">
        <f>T42</f>
        <v>0</v>
      </c>
    </row>
    <row r="43" spans="17:25">
      <c r="Q43" s="6" t="s">
        <v>752</v>
      </c>
      <c r="R43" s="285"/>
      <c r="S43" s="285">
        <f>SUM(S34:S42)</f>
        <v>155004161.59149998</v>
      </c>
      <c r="T43" s="243">
        <f>SUM(T34:T42)</f>
        <v>1</v>
      </c>
      <c r="U43" s="244">
        <f>SUM(U34:U42)</f>
        <v>8.1824632714864537E-2</v>
      </c>
      <c r="V43" s="244">
        <f>SUM(V34:V42)</f>
        <v>0.9181753672851356</v>
      </c>
      <c r="Y43" s="24">
        <f>U43+V43</f>
        <v>1.0000000000000002</v>
      </c>
    </row>
  </sheetData>
  <mergeCells count="3">
    <mergeCell ref="F1:F2"/>
    <mergeCell ref="F3:F4"/>
    <mergeCell ref="F5:F6"/>
  </mergeCells>
  <phoneticPr fontId="5" type="noConversion"/>
  <pageMargins left="0.75" right="0.75" top="1" bottom="1" header="0.5" footer="0.5"/>
  <pageSetup paperSize="9" scale="23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Y43"/>
  <sheetViews>
    <sheetView view="pageBreakPreview" workbookViewId="0">
      <selection activeCell="A2" sqref="A2"/>
    </sheetView>
  </sheetViews>
  <sheetFormatPr defaultRowHeight="16.5"/>
  <cols>
    <col min="1" max="1" width="10.625" style="147" bestFit="1" customWidth="1"/>
    <col min="2" max="2" width="13.5" style="147" customWidth="1"/>
    <col min="3" max="3" width="15.625" style="147" customWidth="1"/>
    <col min="4" max="4" width="13.625" style="147" customWidth="1"/>
    <col min="5" max="5" width="13.25" style="147" customWidth="1"/>
    <col min="6" max="6" width="19.125" style="147" customWidth="1"/>
    <col min="7" max="7" width="18.75" style="147" customWidth="1"/>
    <col min="8" max="8" width="16" style="147" customWidth="1"/>
    <col min="9" max="9" width="15.5" style="147" customWidth="1"/>
    <col min="10" max="10" width="21.375" style="147" customWidth="1"/>
    <col min="11" max="11" width="18.875" style="147" customWidth="1"/>
    <col min="12" max="12" width="20.75" style="147" customWidth="1"/>
    <col min="13" max="13" width="18.625" style="147" customWidth="1"/>
    <col min="14" max="14" width="11.875" style="147" customWidth="1"/>
    <col min="15" max="15" width="11.625" style="147" customWidth="1"/>
    <col min="16" max="16" width="13.875" style="147" customWidth="1"/>
    <col min="17" max="17" width="20.375" style="291" customWidth="1"/>
    <col min="18" max="18" width="20.75" style="291" customWidth="1"/>
    <col min="19" max="19" width="16.875" style="291" customWidth="1"/>
    <col min="20" max="20" width="13.25" style="291" customWidth="1"/>
    <col min="21" max="21" width="11.375" style="291" customWidth="1"/>
    <col min="22" max="22" width="10.875" style="291" customWidth="1"/>
    <col min="23" max="24" width="9" style="291" hidden="1" customWidth="1"/>
    <col min="25" max="25" width="10.25" style="23" customWidth="1"/>
    <col min="26" max="16384" width="9" style="147"/>
  </cols>
  <sheetData>
    <row r="1" spans="1:25">
      <c r="A1" s="17" t="s">
        <v>137</v>
      </c>
      <c r="B1" s="18" t="s">
        <v>350</v>
      </c>
      <c r="C1" s="18" t="s">
        <v>138</v>
      </c>
      <c r="D1" s="18" t="s">
        <v>139</v>
      </c>
      <c r="E1" s="19" t="s">
        <v>140</v>
      </c>
      <c r="F1" s="514" t="s">
        <v>21</v>
      </c>
      <c r="G1" s="62" t="s">
        <v>157</v>
      </c>
      <c r="H1" s="9" t="s">
        <v>52</v>
      </c>
      <c r="I1" s="10" t="s">
        <v>53</v>
      </c>
      <c r="J1" s="62" t="s">
        <v>353</v>
      </c>
      <c r="K1" s="18" t="s">
        <v>353</v>
      </c>
      <c r="L1" s="19" t="s">
        <v>353</v>
      </c>
      <c r="M1" s="114" t="s">
        <v>49</v>
      </c>
      <c r="N1" s="102" t="s">
        <v>151</v>
      </c>
      <c r="O1" s="115" t="s">
        <v>712</v>
      </c>
    </row>
    <row r="2" spans="1:25" ht="17.25" thickBot="1">
      <c r="A2" s="13" t="s">
        <v>449</v>
      </c>
      <c r="B2" s="113">
        <f>C2/100000000</f>
        <v>0.80730999999999997</v>
      </c>
      <c r="C2" s="86">
        <f>'ETF Update'!D91*1000</f>
        <v>80731000</v>
      </c>
      <c r="D2" s="15">
        <f>'ETF Update'!E91</f>
        <v>4144</v>
      </c>
      <c r="E2" s="11">
        <f>'ETF Update'!C91</f>
        <v>19.48</v>
      </c>
      <c r="F2" s="515"/>
      <c r="G2" s="63" t="e">
        <f>J2/(D2*1000)</f>
        <v>#REF!</v>
      </c>
      <c r="H2" s="64" t="e">
        <f>K2/(D2*1000)</f>
        <v>#REF!</v>
      </c>
      <c r="I2" s="65" t="e">
        <f>L2/(D2*1000)</f>
        <v>#REF!</v>
      </c>
      <c r="J2" s="107" t="e">
        <f>C2+(SUM(K10:K11)-SUM(G10:G11))-N10+C2*O10*(N2/O2-1)</f>
        <v>#REF!</v>
      </c>
      <c r="K2" s="108" t="e">
        <f>C2+(SUM(L10:L11)-SUM(G10:G11))-N10+C2*O10*(N2/O2-1)</f>
        <v>#REF!</v>
      </c>
      <c r="L2" s="109" t="e">
        <f>C2+(SUM(M10:M11)-SUM(G10:G11))-N10+C2*O10*(N2/O2-1)</f>
        <v>#REF!</v>
      </c>
      <c r="M2" s="114" t="s">
        <v>337</v>
      </c>
      <c r="N2" s="116" t="e">
        <f>匯率報價!D16</f>
        <v>#REF!</v>
      </c>
      <c r="O2" s="116">
        <v>30.15</v>
      </c>
      <c r="Q2" s="241" t="s">
        <v>856</v>
      </c>
      <c r="R2" s="74">
        <v>120981025</v>
      </c>
      <c r="V2" s="23"/>
    </row>
    <row r="3" spans="1:25">
      <c r="A3" s="17" t="s">
        <v>137</v>
      </c>
      <c r="B3" s="82" t="s">
        <v>350</v>
      </c>
      <c r="C3" s="18" t="s">
        <v>138</v>
      </c>
      <c r="D3" s="18" t="s">
        <v>139</v>
      </c>
      <c r="E3" s="19" t="s">
        <v>140</v>
      </c>
      <c r="F3" s="514" t="s">
        <v>21</v>
      </c>
      <c r="G3" s="62" t="s">
        <v>157</v>
      </c>
      <c r="H3" s="9" t="s">
        <v>52</v>
      </c>
      <c r="I3" s="10" t="s">
        <v>53</v>
      </c>
      <c r="J3" s="62" t="s">
        <v>353</v>
      </c>
      <c r="K3" s="18" t="s">
        <v>353</v>
      </c>
      <c r="L3" s="19" t="s">
        <v>353</v>
      </c>
      <c r="M3" s="114" t="s">
        <v>847</v>
      </c>
      <c r="N3" s="116" t="e">
        <f>匯率報價!D2</f>
        <v>#REF!</v>
      </c>
      <c r="O3" s="116">
        <v>111.39</v>
      </c>
      <c r="Q3" s="26" t="s">
        <v>753</v>
      </c>
      <c r="R3" s="26" t="s">
        <v>818</v>
      </c>
      <c r="S3" s="26" t="s">
        <v>816</v>
      </c>
      <c r="T3" s="26" t="s">
        <v>766</v>
      </c>
      <c r="U3" s="26" t="s">
        <v>767</v>
      </c>
      <c r="V3" s="26" t="s">
        <v>768</v>
      </c>
      <c r="W3" s="23"/>
    </row>
    <row r="4" spans="1:25" ht="17.25" thickBot="1">
      <c r="A4" s="13" t="s">
        <v>450</v>
      </c>
      <c r="B4" s="113">
        <f>C4/100000000</f>
        <v>1.2436100000000001</v>
      </c>
      <c r="C4" s="86">
        <f>'ETF Update'!D92*1000</f>
        <v>124361000</v>
      </c>
      <c r="D4" s="86">
        <f>'ETF Update'!E92</f>
        <v>6434</v>
      </c>
      <c r="E4" s="11">
        <f>'ETF Update'!C92</f>
        <v>19.329999999999998</v>
      </c>
      <c r="F4" s="515"/>
      <c r="G4" s="63" t="e">
        <f>J4/D4/1000</f>
        <v>#REF!</v>
      </c>
      <c r="H4" s="64" t="e">
        <f>K4/D4/1000</f>
        <v>#REF!</v>
      </c>
      <c r="I4" s="65" t="e">
        <f>L4/D4/1000</f>
        <v>#REF!</v>
      </c>
      <c r="J4" s="107" t="e">
        <f>C4+(SUM(K15:K16)-SUM(G15:G16))-N10+C4*O10*(N2/O2-1)</f>
        <v>#REF!</v>
      </c>
      <c r="K4" s="108" t="e">
        <f>C4+(SUM(L15:L16)-SUM(G15:G16))-N10+C4*O10*(N2/O2-1)</f>
        <v>#REF!</v>
      </c>
      <c r="L4" s="109" t="e">
        <f>C4+(SUM(M15:M16)-SUM(G15:G16))-N15+C4*O15*(N2/O2-1)</f>
        <v>#REF!</v>
      </c>
      <c r="M4" s="114" t="s">
        <v>848</v>
      </c>
      <c r="N4" s="116" t="e">
        <f>匯率報價!D7</f>
        <v>#REF!</v>
      </c>
      <c r="O4" s="116">
        <v>1.2</v>
      </c>
      <c r="Q4" s="272" t="s">
        <v>749</v>
      </c>
      <c r="R4" s="273">
        <v>0</v>
      </c>
      <c r="S4" s="289"/>
      <c r="T4" s="298">
        <f>S4/$S$13</f>
        <v>0</v>
      </c>
      <c r="U4" s="274"/>
      <c r="V4" s="274"/>
      <c r="W4" s="23" t="s">
        <v>769</v>
      </c>
      <c r="Y4" s="23" t="s">
        <v>851</v>
      </c>
    </row>
    <row r="5" spans="1:25">
      <c r="A5" s="17" t="s">
        <v>137</v>
      </c>
      <c r="B5" s="82" t="s">
        <v>350</v>
      </c>
      <c r="C5" s="18" t="s">
        <v>138</v>
      </c>
      <c r="D5" s="18" t="s">
        <v>139</v>
      </c>
      <c r="E5" s="19" t="s">
        <v>140</v>
      </c>
      <c r="F5" s="514" t="s">
        <v>21</v>
      </c>
      <c r="G5" s="62" t="s">
        <v>157</v>
      </c>
      <c r="H5" s="9" t="s">
        <v>52</v>
      </c>
      <c r="I5" s="10" t="s">
        <v>53</v>
      </c>
      <c r="J5" s="62" t="s">
        <v>353</v>
      </c>
      <c r="K5" s="18" t="s">
        <v>353</v>
      </c>
      <c r="L5" s="19" t="s">
        <v>353</v>
      </c>
      <c r="M5" s="114" t="s">
        <v>339</v>
      </c>
      <c r="N5" s="116" t="e">
        <f>匯率報價!D17</f>
        <v>#REF!</v>
      </c>
      <c r="O5" s="116">
        <v>4.5869999999999997</v>
      </c>
      <c r="Q5" s="275" t="s">
        <v>750</v>
      </c>
      <c r="R5" s="242">
        <v>50018819</v>
      </c>
      <c r="S5" s="287">
        <f>R5</f>
        <v>50018819</v>
      </c>
      <c r="T5" s="244">
        <f>S5/$S$13</f>
        <v>0.41288646494324416</v>
      </c>
      <c r="U5" s="243"/>
      <c r="V5" s="243">
        <f>T5</f>
        <v>0.41288646494324416</v>
      </c>
      <c r="W5" s="24" t="e">
        <f>T6+T8+T10+#REF!</f>
        <v>#REF!</v>
      </c>
      <c r="Y5" s="24">
        <f>U6+U8+U10</f>
        <v>0.48372925942242279</v>
      </c>
    </row>
    <row r="6" spans="1:25" ht="17.25" thickBot="1">
      <c r="A6" s="121" t="s">
        <v>451</v>
      </c>
      <c r="B6" s="113">
        <f>C6/100000000</f>
        <v>0.61085</v>
      </c>
      <c r="C6" s="86">
        <f>'ETF Update'!D93*1000</f>
        <v>61085000</v>
      </c>
      <c r="D6" s="86">
        <f>'ETF Update'!E93</f>
        <v>3188</v>
      </c>
      <c r="E6" s="11">
        <f>'ETF Update'!C93</f>
        <v>19.16</v>
      </c>
      <c r="F6" s="515"/>
      <c r="G6" s="63" t="e">
        <f>J6/D6/1000</f>
        <v>#REF!</v>
      </c>
      <c r="H6" s="64" t="e">
        <f>L6/D6/1000</f>
        <v>#REF!</v>
      </c>
      <c r="I6" s="65" t="e">
        <f>K6/D6/1000</f>
        <v>#REF!</v>
      </c>
      <c r="J6" s="107" t="e">
        <f>C6+(SUM(K20:K21)-SUM(G20:G21))-N20+C6*O20*(N2/O2-1)</f>
        <v>#REF!</v>
      </c>
      <c r="K6" s="108" t="e">
        <f>C6+(SUM(L20:L21)-SUM(G20:G21))-N20+C6*O20*(N2/O2-1)</f>
        <v>#REF!</v>
      </c>
      <c r="L6" s="109" t="e">
        <f>C6+(SUM(M20:M21)-SUM(G20:G21))-N20+C6*O20*(N2/O2-1)</f>
        <v>#REF!</v>
      </c>
      <c r="M6" s="114" t="s">
        <v>345</v>
      </c>
      <c r="N6" s="116" t="e">
        <f>匯率報價!D18</f>
        <v>#REF!</v>
      </c>
      <c r="O6" s="116">
        <v>3.8610000000000002</v>
      </c>
      <c r="Q6" s="275" t="s">
        <v>770</v>
      </c>
      <c r="R6" s="242">
        <v>283072.93</v>
      </c>
      <c r="S6" s="287">
        <f>R6*O2</f>
        <v>8534648.8394999988</v>
      </c>
      <c r="T6" s="244">
        <f t="shared" ref="T6:T12" si="0">S6/$S$13</f>
        <v>7.0450303692158656E-2</v>
      </c>
      <c r="U6" s="243">
        <f>T6</f>
        <v>7.0450303692158656E-2</v>
      </c>
      <c r="V6" s="243"/>
      <c r="W6" s="23" t="s">
        <v>810</v>
      </c>
    </row>
    <row r="7" spans="1:25">
      <c r="Q7" s="6" t="s">
        <v>771</v>
      </c>
      <c r="R7" s="242">
        <v>12506234</v>
      </c>
      <c r="S7" s="287">
        <f>R7</f>
        <v>12506234</v>
      </c>
      <c r="T7" s="244">
        <f t="shared" si="0"/>
        <v>0.10323423961715306</v>
      </c>
      <c r="U7" s="244"/>
      <c r="V7" s="244">
        <f>T7</f>
        <v>0.10323423961715306</v>
      </c>
      <c r="W7" s="23">
        <v>0</v>
      </c>
    </row>
    <row r="8" spans="1:25" ht="17.25" thickBot="1">
      <c r="A8" s="13" t="s">
        <v>449</v>
      </c>
      <c r="F8" s="147" t="s">
        <v>361</v>
      </c>
      <c r="G8" s="119"/>
      <c r="Q8" s="6" t="s">
        <v>759</v>
      </c>
      <c r="R8" s="242">
        <v>0</v>
      </c>
      <c r="S8" s="288">
        <f>R8*O2</f>
        <v>0</v>
      </c>
      <c r="T8" s="244">
        <f t="shared" si="0"/>
        <v>0</v>
      </c>
      <c r="U8" s="244">
        <f>T8</f>
        <v>0</v>
      </c>
      <c r="V8" s="244"/>
      <c r="W8" s="23"/>
    </row>
    <row r="9" spans="1:25" s="23" customFormat="1">
      <c r="A9" s="82" t="s">
        <v>319</v>
      </c>
      <c r="B9" s="82" t="s">
        <v>320</v>
      </c>
      <c r="C9" s="82" t="s">
        <v>231</v>
      </c>
      <c r="D9" s="82" t="s">
        <v>321</v>
      </c>
      <c r="E9" s="82" t="s">
        <v>322</v>
      </c>
      <c r="F9" s="82" t="s">
        <v>323</v>
      </c>
      <c r="G9" s="82" t="s">
        <v>324</v>
      </c>
      <c r="H9" s="82" t="s">
        <v>232</v>
      </c>
      <c r="I9" s="82" t="s">
        <v>325</v>
      </c>
      <c r="J9" s="82" t="s">
        <v>326</v>
      </c>
      <c r="K9" s="82" t="s">
        <v>327</v>
      </c>
      <c r="L9" s="82" t="s">
        <v>328</v>
      </c>
      <c r="M9" s="82" t="s">
        <v>329</v>
      </c>
      <c r="N9" s="250" t="s">
        <v>787</v>
      </c>
      <c r="O9" s="250" t="s">
        <v>788</v>
      </c>
      <c r="Q9" s="6" t="s">
        <v>849</v>
      </c>
      <c r="R9" s="242">
        <v>0</v>
      </c>
      <c r="S9" s="288">
        <f>R9</f>
        <v>0</v>
      </c>
      <c r="T9" s="244">
        <f t="shared" si="0"/>
        <v>0</v>
      </c>
      <c r="U9" s="244"/>
      <c r="V9" s="244">
        <f>T9</f>
        <v>0</v>
      </c>
    </row>
    <row r="10" spans="1:25">
      <c r="A10" s="25">
        <f>G10/C2</f>
        <v>0</v>
      </c>
      <c r="B10" s="26" t="s">
        <v>692</v>
      </c>
      <c r="C10" s="26" t="s">
        <v>693</v>
      </c>
      <c r="D10" s="26">
        <v>1000</v>
      </c>
      <c r="E10" s="84">
        <f>群益海期報價!K18</f>
        <v>91.641999999999996</v>
      </c>
      <c r="F10" s="26">
        <v>0</v>
      </c>
      <c r="G10" s="71">
        <f>F10*E10*D10*O2</f>
        <v>0</v>
      </c>
      <c r="H10" s="84">
        <f>群益海期報價!H18</f>
        <v>91.284999999999997</v>
      </c>
      <c r="I10" s="84">
        <f>群益海期報價!L18</f>
        <v>91.275000000000006</v>
      </c>
      <c r="J10" s="84">
        <f>群益海期報價!N18</f>
        <v>91.28</v>
      </c>
      <c r="K10" s="112" t="e">
        <f>IF(ISNUMBER(H10)=TRUE,H10*$F$10*$D$10,E10*$F$10*$D$10)*N2</f>
        <v>#REF!</v>
      </c>
      <c r="L10" s="112" t="e">
        <f>IF(ISNUMBER(I10)=TRUE,I10*$F$10*$D$10,F10*$F$10*$D$10)*N2</f>
        <v>#REF!</v>
      </c>
      <c r="M10" s="112" t="e">
        <f>IF(ISNUMBER(J10)=TRUE,J10*$F$10*$D$10,G10*$F$10*$D$10)*N2</f>
        <v>#REF!</v>
      </c>
      <c r="N10" s="90" t="e">
        <f>1.04%/365*(C2+SUM(K10:K11)-SUM(G10:G11))</f>
        <v>#REF!</v>
      </c>
      <c r="O10" s="98">
        <f>Y5</f>
        <v>0.48372925942242279</v>
      </c>
      <c r="Q10" s="6" t="s">
        <v>850</v>
      </c>
      <c r="R10" s="242">
        <v>50066367</v>
      </c>
      <c r="S10" s="288">
        <f>R10</f>
        <v>50066367</v>
      </c>
      <c r="T10" s="244">
        <f t="shared" si="0"/>
        <v>0.41327895573026413</v>
      </c>
      <c r="U10" s="244">
        <f>T10</f>
        <v>0.41327895573026413</v>
      </c>
      <c r="V10" s="244"/>
      <c r="W10" s="24"/>
    </row>
    <row r="11" spans="1:25">
      <c r="A11" s="25">
        <f>G11/C2</f>
        <v>1.5021960857663101</v>
      </c>
      <c r="B11" s="26" t="s">
        <v>692</v>
      </c>
      <c r="C11" s="26" t="s">
        <v>694</v>
      </c>
      <c r="D11" s="26">
        <v>1000</v>
      </c>
      <c r="E11" s="84">
        <f>群益海期報價!K19</f>
        <v>91.417000000000002</v>
      </c>
      <c r="F11" s="26">
        <v>44</v>
      </c>
      <c r="G11" s="71">
        <f>F11*E11*D11*O2</f>
        <v>121273792.19999999</v>
      </c>
      <c r="H11" s="84">
        <f>群益海期報價!H19</f>
        <v>91.11</v>
      </c>
      <c r="I11" s="84">
        <f>群益海期報價!L19</f>
        <v>91.07</v>
      </c>
      <c r="J11" s="84">
        <f>群益海期報價!N19</f>
        <v>91.08</v>
      </c>
      <c r="K11" s="112" t="e">
        <f>IF(ISNUMBER(H11)=TRUE,H11*$F$11*$D$11,E11*$F$11*$D$11)*N2</f>
        <v>#REF!</v>
      </c>
      <c r="L11" s="112" t="e">
        <f>IF(ISNUMBER(I11)=TRUE,I11*$F$11*$D$11,F11*$F$11*$D$11)*N2</f>
        <v>#REF!</v>
      </c>
      <c r="M11" s="112" t="e">
        <f>IF(ISNUMBER(J11)=TRUE,J11*$F$11*$D$11,G11*$F$11*$D$11)*N2</f>
        <v>#REF!</v>
      </c>
      <c r="Q11" s="6" t="s">
        <v>812</v>
      </c>
      <c r="R11" s="242">
        <v>18176</v>
      </c>
      <c r="S11" s="288">
        <f>R11</f>
        <v>18176</v>
      </c>
      <c r="T11" s="244">
        <f t="shared" si="0"/>
        <v>1.500360171800219E-4</v>
      </c>
      <c r="U11" s="244"/>
      <c r="V11" s="244">
        <f>T11</f>
        <v>1.500360171800219E-4</v>
      </c>
      <c r="W11" s="23"/>
    </row>
    <row r="12" spans="1:25">
      <c r="A12" s="4"/>
      <c r="Q12" s="276" t="s">
        <v>772</v>
      </c>
      <c r="R12" s="299">
        <v>0</v>
      </c>
      <c r="S12" s="299">
        <f>R12</f>
        <v>0</v>
      </c>
      <c r="T12" s="21">
        <f t="shared" si="0"/>
        <v>0</v>
      </c>
      <c r="U12" s="21"/>
      <c r="V12" s="21">
        <f>T12</f>
        <v>0</v>
      </c>
      <c r="W12" s="23"/>
    </row>
    <row r="13" spans="1:25" ht="17.25" thickBot="1">
      <c r="A13" s="13" t="s">
        <v>450</v>
      </c>
      <c r="Q13" s="6" t="s">
        <v>763</v>
      </c>
      <c r="R13" s="285"/>
      <c r="S13" s="285">
        <f>SUM(S5:S12)</f>
        <v>121144244.8395</v>
      </c>
      <c r="T13" s="244">
        <f>SUM(T5:T12)</f>
        <v>1</v>
      </c>
      <c r="U13" s="244">
        <f>SUM(U5:U12)</f>
        <v>0.48372925942242279</v>
      </c>
      <c r="V13" s="244">
        <f>SUM(V5:V12)</f>
        <v>0.51627074057757727</v>
      </c>
      <c r="W13" s="23"/>
      <c r="Y13" s="24">
        <f>U13+V13</f>
        <v>1</v>
      </c>
    </row>
    <row r="14" spans="1:25" s="23" customFormat="1">
      <c r="A14" s="82" t="s">
        <v>319</v>
      </c>
      <c r="B14" s="82" t="s">
        <v>320</v>
      </c>
      <c r="C14" s="82" t="s">
        <v>231</v>
      </c>
      <c r="D14" s="82" t="s">
        <v>321</v>
      </c>
      <c r="E14" s="82" t="s">
        <v>322</v>
      </c>
      <c r="F14" s="82" t="s">
        <v>323</v>
      </c>
      <c r="G14" s="82" t="s">
        <v>324</v>
      </c>
      <c r="H14" s="82" t="s">
        <v>232</v>
      </c>
      <c r="I14" s="82" t="s">
        <v>325</v>
      </c>
      <c r="J14" s="82" t="s">
        <v>326</v>
      </c>
      <c r="K14" s="82" t="s">
        <v>327</v>
      </c>
      <c r="L14" s="82" t="s">
        <v>328</v>
      </c>
      <c r="M14" s="82" t="s">
        <v>329</v>
      </c>
      <c r="N14" s="250" t="s">
        <v>787</v>
      </c>
      <c r="O14" s="250" t="s">
        <v>788</v>
      </c>
      <c r="W14" s="291"/>
    </row>
    <row r="15" spans="1:25">
      <c r="A15" s="25">
        <f>G15/C4</f>
        <v>4.243566739572695</v>
      </c>
      <c r="B15" s="26" t="s">
        <v>692</v>
      </c>
      <c r="C15" s="26" t="s">
        <v>693</v>
      </c>
      <c r="D15" s="26">
        <v>1000</v>
      </c>
      <c r="E15" s="84">
        <f>群益海期報價!K18</f>
        <v>91.641999999999996</v>
      </c>
      <c r="F15" s="26">
        <v>191</v>
      </c>
      <c r="G15" s="71">
        <f>F15*E15*D15*O2</f>
        <v>527734203.29999995</v>
      </c>
      <c r="H15" s="84">
        <f>群益海期報價!H18</f>
        <v>91.284999999999997</v>
      </c>
      <c r="I15" s="84">
        <f>群益海期報價!L18</f>
        <v>91.275000000000006</v>
      </c>
      <c r="J15" s="84">
        <f>群益海期報價!N18</f>
        <v>91.28</v>
      </c>
      <c r="K15" s="112" t="e">
        <f>IF(ISNUMBER(H15)=TRUE,H15*$F$15*$D$15,E15*$F$15*$D$15)*N2</f>
        <v>#REF!</v>
      </c>
      <c r="L15" s="112" t="e">
        <f>IF(ISNUMBER(I15)=TRUE,I15*$F$15*$D$15,F15*$F$15*$D$15)*N2</f>
        <v>#REF!</v>
      </c>
      <c r="M15" s="112" t="e">
        <f>IF(ISNUMBER(J15)=TRUE,J15*$F$15*$D$15,G15*$F$15*$D$15)*N2</f>
        <v>#REF!</v>
      </c>
      <c r="N15" s="90" t="e">
        <f>1.04%/365*(C4+SUM(K15:K15)-SUM(G15:G15))</f>
        <v>#REF!</v>
      </c>
      <c r="O15" s="98">
        <f>Y19</f>
        <v>0.10841935696867246</v>
      </c>
      <c r="W15" s="4">
        <f>U13+V13</f>
        <v>1</v>
      </c>
    </row>
    <row r="16" spans="1:25" s="155" customFormat="1">
      <c r="A16" s="25">
        <f>G16/C4</f>
        <v>0</v>
      </c>
      <c r="B16" s="26" t="s">
        <v>692</v>
      </c>
      <c r="C16" s="26" t="s">
        <v>695</v>
      </c>
      <c r="D16" s="26">
        <v>1000</v>
      </c>
      <c r="E16" s="84">
        <f>群益海期報價!K19</f>
        <v>91.417000000000002</v>
      </c>
      <c r="F16" s="26">
        <v>0</v>
      </c>
      <c r="G16" s="71">
        <f>F16*E16*D16*O3</f>
        <v>0</v>
      </c>
      <c r="H16" s="84">
        <f>群益海期報價!H19</f>
        <v>91.11</v>
      </c>
      <c r="I16" s="84">
        <f>群益海期報價!L19</f>
        <v>91.07</v>
      </c>
      <c r="J16" s="84">
        <f>群益海期報價!N19</f>
        <v>91.08</v>
      </c>
      <c r="K16" s="112" t="e">
        <f>IF(ISNUMBER(H16)=TRUE,H16*$F$16*$D$16,E16*$F$16*$D$16)*N3</f>
        <v>#REF!</v>
      </c>
      <c r="L16" s="112" t="e">
        <f>IF(ISNUMBER(I16)=TRUE,I16*$F$16*$D$16,F16*$F$16*$D$16)*N3</f>
        <v>#REF!</v>
      </c>
      <c r="M16" s="112" t="e">
        <f>IF(ISNUMBER(J16)=TRUE,J16*$F$16*$D$16,G16*$F$16*$D$16)*N3</f>
        <v>#REF!</v>
      </c>
      <c r="Q16" s="241" t="s">
        <v>857</v>
      </c>
      <c r="R16" s="74">
        <v>282393603</v>
      </c>
      <c r="S16" s="291"/>
      <c r="T16" s="291"/>
      <c r="U16" s="291"/>
      <c r="V16" s="23"/>
      <c r="W16" s="291"/>
      <c r="X16" s="291"/>
      <c r="Y16" s="23"/>
    </row>
    <row r="17" spans="1:25">
      <c r="A17" s="4"/>
      <c r="F17" s="5"/>
      <c r="Q17" s="26" t="s">
        <v>753</v>
      </c>
      <c r="R17" s="26" t="s">
        <v>818</v>
      </c>
      <c r="S17" s="26" t="s">
        <v>816</v>
      </c>
      <c r="T17" s="26" t="s">
        <v>766</v>
      </c>
      <c r="U17" s="26" t="s">
        <v>767</v>
      </c>
      <c r="V17" s="26" t="s">
        <v>768</v>
      </c>
    </row>
    <row r="18" spans="1:25" ht="17.25" thickBot="1">
      <c r="A18" s="121" t="s">
        <v>451</v>
      </c>
      <c r="Q18" s="272" t="s">
        <v>749</v>
      </c>
      <c r="R18" s="273">
        <v>0</v>
      </c>
      <c r="S18" s="289"/>
      <c r="T18" s="274"/>
      <c r="U18" s="274"/>
      <c r="V18" s="274"/>
      <c r="W18" s="23"/>
      <c r="X18" s="23"/>
      <c r="Y18" s="23" t="s">
        <v>851</v>
      </c>
    </row>
    <row r="19" spans="1:25" s="23" customFormat="1">
      <c r="A19" s="82" t="s">
        <v>319</v>
      </c>
      <c r="B19" s="82" t="s">
        <v>320</v>
      </c>
      <c r="C19" s="82" t="s">
        <v>231</v>
      </c>
      <c r="D19" s="82" t="s">
        <v>321</v>
      </c>
      <c r="E19" s="82" t="s">
        <v>322</v>
      </c>
      <c r="F19" s="82" t="s">
        <v>323</v>
      </c>
      <c r="G19" s="82" t="s">
        <v>324</v>
      </c>
      <c r="H19" s="82" t="s">
        <v>232</v>
      </c>
      <c r="I19" s="82" t="s">
        <v>325</v>
      </c>
      <c r="J19" s="82" t="s">
        <v>326</v>
      </c>
      <c r="K19" s="82" t="s">
        <v>327</v>
      </c>
      <c r="L19" s="82" t="s">
        <v>328</v>
      </c>
      <c r="M19" s="82" t="s">
        <v>329</v>
      </c>
      <c r="N19" s="250" t="s">
        <v>787</v>
      </c>
      <c r="O19" s="250" t="s">
        <v>788</v>
      </c>
      <c r="Q19" s="275" t="s">
        <v>750</v>
      </c>
      <c r="R19" s="242">
        <v>101018174</v>
      </c>
      <c r="S19" s="287">
        <f>R19</f>
        <v>101018174</v>
      </c>
      <c r="T19" s="243">
        <f>S19/$S$28</f>
        <v>0.35737664567893285</v>
      </c>
      <c r="U19" s="243"/>
      <c r="V19" s="243">
        <f>T19</f>
        <v>0.35737664567893285</v>
      </c>
      <c r="W19" s="291"/>
      <c r="X19" s="291"/>
      <c r="Y19" s="24">
        <f>U20+U22+U24+U26</f>
        <v>0.10841935696867246</v>
      </c>
    </row>
    <row r="20" spans="1:25">
      <c r="A20" s="25">
        <f>G20/C6</f>
        <v>-1.8092862732258328</v>
      </c>
      <c r="B20" s="26" t="s">
        <v>692</v>
      </c>
      <c r="C20" s="26" t="s">
        <v>693</v>
      </c>
      <c r="D20" s="26">
        <v>1000</v>
      </c>
      <c r="E20" s="84">
        <f>群益海期報價!K18</f>
        <v>91.641999999999996</v>
      </c>
      <c r="F20" s="122">
        <v>-40</v>
      </c>
      <c r="G20" s="112">
        <f>F20*E20*D20*O2</f>
        <v>-110520252</v>
      </c>
      <c r="H20" s="84">
        <f>群益海期報價!H18</f>
        <v>91.284999999999997</v>
      </c>
      <c r="I20" s="84">
        <f>群益海期報價!L18</f>
        <v>91.275000000000006</v>
      </c>
      <c r="J20" s="84">
        <f>群益海期報價!N18</f>
        <v>91.28</v>
      </c>
      <c r="K20" s="112" t="e">
        <f>IF(ISNUMBER(H20)=TRUE,H20*$F$20*$D$20,E20*$F$20*$D$20)*N2</f>
        <v>#REF!</v>
      </c>
      <c r="L20" s="112" t="e">
        <f>IF(ISNUMBER(I20)=TRUE,I20*$F$20*$D$20,F20*$F$20*$D$20)*N2</f>
        <v>#REF!</v>
      </c>
      <c r="M20" s="112" t="e">
        <f>IF(ISNUMBER(J20)=TRUE,J20*$F$20*$D$20,G20*$F$20*$D$20)*N2</f>
        <v>#REF!</v>
      </c>
      <c r="N20" s="90" t="e">
        <f>1.04%/365*(C4+SUM(K20:K20)-SUM(G20:G20))</f>
        <v>#REF!</v>
      </c>
      <c r="O20" s="98">
        <f>Y34</f>
        <v>7.507568808493971E-2</v>
      </c>
      <c r="Q20" s="275" t="s">
        <v>770</v>
      </c>
      <c r="R20" s="242">
        <v>1016466</v>
      </c>
      <c r="S20" s="287">
        <f>R20*O2</f>
        <v>30646449.899999999</v>
      </c>
      <c r="T20" s="243">
        <f t="shared" ref="T20:T27" si="1">S20/$S$28</f>
        <v>0.10841935696867246</v>
      </c>
      <c r="U20" s="243">
        <f>T20</f>
        <v>0.10841935696867246</v>
      </c>
      <c r="V20" s="243"/>
      <c r="W20" s="23"/>
    </row>
    <row r="21" spans="1:25" s="155" customFormat="1">
      <c r="A21" s="210">
        <f>G21/C6</f>
        <v>0</v>
      </c>
      <c r="B21" s="26" t="s">
        <v>692</v>
      </c>
      <c r="C21" s="26" t="s">
        <v>695</v>
      </c>
      <c r="D21" s="26">
        <v>1000</v>
      </c>
      <c r="E21" s="84">
        <f>群益海期報價!K19</f>
        <v>91.417000000000002</v>
      </c>
      <c r="F21" s="122">
        <v>0</v>
      </c>
      <c r="G21" s="112">
        <f>F21*E21*D21*O3</f>
        <v>0</v>
      </c>
      <c r="H21" s="84">
        <f>群益海期報價!H19</f>
        <v>91.11</v>
      </c>
      <c r="I21" s="84">
        <f>群益海期報價!L19</f>
        <v>91.07</v>
      </c>
      <c r="J21" s="84">
        <f>群益海期報價!N19</f>
        <v>91.08</v>
      </c>
      <c r="K21" s="112" t="e">
        <f>IF(ISNUMBER(H21)=TRUE,H21*$F$21*$D$21,E21*$F$21*$D$21)*N3</f>
        <v>#REF!</v>
      </c>
      <c r="L21" s="112" t="e">
        <f>IF(ISNUMBER(I21)=TRUE,I21*$F$21*$D$21,F21*$F$21*$D$21)*N3</f>
        <v>#REF!</v>
      </c>
      <c r="M21" s="112" t="e">
        <f>IF(ISNUMBER(J21)=TRUE,J21*$F$21*$D$21,G21*$F$21*$D$21)*N3</f>
        <v>#REF!</v>
      </c>
      <c r="Q21" s="6" t="s">
        <v>771</v>
      </c>
      <c r="R21" s="242">
        <v>100911724</v>
      </c>
      <c r="S21" s="287">
        <f>R21</f>
        <v>100911724</v>
      </c>
      <c r="T21" s="243">
        <f t="shared" si="1"/>
        <v>0.35700005261229789</v>
      </c>
      <c r="U21" s="244"/>
      <c r="V21" s="244">
        <f>T21</f>
        <v>0.35700005261229789</v>
      </c>
      <c r="W21" s="23" t="s">
        <v>769</v>
      </c>
      <c r="X21" s="291"/>
      <c r="Y21" s="23"/>
    </row>
    <row r="22" spans="1:25">
      <c r="Q22" s="6" t="s">
        <v>759</v>
      </c>
      <c r="R22" s="242">
        <v>0</v>
      </c>
      <c r="S22" s="288">
        <f>R22*O2</f>
        <v>0</v>
      </c>
      <c r="T22" s="243">
        <f t="shared" si="1"/>
        <v>0</v>
      </c>
      <c r="U22" s="244">
        <f>T22</f>
        <v>0</v>
      </c>
      <c r="V22" s="244"/>
      <c r="W22" s="24">
        <f>T20+T22+T24+T26</f>
        <v>0.10841935696867246</v>
      </c>
    </row>
    <row r="23" spans="1:25">
      <c r="Q23" s="6" t="s">
        <v>814</v>
      </c>
      <c r="R23" s="242">
        <v>50066367</v>
      </c>
      <c r="S23" s="288">
        <f>R23</f>
        <v>50066367</v>
      </c>
      <c r="T23" s="243">
        <f t="shared" si="1"/>
        <v>0.17712209190982225</v>
      </c>
      <c r="U23" s="244"/>
      <c r="V23" s="244">
        <f>T23</f>
        <v>0.17712209190982225</v>
      </c>
      <c r="W23" s="23" t="s">
        <v>810</v>
      </c>
    </row>
    <row r="24" spans="1:25">
      <c r="Q24" s="6" t="s">
        <v>815</v>
      </c>
      <c r="R24" s="242">
        <v>0</v>
      </c>
      <c r="S24" s="288">
        <f>R24*O2</f>
        <v>0</v>
      </c>
      <c r="T24" s="243">
        <f t="shared" si="1"/>
        <v>0</v>
      </c>
      <c r="U24" s="244">
        <f>T24</f>
        <v>0</v>
      </c>
      <c r="V24" s="244"/>
      <c r="W24" s="23">
        <v>0</v>
      </c>
    </row>
    <row r="25" spans="1:25">
      <c r="Q25" s="6" t="s">
        <v>812</v>
      </c>
      <c r="R25" s="242">
        <v>23137</v>
      </c>
      <c r="S25" s="288">
        <f>R25</f>
        <v>23137</v>
      </c>
      <c r="T25" s="243">
        <f t="shared" si="1"/>
        <v>8.1852830274614443E-5</v>
      </c>
      <c r="U25" s="244"/>
      <c r="V25" s="244">
        <f>T25</f>
        <v>8.1852830274614443E-5</v>
      </c>
      <c r="W25" s="23"/>
    </row>
    <row r="26" spans="1:25">
      <c r="Q26" s="6" t="s">
        <v>813</v>
      </c>
      <c r="R26" s="242">
        <v>0</v>
      </c>
      <c r="S26" s="242">
        <f>R26*O2</f>
        <v>0</v>
      </c>
      <c r="T26" s="243">
        <f t="shared" si="1"/>
        <v>0</v>
      </c>
      <c r="U26" s="244">
        <f>T26</f>
        <v>0</v>
      </c>
      <c r="V26" s="244"/>
      <c r="W26" s="23"/>
    </row>
    <row r="27" spans="1:25">
      <c r="Q27" s="276" t="s">
        <v>772</v>
      </c>
      <c r="R27" s="242">
        <v>0</v>
      </c>
      <c r="S27" s="242">
        <f>R27</f>
        <v>0</v>
      </c>
      <c r="T27" s="243">
        <f t="shared" si="1"/>
        <v>0</v>
      </c>
      <c r="U27" s="244"/>
      <c r="V27" s="244">
        <f>T27</f>
        <v>0</v>
      </c>
      <c r="W27" s="24"/>
    </row>
    <row r="28" spans="1:25">
      <c r="Q28" s="6" t="s">
        <v>763</v>
      </c>
      <c r="R28" s="285"/>
      <c r="S28" s="285">
        <f>SUM(S19:S27)</f>
        <v>282665851.89999998</v>
      </c>
      <c r="T28" s="284">
        <f>SUM(T19:T27)</f>
        <v>1</v>
      </c>
      <c r="U28" s="244">
        <f>SUM(U19:U27)</f>
        <v>0.10841935696867246</v>
      </c>
      <c r="V28" s="244">
        <f>SUM(V19:V27)</f>
        <v>0.89158064303132756</v>
      </c>
      <c r="W28" s="23"/>
      <c r="Y28" s="24">
        <f>U28+V28</f>
        <v>1</v>
      </c>
    </row>
    <row r="29" spans="1:25">
      <c r="W29" s="23"/>
    </row>
    <row r="30" spans="1:25">
      <c r="W30" s="23"/>
    </row>
    <row r="31" spans="1:25">
      <c r="Q31" s="241" t="s">
        <v>858</v>
      </c>
      <c r="R31" s="74">
        <v>111777001</v>
      </c>
      <c r="V31" s="23"/>
    </row>
    <row r="32" spans="1:25">
      <c r="Q32" s="26" t="s">
        <v>773</v>
      </c>
      <c r="R32" s="26" t="s">
        <v>817</v>
      </c>
      <c r="S32" s="26" t="s">
        <v>765</v>
      </c>
      <c r="T32" s="26" t="s">
        <v>766</v>
      </c>
      <c r="U32" s="26" t="s">
        <v>852</v>
      </c>
      <c r="V32" s="26" t="s">
        <v>747</v>
      </c>
      <c r="W32" s="4">
        <f>U28+V28</f>
        <v>1</v>
      </c>
    </row>
    <row r="33" spans="17:25">
      <c r="Q33" s="272" t="s">
        <v>748</v>
      </c>
      <c r="R33" s="273">
        <v>0</v>
      </c>
      <c r="S33" s="289"/>
      <c r="T33" s="274"/>
      <c r="U33" s="274"/>
      <c r="V33" s="274"/>
      <c r="Y33" s="23" t="s">
        <v>851</v>
      </c>
    </row>
    <row r="34" spans="17:25">
      <c r="Q34" s="275" t="s">
        <v>781</v>
      </c>
      <c r="R34" s="242">
        <v>42017343</v>
      </c>
      <c r="S34" s="287">
        <f>R34</f>
        <v>42017343</v>
      </c>
      <c r="T34" s="243">
        <f>S34/$S$43</f>
        <v>0.37522860309323053</v>
      </c>
      <c r="U34" s="243"/>
      <c r="V34" s="243">
        <f>T34</f>
        <v>0.37522860309323053</v>
      </c>
      <c r="Y34" s="24">
        <f>U35+U37+U39+U41</f>
        <v>7.507568808493971E-2</v>
      </c>
    </row>
    <row r="35" spans="17:25">
      <c r="Q35" s="275" t="s">
        <v>770</v>
      </c>
      <c r="R35" s="242">
        <v>217892.68</v>
      </c>
      <c r="S35" s="287">
        <f>R35*O2</f>
        <v>6569464.3019999992</v>
      </c>
      <c r="T35" s="243">
        <f t="shared" ref="T35:T42" si="2">S35/$S$43</f>
        <v>5.866746293572881E-2</v>
      </c>
      <c r="U35" s="243">
        <f>T35</f>
        <v>5.866746293572881E-2</v>
      </c>
      <c r="V35" s="243"/>
    </row>
    <row r="36" spans="17:25">
      <c r="Q36" s="6" t="s">
        <v>751</v>
      </c>
      <c r="R36" s="242">
        <v>11472856</v>
      </c>
      <c r="S36" s="287">
        <f>R36</f>
        <v>11472856</v>
      </c>
      <c r="T36" s="243">
        <f t="shared" si="2"/>
        <v>0.10245635309138391</v>
      </c>
      <c r="U36" s="244"/>
      <c r="V36" s="244">
        <f>T36</f>
        <v>0.10245635309138391</v>
      </c>
    </row>
    <row r="37" spans="17:25">
      <c r="Q37" s="6" t="s">
        <v>780</v>
      </c>
      <c r="R37" s="242">
        <v>60940.63</v>
      </c>
      <c r="S37" s="288">
        <f>R37*O2</f>
        <v>1837359.9944999998</v>
      </c>
      <c r="T37" s="243">
        <f t="shared" si="2"/>
        <v>1.6408225149210903E-2</v>
      </c>
      <c r="U37" s="244">
        <f>T37</f>
        <v>1.6408225149210903E-2</v>
      </c>
      <c r="V37" s="244"/>
    </row>
    <row r="38" spans="17:25">
      <c r="Q38" s="6" t="s">
        <v>814</v>
      </c>
      <c r="R38" s="242">
        <v>50066367</v>
      </c>
      <c r="S38" s="288">
        <f>R38</f>
        <v>50066367</v>
      </c>
      <c r="T38" s="243">
        <f t="shared" si="2"/>
        <v>0.44710901761120436</v>
      </c>
      <c r="U38" s="244"/>
      <c r="V38" s="244">
        <f>T38</f>
        <v>0.44710901761120436</v>
      </c>
    </row>
    <row r="39" spans="17:25">
      <c r="Q39" s="6" t="s">
        <v>815</v>
      </c>
      <c r="R39" s="242">
        <v>0</v>
      </c>
      <c r="S39" s="288">
        <f>R39*O2</f>
        <v>0</v>
      </c>
      <c r="T39" s="243">
        <f t="shared" si="2"/>
        <v>0</v>
      </c>
      <c r="U39" s="244">
        <f>T39</f>
        <v>0</v>
      </c>
      <c r="V39" s="244"/>
    </row>
    <row r="40" spans="17:25">
      <c r="Q40" s="6" t="s">
        <v>812</v>
      </c>
      <c r="R40" s="242">
        <v>14595</v>
      </c>
      <c r="S40" s="288">
        <f>R40</f>
        <v>14595</v>
      </c>
      <c r="T40" s="243">
        <f t="shared" si="2"/>
        <v>1.3033811924151651E-4</v>
      </c>
      <c r="U40" s="244"/>
      <c r="V40" s="244">
        <f>T40</f>
        <v>1.3033811924151651E-4</v>
      </c>
    </row>
    <row r="41" spans="17:25">
      <c r="Q41" s="6" t="s">
        <v>813</v>
      </c>
      <c r="R41" s="242">
        <v>0</v>
      </c>
      <c r="S41" s="242">
        <f>R41*O2</f>
        <v>0</v>
      </c>
      <c r="T41" s="243">
        <f t="shared" si="2"/>
        <v>0</v>
      </c>
      <c r="U41" s="244">
        <f>T41</f>
        <v>0</v>
      </c>
      <c r="V41" s="244"/>
    </row>
    <row r="42" spans="17:25">
      <c r="Q42" s="276" t="s">
        <v>762</v>
      </c>
      <c r="R42" s="242">
        <v>0</v>
      </c>
      <c r="S42" s="242">
        <f>R42</f>
        <v>0</v>
      </c>
      <c r="T42" s="243">
        <f t="shared" si="2"/>
        <v>0</v>
      </c>
      <c r="U42" s="244"/>
      <c r="V42" s="244">
        <f>T42</f>
        <v>0</v>
      </c>
    </row>
    <row r="43" spans="17:25">
      <c r="Q43" s="6" t="s">
        <v>752</v>
      </c>
      <c r="R43" s="285"/>
      <c r="S43" s="285">
        <f>SUM(S34:S42)</f>
        <v>111977985.2965</v>
      </c>
      <c r="T43" s="243">
        <f>SUM(T34:T42)</f>
        <v>1</v>
      </c>
      <c r="U43" s="244">
        <f>SUM(U34:U42)</f>
        <v>7.507568808493971E-2</v>
      </c>
      <c r="V43" s="244">
        <f>SUM(V34:V42)</f>
        <v>0.92492431191506042</v>
      </c>
      <c r="Y43" s="24">
        <f>U43+V43</f>
        <v>1.0000000000000002</v>
      </c>
    </row>
  </sheetData>
  <mergeCells count="3">
    <mergeCell ref="F1:F2"/>
    <mergeCell ref="F3:F4"/>
    <mergeCell ref="F5:F6"/>
  </mergeCells>
  <phoneticPr fontId="5" type="noConversion"/>
  <pageMargins left="0.75" right="0.75" top="1" bottom="1" header="0.5" footer="0.5"/>
  <pageSetup paperSize="9" scale="23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Y43"/>
  <sheetViews>
    <sheetView view="pageBreakPreview" workbookViewId="0">
      <selection activeCell="A2" sqref="A2"/>
    </sheetView>
  </sheetViews>
  <sheetFormatPr defaultRowHeight="16.5"/>
  <cols>
    <col min="1" max="1" width="10.625" style="155" bestFit="1" customWidth="1"/>
    <col min="2" max="2" width="13.5" style="155" customWidth="1"/>
    <col min="3" max="3" width="15.625" style="155" customWidth="1"/>
    <col min="4" max="4" width="13.625" style="155" customWidth="1"/>
    <col min="5" max="5" width="13.25" style="155" customWidth="1"/>
    <col min="6" max="6" width="19.125" style="155" customWidth="1"/>
    <col min="7" max="7" width="18.75" style="155" customWidth="1"/>
    <col min="8" max="8" width="16" style="155" customWidth="1"/>
    <col min="9" max="9" width="15.5" style="155" customWidth="1"/>
    <col min="10" max="10" width="21.375" style="155" customWidth="1"/>
    <col min="11" max="11" width="18.875" style="155" customWidth="1"/>
    <col min="12" max="12" width="20.75" style="155" customWidth="1"/>
    <col min="13" max="13" width="18.625" style="155" customWidth="1"/>
    <col min="14" max="14" width="11.875" style="155" customWidth="1"/>
    <col min="15" max="15" width="11.625" style="155" customWidth="1"/>
    <col min="16" max="16" width="13.875" style="155" customWidth="1"/>
    <col min="17" max="17" width="20.375" style="291" customWidth="1"/>
    <col min="18" max="18" width="20.75" style="291" customWidth="1"/>
    <col min="19" max="19" width="16.875" style="291" customWidth="1"/>
    <col min="20" max="20" width="13.25" style="291" customWidth="1"/>
    <col min="21" max="21" width="11.375" style="291" customWidth="1"/>
    <col min="22" max="22" width="10.875" style="291" customWidth="1"/>
    <col min="23" max="24" width="9" style="291" hidden="1" customWidth="1"/>
    <col min="25" max="25" width="10.25" style="23" customWidth="1"/>
    <col min="26" max="16384" width="9" style="155"/>
  </cols>
  <sheetData>
    <row r="1" spans="1:25">
      <c r="A1" s="17" t="s">
        <v>137</v>
      </c>
      <c r="B1" s="18" t="s">
        <v>350</v>
      </c>
      <c r="C1" s="18" t="s">
        <v>138</v>
      </c>
      <c r="D1" s="18" t="s">
        <v>139</v>
      </c>
      <c r="E1" s="19" t="s">
        <v>140</v>
      </c>
      <c r="F1" s="514" t="s">
        <v>21</v>
      </c>
      <c r="G1" s="62" t="s">
        <v>157</v>
      </c>
      <c r="H1" s="9" t="s">
        <v>52</v>
      </c>
      <c r="I1" s="10" t="s">
        <v>53</v>
      </c>
      <c r="J1" s="62" t="s">
        <v>353</v>
      </c>
      <c r="K1" s="18" t="s">
        <v>353</v>
      </c>
      <c r="L1" s="19" t="s">
        <v>353</v>
      </c>
      <c r="M1" s="114" t="s">
        <v>49</v>
      </c>
      <c r="N1" s="102" t="s">
        <v>151</v>
      </c>
      <c r="O1" s="115" t="s">
        <v>712</v>
      </c>
    </row>
    <row r="2" spans="1:25" ht="17.25" thickBot="1">
      <c r="A2" s="13"/>
      <c r="B2" s="113"/>
      <c r="C2" s="86"/>
      <c r="D2" s="15"/>
      <c r="E2" s="11"/>
      <c r="F2" s="515"/>
      <c r="G2" s="63"/>
      <c r="H2" s="64"/>
      <c r="I2" s="65"/>
      <c r="J2" s="107" t="e">
        <f>C2+(SUM(K10:K11)-SUM(G10:G11))-N10+C2*O10*(N2/O2-1)</f>
        <v>#REF!</v>
      </c>
      <c r="K2" s="108" t="e">
        <f>C2+(SUM(L10:L11)-SUM(G10:G11))-N10+C2*O10*(N2/O2-1)</f>
        <v>#REF!</v>
      </c>
      <c r="L2" s="109" t="e">
        <f>C2+(SUM(M10:M11)-SUM(G10:G11))-N10+C2*O10*(N2/O2-1)</f>
        <v>#REF!</v>
      </c>
      <c r="M2" s="114" t="s">
        <v>337</v>
      </c>
      <c r="N2" s="116" t="e">
        <f>匯率報價!D16</f>
        <v>#REF!</v>
      </c>
      <c r="O2" s="116">
        <v>30.15</v>
      </c>
      <c r="Q2" s="241"/>
      <c r="R2" s="74"/>
      <c r="V2" s="23"/>
    </row>
    <row r="3" spans="1:25">
      <c r="A3" s="17" t="s">
        <v>137</v>
      </c>
      <c r="B3" s="82" t="s">
        <v>350</v>
      </c>
      <c r="C3" s="18" t="s">
        <v>138</v>
      </c>
      <c r="D3" s="18" t="s">
        <v>139</v>
      </c>
      <c r="E3" s="19" t="s">
        <v>140</v>
      </c>
      <c r="F3" s="514" t="s">
        <v>21</v>
      </c>
      <c r="G3" s="62" t="s">
        <v>157</v>
      </c>
      <c r="H3" s="9" t="s">
        <v>52</v>
      </c>
      <c r="I3" s="10" t="s">
        <v>53</v>
      </c>
      <c r="J3" s="62" t="s">
        <v>353</v>
      </c>
      <c r="K3" s="18" t="s">
        <v>353</v>
      </c>
      <c r="L3" s="19" t="s">
        <v>353</v>
      </c>
      <c r="M3" s="114" t="s">
        <v>847</v>
      </c>
      <c r="N3" s="116" t="e">
        <f>匯率報價!D2</f>
        <v>#REF!</v>
      </c>
      <c r="O3" s="116">
        <v>111.39</v>
      </c>
      <c r="Q3" s="26" t="s">
        <v>753</v>
      </c>
      <c r="R3" s="26" t="s">
        <v>818</v>
      </c>
      <c r="S3" s="26" t="s">
        <v>816</v>
      </c>
      <c r="T3" s="26" t="s">
        <v>766</v>
      </c>
      <c r="U3" s="26" t="s">
        <v>767</v>
      </c>
      <c r="V3" s="26" t="s">
        <v>768</v>
      </c>
      <c r="W3" s="23"/>
    </row>
    <row r="4" spans="1:25" ht="17.25" thickBot="1">
      <c r="A4" s="13" t="s">
        <v>465</v>
      </c>
      <c r="B4" s="113">
        <f>C4/100000000</f>
        <v>0</v>
      </c>
      <c r="C4" s="86">
        <f>'ETF Update'!D88*1000</f>
        <v>0</v>
      </c>
      <c r="D4" s="86">
        <f>'ETF Update'!E88</f>
        <v>0</v>
      </c>
      <c r="E4" s="11">
        <f>'ETF Update'!C88</f>
        <v>18.239999999999998</v>
      </c>
      <c r="F4" s="515"/>
      <c r="G4" s="63" t="e">
        <f>J4/D4/1000</f>
        <v>#REF!</v>
      </c>
      <c r="H4" s="64" t="e">
        <f>K4/D4/1000</f>
        <v>#REF!</v>
      </c>
      <c r="I4" s="65" t="e">
        <f>L4/D4/1000</f>
        <v>#REF!</v>
      </c>
      <c r="J4" s="107" t="e">
        <f>C4+(SUM(K15:K16)-SUM(G15:G16))-N10+C4*O10*(N2/O2-1)</f>
        <v>#REF!</v>
      </c>
      <c r="K4" s="108" t="e">
        <f>C4+(SUM(L15:L16)-SUM(G15:G16))-N10+C4*O10*(N2/O2-1)</f>
        <v>#REF!</v>
      </c>
      <c r="L4" s="109" t="e">
        <f>C4+(SUM(M15:M16)-SUM(G15:G16))-N15+C4*O15*(N2/O2-1)</f>
        <v>#REF!</v>
      </c>
      <c r="M4" s="114" t="s">
        <v>848</v>
      </c>
      <c r="N4" s="116" t="e">
        <f>匯率報價!D7</f>
        <v>#REF!</v>
      </c>
      <c r="O4" s="116">
        <v>1.2</v>
      </c>
      <c r="Q4" s="272" t="s">
        <v>749</v>
      </c>
      <c r="R4" s="273">
        <v>0</v>
      </c>
      <c r="S4" s="289"/>
      <c r="T4" s="298" t="e">
        <f>S4/$S$13</f>
        <v>#DIV/0!</v>
      </c>
      <c r="U4" s="274"/>
      <c r="V4" s="274"/>
      <c r="W4" s="23" t="s">
        <v>769</v>
      </c>
      <c r="Y4" s="23" t="s">
        <v>851</v>
      </c>
    </row>
    <row r="5" spans="1:25">
      <c r="A5" s="17" t="s">
        <v>137</v>
      </c>
      <c r="B5" s="82" t="s">
        <v>350</v>
      </c>
      <c r="C5" s="18" t="s">
        <v>138</v>
      </c>
      <c r="D5" s="18" t="s">
        <v>139</v>
      </c>
      <c r="E5" s="19" t="s">
        <v>140</v>
      </c>
      <c r="F5" s="514" t="s">
        <v>21</v>
      </c>
      <c r="G5" s="62" t="s">
        <v>157</v>
      </c>
      <c r="H5" s="9" t="s">
        <v>52</v>
      </c>
      <c r="I5" s="10" t="s">
        <v>53</v>
      </c>
      <c r="J5" s="62" t="s">
        <v>353</v>
      </c>
      <c r="K5" s="18" t="s">
        <v>353</v>
      </c>
      <c r="L5" s="19" t="s">
        <v>353</v>
      </c>
      <c r="M5" s="114" t="s">
        <v>339</v>
      </c>
      <c r="N5" s="116" t="e">
        <f>匯率報價!D17</f>
        <v>#REF!</v>
      </c>
      <c r="O5" s="116">
        <v>4.5869999999999997</v>
      </c>
      <c r="Q5" s="275" t="s">
        <v>750</v>
      </c>
      <c r="R5" s="242">
        <v>0</v>
      </c>
      <c r="S5" s="287">
        <f>R5</f>
        <v>0</v>
      </c>
      <c r="T5" s="244" t="e">
        <f>S5/$S$13</f>
        <v>#DIV/0!</v>
      </c>
      <c r="U5" s="243"/>
      <c r="V5" s="243" t="e">
        <f>T5</f>
        <v>#DIV/0!</v>
      </c>
      <c r="W5" s="24" t="e">
        <f>T6+T8+T10+#REF!</f>
        <v>#DIV/0!</v>
      </c>
      <c r="Y5" s="24" t="e">
        <f>U6+U8+U10</f>
        <v>#DIV/0!</v>
      </c>
    </row>
    <row r="6" spans="1:25" ht="17.25" thickBot="1">
      <c r="A6" s="121" t="s">
        <v>466</v>
      </c>
      <c r="B6" s="113">
        <f>C6/100000000</f>
        <v>0.87104999999999999</v>
      </c>
      <c r="C6" s="86">
        <f>'ETF Update'!D89*1000</f>
        <v>87105000</v>
      </c>
      <c r="D6" s="86">
        <f>'ETF Update'!E89</f>
        <v>4355</v>
      </c>
      <c r="E6" s="11">
        <f>'ETF Update'!C89</f>
        <v>20</v>
      </c>
      <c r="F6" s="515"/>
      <c r="G6" s="63" t="e">
        <f>J6/D6/1000</f>
        <v>#REF!</v>
      </c>
      <c r="H6" s="64" t="e">
        <f>L6/D6/1000</f>
        <v>#REF!</v>
      </c>
      <c r="I6" s="65" t="e">
        <f>K6/D6/1000</f>
        <v>#REF!</v>
      </c>
      <c r="J6" s="107" t="e">
        <f>C6+(SUM(K20:K21)-SUM(G20:G21))-N20+C6*O20*(N2/O2-1)</f>
        <v>#REF!</v>
      </c>
      <c r="K6" s="108" t="e">
        <f>C6+(SUM(L20:L21)-SUM(G20:G21))-N20+C6*O20*(N2/O2-1)</f>
        <v>#REF!</v>
      </c>
      <c r="L6" s="109" t="e">
        <f>C6+(SUM(M20:M21)-SUM(G20:G21))-N20+C6*O20*(N2/O2-1)</f>
        <v>#REF!</v>
      </c>
      <c r="M6" s="114" t="s">
        <v>345</v>
      </c>
      <c r="N6" s="116" t="e">
        <f>匯率報價!D18</f>
        <v>#REF!</v>
      </c>
      <c r="O6" s="116">
        <v>3.8610000000000002</v>
      </c>
      <c r="Q6" s="275" t="s">
        <v>770</v>
      </c>
      <c r="R6" s="242">
        <v>0</v>
      </c>
      <c r="S6" s="287">
        <f>R6*O2</f>
        <v>0</v>
      </c>
      <c r="T6" s="244" t="e">
        <f t="shared" ref="T6:T12" si="0">S6/$S$13</f>
        <v>#DIV/0!</v>
      </c>
      <c r="U6" s="243" t="e">
        <f>T6</f>
        <v>#DIV/0!</v>
      </c>
      <c r="V6" s="243"/>
      <c r="W6" s="23" t="s">
        <v>810</v>
      </c>
    </row>
    <row r="7" spans="1:25">
      <c r="Q7" s="6" t="s">
        <v>771</v>
      </c>
      <c r="R7" s="242">
        <v>0</v>
      </c>
      <c r="S7" s="287">
        <f>R7</f>
        <v>0</v>
      </c>
      <c r="T7" s="244" t="e">
        <f t="shared" si="0"/>
        <v>#DIV/0!</v>
      </c>
      <c r="U7" s="244"/>
      <c r="V7" s="244" t="e">
        <f>T7</f>
        <v>#DIV/0!</v>
      </c>
      <c r="W7" s="23">
        <v>0</v>
      </c>
    </row>
    <row r="8" spans="1:25" ht="17.25" thickBot="1">
      <c r="A8" s="13"/>
      <c r="F8" s="155" t="s">
        <v>361</v>
      </c>
      <c r="G8" s="119"/>
      <c r="Q8" s="6" t="s">
        <v>759</v>
      </c>
      <c r="R8" s="242">
        <v>0</v>
      </c>
      <c r="S8" s="288">
        <f>R8*O2</f>
        <v>0</v>
      </c>
      <c r="T8" s="244" t="e">
        <f t="shared" si="0"/>
        <v>#DIV/0!</v>
      </c>
      <c r="U8" s="244" t="e">
        <f>T8</f>
        <v>#DIV/0!</v>
      </c>
      <c r="V8" s="244"/>
      <c r="W8" s="23"/>
    </row>
    <row r="9" spans="1:25" s="23" customFormat="1">
      <c r="A9" s="82" t="s">
        <v>319</v>
      </c>
      <c r="B9" s="82" t="s">
        <v>320</v>
      </c>
      <c r="C9" s="82" t="s">
        <v>231</v>
      </c>
      <c r="D9" s="82" t="s">
        <v>321</v>
      </c>
      <c r="E9" s="82" t="s">
        <v>322</v>
      </c>
      <c r="F9" s="82" t="s">
        <v>323</v>
      </c>
      <c r="G9" s="82" t="s">
        <v>324</v>
      </c>
      <c r="H9" s="82" t="s">
        <v>232</v>
      </c>
      <c r="I9" s="82" t="s">
        <v>325</v>
      </c>
      <c r="J9" s="82" t="s">
        <v>326</v>
      </c>
      <c r="K9" s="82" t="s">
        <v>327</v>
      </c>
      <c r="L9" s="82" t="s">
        <v>328</v>
      </c>
      <c r="M9" s="82" t="s">
        <v>329</v>
      </c>
      <c r="N9" s="250" t="s">
        <v>787</v>
      </c>
      <c r="O9" s="250" t="s">
        <v>788</v>
      </c>
      <c r="Q9" s="6" t="s">
        <v>849</v>
      </c>
      <c r="R9" s="242">
        <v>0</v>
      </c>
      <c r="S9" s="288">
        <f>R9</f>
        <v>0</v>
      </c>
      <c r="T9" s="244" t="e">
        <f t="shared" si="0"/>
        <v>#DIV/0!</v>
      </c>
      <c r="U9" s="244"/>
      <c r="V9" s="244" t="e">
        <f>T9</f>
        <v>#DIV/0!</v>
      </c>
    </row>
    <row r="10" spans="1:25">
      <c r="A10" s="25" t="e">
        <f>G10/C2</f>
        <v>#DIV/0!</v>
      </c>
      <c r="B10" s="26" t="s">
        <v>696</v>
      </c>
      <c r="C10" s="26" t="s">
        <v>697</v>
      </c>
      <c r="D10" s="26">
        <v>12.5</v>
      </c>
      <c r="E10" s="84">
        <f>群益海期報價!K14</f>
        <v>9205.5</v>
      </c>
      <c r="F10" s="26">
        <v>0</v>
      </c>
      <c r="G10" s="71">
        <f>F10*E10*D10*O2</f>
        <v>0</v>
      </c>
      <c r="H10" s="84">
        <f>群益海期報價!H14</f>
        <v>9282</v>
      </c>
      <c r="I10" s="84">
        <f>群益海期報價!L14</f>
        <v>9282</v>
      </c>
      <c r="J10" s="84">
        <f>群益海期報價!N14</f>
        <v>9282.5</v>
      </c>
      <c r="K10" s="112" t="e">
        <f>IF(ISNUMBER(H10)=TRUE,H10*$F$10*$D$10,E10*$F$10*$D$10)*N2</f>
        <v>#REF!</v>
      </c>
      <c r="L10" s="112" t="e">
        <f>IF(ISNUMBER(I10)=TRUE,I10*$F$10*$D$10,F10*$F$10*$D$10)*N2</f>
        <v>#REF!</v>
      </c>
      <c r="M10" s="112" t="e">
        <f>IF(ISNUMBER(J10)=TRUE,J10*$F$10*$D$10,G10*$F$10*$D$10)*N2</f>
        <v>#REF!</v>
      </c>
      <c r="N10" s="90" t="e">
        <f>1.04%/365*(C2+SUM(K10:K11)-SUM(G10:G11))</f>
        <v>#REF!</v>
      </c>
      <c r="O10" s="98" t="e">
        <f>Y5</f>
        <v>#DIV/0!</v>
      </c>
      <c r="Q10" s="6" t="s">
        <v>850</v>
      </c>
      <c r="R10" s="242">
        <v>0</v>
      </c>
      <c r="S10" s="288">
        <f>R10</f>
        <v>0</v>
      </c>
      <c r="T10" s="244" t="e">
        <f t="shared" si="0"/>
        <v>#DIV/0!</v>
      </c>
      <c r="U10" s="244" t="e">
        <f>T10</f>
        <v>#DIV/0!</v>
      </c>
      <c r="V10" s="244"/>
      <c r="W10" s="24"/>
    </row>
    <row r="11" spans="1:25">
      <c r="A11" s="25" t="e">
        <f>G11/C2</f>
        <v>#DIV/0!</v>
      </c>
      <c r="B11" s="26" t="s">
        <v>696</v>
      </c>
      <c r="C11" s="26" t="s">
        <v>698</v>
      </c>
      <c r="D11" s="26">
        <v>12.5</v>
      </c>
      <c r="E11" s="84">
        <f>群益海期報價!K15</f>
        <v>9244.5</v>
      </c>
      <c r="F11" s="26">
        <v>0</v>
      </c>
      <c r="G11" s="71">
        <f>F11*E11*D11*O2</f>
        <v>0</v>
      </c>
      <c r="H11" s="84">
        <f>群益海期報價!H15</f>
        <v>9320.5</v>
      </c>
      <c r="I11" s="84">
        <f>群益海期報價!L15</f>
        <v>9320</v>
      </c>
      <c r="J11" s="84">
        <f>群益海期報價!N15</f>
        <v>9321.5</v>
      </c>
      <c r="K11" s="112" t="e">
        <f>IF(ISNUMBER(H11)=TRUE,H11*$F$11*$D$11,E11*$F$11*$D$11)*N2</f>
        <v>#REF!</v>
      </c>
      <c r="L11" s="112" t="e">
        <f>IF(ISNUMBER(I11)=TRUE,I11*$F$11*$D$11,F11*$F$11*$D$11)*N2</f>
        <v>#REF!</v>
      </c>
      <c r="M11" s="112" t="e">
        <f>IF(ISNUMBER(J11)=TRUE,J11*$F$11*$D$11,G11*$F$11*$D$11)*N2</f>
        <v>#REF!</v>
      </c>
      <c r="Q11" s="6" t="s">
        <v>812</v>
      </c>
      <c r="R11" s="242">
        <v>0</v>
      </c>
      <c r="S11" s="288">
        <f>R11</f>
        <v>0</v>
      </c>
      <c r="T11" s="244" t="e">
        <f t="shared" si="0"/>
        <v>#DIV/0!</v>
      </c>
      <c r="U11" s="244"/>
      <c r="V11" s="244" t="e">
        <f>T11</f>
        <v>#DIV/0!</v>
      </c>
      <c r="W11" s="23"/>
    </row>
    <row r="12" spans="1:25">
      <c r="A12" s="4"/>
      <c r="Q12" s="276" t="s">
        <v>772</v>
      </c>
      <c r="R12" s="299">
        <v>0</v>
      </c>
      <c r="S12" s="299">
        <f>R12</f>
        <v>0</v>
      </c>
      <c r="T12" s="21" t="e">
        <f t="shared" si="0"/>
        <v>#DIV/0!</v>
      </c>
      <c r="U12" s="21"/>
      <c r="V12" s="21" t="e">
        <f>T12</f>
        <v>#DIV/0!</v>
      </c>
      <c r="W12" s="23"/>
    </row>
    <row r="13" spans="1:25" ht="17.25" thickBot="1">
      <c r="A13" s="13" t="s">
        <v>465</v>
      </c>
      <c r="Q13" s="6" t="s">
        <v>763</v>
      </c>
      <c r="R13" s="285"/>
      <c r="S13" s="285">
        <f>SUM(S5:S12)</f>
        <v>0</v>
      </c>
      <c r="T13" s="244" t="e">
        <f>SUM(T5:T12)</f>
        <v>#DIV/0!</v>
      </c>
      <c r="U13" s="244" t="e">
        <f>SUM(U5:U12)</f>
        <v>#DIV/0!</v>
      </c>
      <c r="V13" s="244" t="e">
        <f>SUM(V5:V12)</f>
        <v>#DIV/0!</v>
      </c>
      <c r="W13" s="23"/>
      <c r="Y13" s="24" t="e">
        <f>U13+V13</f>
        <v>#DIV/0!</v>
      </c>
    </row>
    <row r="14" spans="1:25" s="23" customFormat="1">
      <c r="A14" s="82" t="s">
        <v>319</v>
      </c>
      <c r="B14" s="82" t="s">
        <v>320</v>
      </c>
      <c r="C14" s="82" t="s">
        <v>231</v>
      </c>
      <c r="D14" s="82" t="s">
        <v>321</v>
      </c>
      <c r="E14" s="82" t="s">
        <v>322</v>
      </c>
      <c r="F14" s="82" t="s">
        <v>323</v>
      </c>
      <c r="G14" s="82" t="s">
        <v>324</v>
      </c>
      <c r="H14" s="82" t="s">
        <v>232</v>
      </c>
      <c r="I14" s="82" t="s">
        <v>325</v>
      </c>
      <c r="J14" s="82" t="s">
        <v>326</v>
      </c>
      <c r="K14" s="82" t="s">
        <v>327</v>
      </c>
      <c r="L14" s="82" t="s">
        <v>328</v>
      </c>
      <c r="M14" s="82" t="s">
        <v>329</v>
      </c>
      <c r="N14" s="250" t="s">
        <v>787</v>
      </c>
      <c r="O14" s="250" t="s">
        <v>788</v>
      </c>
      <c r="W14" s="291"/>
    </row>
    <row r="15" spans="1:25">
      <c r="A15" s="25" t="e">
        <f>G15/C4</f>
        <v>#DIV/0!</v>
      </c>
      <c r="B15" s="26" t="s">
        <v>696</v>
      </c>
      <c r="C15" s="26" t="s">
        <v>697</v>
      </c>
      <c r="D15" s="26">
        <v>12.5</v>
      </c>
      <c r="E15" s="84">
        <f>群益海期報價!K14</f>
        <v>9205.5</v>
      </c>
      <c r="F15" s="26">
        <v>0</v>
      </c>
      <c r="G15" s="71">
        <f>F15*E15*D15*O2</f>
        <v>0</v>
      </c>
      <c r="H15" s="84">
        <f>群益海期報價!H14</f>
        <v>9282</v>
      </c>
      <c r="I15" s="84">
        <f>群益海期報價!L14</f>
        <v>9282</v>
      </c>
      <c r="J15" s="84">
        <f>群益海期報價!N14</f>
        <v>9282.5</v>
      </c>
      <c r="K15" s="112" t="e">
        <f>IF(ISNUMBER(H15)=TRUE,H15*$F$15*$D$15,E15*$F$15*$D$15)*N2</f>
        <v>#REF!</v>
      </c>
      <c r="L15" s="112" t="e">
        <f>IF(ISNUMBER(I15)=TRUE,I15*$F$15*$D$15,F15*$F$15*$D$15)*N2</f>
        <v>#REF!</v>
      </c>
      <c r="M15" s="112" t="e">
        <f>IF(ISNUMBER(J15)=TRUE,J15*$F$15*$D$15,G15*$F$15*$D$15)*N2</f>
        <v>#REF!</v>
      </c>
      <c r="N15" s="90" t="e">
        <f>1.04%/365*(C4+SUM(K15:K15)-SUM(G15:G15))</f>
        <v>#REF!</v>
      </c>
      <c r="O15" s="98">
        <f>Y19</f>
        <v>5.7837354237227578E-2</v>
      </c>
      <c r="W15" s="4" t="e">
        <f>U13+V13</f>
        <v>#DIV/0!</v>
      </c>
    </row>
    <row r="16" spans="1:25">
      <c r="A16" s="25" t="e">
        <f>G16/C4</f>
        <v>#DIV/0!</v>
      </c>
      <c r="B16" s="26" t="s">
        <v>696</v>
      </c>
      <c r="C16" s="26" t="s">
        <v>698</v>
      </c>
      <c r="D16" s="26">
        <v>12.5</v>
      </c>
      <c r="E16" s="84">
        <f>群益海期報價!K15</f>
        <v>9244.5</v>
      </c>
      <c r="F16" s="26">
        <v>105</v>
      </c>
      <c r="G16" s="71">
        <f>F16*E16*D16*O3</f>
        <v>1351540122.1875</v>
      </c>
      <c r="H16" s="84">
        <f>群益海期報價!H15</f>
        <v>9320.5</v>
      </c>
      <c r="I16" s="84">
        <f>群益海期報價!L15</f>
        <v>9320</v>
      </c>
      <c r="J16" s="84">
        <f>群益海期報價!N15</f>
        <v>9321.5</v>
      </c>
      <c r="K16" s="112" t="e">
        <f>IF(ISNUMBER(H16)=TRUE,H16*$F$16*$D$16,E16*$F$16*$D$16)*N3</f>
        <v>#REF!</v>
      </c>
      <c r="L16" s="112" t="e">
        <f>IF(ISNUMBER(I16)=TRUE,I16*$F$16*$D$16,F16*$F$16*$D$16)*N3</f>
        <v>#REF!</v>
      </c>
      <c r="M16" s="112" t="e">
        <f>IF(ISNUMBER(J16)=TRUE,J16*$F$16*$D$16,G16*$F$16*$D$16)*N3</f>
        <v>#REF!</v>
      </c>
      <c r="Q16" s="241" t="s">
        <v>859</v>
      </c>
      <c r="R16" s="74">
        <v>174479117</v>
      </c>
      <c r="V16" s="23"/>
    </row>
    <row r="17" spans="1:25">
      <c r="A17" s="4"/>
      <c r="F17" s="5"/>
      <c r="Q17" s="26" t="s">
        <v>753</v>
      </c>
      <c r="R17" s="26" t="s">
        <v>818</v>
      </c>
      <c r="S17" s="26" t="s">
        <v>816</v>
      </c>
      <c r="T17" s="26" t="s">
        <v>766</v>
      </c>
      <c r="U17" s="26" t="s">
        <v>767</v>
      </c>
      <c r="V17" s="26" t="s">
        <v>768</v>
      </c>
    </row>
    <row r="18" spans="1:25" ht="17.25" thickBot="1">
      <c r="A18" s="121" t="s">
        <v>466</v>
      </c>
      <c r="Q18" s="272" t="s">
        <v>749</v>
      </c>
      <c r="R18" s="273">
        <v>0</v>
      </c>
      <c r="S18" s="289"/>
      <c r="T18" s="274"/>
      <c r="U18" s="274"/>
      <c r="V18" s="274"/>
      <c r="W18" s="23"/>
      <c r="X18" s="23"/>
      <c r="Y18" s="23" t="s">
        <v>851</v>
      </c>
    </row>
    <row r="19" spans="1:25" s="23" customFormat="1">
      <c r="A19" s="82" t="s">
        <v>319</v>
      </c>
      <c r="B19" s="82" t="s">
        <v>320</v>
      </c>
      <c r="C19" s="82" t="s">
        <v>231</v>
      </c>
      <c r="D19" s="82" t="s">
        <v>321</v>
      </c>
      <c r="E19" s="82" t="s">
        <v>322</v>
      </c>
      <c r="F19" s="82" t="s">
        <v>323</v>
      </c>
      <c r="G19" s="82" t="s">
        <v>324</v>
      </c>
      <c r="H19" s="82" t="s">
        <v>232</v>
      </c>
      <c r="I19" s="82" t="s">
        <v>325</v>
      </c>
      <c r="J19" s="82" t="s">
        <v>326</v>
      </c>
      <c r="K19" s="82" t="s">
        <v>327</v>
      </c>
      <c r="L19" s="82" t="s">
        <v>328</v>
      </c>
      <c r="M19" s="82" t="s">
        <v>329</v>
      </c>
      <c r="N19" s="250" t="s">
        <v>787</v>
      </c>
      <c r="O19" s="250" t="s">
        <v>788</v>
      </c>
      <c r="Q19" s="275" t="s">
        <v>750</v>
      </c>
      <c r="R19" s="242">
        <v>60000000</v>
      </c>
      <c r="S19" s="287">
        <f>R19</f>
        <v>60000000</v>
      </c>
      <c r="T19" s="243">
        <f>S19/$S$28</f>
        <v>0.3437218444413383</v>
      </c>
      <c r="U19" s="243"/>
      <c r="V19" s="243">
        <f>T19</f>
        <v>0.3437218444413383</v>
      </c>
      <c r="W19" s="291"/>
      <c r="X19" s="291"/>
      <c r="Y19" s="24">
        <f>U20+U22+U24+U26</f>
        <v>5.7837354237227578E-2</v>
      </c>
    </row>
    <row r="20" spans="1:25">
      <c r="A20" s="25">
        <f>G20/C6</f>
        <v>0</v>
      </c>
      <c r="B20" s="26" t="s">
        <v>696</v>
      </c>
      <c r="C20" s="26" t="s">
        <v>697</v>
      </c>
      <c r="D20" s="26">
        <v>12.5</v>
      </c>
      <c r="E20" s="84">
        <f>群益海期報價!K14</f>
        <v>9205.5</v>
      </c>
      <c r="F20" s="122">
        <v>0</v>
      </c>
      <c r="G20" s="112">
        <f>F20*E20*D20*O2</f>
        <v>0</v>
      </c>
      <c r="H20" s="84">
        <f>群益海期報價!H14</f>
        <v>9282</v>
      </c>
      <c r="I20" s="84">
        <f>群益海期報價!L14</f>
        <v>9282</v>
      </c>
      <c r="J20" s="84">
        <f>群益海期報價!N14</f>
        <v>9282.5</v>
      </c>
      <c r="K20" s="112" t="e">
        <f>IF(ISNUMBER(H20)=TRUE,H20*$F$20*$D$20,E20*$F$20*$D$20)*N2</f>
        <v>#REF!</v>
      </c>
      <c r="L20" s="112" t="e">
        <f>IF(ISNUMBER(I20)=TRUE,I20*$F$20*$D$20,F20*$F$20*$D$20)*N2</f>
        <v>#REF!</v>
      </c>
      <c r="M20" s="112" t="e">
        <f>IF(ISNUMBER(J20)=TRUE,J20*$F$20*$D$20,G20*$F$20*$D$20)*N2</f>
        <v>#REF!</v>
      </c>
      <c r="N20" s="90" t="e">
        <f>1.04%/365*(C4+SUM(K20:K20)-SUM(G20:G20))</f>
        <v>#REF!</v>
      </c>
      <c r="O20" s="98">
        <f>Y34</f>
        <v>7.7835055815212842E-2</v>
      </c>
      <c r="Q20" s="275" t="s">
        <v>770</v>
      </c>
      <c r="R20" s="242">
        <v>223876.5</v>
      </c>
      <c r="S20" s="287">
        <f>R20*O2</f>
        <v>6749876.4749999996</v>
      </c>
      <c r="T20" s="243">
        <f t="shared" ref="T20:T27" si="1">S20/$S$28</f>
        <v>3.8667999862303307E-2</v>
      </c>
      <c r="U20" s="243">
        <f>T20</f>
        <v>3.8667999862303307E-2</v>
      </c>
      <c r="V20" s="243"/>
      <c r="W20" s="23"/>
    </row>
    <row r="21" spans="1:25">
      <c r="A21" s="25">
        <f>G21/C6</f>
        <v>-7.3886749827794045</v>
      </c>
      <c r="B21" s="26" t="s">
        <v>696</v>
      </c>
      <c r="C21" s="26" t="s">
        <v>698</v>
      </c>
      <c r="D21" s="26">
        <v>12.5</v>
      </c>
      <c r="E21" s="84">
        <f>群益海期報價!K15</f>
        <v>9244.5</v>
      </c>
      <c r="F21" s="122">
        <v>-50</v>
      </c>
      <c r="G21" s="112">
        <f>F21*E21*D21*O3</f>
        <v>-643590534.375</v>
      </c>
      <c r="H21" s="84">
        <f>群益海期報價!H15</f>
        <v>9320.5</v>
      </c>
      <c r="I21" s="84">
        <f>群益海期報價!L15</f>
        <v>9320</v>
      </c>
      <c r="J21" s="84">
        <f>群益海期報價!N15</f>
        <v>9321.5</v>
      </c>
      <c r="K21" s="112" t="e">
        <f>IF(ISNUMBER(H21)=TRUE,H21*$F$21*$D$21,E21*$F$21*$D$21)*N3</f>
        <v>#REF!</v>
      </c>
      <c r="L21" s="112" t="e">
        <f>IF(ISNUMBER(I21)=TRUE,I21*$F$21*$D$21,F21*$F$21*$D$21)*N3</f>
        <v>#REF!</v>
      </c>
      <c r="M21" s="112" t="e">
        <f>IF(ISNUMBER(J21)=TRUE,J21*$F$21*$D$21,G21*$F$21*$D$21)*N3</f>
        <v>#REF!</v>
      </c>
      <c r="Q21" s="6" t="s">
        <v>771</v>
      </c>
      <c r="R21" s="242">
        <v>54463678</v>
      </c>
      <c r="S21" s="287">
        <f>R21</f>
        <v>54463678</v>
      </c>
      <c r="T21" s="243">
        <f t="shared" si="1"/>
        <v>0.31200593095365231</v>
      </c>
      <c r="U21" s="244"/>
      <c r="V21" s="244">
        <f>T21</f>
        <v>0.31200593095365231</v>
      </c>
      <c r="W21" s="23" t="s">
        <v>769</v>
      </c>
    </row>
    <row r="22" spans="1:25">
      <c r="Q22" s="6" t="s">
        <v>759</v>
      </c>
      <c r="R22" s="242">
        <v>110985</v>
      </c>
      <c r="S22" s="288">
        <f>R22*O2</f>
        <v>3346197.75</v>
      </c>
      <c r="T22" s="243">
        <f t="shared" si="1"/>
        <v>1.9169354374924268E-2</v>
      </c>
      <c r="U22" s="244">
        <f>T22</f>
        <v>1.9169354374924268E-2</v>
      </c>
      <c r="V22" s="244"/>
      <c r="W22" s="24">
        <f>T20+T22+T24+T26</f>
        <v>5.7837354237227578E-2</v>
      </c>
    </row>
    <row r="23" spans="1:25">
      <c r="Q23" s="6" t="s">
        <v>814</v>
      </c>
      <c r="R23" s="242">
        <v>50000000</v>
      </c>
      <c r="S23" s="288">
        <f>R23</f>
        <v>50000000</v>
      </c>
      <c r="T23" s="243">
        <f t="shared" si="1"/>
        <v>0.28643487036778187</v>
      </c>
      <c r="U23" s="244"/>
      <c r="V23" s="244">
        <f>T23</f>
        <v>0.28643487036778187</v>
      </c>
      <c r="W23" s="23" t="s">
        <v>810</v>
      </c>
    </row>
    <row r="24" spans="1:25">
      <c r="Q24" s="6" t="s">
        <v>815</v>
      </c>
      <c r="R24" s="242">
        <v>0</v>
      </c>
      <c r="S24" s="288">
        <f>R24*O2</f>
        <v>0</v>
      </c>
      <c r="T24" s="243">
        <f t="shared" si="1"/>
        <v>0</v>
      </c>
      <c r="U24" s="244">
        <f>T24</f>
        <v>0</v>
      </c>
      <c r="V24" s="244"/>
      <c r="W24" s="23">
        <v>0</v>
      </c>
    </row>
    <row r="25" spans="1:25">
      <c r="Q25" s="6" t="s">
        <v>812</v>
      </c>
      <c r="R25" s="242">
        <v>0</v>
      </c>
      <c r="S25" s="288">
        <f>R25</f>
        <v>0</v>
      </c>
      <c r="T25" s="243">
        <f t="shared" si="1"/>
        <v>0</v>
      </c>
      <c r="U25" s="244"/>
      <c r="V25" s="244">
        <f>T25</f>
        <v>0</v>
      </c>
      <c r="W25" s="23"/>
    </row>
    <row r="26" spans="1:25">
      <c r="Q26" s="6" t="s">
        <v>813</v>
      </c>
      <c r="R26" s="242">
        <v>0</v>
      </c>
      <c r="S26" s="242">
        <f>R26*O2</f>
        <v>0</v>
      </c>
      <c r="T26" s="243">
        <f t="shared" si="1"/>
        <v>0</v>
      </c>
      <c r="U26" s="244">
        <f>T26</f>
        <v>0</v>
      </c>
      <c r="V26" s="244"/>
      <c r="W26" s="23"/>
    </row>
    <row r="27" spans="1:25">
      <c r="Q27" s="276" t="s">
        <v>772</v>
      </c>
      <c r="R27" s="242">
        <v>0</v>
      </c>
      <c r="S27" s="242">
        <f>R27</f>
        <v>0</v>
      </c>
      <c r="T27" s="243">
        <f t="shared" si="1"/>
        <v>0</v>
      </c>
      <c r="U27" s="244"/>
      <c r="V27" s="244">
        <f>T27</f>
        <v>0</v>
      </c>
      <c r="W27" s="24"/>
    </row>
    <row r="28" spans="1:25">
      <c r="Q28" s="6" t="s">
        <v>763</v>
      </c>
      <c r="R28" s="285"/>
      <c r="S28" s="285">
        <f>SUM(S19:S27)</f>
        <v>174559752.22499999</v>
      </c>
      <c r="T28" s="284">
        <f>SUM(T19:T27)</f>
        <v>1</v>
      </c>
      <c r="U28" s="244">
        <f>SUM(U19:U27)</f>
        <v>5.7837354237227578E-2</v>
      </c>
      <c r="V28" s="244">
        <f>SUM(V19:V27)</f>
        <v>0.94216264576277253</v>
      </c>
      <c r="W28" s="23"/>
      <c r="Y28" s="24">
        <f>U28+V28</f>
        <v>1</v>
      </c>
    </row>
    <row r="29" spans="1:25">
      <c r="W29" s="23"/>
    </row>
    <row r="30" spans="1:25">
      <c r="W30" s="23"/>
    </row>
    <row r="31" spans="1:25">
      <c r="Q31" s="241" t="s">
        <v>860</v>
      </c>
      <c r="R31" s="74">
        <v>169864946</v>
      </c>
      <c r="V31" s="23"/>
    </row>
    <row r="32" spans="1:25">
      <c r="Q32" s="26" t="s">
        <v>773</v>
      </c>
      <c r="R32" s="26" t="s">
        <v>817</v>
      </c>
      <c r="S32" s="26" t="s">
        <v>765</v>
      </c>
      <c r="T32" s="26" t="s">
        <v>766</v>
      </c>
      <c r="U32" s="26" t="s">
        <v>852</v>
      </c>
      <c r="V32" s="26" t="s">
        <v>747</v>
      </c>
      <c r="W32" s="4">
        <f>U28+V28</f>
        <v>1</v>
      </c>
    </row>
    <row r="33" spans="17:25">
      <c r="Q33" s="272" t="s">
        <v>748</v>
      </c>
      <c r="R33" s="273">
        <v>0</v>
      </c>
      <c r="S33" s="289"/>
      <c r="T33" s="274"/>
      <c r="U33" s="274"/>
      <c r="V33" s="274"/>
      <c r="Y33" s="23" t="s">
        <v>851</v>
      </c>
    </row>
    <row r="34" spans="17:25">
      <c r="Q34" s="275" t="s">
        <v>781</v>
      </c>
      <c r="R34" s="242">
        <v>50000000</v>
      </c>
      <c r="S34" s="287">
        <f>R34</f>
        <v>50000000</v>
      </c>
      <c r="T34" s="243">
        <f>S34/$S$43</f>
        <v>0.29422103111538778</v>
      </c>
      <c r="U34" s="243"/>
      <c r="V34" s="243">
        <f>T34</f>
        <v>0.29422103111538778</v>
      </c>
      <c r="Y34" s="24">
        <f>U35+U37+U39+U41</f>
        <v>7.7835055815212842E-2</v>
      </c>
    </row>
    <row r="35" spans="17:25">
      <c r="Q35" s="275" t="s">
        <v>770</v>
      </c>
      <c r="R35" s="242">
        <v>428716.75</v>
      </c>
      <c r="S35" s="287">
        <f>R35*O2</f>
        <v>12925810.012499999</v>
      </c>
      <c r="T35" s="243">
        <f t="shared" ref="T35:T42" si="2">S35/$S$43</f>
        <v>7.6060902997587054E-2</v>
      </c>
      <c r="U35" s="243">
        <f>T35</f>
        <v>7.6060902997587054E-2</v>
      </c>
      <c r="V35" s="243"/>
    </row>
    <row r="36" spans="17:25">
      <c r="Q36" s="6" t="s">
        <v>751</v>
      </c>
      <c r="R36" s="242">
        <v>56712955</v>
      </c>
      <c r="S36" s="287">
        <f>R36</f>
        <v>56712955</v>
      </c>
      <c r="T36" s="243">
        <f t="shared" si="2"/>
        <v>0.33372288195401173</v>
      </c>
      <c r="U36" s="244"/>
      <c r="V36" s="244">
        <f>T36</f>
        <v>0.33372288195401173</v>
      </c>
    </row>
    <row r="37" spans="17:25">
      <c r="Q37" s="6" t="s">
        <v>780</v>
      </c>
      <c r="R37" s="242">
        <v>10000</v>
      </c>
      <c r="S37" s="288">
        <f>R37*O2</f>
        <v>301500</v>
      </c>
      <c r="T37" s="243">
        <f t="shared" si="2"/>
        <v>1.7741528176257882E-3</v>
      </c>
      <c r="U37" s="244">
        <f>T37</f>
        <v>1.7741528176257882E-3</v>
      </c>
      <c r="V37" s="244"/>
    </row>
    <row r="38" spans="17:25">
      <c r="Q38" s="6" t="s">
        <v>814</v>
      </c>
      <c r="R38" s="242">
        <v>50000000</v>
      </c>
      <c r="S38" s="288">
        <f>R38</f>
        <v>50000000</v>
      </c>
      <c r="T38" s="243">
        <f t="shared" si="2"/>
        <v>0.29422103111538778</v>
      </c>
      <c r="U38" s="244"/>
      <c r="V38" s="244">
        <f>T38</f>
        <v>0.29422103111538778</v>
      </c>
    </row>
    <row r="39" spans="17:25">
      <c r="Q39" s="6" t="s">
        <v>815</v>
      </c>
      <c r="R39" s="242">
        <v>0</v>
      </c>
      <c r="S39" s="288">
        <f>R39*O2</f>
        <v>0</v>
      </c>
      <c r="T39" s="243">
        <f t="shared" si="2"/>
        <v>0</v>
      </c>
      <c r="U39" s="244">
        <f>T39</f>
        <v>0</v>
      </c>
      <c r="V39" s="244"/>
    </row>
    <row r="40" spans="17:25">
      <c r="Q40" s="6" t="s">
        <v>812</v>
      </c>
      <c r="R40" s="242">
        <v>0</v>
      </c>
      <c r="S40" s="288">
        <f>R40</f>
        <v>0</v>
      </c>
      <c r="T40" s="243">
        <f t="shared" si="2"/>
        <v>0</v>
      </c>
      <c r="U40" s="244"/>
      <c r="V40" s="244">
        <f>T40</f>
        <v>0</v>
      </c>
    </row>
    <row r="41" spans="17:25">
      <c r="Q41" s="6" t="s">
        <v>813</v>
      </c>
      <c r="R41" s="242">
        <v>0</v>
      </c>
      <c r="S41" s="242">
        <f>R41*O2</f>
        <v>0</v>
      </c>
      <c r="T41" s="243">
        <f t="shared" si="2"/>
        <v>0</v>
      </c>
      <c r="U41" s="244">
        <f>T41</f>
        <v>0</v>
      </c>
      <c r="V41" s="244"/>
    </row>
    <row r="42" spans="17:25">
      <c r="Q42" s="276" t="s">
        <v>762</v>
      </c>
      <c r="R42" s="242">
        <v>0</v>
      </c>
      <c r="S42" s="242">
        <f>R42</f>
        <v>0</v>
      </c>
      <c r="T42" s="243">
        <f t="shared" si="2"/>
        <v>0</v>
      </c>
      <c r="U42" s="244"/>
      <c r="V42" s="244">
        <f>T42</f>
        <v>0</v>
      </c>
    </row>
    <row r="43" spans="17:25">
      <c r="Q43" s="6" t="s">
        <v>752</v>
      </c>
      <c r="R43" s="285"/>
      <c r="S43" s="285">
        <f>SUM(S34:S42)</f>
        <v>169940265.01249999</v>
      </c>
      <c r="T43" s="243">
        <f>SUM(T34:T42)</f>
        <v>1</v>
      </c>
      <c r="U43" s="244">
        <f>SUM(U34:U42)</f>
        <v>7.7835055815212842E-2</v>
      </c>
      <c r="V43" s="244">
        <f>SUM(V34:V42)</f>
        <v>0.92216494418478734</v>
      </c>
      <c r="Y43" s="24">
        <f>U43+V43</f>
        <v>1.0000000000000002</v>
      </c>
    </row>
  </sheetData>
  <mergeCells count="3">
    <mergeCell ref="F1:F2"/>
    <mergeCell ref="F3:F4"/>
    <mergeCell ref="F5:F6"/>
  </mergeCells>
  <phoneticPr fontId="5" type="noConversion"/>
  <pageMargins left="0.75" right="0.75" top="1" bottom="1" header="0.5" footer="0.5"/>
  <pageSetup paperSize="9" scale="23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Y44"/>
  <sheetViews>
    <sheetView view="pageBreakPreview" workbookViewId="0">
      <selection activeCell="A2" sqref="A2"/>
    </sheetView>
  </sheetViews>
  <sheetFormatPr defaultRowHeight="16.5"/>
  <cols>
    <col min="1" max="1" width="10.625" style="155" bestFit="1" customWidth="1"/>
    <col min="2" max="2" width="13.5" style="155" customWidth="1"/>
    <col min="3" max="3" width="15.625" style="155" customWidth="1"/>
    <col min="4" max="4" width="13.625" style="155" customWidth="1"/>
    <col min="5" max="5" width="13.25" style="155" customWidth="1"/>
    <col min="6" max="6" width="19.125" style="155" customWidth="1"/>
    <col min="7" max="7" width="18.75" style="155" customWidth="1"/>
    <col min="8" max="8" width="16" style="155" customWidth="1"/>
    <col min="9" max="9" width="15.5" style="155" customWidth="1"/>
    <col min="10" max="10" width="21.375" style="155" customWidth="1"/>
    <col min="11" max="11" width="18.875" style="155" customWidth="1"/>
    <col min="12" max="12" width="20.75" style="155" customWidth="1"/>
    <col min="13" max="13" width="18.625" style="155" customWidth="1"/>
    <col min="14" max="14" width="11.875" style="155" customWidth="1"/>
    <col min="15" max="15" width="11.625" style="155" customWidth="1"/>
    <col min="16" max="16" width="13.875" style="155" customWidth="1"/>
    <col min="17" max="17" width="20.375" style="291" customWidth="1"/>
    <col min="18" max="18" width="20.75" style="291" customWidth="1"/>
    <col min="19" max="19" width="16.875" style="291" customWidth="1"/>
    <col min="20" max="20" width="13.25" style="291" customWidth="1"/>
    <col min="21" max="21" width="11.375" style="291" customWidth="1"/>
    <col min="22" max="22" width="10.875" style="291" customWidth="1"/>
    <col min="23" max="24" width="9" style="291" hidden="1" customWidth="1"/>
    <col min="25" max="25" width="10.25" style="23" customWidth="1"/>
    <col min="26" max="16384" width="9" style="155"/>
  </cols>
  <sheetData>
    <row r="1" spans="1:25">
      <c r="A1" s="17" t="s">
        <v>137</v>
      </c>
      <c r="B1" s="18" t="s">
        <v>350</v>
      </c>
      <c r="C1" s="18" t="s">
        <v>138</v>
      </c>
      <c r="D1" s="18" t="s">
        <v>139</v>
      </c>
      <c r="E1" s="19" t="s">
        <v>140</v>
      </c>
      <c r="F1" s="514" t="s">
        <v>21</v>
      </c>
      <c r="G1" s="62" t="s">
        <v>157</v>
      </c>
      <c r="H1" s="9" t="s">
        <v>52</v>
      </c>
      <c r="I1" s="10" t="s">
        <v>53</v>
      </c>
      <c r="J1" s="62" t="s">
        <v>353</v>
      </c>
      <c r="K1" s="18" t="s">
        <v>353</v>
      </c>
      <c r="L1" s="19" t="s">
        <v>353</v>
      </c>
      <c r="M1" s="114" t="s">
        <v>49</v>
      </c>
      <c r="N1" s="102" t="s">
        <v>151</v>
      </c>
      <c r="O1" s="115" t="s">
        <v>712</v>
      </c>
    </row>
    <row r="2" spans="1:25" ht="17.25" thickBot="1">
      <c r="A2" s="13" t="s">
        <v>699</v>
      </c>
      <c r="B2" s="113">
        <f>C2/100000000</f>
        <v>0</v>
      </c>
      <c r="C2" s="86">
        <f>'ETF Update'!D72*1000</f>
        <v>0</v>
      </c>
      <c r="D2" s="86">
        <f>'ETF Update'!E72</f>
        <v>0</v>
      </c>
      <c r="E2" s="11">
        <f>'ETF Update'!C72</f>
        <v>22.6496</v>
      </c>
      <c r="F2" s="515"/>
      <c r="G2" s="63" t="e">
        <f>J2/(D2*1000)</f>
        <v>#REF!</v>
      </c>
      <c r="H2" s="64" t="e">
        <f>K2/(D2*1000)</f>
        <v>#REF!</v>
      </c>
      <c r="I2" s="65" t="e">
        <f>L2/(D2*1000)</f>
        <v>#REF!</v>
      </c>
      <c r="J2" s="107" t="e">
        <f>C2+(SUM(K10:K11)-SUM(G10:G11))-N10+C2*O10*(N2/O2-1)</f>
        <v>#REF!</v>
      </c>
      <c r="K2" s="108" t="e">
        <f>C2+(SUM(L10:L11)-SUM(G10:G11))-N10+C2*O10*(N2/O2-1)</f>
        <v>#REF!</v>
      </c>
      <c r="L2" s="109" t="e">
        <f>C2+(SUM(M10:M11)-SUM(G10:G11))-N10+C2*O10*(N2/O2-1)</f>
        <v>#REF!</v>
      </c>
      <c r="M2" s="114" t="s">
        <v>337</v>
      </c>
      <c r="N2" s="116" t="e">
        <f>匯率報價!D16</f>
        <v>#REF!</v>
      </c>
      <c r="O2" s="116">
        <v>30.15</v>
      </c>
      <c r="Q2" s="241" t="s">
        <v>861</v>
      </c>
      <c r="R2" s="74">
        <v>116938047</v>
      </c>
      <c r="V2" s="23"/>
    </row>
    <row r="3" spans="1:25">
      <c r="A3" s="17" t="s">
        <v>137</v>
      </c>
      <c r="B3" s="82" t="s">
        <v>350</v>
      </c>
      <c r="C3" s="18" t="s">
        <v>138</v>
      </c>
      <c r="D3" s="18" t="s">
        <v>139</v>
      </c>
      <c r="E3" s="19" t="s">
        <v>140</v>
      </c>
      <c r="F3" s="514" t="s">
        <v>21</v>
      </c>
      <c r="G3" s="62" t="s">
        <v>157</v>
      </c>
      <c r="H3" s="9" t="s">
        <v>52</v>
      </c>
      <c r="I3" s="10" t="s">
        <v>53</v>
      </c>
      <c r="J3" s="62" t="s">
        <v>353</v>
      </c>
      <c r="K3" s="18" t="s">
        <v>353</v>
      </c>
      <c r="L3" s="19" t="s">
        <v>353</v>
      </c>
      <c r="M3" s="114" t="s">
        <v>847</v>
      </c>
      <c r="N3" s="116" t="e">
        <f>匯率報價!D2</f>
        <v>#REF!</v>
      </c>
      <c r="O3" s="116">
        <v>111.39</v>
      </c>
      <c r="Q3" s="26" t="s">
        <v>753</v>
      </c>
      <c r="R3" s="26" t="s">
        <v>818</v>
      </c>
      <c r="S3" s="26" t="s">
        <v>816</v>
      </c>
      <c r="T3" s="26" t="s">
        <v>766</v>
      </c>
      <c r="U3" s="26" t="s">
        <v>767</v>
      </c>
      <c r="V3" s="26" t="s">
        <v>768</v>
      </c>
      <c r="W3" s="23"/>
    </row>
    <row r="4" spans="1:25" ht="17.25" thickBot="1">
      <c r="A4" s="13" t="s">
        <v>459</v>
      </c>
      <c r="B4" s="113">
        <f>C4/100000000</f>
        <v>1.0322499999999999</v>
      </c>
      <c r="C4" s="86">
        <f>'ETF Update'!D73*1000</f>
        <v>103225000</v>
      </c>
      <c r="D4" s="86">
        <f>'ETF Update'!E73</f>
        <v>6094</v>
      </c>
      <c r="E4" s="11">
        <f>'ETF Update'!C73</f>
        <v>16.938700000000001</v>
      </c>
      <c r="F4" s="515"/>
      <c r="G4" s="63" t="e">
        <f>J4/D4/1000</f>
        <v>#REF!</v>
      </c>
      <c r="H4" s="64" t="e">
        <f>K4/D4/1000</f>
        <v>#REF!</v>
      </c>
      <c r="I4" s="65" t="e">
        <f>L4/D4/1000</f>
        <v>#REF!</v>
      </c>
      <c r="J4" s="107" t="e">
        <f>C4+(SUM(K15:K16)-SUM(G15:G16))-N10+C4*O10*(N2/O2-1)</f>
        <v>#REF!</v>
      </c>
      <c r="K4" s="108" t="e">
        <f>C4+(SUM(L15:L16)-SUM(G15:G16))-N10+C4*O10*(N2/O2-1)</f>
        <v>#REF!</v>
      </c>
      <c r="L4" s="109" t="e">
        <f>C4+(SUM(M15:M16)-SUM(G15:G16))-N15+C4*O15*(N2/O2-1)</f>
        <v>#REF!</v>
      </c>
      <c r="M4" s="114" t="s">
        <v>848</v>
      </c>
      <c r="N4" s="116" t="e">
        <f>匯率報價!D7</f>
        <v>#REF!</v>
      </c>
      <c r="O4" s="116">
        <v>1.2</v>
      </c>
      <c r="Q4" s="272" t="s">
        <v>749</v>
      </c>
      <c r="R4" s="273">
        <v>0</v>
      </c>
      <c r="S4" s="289"/>
      <c r="T4" s="298">
        <f>S4/$S$13</f>
        <v>0</v>
      </c>
      <c r="U4" s="274"/>
      <c r="V4" s="274"/>
      <c r="W4" s="23" t="s">
        <v>769</v>
      </c>
      <c r="Y4" s="23" t="s">
        <v>851</v>
      </c>
    </row>
    <row r="5" spans="1:25">
      <c r="A5" s="17" t="s">
        <v>137</v>
      </c>
      <c r="B5" s="82" t="s">
        <v>350</v>
      </c>
      <c r="C5" s="18" t="s">
        <v>138</v>
      </c>
      <c r="D5" s="18" t="s">
        <v>139</v>
      </c>
      <c r="E5" s="19" t="s">
        <v>140</v>
      </c>
      <c r="F5" s="514" t="s">
        <v>21</v>
      </c>
      <c r="G5" s="62" t="s">
        <v>157</v>
      </c>
      <c r="H5" s="9" t="s">
        <v>52</v>
      </c>
      <c r="I5" s="10" t="s">
        <v>53</v>
      </c>
      <c r="J5" s="62" t="s">
        <v>353</v>
      </c>
      <c r="K5" s="18" t="s">
        <v>353</v>
      </c>
      <c r="L5" s="19" t="s">
        <v>353</v>
      </c>
      <c r="M5" s="114" t="s">
        <v>339</v>
      </c>
      <c r="N5" s="116" t="e">
        <f>匯率報價!D17</f>
        <v>#REF!</v>
      </c>
      <c r="O5" s="116">
        <v>4.5869999999999997</v>
      </c>
      <c r="Q5" s="275" t="s">
        <v>750</v>
      </c>
      <c r="R5" s="242">
        <v>10004345</v>
      </c>
      <c r="S5" s="287">
        <f>R5</f>
        <v>10004345</v>
      </c>
      <c r="T5" s="244">
        <f>S5/$S$13</f>
        <v>8.5342572307012643E-2</v>
      </c>
      <c r="U5" s="243"/>
      <c r="V5" s="243">
        <f>T5</f>
        <v>8.5342572307012643E-2</v>
      </c>
      <c r="W5" s="24" t="e">
        <f>T6+T8+T10+#REF!</f>
        <v>#REF!</v>
      </c>
      <c r="Y5" s="24">
        <f>U6+U8+U10</f>
        <v>0.65093958992112655</v>
      </c>
    </row>
    <row r="6" spans="1:25" ht="17.25" thickBot="1">
      <c r="A6" s="121" t="s">
        <v>457</v>
      </c>
      <c r="B6" s="113">
        <f>C6/100000000</f>
        <v>263.85993000000002</v>
      </c>
      <c r="C6" s="86">
        <f>'ETF Update'!D71*1000</f>
        <v>26385993000</v>
      </c>
      <c r="D6" s="86">
        <f>'ETF Update'!E71</f>
        <v>622692</v>
      </c>
      <c r="E6" s="11">
        <f>'ETF Update'!C71</f>
        <v>42.374099999999999</v>
      </c>
      <c r="F6" s="515"/>
      <c r="G6" s="63" t="e">
        <f>J6/D6/1000</f>
        <v>#REF!</v>
      </c>
      <c r="H6" s="64" t="e">
        <f>L6/D6/1000</f>
        <v>#REF!</v>
      </c>
      <c r="I6" s="65" t="e">
        <f>K6/D6/1000</f>
        <v>#REF!</v>
      </c>
      <c r="J6" s="107" t="e">
        <f>C6+(SUM(K20:K21)-SUM(G20:G21))-N20+C6*O20*(N2/O2-1)</f>
        <v>#REF!</v>
      </c>
      <c r="K6" s="108" t="e">
        <f>C6+(SUM(L20:L21)-SUM(G20:G21))-N20+C6*O20*(N2/O2-1)</f>
        <v>#REF!</v>
      </c>
      <c r="L6" s="109" t="e">
        <f>C6+(SUM(M20:M21)-SUM(G20:G21))-N20+C6*O20*(N2/O2-1)</f>
        <v>#REF!</v>
      </c>
      <c r="M6" s="114" t="s">
        <v>345</v>
      </c>
      <c r="N6" s="116" t="e">
        <f>匯率報價!D18</f>
        <v>#REF!</v>
      </c>
      <c r="O6" s="116">
        <v>3.8610000000000002</v>
      </c>
      <c r="Q6" s="275" t="s">
        <v>770</v>
      </c>
      <c r="R6" s="242">
        <v>672352.63</v>
      </c>
      <c r="S6" s="287">
        <f>R6*O2</f>
        <v>20271431.794500001</v>
      </c>
      <c r="T6" s="244">
        <f t="shared" ref="T6:T12" si="0">S6/$S$13</f>
        <v>0.17292647681470316</v>
      </c>
      <c r="U6" s="243">
        <f>T6</f>
        <v>0.17292647681470316</v>
      </c>
      <c r="V6" s="243"/>
      <c r="W6" s="23" t="s">
        <v>810</v>
      </c>
    </row>
    <row r="7" spans="1:25">
      <c r="Q7" s="6" t="s">
        <v>771</v>
      </c>
      <c r="R7" s="242">
        <v>30914515</v>
      </c>
      <c r="S7" s="287">
        <f>R7</f>
        <v>30914515</v>
      </c>
      <c r="T7" s="244">
        <f t="shared" si="0"/>
        <v>0.26371783777186081</v>
      </c>
      <c r="U7" s="244"/>
      <c r="V7" s="244">
        <f>T7</f>
        <v>0.26371783777186081</v>
      </c>
      <c r="W7" s="23">
        <v>0</v>
      </c>
    </row>
    <row r="8" spans="1:25" ht="17.25" thickBot="1">
      <c r="A8" s="13" t="s">
        <v>699</v>
      </c>
      <c r="E8" s="309"/>
      <c r="F8" s="309"/>
      <c r="G8" s="309"/>
      <c r="Q8" s="6" t="s">
        <v>759</v>
      </c>
      <c r="R8" s="242">
        <v>200180.24</v>
      </c>
      <c r="S8" s="288">
        <f>R8*O2</f>
        <v>6035434.2359999996</v>
      </c>
      <c r="T8" s="244">
        <f t="shared" si="0"/>
        <v>5.1485577785457176E-2</v>
      </c>
      <c r="U8" s="244">
        <f>T8</f>
        <v>5.1485577785457176E-2</v>
      </c>
      <c r="V8" s="244"/>
      <c r="W8" s="23"/>
    </row>
    <row r="9" spans="1:25" s="23" customFormat="1">
      <c r="A9" s="82" t="s">
        <v>319</v>
      </c>
      <c r="B9" s="82" t="s">
        <v>320</v>
      </c>
      <c r="C9" s="82" t="s">
        <v>231</v>
      </c>
      <c r="D9" s="82" t="s">
        <v>321</v>
      </c>
      <c r="E9" s="82" t="s">
        <v>322</v>
      </c>
      <c r="F9" s="82" t="s">
        <v>323</v>
      </c>
      <c r="G9" s="82" t="s">
        <v>324</v>
      </c>
      <c r="H9" s="82" t="s">
        <v>232</v>
      </c>
      <c r="I9" s="82" t="s">
        <v>325</v>
      </c>
      <c r="J9" s="82" t="s">
        <v>326</v>
      </c>
      <c r="K9" s="82" t="s">
        <v>327</v>
      </c>
      <c r="L9" s="82" t="s">
        <v>328</v>
      </c>
      <c r="M9" s="82" t="s">
        <v>329</v>
      </c>
      <c r="N9" s="250" t="s">
        <v>787</v>
      </c>
      <c r="O9" s="250" t="s">
        <v>788</v>
      </c>
      <c r="Q9" s="6" t="s">
        <v>849</v>
      </c>
      <c r="R9" s="242">
        <v>0</v>
      </c>
      <c r="S9" s="288">
        <f>R9</f>
        <v>0</v>
      </c>
      <c r="T9" s="244">
        <f t="shared" si="0"/>
        <v>0</v>
      </c>
      <c r="U9" s="244"/>
      <c r="V9" s="244">
        <f>T9</f>
        <v>0</v>
      </c>
    </row>
    <row r="10" spans="1:25">
      <c r="A10" s="25" t="e">
        <f>G10/C2</f>
        <v>#DIV/0!</v>
      </c>
      <c r="B10" s="26" t="s">
        <v>704</v>
      </c>
      <c r="C10" s="26" t="s">
        <v>701</v>
      </c>
      <c r="D10" s="26">
        <v>1000</v>
      </c>
      <c r="E10" s="84">
        <f>群益海期報價!K25</f>
        <v>171.5625</v>
      </c>
      <c r="F10" s="26">
        <v>0</v>
      </c>
      <c r="G10" s="71">
        <f>F10*E10*D10*O2</f>
        <v>0</v>
      </c>
      <c r="H10" s="84">
        <f>群益海期報價!H25</f>
        <v>172.40625</v>
      </c>
      <c r="I10" s="84">
        <f>群益海期報價!L25</f>
        <v>172.34375</v>
      </c>
      <c r="J10" s="84">
        <f>群益海期報價!N25</f>
        <v>172.4375</v>
      </c>
      <c r="K10" s="112" t="e">
        <f>IF(ISNUMBER(H10)=TRUE,H10*$F$10*$D$10,E10*$F$10*$D$10)*N2</f>
        <v>#REF!</v>
      </c>
      <c r="L10" s="112" t="e">
        <f>IF(ISNUMBER(I10)=TRUE,I10*$F$10*$D$10,F10*$F$10*$D$10)*N2</f>
        <v>#REF!</v>
      </c>
      <c r="M10" s="112" t="e">
        <f>IF(ISNUMBER(J10)=TRUE,J10*$F$10*$D$10,G10*$F$10*$D$10)*N2</f>
        <v>#REF!</v>
      </c>
      <c r="N10" s="90" t="e">
        <f>1.04%/365*(C2+SUM(K10:K11)-SUM(G10:G11))</f>
        <v>#REF!</v>
      </c>
      <c r="O10" s="98">
        <f>Y5</f>
        <v>0.65093958992112655</v>
      </c>
      <c r="Q10" s="6" t="s">
        <v>850</v>
      </c>
      <c r="R10" s="242">
        <v>50000000</v>
      </c>
      <c r="S10" s="288">
        <f>R10</f>
        <v>50000000</v>
      </c>
      <c r="T10" s="244">
        <f t="shared" si="0"/>
        <v>0.42652753532096627</v>
      </c>
      <c r="U10" s="244">
        <f>T10</f>
        <v>0.42652753532096627</v>
      </c>
      <c r="V10" s="244"/>
      <c r="W10" s="24"/>
    </row>
    <row r="11" spans="1:25">
      <c r="A11" s="25" t="e">
        <f>G11/C2</f>
        <v>#DIV/0!</v>
      </c>
      <c r="B11" s="26" t="s">
        <v>704</v>
      </c>
      <c r="C11" s="26" t="s">
        <v>703</v>
      </c>
      <c r="D11" s="26">
        <v>1000</v>
      </c>
      <c r="E11" s="84">
        <f>群益海期報價!K26</f>
        <v>170.5625</v>
      </c>
      <c r="F11" s="26">
        <v>48</v>
      </c>
      <c r="G11" s="71">
        <f>F11*E11*D11*O2</f>
        <v>246838050</v>
      </c>
      <c r="H11" s="84">
        <f>群益海期報價!H26</f>
        <v>171.375</v>
      </c>
      <c r="I11" s="84">
        <f>群益海期報價!L26</f>
        <v>171.375</v>
      </c>
      <c r="J11" s="84">
        <f>群益海期報價!N26</f>
        <v>171.40625</v>
      </c>
      <c r="K11" s="112" t="e">
        <f>IF(ISNUMBER(H11)=TRUE,H11*$F$11*$D$11,E11*$F$11*$D$11)*N2</f>
        <v>#REF!</v>
      </c>
      <c r="L11" s="112" t="e">
        <f>IF(ISNUMBER(I11)=TRUE,I11*$F$11*$D$11,F11*$F$11*$D$11)*N2</f>
        <v>#REF!</v>
      </c>
      <c r="M11" s="112" t="e">
        <f>IF(ISNUMBER(J11)=TRUE,J11*$F$11*$D$11,G11*$F$11*$D$11)*N2</f>
        <v>#REF!</v>
      </c>
      <c r="Q11" s="6" t="s">
        <v>812</v>
      </c>
      <c r="R11" s="242">
        <v>0</v>
      </c>
      <c r="S11" s="288">
        <f>R11</f>
        <v>0</v>
      </c>
      <c r="T11" s="244">
        <f t="shared" si="0"/>
        <v>0</v>
      </c>
      <c r="U11" s="244"/>
      <c r="V11" s="244">
        <f>T11</f>
        <v>0</v>
      </c>
      <c r="W11" s="23"/>
    </row>
    <row r="12" spans="1:25">
      <c r="A12" s="4"/>
      <c r="Q12" s="276" t="s">
        <v>772</v>
      </c>
      <c r="R12" s="299">
        <v>0</v>
      </c>
      <c r="S12" s="299">
        <f>R12</f>
        <v>0</v>
      </c>
      <c r="T12" s="21">
        <f t="shared" si="0"/>
        <v>0</v>
      </c>
      <c r="U12" s="21"/>
      <c r="V12" s="21">
        <f>T12</f>
        <v>0</v>
      </c>
      <c r="W12" s="23"/>
    </row>
    <row r="13" spans="1:25" ht="17.25" thickBot="1">
      <c r="A13" s="13" t="s">
        <v>459</v>
      </c>
      <c r="Q13" s="6" t="s">
        <v>763</v>
      </c>
      <c r="R13" s="285"/>
      <c r="S13" s="285">
        <f>SUM(S5:S12)</f>
        <v>117225726.03049999</v>
      </c>
      <c r="T13" s="244">
        <f>SUM(T5:T12)</f>
        <v>1</v>
      </c>
      <c r="U13" s="244">
        <f>SUM(U5:U12)</f>
        <v>0.65093958992112655</v>
      </c>
      <c r="V13" s="244">
        <f>SUM(V5:V12)</f>
        <v>0.34906041007887345</v>
      </c>
      <c r="W13" s="23"/>
      <c r="Y13" s="24">
        <f>U13+V13</f>
        <v>1</v>
      </c>
    </row>
    <row r="14" spans="1:25" s="23" customFormat="1">
      <c r="A14" s="82" t="s">
        <v>319</v>
      </c>
      <c r="B14" s="82" t="s">
        <v>320</v>
      </c>
      <c r="C14" s="82" t="s">
        <v>231</v>
      </c>
      <c r="D14" s="82" t="s">
        <v>321</v>
      </c>
      <c r="E14" s="82" t="s">
        <v>322</v>
      </c>
      <c r="F14" s="82" t="s">
        <v>323</v>
      </c>
      <c r="G14" s="82" t="s">
        <v>324</v>
      </c>
      <c r="H14" s="82" t="s">
        <v>232</v>
      </c>
      <c r="I14" s="82" t="s">
        <v>325</v>
      </c>
      <c r="J14" s="82" t="s">
        <v>326</v>
      </c>
      <c r="K14" s="82" t="s">
        <v>327</v>
      </c>
      <c r="L14" s="82" t="s">
        <v>328</v>
      </c>
      <c r="M14" s="82" t="s">
        <v>329</v>
      </c>
      <c r="N14" s="250" t="s">
        <v>787</v>
      </c>
      <c r="O14" s="250" t="s">
        <v>788</v>
      </c>
      <c r="W14" s="291"/>
    </row>
    <row r="15" spans="1:25">
      <c r="A15" s="25">
        <f>G15/C4</f>
        <v>0</v>
      </c>
      <c r="B15" s="26" t="s">
        <v>704</v>
      </c>
      <c r="C15" s="26" t="s">
        <v>701</v>
      </c>
      <c r="D15" s="26">
        <v>1000</v>
      </c>
      <c r="E15" s="84">
        <f>群益海期報價!K25</f>
        <v>171.5625</v>
      </c>
      <c r="F15" s="122">
        <v>0</v>
      </c>
      <c r="G15" s="112">
        <f>F15*E15*D15*O2</f>
        <v>0</v>
      </c>
      <c r="H15" s="84">
        <f>群益海期報價!H25</f>
        <v>172.40625</v>
      </c>
      <c r="I15" s="84">
        <f>群益海期報價!L25</f>
        <v>172.34375</v>
      </c>
      <c r="J15" s="84">
        <f>群益海期報價!N25</f>
        <v>172.4375</v>
      </c>
      <c r="K15" s="112" t="e">
        <f>IF(ISNUMBER(H15)=TRUE,H15*$F$15*$D$15,E15*$F$15*$D$15)*N2</f>
        <v>#REF!</v>
      </c>
      <c r="L15" s="112" t="e">
        <f>IF(ISNUMBER(I15)=TRUE,I15*$F$15*$D$15,F15*$F$15*$D$15)*N2</f>
        <v>#REF!</v>
      </c>
      <c r="M15" s="112" t="e">
        <f>IF(ISNUMBER(J15)=TRUE,J15*$F$15*$D$15,G15*$F$15*$D$15)*N2</f>
        <v>#REF!</v>
      </c>
      <c r="N15" s="90" t="e">
        <f>1.04%/365*(C4+SUM(K15:K15)-SUM(G15:G15))</f>
        <v>#REF!</v>
      </c>
      <c r="O15" s="98">
        <f>Y19</f>
        <v>0.20331687470772375</v>
      </c>
      <c r="W15" s="4">
        <f>U13+V13</f>
        <v>1</v>
      </c>
    </row>
    <row r="16" spans="1:25">
      <c r="A16" s="25" t="e">
        <f>G16/C5</f>
        <v>#VALUE!</v>
      </c>
      <c r="B16" s="26" t="s">
        <v>704</v>
      </c>
      <c r="C16" s="26" t="s">
        <v>702</v>
      </c>
      <c r="D16" s="26">
        <v>1000</v>
      </c>
      <c r="E16" s="84">
        <f>群益海期報價!K26</f>
        <v>170.5625</v>
      </c>
      <c r="F16" s="122">
        <v>-35</v>
      </c>
      <c r="G16" s="112">
        <f>F16*E16*D16*O3</f>
        <v>-664963490.625</v>
      </c>
      <c r="H16" s="84">
        <f>群益海期報價!H26</f>
        <v>171.375</v>
      </c>
      <c r="I16" s="84">
        <f>群益海期報價!L26</f>
        <v>171.375</v>
      </c>
      <c r="J16" s="84">
        <f>群益海期報價!N26</f>
        <v>171.40625</v>
      </c>
      <c r="K16" s="112" t="e">
        <f>IF(ISNUMBER(H16)=TRUE,H16*$F$16*$D$16,E16*$F$16*$D$16)*N3</f>
        <v>#REF!</v>
      </c>
      <c r="L16" s="112" t="e">
        <f>IF(ISNUMBER(I16)=TRUE,I16*$F$16*$D$16,F16*$F$16*$D$16)*N3</f>
        <v>#REF!</v>
      </c>
      <c r="M16" s="112" t="e">
        <f>IF(ISNUMBER(J16)=TRUE,J16*$F$16*$D$16,G16*$F$16*$D$16)*N3</f>
        <v>#REF!</v>
      </c>
      <c r="Q16" s="241" t="s">
        <v>862</v>
      </c>
      <c r="R16" s="74">
        <v>170788469</v>
      </c>
      <c r="V16" s="23"/>
    </row>
    <row r="17" spans="1:25">
      <c r="A17" s="4"/>
      <c r="F17" s="5"/>
      <c r="Q17" s="26" t="s">
        <v>753</v>
      </c>
      <c r="R17" s="26" t="s">
        <v>818</v>
      </c>
      <c r="S17" s="26" t="s">
        <v>816</v>
      </c>
      <c r="T17" s="26" t="s">
        <v>766</v>
      </c>
      <c r="U17" s="26" t="s">
        <v>767</v>
      </c>
      <c r="V17" s="26" t="s">
        <v>768</v>
      </c>
    </row>
    <row r="18" spans="1:25" ht="17.25" thickBot="1">
      <c r="A18" s="121" t="s">
        <v>457</v>
      </c>
      <c r="Q18" s="272" t="s">
        <v>749</v>
      </c>
      <c r="R18" s="273">
        <v>0</v>
      </c>
      <c r="S18" s="289"/>
      <c r="T18" s="274"/>
      <c r="U18" s="274"/>
      <c r="V18" s="274"/>
      <c r="W18" s="23"/>
      <c r="X18" s="23"/>
      <c r="Y18" s="23" t="s">
        <v>851</v>
      </c>
    </row>
    <row r="19" spans="1:25" s="23" customFormat="1">
      <c r="A19" s="82" t="s">
        <v>319</v>
      </c>
      <c r="B19" s="82" t="s">
        <v>320</v>
      </c>
      <c r="C19" s="82" t="s">
        <v>231</v>
      </c>
      <c r="D19" s="82" t="s">
        <v>321</v>
      </c>
      <c r="E19" s="82" t="s">
        <v>322</v>
      </c>
      <c r="F19" s="82" t="s">
        <v>323</v>
      </c>
      <c r="G19" s="82" t="s">
        <v>324</v>
      </c>
      <c r="H19" s="82" t="s">
        <v>232</v>
      </c>
      <c r="I19" s="82" t="s">
        <v>325</v>
      </c>
      <c r="J19" s="82" t="s">
        <v>326</v>
      </c>
      <c r="K19" s="82" t="s">
        <v>327</v>
      </c>
      <c r="L19" s="82" t="s">
        <v>328</v>
      </c>
      <c r="M19" s="82" t="s">
        <v>329</v>
      </c>
      <c r="N19" s="250" t="s">
        <v>787</v>
      </c>
      <c r="O19" s="250" t="s">
        <v>788</v>
      </c>
      <c r="Q19" s="275" t="s">
        <v>750</v>
      </c>
      <c r="R19" s="242">
        <v>35005741</v>
      </c>
      <c r="S19" s="287">
        <f>R19</f>
        <v>35005741</v>
      </c>
      <c r="T19" s="243">
        <f>S19/$S$28</f>
        <v>0.20458752389593021</v>
      </c>
      <c r="U19" s="243"/>
      <c r="V19" s="243">
        <f>T19</f>
        <v>0.20458752389593021</v>
      </c>
      <c r="W19" s="291"/>
      <c r="X19" s="291"/>
      <c r="Y19" s="24">
        <f>U20+U22+U24+U26</f>
        <v>0.20331687470772375</v>
      </c>
    </row>
    <row r="20" spans="1:25">
      <c r="A20" s="25">
        <f>G20/C6</f>
        <v>1.9603618385709417E-4</v>
      </c>
      <c r="B20" s="26" t="s">
        <v>704</v>
      </c>
      <c r="C20" s="26" t="s">
        <v>701</v>
      </c>
      <c r="D20" s="26">
        <v>1000</v>
      </c>
      <c r="E20" s="84">
        <f>群益海期報價!K25</f>
        <v>171.5625</v>
      </c>
      <c r="F20" s="122">
        <v>1</v>
      </c>
      <c r="G20" s="112">
        <f>F20*E20*D20*O2</f>
        <v>5172609.375</v>
      </c>
      <c r="H20" s="84">
        <f>群益海期報價!H25</f>
        <v>172.40625</v>
      </c>
      <c r="I20" s="84">
        <f>群益海期報價!L25</f>
        <v>172.34375</v>
      </c>
      <c r="J20" s="84">
        <f>群益海期報價!N25</f>
        <v>172.4375</v>
      </c>
      <c r="K20" s="112" t="e">
        <f>IF(ISNUMBER(H20)=TRUE,H20*$F$20*$D$20,E20*$F$20*$D$20)*N2</f>
        <v>#REF!</v>
      </c>
      <c r="L20" s="112" t="e">
        <f>IF(ISNUMBER(I20)=TRUE,I20*$F$20*$D$20,F20*$F$20*$D$20)*N2</f>
        <v>#REF!</v>
      </c>
      <c r="M20" s="112" t="e">
        <f>IF(ISNUMBER(J20)=TRUE,J20*$F$20*$D$20,G20*$F$20*$D$20)*N2</f>
        <v>#REF!</v>
      </c>
      <c r="N20" s="90" t="e">
        <f>1.04%/365*(C4+SUM(K20:K20)-SUM(G20:G20))</f>
        <v>#REF!</v>
      </c>
      <c r="O20" s="98">
        <f>Y34</f>
        <v>0.98821008032341229</v>
      </c>
      <c r="Q20" s="275" t="s">
        <v>770</v>
      </c>
      <c r="R20" s="242">
        <v>1140873.6399999999</v>
      </c>
      <c r="S20" s="287">
        <f>R20*O2</f>
        <v>34397340.245999992</v>
      </c>
      <c r="T20" s="243">
        <f t="shared" ref="T20:T27" si="1">S20/$S$28</f>
        <v>0.20103178702987506</v>
      </c>
      <c r="U20" s="243">
        <f>T20</f>
        <v>0.20103178702987506</v>
      </c>
      <c r="V20" s="243"/>
      <c r="W20" s="23"/>
    </row>
    <row r="21" spans="1:25">
      <c r="A21" s="25" t="e">
        <f>G21/C7</f>
        <v>#DIV/0!</v>
      </c>
      <c r="B21" s="26" t="s">
        <v>704</v>
      </c>
      <c r="C21" s="26" t="s">
        <v>702</v>
      </c>
      <c r="D21" s="26">
        <v>1000</v>
      </c>
      <c r="E21" s="84">
        <f>群益海期報價!K26</f>
        <v>170.5625</v>
      </c>
      <c r="F21" s="122">
        <v>1</v>
      </c>
      <c r="G21" s="112">
        <f>F21*E21*D21*O3</f>
        <v>18998956.875</v>
      </c>
      <c r="H21" s="84">
        <f>群益海期報價!H26</f>
        <v>171.375</v>
      </c>
      <c r="I21" s="84">
        <f>群益海期報價!L26</f>
        <v>171.375</v>
      </c>
      <c r="J21" s="84">
        <f>群益海期報價!N26</f>
        <v>171.40625</v>
      </c>
      <c r="K21" s="112" t="e">
        <f>IF(ISNUMBER(H21)=TRUE,H21*$F$21*$D$21,E21*$F$21*$D$21)*N3</f>
        <v>#REF!</v>
      </c>
      <c r="L21" s="112" t="e">
        <f>IF(ISNUMBER(I21)=TRUE,I21*$F$21*$D$21,F21*$F$21*$D$21)*N3</f>
        <v>#REF!</v>
      </c>
      <c r="M21" s="112" t="e">
        <f>IF(ISNUMBER(J21)=TRUE,J21*$F$21*$D$21,G21*$F$21*$D$21)*N3</f>
        <v>#REF!</v>
      </c>
      <c r="Q21" s="6" t="s">
        <v>771</v>
      </c>
      <c r="R21" s="242">
        <v>21309918</v>
      </c>
      <c r="S21" s="287">
        <f>R21</f>
        <v>21309918</v>
      </c>
      <c r="T21" s="243">
        <f t="shared" si="1"/>
        <v>0.12454366722433653</v>
      </c>
      <c r="U21" s="244"/>
      <c r="V21" s="244">
        <f>T21</f>
        <v>0.12454366722433653</v>
      </c>
      <c r="W21" s="23" t="s">
        <v>769</v>
      </c>
    </row>
    <row r="22" spans="1:25">
      <c r="Q22" s="6" t="s">
        <v>759</v>
      </c>
      <c r="R22" s="242">
        <v>12968.08</v>
      </c>
      <c r="S22" s="288">
        <f>R22*O2</f>
        <v>390987.61199999996</v>
      </c>
      <c r="T22" s="243">
        <f t="shared" si="1"/>
        <v>2.2850876778486903E-3</v>
      </c>
      <c r="U22" s="244">
        <f>T22</f>
        <v>2.2850876778486903E-3</v>
      </c>
      <c r="V22" s="244"/>
      <c r="W22" s="24">
        <f>T20+T22+T24+T26</f>
        <v>0.20331687470772375</v>
      </c>
    </row>
    <row r="23" spans="1:25">
      <c r="Q23" s="6" t="s">
        <v>814</v>
      </c>
      <c r="R23" s="242">
        <v>80000000</v>
      </c>
      <c r="S23" s="288">
        <f>R23</f>
        <v>80000000</v>
      </c>
      <c r="T23" s="243">
        <f t="shared" si="1"/>
        <v>0.46755193417200958</v>
      </c>
      <c r="U23" s="244"/>
      <c r="V23" s="244">
        <f>T23</f>
        <v>0.46755193417200958</v>
      </c>
      <c r="W23" s="23" t="s">
        <v>810</v>
      </c>
    </row>
    <row r="24" spans="1:25">
      <c r="Q24" s="6" t="s">
        <v>815</v>
      </c>
      <c r="R24" s="242">
        <v>0</v>
      </c>
      <c r="S24" s="288">
        <f>R24*O2</f>
        <v>0</v>
      </c>
      <c r="T24" s="243">
        <f t="shared" si="1"/>
        <v>0</v>
      </c>
      <c r="U24" s="244">
        <f>T24</f>
        <v>0</v>
      </c>
      <c r="V24" s="244"/>
      <c r="W24" s="23">
        <v>0</v>
      </c>
    </row>
    <row r="25" spans="1:25">
      <c r="Q25" s="6" t="s">
        <v>812</v>
      </c>
      <c r="R25" s="242">
        <v>0</v>
      </c>
      <c r="S25" s="288">
        <f>R25</f>
        <v>0</v>
      </c>
      <c r="T25" s="243">
        <f t="shared" si="1"/>
        <v>0</v>
      </c>
      <c r="U25" s="244"/>
      <c r="V25" s="244">
        <f>T25</f>
        <v>0</v>
      </c>
      <c r="W25" s="23"/>
    </row>
    <row r="26" spans="1:25">
      <c r="Q26" s="6" t="s">
        <v>813</v>
      </c>
      <c r="R26" s="242">
        <v>0</v>
      </c>
      <c r="S26" s="242">
        <f>R26*O2</f>
        <v>0</v>
      </c>
      <c r="T26" s="243">
        <f t="shared" si="1"/>
        <v>0</v>
      </c>
      <c r="U26" s="244">
        <f>T26</f>
        <v>0</v>
      </c>
      <c r="V26" s="244"/>
      <c r="W26" s="23"/>
    </row>
    <row r="27" spans="1:25">
      <c r="Q27" s="276" t="s">
        <v>772</v>
      </c>
      <c r="R27" s="242">
        <v>0</v>
      </c>
      <c r="S27" s="242">
        <f>R27</f>
        <v>0</v>
      </c>
      <c r="T27" s="243">
        <f t="shared" si="1"/>
        <v>0</v>
      </c>
      <c r="U27" s="244"/>
      <c r="V27" s="244">
        <f>T27</f>
        <v>0</v>
      </c>
      <c r="W27" s="24"/>
    </row>
    <row r="28" spans="1:25">
      <c r="Q28" s="6" t="s">
        <v>763</v>
      </c>
      <c r="R28" s="285"/>
      <c r="S28" s="285">
        <f>SUM(S19:S27)</f>
        <v>171103986.85799998</v>
      </c>
      <c r="T28" s="284">
        <f>SUM(T19:T27)</f>
        <v>1</v>
      </c>
      <c r="U28" s="244">
        <f>SUM(U19:U27)</f>
        <v>0.20331687470772375</v>
      </c>
      <c r="V28" s="244">
        <f>SUM(V19:V27)</f>
        <v>0.79668312529227636</v>
      </c>
      <c r="W28" s="23"/>
      <c r="Y28" s="24">
        <f>U28+V28</f>
        <v>1</v>
      </c>
    </row>
    <row r="29" spans="1:25">
      <c r="W29" s="23"/>
    </row>
    <row r="30" spans="1:25">
      <c r="W30" s="23"/>
    </row>
    <row r="31" spans="1:25">
      <c r="Q31" s="241" t="s">
        <v>863</v>
      </c>
      <c r="R31" s="74">
        <v>25120226285</v>
      </c>
      <c r="V31" s="23"/>
    </row>
    <row r="32" spans="1:25">
      <c r="Q32" s="26" t="s">
        <v>773</v>
      </c>
      <c r="R32" s="26" t="s">
        <v>817</v>
      </c>
      <c r="S32" s="26" t="s">
        <v>765</v>
      </c>
      <c r="T32" s="26" t="s">
        <v>766</v>
      </c>
      <c r="U32" s="26" t="s">
        <v>852</v>
      </c>
      <c r="V32" s="26" t="s">
        <v>747</v>
      </c>
      <c r="W32" s="4">
        <f>U28+V28</f>
        <v>1</v>
      </c>
    </row>
    <row r="33" spans="17:25">
      <c r="Q33" s="272" t="s">
        <v>748</v>
      </c>
      <c r="R33" s="273">
        <v>0</v>
      </c>
      <c r="S33" s="289"/>
      <c r="T33" s="274"/>
      <c r="U33" s="274"/>
      <c r="V33" s="274"/>
      <c r="Y33" s="23" t="s">
        <v>851</v>
      </c>
    </row>
    <row r="34" spans="17:25">
      <c r="Q34" s="275" t="s">
        <v>781</v>
      </c>
      <c r="R34" s="242">
        <v>0</v>
      </c>
      <c r="S34" s="287">
        <f>R34</f>
        <v>0</v>
      </c>
      <c r="T34" s="243">
        <f t="shared" ref="T34:T43" si="2">S34/$S$44</f>
        <v>0</v>
      </c>
      <c r="U34" s="243"/>
      <c r="V34" s="243">
        <f>T34</f>
        <v>0</v>
      </c>
      <c r="Y34" s="24">
        <f>U35+U37+U39+U41+U42</f>
        <v>0.98821008032341229</v>
      </c>
    </row>
    <row r="35" spans="17:25">
      <c r="Q35" s="275" t="s">
        <v>770</v>
      </c>
      <c r="R35" s="242">
        <v>5.14</v>
      </c>
      <c r="S35" s="287">
        <f>R35*O2</f>
        <v>154.97099999999998</v>
      </c>
      <c r="T35" s="243">
        <f t="shared" si="2"/>
        <v>6.0577487959287177E-9</v>
      </c>
      <c r="U35" s="243">
        <f>T35</f>
        <v>6.0577487959287177E-9</v>
      </c>
      <c r="V35" s="243"/>
    </row>
    <row r="36" spans="17:25">
      <c r="Q36" s="6" t="s">
        <v>751</v>
      </c>
      <c r="R36" s="242">
        <v>301612976</v>
      </c>
      <c r="S36" s="287">
        <f>R36</f>
        <v>301612976</v>
      </c>
      <c r="T36" s="243">
        <f t="shared" si="2"/>
        <v>1.1789919676587733E-2</v>
      </c>
      <c r="U36" s="244"/>
      <c r="V36" s="244">
        <f>T36</f>
        <v>1.1789919676587733E-2</v>
      </c>
    </row>
    <row r="37" spans="17:25">
      <c r="Q37" s="6" t="s">
        <v>780</v>
      </c>
      <c r="R37" s="242">
        <v>0</v>
      </c>
      <c r="S37" s="288">
        <f>R37*O2</f>
        <v>0</v>
      </c>
      <c r="T37" s="243">
        <f t="shared" si="2"/>
        <v>0</v>
      </c>
      <c r="U37" s="244">
        <f>T37</f>
        <v>0</v>
      </c>
      <c r="V37" s="244"/>
    </row>
    <row r="38" spans="17:25">
      <c r="Q38" s="6" t="s">
        <v>814</v>
      </c>
      <c r="R38" s="242">
        <v>0</v>
      </c>
      <c r="S38" s="288">
        <f>R38</f>
        <v>0</v>
      </c>
      <c r="T38" s="243">
        <f t="shared" si="2"/>
        <v>0</v>
      </c>
      <c r="U38" s="244"/>
      <c r="V38" s="244">
        <f>T38</f>
        <v>0</v>
      </c>
    </row>
    <row r="39" spans="17:25">
      <c r="Q39" s="6" t="s">
        <v>815</v>
      </c>
      <c r="R39" s="242">
        <v>0</v>
      </c>
      <c r="S39" s="288">
        <f>R39*O2</f>
        <v>0</v>
      </c>
      <c r="T39" s="243">
        <f t="shared" si="2"/>
        <v>0</v>
      </c>
      <c r="U39" s="244">
        <f>T39</f>
        <v>0</v>
      </c>
      <c r="V39" s="244"/>
    </row>
    <row r="40" spans="17:25">
      <c r="Q40" s="6" t="s">
        <v>812</v>
      </c>
      <c r="R40" s="242">
        <v>0</v>
      </c>
      <c r="S40" s="288">
        <f>R40</f>
        <v>0</v>
      </c>
      <c r="T40" s="243">
        <f t="shared" si="2"/>
        <v>0</v>
      </c>
      <c r="U40" s="244"/>
      <c r="V40" s="244">
        <f>T40</f>
        <v>0</v>
      </c>
    </row>
    <row r="41" spans="17:25">
      <c r="Q41" s="6" t="s">
        <v>813</v>
      </c>
      <c r="R41" s="242">
        <v>5325219.95</v>
      </c>
      <c r="S41" s="242">
        <f>R41*O2</f>
        <v>160555381.49250001</v>
      </c>
      <c r="T41" s="243">
        <f t="shared" si="2"/>
        <v>6.2760398327175275E-3</v>
      </c>
      <c r="U41" s="244">
        <f>T41</f>
        <v>6.2760398327175275E-3</v>
      </c>
      <c r="V41" s="244"/>
    </row>
    <row r="42" spans="17:25">
      <c r="Q42" s="6" t="s">
        <v>864</v>
      </c>
      <c r="R42" s="242">
        <f>S42/O2</f>
        <v>833171051.9883914</v>
      </c>
      <c r="S42" s="242">
        <v>25120107217.450001</v>
      </c>
      <c r="T42" s="243">
        <f t="shared" si="2"/>
        <v>0.98193403443294591</v>
      </c>
      <c r="U42" s="244">
        <f>T42</f>
        <v>0.98193403443294591</v>
      </c>
      <c r="V42" s="244"/>
    </row>
    <row r="43" spans="17:25">
      <c r="Q43" s="276" t="s">
        <v>762</v>
      </c>
      <c r="R43" s="242">
        <v>0</v>
      </c>
      <c r="S43" s="242">
        <f>R43</f>
        <v>0</v>
      </c>
      <c r="T43" s="243">
        <f t="shared" si="2"/>
        <v>0</v>
      </c>
      <c r="U43" s="244"/>
      <c r="V43" s="244">
        <f>T43</f>
        <v>0</v>
      </c>
      <c r="Y43" s="24">
        <f>U44+V44</f>
        <v>1</v>
      </c>
    </row>
    <row r="44" spans="17:25">
      <c r="Q44" s="6" t="s">
        <v>752</v>
      </c>
      <c r="R44" s="285"/>
      <c r="S44" s="285">
        <f>SUM(S34:S43)</f>
        <v>25582275729.913502</v>
      </c>
      <c r="T44" s="243">
        <f>SUM(T34:T43)</f>
        <v>1</v>
      </c>
      <c r="U44" s="244">
        <f>SUM(U34:U43)</f>
        <v>0.98821008032341229</v>
      </c>
      <c r="V44" s="244">
        <f>SUM(V34:V43)</f>
        <v>1.1789919676587733E-2</v>
      </c>
    </row>
  </sheetData>
  <mergeCells count="3">
    <mergeCell ref="F1:F2"/>
    <mergeCell ref="F3:F4"/>
    <mergeCell ref="F5:F6"/>
  </mergeCells>
  <phoneticPr fontId="5" type="noConversion"/>
  <pageMargins left="0.75" right="0.75" top="1" bottom="1" header="0.5" footer="0.5"/>
  <pageSetup paperSize="9" scale="23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Y44"/>
  <sheetViews>
    <sheetView view="pageBreakPreview" workbookViewId="0">
      <selection activeCell="A2" sqref="A2"/>
    </sheetView>
  </sheetViews>
  <sheetFormatPr defaultRowHeight="16.5"/>
  <cols>
    <col min="1" max="1" width="10.625" style="211" bestFit="1" customWidth="1"/>
    <col min="2" max="2" width="13.5" style="211" customWidth="1"/>
    <col min="3" max="3" width="15.625" style="211" customWidth="1"/>
    <col min="4" max="4" width="13.625" style="211" customWidth="1"/>
    <col min="5" max="5" width="13.25" style="211" customWidth="1"/>
    <col min="6" max="6" width="19.125" style="211" customWidth="1"/>
    <col min="7" max="7" width="18.75" style="211" customWidth="1"/>
    <col min="8" max="8" width="16" style="211" customWidth="1"/>
    <col min="9" max="9" width="15.5" style="211" customWidth="1"/>
    <col min="10" max="10" width="21.375" style="211" customWidth="1"/>
    <col min="11" max="11" width="18.875" style="211" customWidth="1"/>
    <col min="12" max="12" width="20.75" style="211" customWidth="1"/>
    <col min="13" max="13" width="18.625" style="211" customWidth="1"/>
    <col min="14" max="14" width="11.875" style="211" customWidth="1"/>
    <col min="15" max="15" width="16.375" style="211" customWidth="1"/>
    <col min="16" max="16" width="5.75" style="211" customWidth="1"/>
    <col min="17" max="17" width="20.375" style="291" customWidth="1"/>
    <col min="18" max="18" width="20.75" style="291" customWidth="1"/>
    <col min="19" max="19" width="16.875" style="291" customWidth="1"/>
    <col min="20" max="20" width="13.25" style="291" customWidth="1"/>
    <col min="21" max="21" width="11.375" style="291" customWidth="1"/>
    <col min="22" max="22" width="10.875" style="291" customWidth="1"/>
    <col min="23" max="24" width="9" style="291" hidden="1" customWidth="1"/>
    <col min="25" max="25" width="10.25" style="23" customWidth="1"/>
    <col min="26" max="16384" width="9" style="211"/>
  </cols>
  <sheetData>
    <row r="1" spans="1:25">
      <c r="A1" s="17" t="s">
        <v>137</v>
      </c>
      <c r="B1" s="18" t="s">
        <v>350</v>
      </c>
      <c r="C1" s="18" t="s">
        <v>138</v>
      </c>
      <c r="D1" s="18" t="s">
        <v>139</v>
      </c>
      <c r="E1" s="19" t="s">
        <v>140</v>
      </c>
      <c r="F1" s="514" t="s">
        <v>21</v>
      </c>
      <c r="G1" s="62" t="s">
        <v>157</v>
      </c>
      <c r="H1" s="9" t="s">
        <v>52</v>
      </c>
      <c r="I1" s="10" t="s">
        <v>53</v>
      </c>
      <c r="J1" s="62" t="s">
        <v>353</v>
      </c>
      <c r="K1" s="18" t="s">
        <v>353</v>
      </c>
      <c r="L1" s="19" t="s">
        <v>353</v>
      </c>
      <c r="M1" s="114" t="s">
        <v>49</v>
      </c>
      <c r="N1" s="102" t="s">
        <v>151</v>
      </c>
      <c r="O1" s="115" t="s">
        <v>712</v>
      </c>
    </row>
    <row r="2" spans="1:25" ht="17.25" thickBot="1">
      <c r="A2" s="13" t="s">
        <v>699</v>
      </c>
      <c r="B2" s="113">
        <f>C2/100000000</f>
        <v>0</v>
      </c>
      <c r="C2" s="86">
        <f>'ETF Update'!D99*1000</f>
        <v>0</v>
      </c>
      <c r="D2" s="86">
        <f>'ETF Update'!E99</f>
        <v>0</v>
      </c>
      <c r="E2" s="11">
        <f>'ETF Update'!C99</f>
        <v>0</v>
      </c>
      <c r="F2" s="515"/>
      <c r="G2" s="63" t="e">
        <f>J2/(D2*1000)</f>
        <v>#REF!</v>
      </c>
      <c r="H2" s="64" t="e">
        <f>K2/(D2*1000)</f>
        <v>#REF!</v>
      </c>
      <c r="I2" s="65" t="e">
        <f>L2/(D2*1000)</f>
        <v>#REF!</v>
      </c>
      <c r="J2" s="107" t="e">
        <f>C2+(SUM(K10:K11)-SUM(G10:G11))-N10+C2*O10*(N2/O2-1)</f>
        <v>#REF!</v>
      </c>
      <c r="K2" s="108" t="e">
        <f>C2+(SUM(L10:L11)-SUM(G10:G11))-N10+C2*O10*(N2/O2-1)</f>
        <v>#REF!</v>
      </c>
      <c r="L2" s="109" t="e">
        <f>C2+(SUM(M10:M11)-SUM(G10:G11))-N10+C2*O10*(N2/O2-1)</f>
        <v>#REF!</v>
      </c>
      <c r="M2" s="114" t="s">
        <v>337</v>
      </c>
      <c r="N2" s="116" t="e">
        <f>匯率報價!D16</f>
        <v>#REF!</v>
      </c>
      <c r="O2" s="116">
        <v>30.15</v>
      </c>
      <c r="Q2" s="241" t="s">
        <v>861</v>
      </c>
      <c r="R2" s="74">
        <v>101032007</v>
      </c>
      <c r="V2" s="23"/>
    </row>
    <row r="3" spans="1:25">
      <c r="A3" s="17" t="s">
        <v>137</v>
      </c>
      <c r="B3" s="82" t="s">
        <v>350</v>
      </c>
      <c r="C3" s="18" t="s">
        <v>138</v>
      </c>
      <c r="D3" s="18" t="s">
        <v>139</v>
      </c>
      <c r="E3" s="19" t="s">
        <v>140</v>
      </c>
      <c r="F3" s="514" t="s">
        <v>21</v>
      </c>
      <c r="G3" s="62" t="s">
        <v>157</v>
      </c>
      <c r="H3" s="9" t="s">
        <v>52</v>
      </c>
      <c r="I3" s="10" t="s">
        <v>53</v>
      </c>
      <c r="J3" s="62" t="s">
        <v>353</v>
      </c>
      <c r="K3" s="18" t="s">
        <v>353</v>
      </c>
      <c r="L3" s="19" t="s">
        <v>353</v>
      </c>
      <c r="M3" s="114" t="s">
        <v>847</v>
      </c>
      <c r="N3" s="116" t="e">
        <f>匯率報價!D2</f>
        <v>#REF!</v>
      </c>
      <c r="O3" s="116">
        <v>111.39</v>
      </c>
      <c r="Q3" s="26" t="s">
        <v>753</v>
      </c>
      <c r="R3" s="26" t="s">
        <v>818</v>
      </c>
      <c r="S3" s="26" t="s">
        <v>816</v>
      </c>
      <c r="T3" s="26" t="s">
        <v>766</v>
      </c>
      <c r="U3" s="26" t="s">
        <v>767</v>
      </c>
      <c r="V3" s="26" t="s">
        <v>768</v>
      </c>
      <c r="W3" s="23"/>
    </row>
    <row r="4" spans="1:25" ht="17.25" thickBot="1">
      <c r="A4" s="13" t="s">
        <v>459</v>
      </c>
      <c r="B4" s="113">
        <f>C4/100000000</f>
        <v>0</v>
      </c>
      <c r="C4" s="86">
        <f>'ETF Update'!D100*1000</f>
        <v>0</v>
      </c>
      <c r="D4" s="86">
        <f>'ETF Update'!E100</f>
        <v>0</v>
      </c>
      <c r="E4" s="11">
        <f>'ETF Update'!C100</f>
        <v>0</v>
      </c>
      <c r="F4" s="515"/>
      <c r="G4" s="63" t="e">
        <f>J4/D4/1000</f>
        <v>#REF!</v>
      </c>
      <c r="H4" s="64" t="e">
        <f>K4/D4/1000</f>
        <v>#REF!</v>
      </c>
      <c r="I4" s="65" t="e">
        <f>L4/D4/1000</f>
        <v>#REF!</v>
      </c>
      <c r="J4" s="107" t="e">
        <f>C4+(SUM(K15:K16)-SUM(G15:G16))-N15+C4*O15*(N2/O2-1)</f>
        <v>#REF!</v>
      </c>
      <c r="K4" s="108" t="e">
        <f>C4+(SUM(L15:L16)-SUM(G15:G16))-N15+C4*O15*(N2/O2-1)</f>
        <v>#REF!</v>
      </c>
      <c r="L4" s="109" t="e">
        <f>C4+(SUM(M15:M16)-SUM(G15:G16))-N15+C4*O15*(N2/O2-1)</f>
        <v>#REF!</v>
      </c>
      <c r="M4" s="114" t="s">
        <v>848</v>
      </c>
      <c r="N4" s="116" t="e">
        <f>匯率報價!D7</f>
        <v>#REF!</v>
      </c>
      <c r="O4" s="116">
        <v>1.2</v>
      </c>
      <c r="Q4" s="272" t="s">
        <v>749</v>
      </c>
      <c r="R4" s="273">
        <v>0</v>
      </c>
      <c r="S4" s="289"/>
      <c r="T4" s="298">
        <f>S4/$S$13</f>
        <v>0</v>
      </c>
      <c r="U4" s="274"/>
      <c r="V4" s="274"/>
      <c r="W4" s="23" t="s">
        <v>769</v>
      </c>
      <c r="Y4" s="23" t="s">
        <v>851</v>
      </c>
    </row>
    <row r="5" spans="1:25">
      <c r="A5" s="17" t="s">
        <v>137</v>
      </c>
      <c r="B5" s="82" t="s">
        <v>350</v>
      </c>
      <c r="C5" s="18" t="s">
        <v>138</v>
      </c>
      <c r="D5" s="18" t="s">
        <v>139</v>
      </c>
      <c r="E5" s="19" t="s">
        <v>140</v>
      </c>
      <c r="F5" s="514" t="s">
        <v>21</v>
      </c>
      <c r="G5" s="62" t="s">
        <v>157</v>
      </c>
      <c r="H5" s="9" t="s">
        <v>52</v>
      </c>
      <c r="I5" s="10" t="s">
        <v>53</v>
      </c>
      <c r="J5" s="62" t="s">
        <v>353</v>
      </c>
      <c r="K5" s="18" t="s">
        <v>353</v>
      </c>
      <c r="L5" s="19" t="s">
        <v>353</v>
      </c>
      <c r="M5" s="114" t="s">
        <v>339</v>
      </c>
      <c r="N5" s="116" t="e">
        <f>匯率報價!D17</f>
        <v>#REF!</v>
      </c>
      <c r="O5" s="116">
        <v>4.5869999999999997</v>
      </c>
      <c r="Q5" s="275" t="s">
        <v>750</v>
      </c>
      <c r="R5" s="242">
        <v>30000041</v>
      </c>
      <c r="S5" s="287">
        <f>R5</f>
        <v>30000041</v>
      </c>
      <c r="T5" s="244">
        <f>S5/$S$13</f>
        <v>0.29623693114156613</v>
      </c>
      <c r="U5" s="243"/>
      <c r="V5" s="243">
        <f>T5</f>
        <v>0.29623693114156613</v>
      </c>
      <c r="W5" s="24" t="e">
        <f>T6+T8+T10+#REF!</f>
        <v>#REF!</v>
      </c>
      <c r="Y5" s="24">
        <f>U6+U8+U10</f>
        <v>0.40948388592267826</v>
      </c>
    </row>
    <row r="6" spans="1:25" ht="17.25" thickBot="1">
      <c r="A6" s="121" t="s">
        <v>457</v>
      </c>
      <c r="B6" s="113">
        <f>C6/100000000</f>
        <v>4.7233200000000002</v>
      </c>
      <c r="C6" s="86">
        <f>'ETF Update'!D98*1000</f>
        <v>472332000</v>
      </c>
      <c r="D6" s="86">
        <f>'ETF Update'!E98</f>
        <v>11212</v>
      </c>
      <c r="E6" s="11">
        <f>'ETF Update'!C98</f>
        <v>42.127299999999998</v>
      </c>
      <c r="F6" s="515"/>
      <c r="G6" s="63" t="e">
        <f>J6/D6/1000</f>
        <v>#REF!</v>
      </c>
      <c r="H6" s="64" t="e">
        <f>L6/D6/1000</f>
        <v>#REF!</v>
      </c>
      <c r="I6" s="65" t="e">
        <f>K6/D6/1000</f>
        <v>#REF!</v>
      </c>
      <c r="J6" s="107" t="e">
        <f>C6+(SUM(K20:K21)-SUM(G20:G21))-N20+C6*O20*(N2/O2-1)</f>
        <v>#REF!</v>
      </c>
      <c r="K6" s="108" t="e">
        <f>C6+(SUM(L20:L21)-SUM(G20:G21))-N20+C6*O20*(N2/O2-1)</f>
        <v>#REF!</v>
      </c>
      <c r="L6" s="109" t="e">
        <f>C6+(SUM(M20:M21)-SUM(G20:G21))-N20+C6*O20*(N2/O2-1)</f>
        <v>#REF!</v>
      </c>
      <c r="M6" s="114" t="s">
        <v>345</v>
      </c>
      <c r="N6" s="116" t="e">
        <f>匯率報價!D18</f>
        <v>#REF!</v>
      </c>
      <c r="O6" s="116">
        <v>3.8610000000000002</v>
      </c>
      <c r="Q6" s="275" t="s">
        <v>770</v>
      </c>
      <c r="R6" s="242">
        <v>180329.94</v>
      </c>
      <c r="S6" s="287">
        <f>R6*O2</f>
        <v>5436947.6909999996</v>
      </c>
      <c r="T6" s="244">
        <f t="shared" ref="T6:T12" si="0">S6/$S$13</f>
        <v>5.3687416585832794E-2</v>
      </c>
      <c r="U6" s="243">
        <f>T6</f>
        <v>5.3687416585832794E-2</v>
      </c>
      <c r="V6" s="243"/>
      <c r="W6" s="23" t="s">
        <v>810</v>
      </c>
    </row>
    <row r="7" spans="1:25">
      <c r="Q7" s="6" t="s">
        <v>771</v>
      </c>
      <c r="R7" s="242">
        <v>29789413</v>
      </c>
      <c r="S7" s="287">
        <f>R7</f>
        <v>29789413</v>
      </c>
      <c r="T7" s="244">
        <f t="shared" si="0"/>
        <v>0.29415707423962106</v>
      </c>
      <c r="U7" s="244"/>
      <c r="V7" s="244">
        <f>T7</f>
        <v>0.29415707423962106</v>
      </c>
      <c r="W7" s="23">
        <v>0</v>
      </c>
    </row>
    <row r="8" spans="1:25" ht="17.25" thickBot="1">
      <c r="A8" s="13" t="s">
        <v>699</v>
      </c>
      <c r="C8" s="211" t="s">
        <v>705</v>
      </c>
      <c r="F8" s="211" t="s">
        <v>361</v>
      </c>
      <c r="G8" s="119"/>
      <c r="Q8" s="6" t="s">
        <v>759</v>
      </c>
      <c r="R8" s="242">
        <v>200055.09</v>
      </c>
      <c r="S8" s="288">
        <f>R8*O2</f>
        <v>6031660.9634999996</v>
      </c>
      <c r="T8" s="244">
        <f t="shared" si="0"/>
        <v>5.9559943051865225E-2</v>
      </c>
      <c r="U8" s="244">
        <f>T8</f>
        <v>5.9559943051865225E-2</v>
      </c>
      <c r="V8" s="244"/>
      <c r="W8" s="23"/>
    </row>
    <row r="9" spans="1:25" s="23" customFormat="1">
      <c r="A9" s="82" t="s">
        <v>319</v>
      </c>
      <c r="B9" s="82" t="s">
        <v>320</v>
      </c>
      <c r="C9" s="82" t="s">
        <v>231</v>
      </c>
      <c r="D9" s="82" t="s">
        <v>321</v>
      </c>
      <c r="E9" s="82" t="s">
        <v>322</v>
      </c>
      <c r="F9" s="82" t="s">
        <v>323</v>
      </c>
      <c r="G9" s="82" t="s">
        <v>324</v>
      </c>
      <c r="H9" s="82" t="s">
        <v>232</v>
      </c>
      <c r="I9" s="82" t="s">
        <v>325</v>
      </c>
      <c r="J9" s="82" t="s">
        <v>326</v>
      </c>
      <c r="K9" s="82" t="s">
        <v>327</v>
      </c>
      <c r="L9" s="82" t="s">
        <v>328</v>
      </c>
      <c r="M9" s="82" t="s">
        <v>329</v>
      </c>
      <c r="N9" s="250" t="s">
        <v>787</v>
      </c>
      <c r="O9" s="250" t="s">
        <v>788</v>
      </c>
      <c r="Q9" s="6" t="s">
        <v>849</v>
      </c>
      <c r="R9" s="242">
        <v>0</v>
      </c>
      <c r="S9" s="288">
        <f>R9</f>
        <v>0</v>
      </c>
      <c r="T9" s="244">
        <f t="shared" si="0"/>
        <v>0</v>
      </c>
      <c r="U9" s="244"/>
      <c r="V9" s="244">
        <f>T9</f>
        <v>0</v>
      </c>
    </row>
    <row r="10" spans="1:25">
      <c r="A10" s="25" t="e">
        <f>G10/C2</f>
        <v>#DIV/0!</v>
      </c>
      <c r="B10" s="26" t="s">
        <v>708</v>
      </c>
      <c r="C10" s="26" t="s">
        <v>706</v>
      </c>
      <c r="D10" s="26">
        <v>1000</v>
      </c>
      <c r="E10" s="84">
        <f>群益海期報價!K27</f>
        <v>127.765625</v>
      </c>
      <c r="F10" s="26">
        <v>0</v>
      </c>
      <c r="G10" s="71">
        <f>F10*E10*D10*O2</f>
        <v>0</v>
      </c>
      <c r="H10" s="84">
        <f>群益海期報價!H27</f>
        <v>128.015625</v>
      </c>
      <c r="I10" s="84">
        <f>群益海期報價!L27</f>
        <v>127.984375</v>
      </c>
      <c r="J10" s="84">
        <f>群益海期報價!N27</f>
        <v>128.015625</v>
      </c>
      <c r="K10" s="112" t="e">
        <f>IF(ISNUMBER(H10)=TRUE,H10*$F$10*$D$10,E10*$F$10*$D$10)*N2</f>
        <v>#REF!</v>
      </c>
      <c r="L10" s="112" t="e">
        <f>IF(ISNUMBER(I10)=TRUE,I10*$F$10*$D$10,F10*$F$10*$D$10)*N2</f>
        <v>#REF!</v>
      </c>
      <c r="M10" s="112" t="e">
        <f>IF(ISNUMBER(J10)=TRUE,J10*$F$10*$D$10,G10*$F$10*$D$10)*N2</f>
        <v>#REF!</v>
      </c>
      <c r="N10" s="90" t="e">
        <f>1.04%/365*(C2+SUM(K10:K11)-SUM(G10:G11))</f>
        <v>#REF!</v>
      </c>
      <c r="O10" s="98">
        <f>Y5</f>
        <v>0.40948388592267826</v>
      </c>
      <c r="Q10" s="6" t="s">
        <v>850</v>
      </c>
      <c r="R10" s="242">
        <v>30000000</v>
      </c>
      <c r="S10" s="288">
        <f>R10</f>
        <v>30000000</v>
      </c>
      <c r="T10" s="244">
        <f t="shared" si="0"/>
        <v>0.29623652628498021</v>
      </c>
      <c r="U10" s="244">
        <f>T10</f>
        <v>0.29623652628498021</v>
      </c>
      <c r="V10" s="244"/>
      <c r="W10" s="24"/>
    </row>
    <row r="11" spans="1:25">
      <c r="A11" s="25" t="e">
        <f>G11/C2</f>
        <v>#DIV/0!</v>
      </c>
      <c r="B11" s="26" t="s">
        <v>708</v>
      </c>
      <c r="C11" s="26" t="s">
        <v>707</v>
      </c>
      <c r="D11" s="26">
        <v>1000</v>
      </c>
      <c r="E11" s="84">
        <f>群益海期報價!K28</f>
        <v>127.515625</v>
      </c>
      <c r="F11" s="26">
        <v>55</v>
      </c>
      <c r="G11" s="71">
        <f>F11*E11*D11*O2</f>
        <v>211452785.15625</v>
      </c>
      <c r="H11" s="84">
        <f>群益海期報價!H28</f>
        <v>127.78125</v>
      </c>
      <c r="I11" s="84">
        <f>群益海期報價!L28</f>
        <v>127.765625</v>
      </c>
      <c r="J11" s="84">
        <f>群益海期報價!N28</f>
        <v>127.78125</v>
      </c>
      <c r="K11" s="112" t="e">
        <f>IF(ISNUMBER(H11)=TRUE,H11*$F$11*$D$11,E11*$F$11*$D$11)*N2</f>
        <v>#REF!</v>
      </c>
      <c r="L11" s="112" t="e">
        <f>IF(ISNUMBER(I11)=TRUE,I11*$F$11*$D$11,F11*$F$11*$D$11)*N2</f>
        <v>#REF!</v>
      </c>
      <c r="M11" s="112" t="e">
        <f>IF(ISNUMBER(J11)=TRUE,J11*$F$11*$D$11,G11*$F$11*$D$11)*N2</f>
        <v>#REF!</v>
      </c>
      <c r="Q11" s="6" t="s">
        <v>812</v>
      </c>
      <c r="R11" s="242">
        <v>12366</v>
      </c>
      <c r="S11" s="288">
        <f>R11</f>
        <v>12366</v>
      </c>
      <c r="T11" s="244">
        <f t="shared" si="0"/>
        <v>1.2210869613466885E-4</v>
      </c>
      <c r="U11" s="244"/>
      <c r="V11" s="244">
        <f>T11</f>
        <v>1.2210869613466885E-4</v>
      </c>
      <c r="W11" s="23"/>
    </row>
    <row r="12" spans="1:25">
      <c r="A12" s="4"/>
      <c r="Q12" s="276" t="s">
        <v>772</v>
      </c>
      <c r="R12" s="299">
        <v>0</v>
      </c>
      <c r="S12" s="299">
        <f>R12</f>
        <v>0</v>
      </c>
      <c r="T12" s="21">
        <f t="shared" si="0"/>
        <v>0</v>
      </c>
      <c r="U12" s="21"/>
      <c r="V12" s="21">
        <f>T12</f>
        <v>0</v>
      </c>
      <c r="W12" s="23"/>
    </row>
    <row r="13" spans="1:25" ht="17.25" thickBot="1">
      <c r="A13" s="13" t="s">
        <v>459</v>
      </c>
      <c r="Q13" s="6" t="s">
        <v>763</v>
      </c>
      <c r="R13" s="285"/>
      <c r="S13" s="285">
        <f>SUM(S5:S12)</f>
        <v>101270428.65449999</v>
      </c>
      <c r="T13" s="244">
        <f>SUM(T5:T12)</f>
        <v>1</v>
      </c>
      <c r="U13" s="244">
        <f>SUM(U5:U12)</f>
        <v>0.40948388592267826</v>
      </c>
      <c r="V13" s="244">
        <f>SUM(V5:V12)</f>
        <v>0.59051611407732185</v>
      </c>
      <c r="W13" s="23"/>
      <c r="Y13" s="24">
        <f>U13+V13</f>
        <v>1</v>
      </c>
    </row>
    <row r="14" spans="1:25" s="23" customFormat="1">
      <c r="A14" s="82" t="s">
        <v>319</v>
      </c>
      <c r="B14" s="82" t="s">
        <v>320</v>
      </c>
      <c r="C14" s="82" t="s">
        <v>231</v>
      </c>
      <c r="D14" s="82" t="s">
        <v>321</v>
      </c>
      <c r="E14" s="82" t="s">
        <v>322</v>
      </c>
      <c r="F14" s="82" t="s">
        <v>323</v>
      </c>
      <c r="G14" s="82" t="s">
        <v>324</v>
      </c>
      <c r="H14" s="82" t="s">
        <v>232</v>
      </c>
      <c r="I14" s="82" t="s">
        <v>325</v>
      </c>
      <c r="J14" s="82" t="s">
        <v>326</v>
      </c>
      <c r="K14" s="82" t="s">
        <v>327</v>
      </c>
      <c r="L14" s="82" t="s">
        <v>328</v>
      </c>
      <c r="M14" s="82" t="s">
        <v>329</v>
      </c>
      <c r="N14" s="250" t="s">
        <v>787</v>
      </c>
      <c r="O14" s="250" t="s">
        <v>788</v>
      </c>
      <c r="W14" s="291"/>
    </row>
    <row r="15" spans="1:25">
      <c r="A15" s="25" t="e">
        <f>G15/C4</f>
        <v>#DIV/0!</v>
      </c>
      <c r="B15" s="26" t="s">
        <v>708</v>
      </c>
      <c r="C15" s="26" t="s">
        <v>706</v>
      </c>
      <c r="D15" s="26">
        <v>1000</v>
      </c>
      <c r="E15" s="84">
        <f>群益海期報價!K27</f>
        <v>127.765625</v>
      </c>
      <c r="F15" s="122">
        <v>0</v>
      </c>
      <c r="G15" s="112">
        <f>F15*E15*D15*O2</f>
        <v>0</v>
      </c>
      <c r="H15" s="84">
        <f>群益海期報價!H27</f>
        <v>128.015625</v>
      </c>
      <c r="I15" s="84">
        <f>群益海期報價!L27</f>
        <v>127.984375</v>
      </c>
      <c r="J15" s="84">
        <f>群益海期報價!N27</f>
        <v>128.015625</v>
      </c>
      <c r="K15" s="112" t="e">
        <f>IF(ISNUMBER(H15)=TRUE,H15*$F$15*$D$15,E15*$F$15*$D$15)*N2</f>
        <v>#REF!</v>
      </c>
      <c r="L15" s="112" t="e">
        <f>IF(ISNUMBER(I15)=TRUE,I15*$F$15*$D$15,F15*$F$15*$D$15)*N2</f>
        <v>#REF!</v>
      </c>
      <c r="M15" s="112" t="e">
        <f>IF(ISNUMBER(J15)=TRUE,J15*$F$15*$D$15,G15*$F$15*$D$15)*N2</f>
        <v>#REF!</v>
      </c>
      <c r="N15" s="90" t="e">
        <f>1.04%/365*(C4+SUM(K15:K15)-SUM(G15:G15))</f>
        <v>#REF!</v>
      </c>
      <c r="O15" s="98">
        <f>Y19</f>
        <v>7.6751944867986588E-2</v>
      </c>
      <c r="W15" s="4">
        <f>U13+V13</f>
        <v>1</v>
      </c>
    </row>
    <row r="16" spans="1:25">
      <c r="A16" s="25" t="e">
        <f>G16/C4</f>
        <v>#DIV/0!</v>
      </c>
      <c r="B16" s="26" t="s">
        <v>708</v>
      </c>
      <c r="C16" s="26" t="s">
        <v>707</v>
      </c>
      <c r="D16" s="26">
        <v>1000</v>
      </c>
      <c r="E16" s="84">
        <f>群益海期報價!K28</f>
        <v>127.515625</v>
      </c>
      <c r="F16" s="122">
        <v>-38</v>
      </c>
      <c r="G16" s="112">
        <f>F16*E16*D16*O2</f>
        <v>-146094651.5625</v>
      </c>
      <c r="H16" s="84">
        <f>群益海期報價!H28</f>
        <v>127.78125</v>
      </c>
      <c r="I16" s="84">
        <f>群益海期報價!L28</f>
        <v>127.765625</v>
      </c>
      <c r="J16" s="84">
        <f>群益海期報價!N28</f>
        <v>127.78125</v>
      </c>
      <c r="K16" s="112" t="e">
        <f>IF(ISNUMBER(H16)=TRUE,H16*$F$16*$D$16,E16*$F$16*$D$16)*N2</f>
        <v>#REF!</v>
      </c>
      <c r="L16" s="112" t="e">
        <f>IF(ISNUMBER(I16)=TRUE,I16*$F$16*$D$16,F16*$F$16*$D$16)*N2</f>
        <v>#REF!</v>
      </c>
      <c r="M16" s="112" t="e">
        <f>IF(ISNUMBER(J16)=TRUE,J16*$F$16*$D$16,G16*$F$16*$D$16)*N2</f>
        <v>#REF!</v>
      </c>
      <c r="Q16" s="241" t="s">
        <v>862</v>
      </c>
      <c r="R16" s="74">
        <v>144321964</v>
      </c>
      <c r="V16" s="23"/>
    </row>
    <row r="17" spans="1:25">
      <c r="A17" s="4"/>
      <c r="F17" s="5"/>
      <c r="Q17" s="26" t="s">
        <v>753</v>
      </c>
      <c r="R17" s="26" t="s">
        <v>818</v>
      </c>
      <c r="S17" s="26" t="s">
        <v>816</v>
      </c>
      <c r="T17" s="26" t="s">
        <v>766</v>
      </c>
      <c r="U17" s="26" t="s">
        <v>767</v>
      </c>
      <c r="V17" s="26" t="s">
        <v>768</v>
      </c>
    </row>
    <row r="18" spans="1:25" ht="17.25" thickBot="1">
      <c r="A18" s="121" t="s">
        <v>457</v>
      </c>
      <c r="Q18" s="272" t="s">
        <v>749</v>
      </c>
      <c r="R18" s="273">
        <v>0</v>
      </c>
      <c r="S18" s="289"/>
      <c r="T18" s="274"/>
      <c r="U18" s="274"/>
      <c r="V18" s="274"/>
      <c r="W18" s="23"/>
      <c r="X18" s="23"/>
      <c r="Y18" s="23" t="s">
        <v>851</v>
      </c>
    </row>
    <row r="19" spans="1:25" s="23" customFormat="1">
      <c r="A19" s="82" t="s">
        <v>319</v>
      </c>
      <c r="B19" s="82" t="s">
        <v>320</v>
      </c>
      <c r="C19" s="82" t="s">
        <v>231</v>
      </c>
      <c r="D19" s="82" t="s">
        <v>321</v>
      </c>
      <c r="E19" s="82" t="s">
        <v>322</v>
      </c>
      <c r="F19" s="82" t="s">
        <v>323</v>
      </c>
      <c r="G19" s="82" t="s">
        <v>324</v>
      </c>
      <c r="H19" s="82" t="s">
        <v>232</v>
      </c>
      <c r="I19" s="82" t="s">
        <v>325</v>
      </c>
      <c r="J19" s="82" t="s">
        <v>326</v>
      </c>
      <c r="K19" s="82" t="s">
        <v>327</v>
      </c>
      <c r="L19" s="82" t="s">
        <v>328</v>
      </c>
      <c r="M19" s="82" t="s">
        <v>329</v>
      </c>
      <c r="N19" s="250" t="s">
        <v>787</v>
      </c>
      <c r="O19" s="250" t="s">
        <v>788</v>
      </c>
      <c r="Q19" s="275" t="s">
        <v>750</v>
      </c>
      <c r="R19" s="242">
        <v>30000041</v>
      </c>
      <c r="S19" s="287">
        <f>R19</f>
        <v>30000041</v>
      </c>
      <c r="T19" s="243">
        <f>S19/$S$28</f>
        <v>0.20750875067712943</v>
      </c>
      <c r="U19" s="243"/>
      <c r="V19" s="243">
        <f>T19</f>
        <v>0.20750875067712943</v>
      </c>
      <c r="W19" s="291"/>
      <c r="X19" s="291"/>
      <c r="Y19" s="24">
        <f>U20+U22+U24+U26</f>
        <v>7.6751944867986588E-2</v>
      </c>
    </row>
    <row r="20" spans="1:25">
      <c r="A20" s="25">
        <f>G20/C6</f>
        <v>8.1555634463682317E-3</v>
      </c>
      <c r="B20" s="26" t="s">
        <v>708</v>
      </c>
      <c r="C20" s="26" t="s">
        <v>706</v>
      </c>
      <c r="D20" s="26">
        <v>1000</v>
      </c>
      <c r="E20" s="84">
        <f>群益海期報價!K27</f>
        <v>127.765625</v>
      </c>
      <c r="F20" s="122">
        <v>1</v>
      </c>
      <c r="G20" s="112">
        <f>F20*E20*D20*O2</f>
        <v>3852133.59375</v>
      </c>
      <c r="H20" s="84">
        <f>群益海期報價!H27</f>
        <v>128.015625</v>
      </c>
      <c r="I20" s="84">
        <f>群益海期報價!L27</f>
        <v>127.984375</v>
      </c>
      <c r="J20" s="84">
        <f>群益海期報價!N27</f>
        <v>128.015625</v>
      </c>
      <c r="K20" s="112" t="e">
        <f>IF(ISNUMBER(H20)=TRUE,H20*$F$20*$D$20,E20*$F$20*$D$20)*N2</f>
        <v>#REF!</v>
      </c>
      <c r="L20" s="112" t="e">
        <f>IF(ISNUMBER(I20)=TRUE,I20*$F$20*$D$20,F20*$F$20*$D$20)*N2</f>
        <v>#REF!</v>
      </c>
      <c r="M20" s="112" t="e">
        <f>IF(ISNUMBER(J20)=TRUE,J20*$F$20*$D$20,G20*$F$20*$D$20)*N2</f>
        <v>#REF!</v>
      </c>
      <c r="N20" s="90" t="e">
        <f>1.04%/365*(C4+SUM(K20:K20)-SUM(G20:G20))</f>
        <v>#REF!</v>
      </c>
      <c r="O20" s="98">
        <f>Y34</f>
        <v>0.99905823464853127</v>
      </c>
      <c r="Q20" s="275" t="s">
        <v>770</v>
      </c>
      <c r="R20" s="242">
        <v>268006.37</v>
      </c>
      <c r="S20" s="287">
        <f>R20*O2</f>
        <v>8080392.0554999998</v>
      </c>
      <c r="T20" s="243">
        <f t="shared" ref="T20:T27" si="1">S20/$S$28</f>
        <v>5.5891658962006312E-2</v>
      </c>
      <c r="U20" s="243">
        <f>T20</f>
        <v>5.5891658962006312E-2</v>
      </c>
      <c r="V20" s="243"/>
      <c r="W20" s="23"/>
    </row>
    <row r="21" spans="1:25">
      <c r="A21" s="25" t="e">
        <f>G21/C7</f>
        <v>#DIV/0!</v>
      </c>
      <c r="B21" s="26" t="s">
        <v>708</v>
      </c>
      <c r="C21" s="26" t="s">
        <v>707</v>
      </c>
      <c r="D21" s="26">
        <v>1000</v>
      </c>
      <c r="E21" s="84">
        <f>群益海期報價!K28</f>
        <v>127.515625</v>
      </c>
      <c r="F21" s="122">
        <v>1</v>
      </c>
      <c r="G21" s="112">
        <f>F21*E21*D21*O2</f>
        <v>3844596.09375</v>
      </c>
      <c r="H21" s="84">
        <f>群益海期報價!H28</f>
        <v>127.78125</v>
      </c>
      <c r="I21" s="84">
        <f>群益海期報價!L28</f>
        <v>127.765625</v>
      </c>
      <c r="J21" s="84">
        <f>群益海期報價!N28</f>
        <v>127.78125</v>
      </c>
      <c r="K21" s="112" t="e">
        <f>IF(ISNUMBER(H21)=TRUE,H21*$F$21*$D$21,E21*$F$21*$D$21)*N2</f>
        <v>#REF!</v>
      </c>
      <c r="L21" s="112" t="e">
        <f>IF(ISNUMBER(I21)=TRUE,I21*$F$21*$D$21,F21*$F$21*$D$21)*N2</f>
        <v>#REF!</v>
      </c>
      <c r="M21" s="112" t="e">
        <f>IF(ISNUMBER(J21)=TRUE,J21*$F$21*$D$21,G21*$F$21*$D$21)*N2</f>
        <v>#REF!</v>
      </c>
      <c r="Q21" s="6" t="s">
        <v>771</v>
      </c>
      <c r="R21" s="242">
        <v>23476159</v>
      </c>
      <c r="S21" s="287">
        <f>R21</f>
        <v>23476159</v>
      </c>
      <c r="T21" s="243">
        <f t="shared" si="1"/>
        <v>0.16238339223561887</v>
      </c>
      <c r="U21" s="244"/>
      <c r="V21" s="244">
        <f>T21</f>
        <v>0.16238339223561887</v>
      </c>
      <c r="W21" s="23" t="s">
        <v>769</v>
      </c>
    </row>
    <row r="22" spans="1:25">
      <c r="Q22" s="6" t="s">
        <v>759</v>
      </c>
      <c r="R22" s="242">
        <v>100027.26</v>
      </c>
      <c r="S22" s="288">
        <f>R22*O2</f>
        <v>3015821.8889999995</v>
      </c>
      <c r="T22" s="243">
        <f t="shared" si="1"/>
        <v>2.0860285905980276E-2</v>
      </c>
      <c r="U22" s="244">
        <f>T22</f>
        <v>2.0860285905980276E-2</v>
      </c>
      <c r="V22" s="244"/>
      <c r="W22" s="24">
        <f>T20+T22+T24+T26</f>
        <v>7.6751944867986588E-2</v>
      </c>
    </row>
    <row r="23" spans="1:25">
      <c r="Q23" s="6" t="s">
        <v>814</v>
      </c>
      <c r="R23" s="242">
        <v>80000000</v>
      </c>
      <c r="S23" s="288">
        <f>R23</f>
        <v>80000000</v>
      </c>
      <c r="T23" s="243">
        <f t="shared" si="1"/>
        <v>0.55335591221926506</v>
      </c>
      <c r="U23" s="244"/>
      <c r="V23" s="244">
        <f>T23</f>
        <v>0.55335591221926506</v>
      </c>
      <c r="W23" s="23" t="s">
        <v>810</v>
      </c>
    </row>
    <row r="24" spans="1:25">
      <c r="Q24" s="6" t="s">
        <v>815</v>
      </c>
      <c r="R24" s="242">
        <v>0</v>
      </c>
      <c r="S24" s="288">
        <f>R24*O2</f>
        <v>0</v>
      </c>
      <c r="T24" s="243">
        <f t="shared" si="1"/>
        <v>0</v>
      </c>
      <c r="U24" s="244">
        <f>T24</f>
        <v>0</v>
      </c>
      <c r="V24" s="244"/>
      <c r="W24" s="23">
        <v>0</v>
      </c>
    </row>
    <row r="25" spans="1:25">
      <c r="Q25" s="6" t="s">
        <v>812</v>
      </c>
      <c r="R25" s="242">
        <v>0</v>
      </c>
      <c r="S25" s="288">
        <f>R25</f>
        <v>0</v>
      </c>
      <c r="T25" s="243">
        <f t="shared" si="1"/>
        <v>0</v>
      </c>
      <c r="U25" s="244"/>
      <c r="V25" s="244">
        <f>T25</f>
        <v>0</v>
      </c>
      <c r="W25" s="23"/>
    </row>
    <row r="26" spans="1:25">
      <c r="Q26" s="6" t="s">
        <v>813</v>
      </c>
      <c r="R26" s="242">
        <v>0</v>
      </c>
      <c r="S26" s="242">
        <f>R26*O2</f>
        <v>0</v>
      </c>
      <c r="T26" s="243">
        <f t="shared" si="1"/>
        <v>0</v>
      </c>
      <c r="U26" s="244">
        <f>T26</f>
        <v>0</v>
      </c>
      <c r="V26" s="244"/>
      <c r="W26" s="23"/>
    </row>
    <row r="27" spans="1:25">
      <c r="Q27" s="276" t="s">
        <v>772</v>
      </c>
      <c r="R27" s="242">
        <v>0</v>
      </c>
      <c r="S27" s="242">
        <f>R27</f>
        <v>0</v>
      </c>
      <c r="T27" s="243">
        <f t="shared" si="1"/>
        <v>0</v>
      </c>
      <c r="U27" s="244"/>
      <c r="V27" s="244">
        <f>T27</f>
        <v>0</v>
      </c>
      <c r="W27" s="24"/>
    </row>
    <row r="28" spans="1:25">
      <c r="Q28" s="6" t="s">
        <v>763</v>
      </c>
      <c r="R28" s="285"/>
      <c r="S28" s="285">
        <f>SUM(S19:S27)</f>
        <v>144572413.9445</v>
      </c>
      <c r="T28" s="284">
        <f>SUM(T19:T27)</f>
        <v>1</v>
      </c>
      <c r="U28" s="244">
        <f>SUM(U19:U27)</f>
        <v>7.6751944867986588E-2</v>
      </c>
      <c r="V28" s="244">
        <f>SUM(V19:V27)</f>
        <v>0.92324805513201336</v>
      </c>
      <c r="W28" s="23"/>
      <c r="Y28" s="24">
        <f>U28+V28</f>
        <v>1</v>
      </c>
    </row>
    <row r="29" spans="1:25">
      <c r="W29" s="23"/>
    </row>
    <row r="30" spans="1:25">
      <c r="W30" s="23"/>
    </row>
    <row r="31" spans="1:25">
      <c r="Q31" s="241" t="s">
        <v>863</v>
      </c>
      <c r="R31" s="74">
        <v>461397012</v>
      </c>
      <c r="V31" s="23"/>
    </row>
    <row r="32" spans="1:25">
      <c r="Q32" s="26" t="s">
        <v>773</v>
      </c>
      <c r="R32" s="26" t="s">
        <v>817</v>
      </c>
      <c r="S32" s="26" t="s">
        <v>765</v>
      </c>
      <c r="T32" s="26" t="s">
        <v>766</v>
      </c>
      <c r="U32" s="26" t="s">
        <v>852</v>
      </c>
      <c r="V32" s="26" t="s">
        <v>747</v>
      </c>
      <c r="W32" s="4">
        <f>U28+V28</f>
        <v>1</v>
      </c>
    </row>
    <row r="33" spans="17:25">
      <c r="Q33" s="272" t="s">
        <v>748</v>
      </c>
      <c r="R33" s="273">
        <v>0</v>
      </c>
      <c r="S33" s="289"/>
      <c r="T33" s="274"/>
      <c r="U33" s="274"/>
      <c r="V33" s="274"/>
      <c r="Y33" s="23" t="s">
        <v>851</v>
      </c>
    </row>
    <row r="34" spans="17:25">
      <c r="Q34" s="275" t="s">
        <v>781</v>
      </c>
      <c r="R34" s="242">
        <v>0</v>
      </c>
      <c r="S34" s="287">
        <f>R34</f>
        <v>0</v>
      </c>
      <c r="T34" s="243">
        <f t="shared" ref="T34:T43" si="2">S34/$S$44</f>
        <v>0</v>
      </c>
      <c r="U34" s="243"/>
      <c r="V34" s="243">
        <f>T34</f>
        <v>0</v>
      </c>
      <c r="Y34" s="24">
        <f>U35+U37+U39+U41+U42</f>
        <v>0.99905823464853127</v>
      </c>
    </row>
    <row r="35" spans="17:25">
      <c r="Q35" s="275" t="s">
        <v>770</v>
      </c>
      <c r="R35" s="242">
        <v>0</v>
      </c>
      <c r="S35" s="287">
        <f>R35*O2</f>
        <v>0</v>
      </c>
      <c r="T35" s="243">
        <f t="shared" si="2"/>
        <v>0</v>
      </c>
      <c r="U35" s="243">
        <f>T35</f>
        <v>0</v>
      </c>
      <c r="V35" s="243"/>
    </row>
    <row r="36" spans="17:25">
      <c r="Q36" s="6" t="s">
        <v>751</v>
      </c>
      <c r="R36" s="242">
        <v>436322</v>
      </c>
      <c r="S36" s="287">
        <f>R36</f>
        <v>436322</v>
      </c>
      <c r="T36" s="243">
        <f t="shared" si="2"/>
        <v>9.4176535146866527E-4</v>
      </c>
      <c r="U36" s="244"/>
      <c r="V36" s="244">
        <f>T36</f>
        <v>9.4176535146866527E-4</v>
      </c>
    </row>
    <row r="37" spans="17:25">
      <c r="Q37" s="6" t="s">
        <v>780</v>
      </c>
      <c r="R37" s="242">
        <v>42099.95</v>
      </c>
      <c r="S37" s="288">
        <f>R37*O2</f>
        <v>1269313.4924999999</v>
      </c>
      <c r="T37" s="243">
        <f t="shared" si="2"/>
        <v>2.7397093600326859E-3</v>
      </c>
      <c r="U37" s="244">
        <f>T37</f>
        <v>2.7397093600326859E-3</v>
      </c>
      <c r="V37" s="244"/>
    </row>
    <row r="38" spans="17:25">
      <c r="Q38" s="6" t="s">
        <v>814</v>
      </c>
      <c r="R38" s="242">
        <v>0</v>
      </c>
      <c r="S38" s="288">
        <f>R38</f>
        <v>0</v>
      </c>
      <c r="T38" s="243">
        <f t="shared" si="2"/>
        <v>0</v>
      </c>
      <c r="U38" s="244"/>
      <c r="V38" s="244">
        <f>T38</f>
        <v>0</v>
      </c>
    </row>
    <row r="39" spans="17:25">
      <c r="Q39" s="6" t="s">
        <v>815</v>
      </c>
      <c r="R39" s="242">
        <v>0</v>
      </c>
      <c r="S39" s="288">
        <f>R39*O2</f>
        <v>0</v>
      </c>
      <c r="T39" s="243">
        <f t="shared" si="2"/>
        <v>0</v>
      </c>
      <c r="U39" s="244">
        <f>T39</f>
        <v>0</v>
      </c>
      <c r="V39" s="244"/>
    </row>
    <row r="40" spans="17:25">
      <c r="Q40" s="6" t="s">
        <v>812</v>
      </c>
      <c r="R40" s="242">
        <v>0</v>
      </c>
      <c r="S40" s="288">
        <f>R40</f>
        <v>0</v>
      </c>
      <c r="T40" s="243">
        <f t="shared" si="2"/>
        <v>0</v>
      </c>
      <c r="U40" s="244"/>
      <c r="V40" s="244">
        <f>T40</f>
        <v>0</v>
      </c>
    </row>
    <row r="41" spans="17:25">
      <c r="Q41" s="6" t="s">
        <v>813</v>
      </c>
      <c r="R41" s="242">
        <v>52821.4</v>
      </c>
      <c r="S41" s="242">
        <f>R41*O2</f>
        <v>1592565.21</v>
      </c>
      <c r="T41" s="243">
        <f t="shared" si="2"/>
        <v>3.4374217544208604E-3</v>
      </c>
      <c r="U41" s="244">
        <f>T41</f>
        <v>3.4374217544208604E-3</v>
      </c>
      <c r="V41" s="244"/>
    </row>
    <row r="42" spans="17:25">
      <c r="Q42" s="6" t="s">
        <v>865</v>
      </c>
      <c r="R42" s="242">
        <f>S42/O2</f>
        <v>15257182.17578773</v>
      </c>
      <c r="S42" s="242">
        <v>460004042.60000002</v>
      </c>
      <c r="T42" s="243">
        <f t="shared" si="2"/>
        <v>0.99288110353407777</v>
      </c>
      <c r="U42" s="244">
        <f>T42</f>
        <v>0.99288110353407777</v>
      </c>
      <c r="V42" s="244"/>
    </row>
    <row r="43" spans="17:25">
      <c r="Q43" s="276" t="s">
        <v>762</v>
      </c>
      <c r="R43" s="242">
        <v>0</v>
      </c>
      <c r="S43" s="242">
        <f>R43</f>
        <v>0</v>
      </c>
      <c r="T43" s="243">
        <f t="shared" si="2"/>
        <v>0</v>
      </c>
      <c r="U43" s="244"/>
      <c r="V43" s="244">
        <f>T43</f>
        <v>0</v>
      </c>
    </row>
    <row r="44" spans="17:25">
      <c r="Q44" s="6" t="s">
        <v>752</v>
      </c>
      <c r="R44" s="285"/>
      <c r="S44" s="285">
        <f>SUM(S34:S43)</f>
        <v>463302243.30250001</v>
      </c>
      <c r="T44" s="243">
        <f>SUM(T34:T43)</f>
        <v>1</v>
      </c>
      <c r="U44" s="244">
        <f>SUM(U34:U43)</f>
        <v>0.99905823464853127</v>
      </c>
      <c r="V44" s="244">
        <f>SUM(V34:V43)</f>
        <v>9.4176535146866527E-4</v>
      </c>
      <c r="Y44" s="24">
        <f>U44+V44</f>
        <v>0.99999999999999989</v>
      </c>
    </row>
  </sheetData>
  <mergeCells count="3">
    <mergeCell ref="F1:F2"/>
    <mergeCell ref="F3:F4"/>
    <mergeCell ref="F5:F6"/>
  </mergeCells>
  <phoneticPr fontId="5" type="noConversion"/>
  <pageMargins left="0.75" right="0.75" top="1" bottom="1" header="0.5" footer="0.5"/>
  <pageSetup paperSize="9" scale="23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5"/>
  <sheetViews>
    <sheetView topLeftCell="A10" workbookViewId="0">
      <selection activeCell="D11" sqref="D11"/>
    </sheetView>
  </sheetViews>
  <sheetFormatPr defaultRowHeight="16.5"/>
  <cols>
    <col min="1" max="1" width="5" customWidth="1"/>
    <col min="2" max="2" width="6" customWidth="1"/>
    <col min="3" max="3" width="7.5" customWidth="1"/>
    <col min="4" max="4" width="7.375" customWidth="1"/>
    <col min="6" max="6" width="8.25" customWidth="1"/>
    <col min="7" max="7" width="8.5" customWidth="1"/>
    <col min="8" max="8" width="7.125" customWidth="1"/>
    <col min="11" max="11" width="2.75" customWidth="1"/>
    <col min="12" max="12" width="4.625" bestFit="1" customWidth="1"/>
    <col min="13" max="13" width="6.125" customWidth="1"/>
    <col min="14" max="16" width="11.25" bestFit="1" customWidth="1"/>
    <col min="17" max="17" width="9.25" bestFit="1" customWidth="1"/>
    <col min="18" max="18" width="11.375" bestFit="1" customWidth="1"/>
    <col min="19" max="19" width="10.375" bestFit="1" customWidth="1"/>
    <col min="20" max="20" width="12.375" bestFit="1" customWidth="1"/>
    <col min="21" max="21" width="7.5" customWidth="1"/>
  </cols>
  <sheetData>
    <row r="1" spans="1:24">
      <c r="A1" t="s">
        <v>17</v>
      </c>
      <c r="J1" t="s">
        <v>14</v>
      </c>
      <c r="U1" t="s">
        <v>14</v>
      </c>
    </row>
    <row r="2" spans="1:24">
      <c r="A2" s="519" t="s">
        <v>15</v>
      </c>
      <c r="B2" s="519"/>
      <c r="C2" s="519"/>
      <c r="D2" s="519"/>
      <c r="E2" s="519"/>
      <c r="F2" s="519"/>
      <c r="G2" s="519"/>
      <c r="H2" s="519"/>
      <c r="I2" s="519"/>
      <c r="J2" s="519"/>
      <c r="L2" s="519" t="s">
        <v>16</v>
      </c>
      <c r="M2" s="519"/>
      <c r="N2" s="519"/>
      <c r="O2" s="519"/>
      <c r="P2" s="519"/>
      <c r="Q2" s="519"/>
      <c r="R2" s="519"/>
      <c r="S2" s="519"/>
      <c r="T2" s="519"/>
      <c r="U2" s="519"/>
    </row>
    <row r="3" spans="1:24" ht="17.25" thickBot="1">
      <c r="A3" t="s">
        <v>0</v>
      </c>
      <c r="B3" t="s">
        <v>1</v>
      </c>
      <c r="C3" t="s">
        <v>4</v>
      </c>
      <c r="D3" t="s">
        <v>5</v>
      </c>
      <c r="E3" t="s">
        <v>2</v>
      </c>
      <c r="F3" t="s">
        <v>6</v>
      </c>
      <c r="G3" t="s">
        <v>7</v>
      </c>
      <c r="H3" t="s">
        <v>3</v>
      </c>
      <c r="I3" t="s">
        <v>8</v>
      </c>
      <c r="J3" t="s">
        <v>9</v>
      </c>
      <c r="L3" t="s">
        <v>0</v>
      </c>
      <c r="M3" t="s">
        <v>1</v>
      </c>
      <c r="N3" t="s">
        <v>4</v>
      </c>
      <c r="O3" t="s">
        <v>5</v>
      </c>
      <c r="P3" t="s">
        <v>11</v>
      </c>
      <c r="Q3" t="s">
        <v>10</v>
      </c>
      <c r="R3" t="s">
        <v>13</v>
      </c>
      <c r="S3" t="s">
        <v>12</v>
      </c>
      <c r="T3" t="s">
        <v>2</v>
      </c>
      <c r="U3" t="s">
        <v>9</v>
      </c>
    </row>
    <row r="4" spans="1:24">
      <c r="A4">
        <v>36</v>
      </c>
      <c r="C4">
        <v>100</v>
      </c>
      <c r="D4">
        <v>200</v>
      </c>
      <c r="E4">
        <f>D4+C4</f>
        <v>300</v>
      </c>
      <c r="L4">
        <v>0</v>
      </c>
      <c r="N4">
        <v>100000000</v>
      </c>
      <c r="O4">
        <v>100000000</v>
      </c>
      <c r="P4">
        <v>100000000</v>
      </c>
      <c r="Q4">
        <f>N4*2-O4-P4</f>
        <v>0</v>
      </c>
      <c r="T4">
        <f>SUM(N4:P4)+S4</f>
        <v>300000000</v>
      </c>
    </row>
    <row r="5" spans="1:24">
      <c r="A5">
        <v>1</v>
      </c>
      <c r="B5">
        <v>0.01</v>
      </c>
      <c r="C5">
        <f>C4*(1+B5*2)</f>
        <v>102</v>
      </c>
      <c r="D5">
        <f>D4*(1-B5)</f>
        <v>198</v>
      </c>
      <c r="E5">
        <f t="shared" ref="E5:E15" si="0">D5+C5</f>
        <v>300</v>
      </c>
      <c r="F5">
        <f t="shared" ref="F5:G15" si="1">C5-C4</f>
        <v>2</v>
      </c>
      <c r="G5">
        <f t="shared" si="1"/>
        <v>-2</v>
      </c>
      <c r="H5">
        <f>G5+F5</f>
        <v>0</v>
      </c>
      <c r="I5">
        <f>H5/$E$4</f>
        <v>0</v>
      </c>
      <c r="J5">
        <f>E5/$E$4-1</f>
        <v>0</v>
      </c>
      <c r="L5">
        <v>1</v>
      </c>
      <c r="M5">
        <v>0.01</v>
      </c>
      <c r="N5">
        <f>N4*(1+M5*2)</f>
        <v>102000000</v>
      </c>
      <c r="O5">
        <f>O4*(1-M5)</f>
        <v>99000000</v>
      </c>
      <c r="P5">
        <f>P4*(1-M5)</f>
        <v>99000000</v>
      </c>
      <c r="Q5">
        <f>SUM(N5:P5)-SUM(N4:P4)</f>
        <v>0</v>
      </c>
      <c r="S5">
        <f>-Q5</f>
        <v>0</v>
      </c>
      <c r="T5">
        <f>SUM(N5:P5)+S5</f>
        <v>300000000</v>
      </c>
      <c r="U5">
        <f>T5/$T$4-1</f>
        <v>0</v>
      </c>
    </row>
    <row r="6" spans="1:24">
      <c r="A6">
        <v>2</v>
      </c>
      <c r="B6">
        <v>-0.01</v>
      </c>
      <c r="C6">
        <f>C5*(1+B6*2)</f>
        <v>99.96</v>
      </c>
      <c r="D6">
        <f>D5*(1-B6)</f>
        <v>199.98</v>
      </c>
      <c r="E6">
        <f t="shared" si="0"/>
        <v>299.94</v>
      </c>
      <c r="F6">
        <f t="shared" si="1"/>
        <v>-2.0400000000000063</v>
      </c>
      <c r="G6">
        <f t="shared" si="1"/>
        <v>1.9799999999999898</v>
      </c>
      <c r="H6">
        <f>G6+F6</f>
        <v>-6.0000000000016485E-2</v>
      </c>
      <c r="I6">
        <f t="shared" ref="I6:I15" si="2">H6/$E$4</f>
        <v>-2.0000000000005495E-4</v>
      </c>
      <c r="J6">
        <f t="shared" ref="J6:J15" si="3">E6/$E$4-1</f>
        <v>-1.9999999999997797E-4</v>
      </c>
      <c r="L6">
        <v>2</v>
      </c>
      <c r="M6">
        <v>-0.01</v>
      </c>
      <c r="N6">
        <f>N5*(1+M6*2)</f>
        <v>99960000</v>
      </c>
      <c r="O6">
        <f>O5*(1-M6)</f>
        <v>99990000</v>
      </c>
      <c r="P6">
        <f t="shared" ref="P6:P15" si="4">P5*(1-M6)</f>
        <v>99990000</v>
      </c>
      <c r="Q6">
        <f>SUM(N6:P6)-SUM(N5:P5)</f>
        <v>-60000</v>
      </c>
      <c r="R6">
        <f>S5*(1+M6)</f>
        <v>0</v>
      </c>
      <c r="S6">
        <f t="shared" ref="S6:S15" si="5">-Q6</f>
        <v>60000</v>
      </c>
      <c r="T6">
        <f>SUM(N6:P6)+S6+R6</f>
        <v>300000000</v>
      </c>
      <c r="U6">
        <f t="shared" ref="U6:U15" si="6">T6/$T$4-1</f>
        <v>0</v>
      </c>
    </row>
    <row r="7" spans="1:24">
      <c r="A7">
        <v>3</v>
      </c>
      <c r="B7">
        <v>0.01</v>
      </c>
      <c r="C7">
        <f>C6*(1+B7*2)</f>
        <v>101.9592</v>
      </c>
      <c r="D7">
        <f>D6*(1-B7)</f>
        <v>197.9802</v>
      </c>
      <c r="E7">
        <f t="shared" si="0"/>
        <v>299.93939999999998</v>
      </c>
      <c r="F7">
        <f t="shared" si="1"/>
        <v>1.9992000000000019</v>
      </c>
      <c r="G7">
        <f t="shared" si="1"/>
        <v>-1.9997999999999934</v>
      </c>
      <c r="H7">
        <f>G7+F7</f>
        <v>-5.9999999999149622E-4</v>
      </c>
      <c r="I7">
        <f t="shared" si="2"/>
        <v>-1.999999999971654E-6</v>
      </c>
      <c r="J7">
        <f t="shared" si="3"/>
        <v>-2.0200000000003548E-4</v>
      </c>
      <c r="L7">
        <v>3</v>
      </c>
      <c r="M7">
        <v>0.01</v>
      </c>
      <c r="N7">
        <f>N6*(1+M7*2)</f>
        <v>101959200</v>
      </c>
      <c r="O7">
        <f>O6*(1-M7)</f>
        <v>98990100</v>
      </c>
      <c r="P7">
        <f t="shared" si="4"/>
        <v>98990100</v>
      </c>
      <c r="Q7">
        <f>SUM(N7:P7)-SUM(N6:P6)+(R7-R6-S6)</f>
        <v>0</v>
      </c>
      <c r="R7">
        <f>(R6+S6)*(1+M7)</f>
        <v>60600</v>
      </c>
      <c r="S7">
        <f t="shared" si="5"/>
        <v>0</v>
      </c>
      <c r="T7">
        <f>SUM(N7:P7)+S7+R7</f>
        <v>300000000</v>
      </c>
      <c r="U7">
        <f t="shared" si="6"/>
        <v>0</v>
      </c>
      <c r="V7">
        <f>R7*1000000</f>
        <v>60600000000</v>
      </c>
      <c r="W7">
        <f>9117*200</f>
        <v>1823400</v>
      </c>
      <c r="X7">
        <f>9117*50</f>
        <v>455850</v>
      </c>
    </row>
    <row r="8" spans="1:24">
      <c r="A8">
        <v>4</v>
      </c>
      <c r="B8">
        <v>-0.01</v>
      </c>
      <c r="C8">
        <f>C7*(1+B8*2)</f>
        <v>99.92001599999999</v>
      </c>
      <c r="D8">
        <f>D7*(1-B8)</f>
        <v>199.960002</v>
      </c>
      <c r="E8">
        <f t="shared" si="0"/>
        <v>299.88001800000001</v>
      </c>
      <c r="F8">
        <f t="shared" si="1"/>
        <v>-2.0391840000000059</v>
      </c>
      <c r="G8">
        <f t="shared" si="1"/>
        <v>1.9798020000000065</v>
      </c>
      <c r="H8">
        <f>G8+F8</f>
        <v>-5.938199999999938E-2</v>
      </c>
      <c r="I8">
        <f t="shared" si="2"/>
        <v>-1.9793999999999793E-4</v>
      </c>
      <c r="J8">
        <f t="shared" si="3"/>
        <v>-3.9993999999998753E-4</v>
      </c>
      <c r="L8">
        <v>4</v>
      </c>
      <c r="M8">
        <v>-0.01</v>
      </c>
      <c r="N8">
        <f>N7*(1+M8*2)</f>
        <v>99920016</v>
      </c>
      <c r="O8">
        <f>O7*(1-M8)</f>
        <v>99980001</v>
      </c>
      <c r="P8">
        <f t="shared" si="4"/>
        <v>99980001</v>
      </c>
      <c r="Q8">
        <f t="shared" ref="Q8:Q15" si="7">SUM(N8:P8)-SUM(N7:P7)+(R8-R7-S7)</f>
        <v>-59988</v>
      </c>
      <c r="R8">
        <f t="shared" ref="R8:R15" si="8">(R7+S7)*(1+M8)</f>
        <v>59994</v>
      </c>
      <c r="S8">
        <f t="shared" si="5"/>
        <v>59988</v>
      </c>
      <c r="T8">
        <f t="shared" ref="T8:T15" si="9">SUM(N8:P8)+S8+R8</f>
        <v>300000000</v>
      </c>
      <c r="U8">
        <f t="shared" si="6"/>
        <v>0</v>
      </c>
    </row>
    <row r="9" spans="1:24">
      <c r="A9">
        <v>5</v>
      </c>
      <c r="B9">
        <v>0.01</v>
      </c>
      <c r="C9">
        <f t="shared" ref="C9:C15" si="10">C8*(1+B9*2)</f>
        <v>101.91841631999999</v>
      </c>
      <c r="D9">
        <f t="shared" ref="D9:D15" si="11">D8*(1-B9)</f>
        <v>197.96040198</v>
      </c>
      <c r="E9">
        <f t="shared" si="0"/>
        <v>299.87881829999998</v>
      </c>
      <c r="F9">
        <f t="shared" si="1"/>
        <v>1.9984003200000018</v>
      </c>
      <c r="G9">
        <f t="shared" si="1"/>
        <v>-1.9996000200000026</v>
      </c>
      <c r="H9">
        <f t="shared" ref="H9:H15" si="12">G9+F9</f>
        <v>-1.1997000000008029E-3</v>
      </c>
      <c r="I9">
        <f t="shared" si="2"/>
        <v>-3.9990000000026759E-6</v>
      </c>
      <c r="J9">
        <f t="shared" si="3"/>
        <v>-4.0393900000001981E-4</v>
      </c>
      <c r="L9">
        <v>5</v>
      </c>
      <c r="M9">
        <v>0.01</v>
      </c>
      <c r="N9">
        <f t="shared" ref="N9:N15" si="13">N8*(1+M9*2)</f>
        <v>101918416.32000001</v>
      </c>
      <c r="O9">
        <f t="shared" ref="O9:O15" si="14">O8*(1-M9)</f>
        <v>98980200.989999995</v>
      </c>
      <c r="P9">
        <f t="shared" si="4"/>
        <v>98980200.989999995</v>
      </c>
      <c r="Q9">
        <f t="shared" si="7"/>
        <v>0.12000001192791387</v>
      </c>
      <c r="R9">
        <f t="shared" si="8"/>
        <v>121181.82</v>
      </c>
      <c r="S9">
        <f t="shared" si="5"/>
        <v>-0.12000001192791387</v>
      </c>
      <c r="T9">
        <f t="shared" si="9"/>
        <v>300000000</v>
      </c>
      <c r="U9">
        <f t="shared" si="6"/>
        <v>0</v>
      </c>
    </row>
    <row r="10" spans="1:24">
      <c r="A10">
        <v>6</v>
      </c>
      <c r="B10">
        <v>-0.01</v>
      </c>
      <c r="C10">
        <f t="shared" si="10"/>
        <v>99.880047993599987</v>
      </c>
      <c r="D10">
        <f t="shared" si="11"/>
        <v>199.94000599980001</v>
      </c>
      <c r="E10">
        <f t="shared" si="0"/>
        <v>299.82005399339999</v>
      </c>
      <c r="F10">
        <f t="shared" si="1"/>
        <v>-2.0383683264000041</v>
      </c>
      <c r="G10">
        <f t="shared" si="1"/>
        <v>1.9796040198000071</v>
      </c>
      <c r="H10">
        <f t="shared" si="12"/>
        <v>-5.8764306599996985E-2</v>
      </c>
      <c r="I10">
        <f t="shared" si="2"/>
        <v>-1.9588102199998995E-4</v>
      </c>
      <c r="J10">
        <f t="shared" si="3"/>
        <v>-5.9982002199998607E-4</v>
      </c>
      <c r="L10">
        <v>6</v>
      </c>
      <c r="M10">
        <v>-0.01</v>
      </c>
      <c r="N10">
        <f t="shared" si="13"/>
        <v>99880047.993600011</v>
      </c>
      <c r="O10">
        <f t="shared" si="14"/>
        <v>99970002.999899998</v>
      </c>
      <c r="P10">
        <f t="shared" si="4"/>
        <v>99970002.999899998</v>
      </c>
      <c r="Q10">
        <f t="shared" si="7"/>
        <v>-59976.123600034116</v>
      </c>
      <c r="R10">
        <f t="shared" si="8"/>
        <v>119969.8829999882</v>
      </c>
      <c r="S10">
        <f t="shared" si="5"/>
        <v>59976.123600034116</v>
      </c>
      <c r="T10">
        <f t="shared" si="9"/>
        <v>300000000</v>
      </c>
      <c r="U10">
        <f t="shared" si="6"/>
        <v>0</v>
      </c>
    </row>
    <row r="11" spans="1:24">
      <c r="A11">
        <v>7</v>
      </c>
      <c r="B11">
        <v>0.01</v>
      </c>
      <c r="C11">
        <f t="shared" si="10"/>
        <v>101.87764895347199</v>
      </c>
      <c r="D11">
        <f t="shared" si="11"/>
        <v>197.940605939802</v>
      </c>
      <c r="E11">
        <f t="shared" si="0"/>
        <v>299.818254893274</v>
      </c>
      <c r="F11">
        <f t="shared" si="1"/>
        <v>1.9976009598720026</v>
      </c>
      <c r="G11">
        <f t="shared" si="1"/>
        <v>-1.9994000599980097</v>
      </c>
      <c r="H11">
        <f t="shared" si="12"/>
        <v>-1.7991001260071471E-3</v>
      </c>
      <c r="I11">
        <f t="shared" si="2"/>
        <v>-5.9970004200238234E-6</v>
      </c>
      <c r="J11">
        <f t="shared" si="3"/>
        <v>-6.0581702242001878E-4</v>
      </c>
      <c r="L11">
        <v>7</v>
      </c>
      <c r="M11">
        <v>0.01</v>
      </c>
      <c r="N11">
        <f t="shared" si="13"/>
        <v>101877648.95347202</v>
      </c>
      <c r="O11">
        <f t="shared" si="14"/>
        <v>98970302.969900995</v>
      </c>
      <c r="P11">
        <f t="shared" si="4"/>
        <v>98970302.969900995</v>
      </c>
      <c r="Q11">
        <f t="shared" si="7"/>
        <v>0.35994003177620471</v>
      </c>
      <c r="R11">
        <f t="shared" si="8"/>
        <v>181745.46666602255</v>
      </c>
      <c r="S11">
        <f t="shared" si="5"/>
        <v>-0.35994003177620471</v>
      </c>
      <c r="T11">
        <f t="shared" si="9"/>
        <v>300000000</v>
      </c>
      <c r="U11">
        <f t="shared" si="6"/>
        <v>0</v>
      </c>
    </row>
    <row r="12" spans="1:24">
      <c r="A12">
        <v>8</v>
      </c>
      <c r="B12">
        <v>-0.01</v>
      </c>
      <c r="C12">
        <f t="shared" si="10"/>
        <v>99.840095974402544</v>
      </c>
      <c r="D12">
        <f t="shared" si="11"/>
        <v>199.92001199920003</v>
      </c>
      <c r="E12">
        <f t="shared" si="0"/>
        <v>299.76010797360254</v>
      </c>
      <c r="F12">
        <f t="shared" si="1"/>
        <v>-2.0375529790694458</v>
      </c>
      <c r="G12">
        <f t="shared" si="1"/>
        <v>1.9794060593980305</v>
      </c>
      <c r="H12">
        <f t="shared" si="12"/>
        <v>-5.8146919671415276E-2</v>
      </c>
      <c r="I12">
        <f t="shared" si="2"/>
        <v>-1.9382306557138426E-4</v>
      </c>
      <c r="J12">
        <f t="shared" si="3"/>
        <v>-7.9964008799149333E-4</v>
      </c>
      <c r="L12">
        <v>8</v>
      </c>
      <c r="M12">
        <v>-0.01</v>
      </c>
      <c r="N12">
        <f t="shared" si="13"/>
        <v>99840095.974402577</v>
      </c>
      <c r="O12">
        <f t="shared" si="14"/>
        <v>99960005.999600008</v>
      </c>
      <c r="P12">
        <f t="shared" si="4"/>
        <v>99960005.999600008</v>
      </c>
      <c r="Q12">
        <f t="shared" si="7"/>
        <v>-59964.370738676196</v>
      </c>
      <c r="R12">
        <f t="shared" si="8"/>
        <v>179927.65565873086</v>
      </c>
      <c r="S12">
        <f t="shared" si="5"/>
        <v>59964.370738676196</v>
      </c>
      <c r="T12">
        <f t="shared" si="9"/>
        <v>300000000</v>
      </c>
      <c r="U12">
        <f t="shared" si="6"/>
        <v>0</v>
      </c>
    </row>
    <row r="13" spans="1:24">
      <c r="A13">
        <v>9</v>
      </c>
      <c r="B13">
        <v>0.01</v>
      </c>
      <c r="C13">
        <f t="shared" si="10"/>
        <v>101.83689789389059</v>
      </c>
      <c r="D13">
        <f t="shared" si="11"/>
        <v>197.92081187920803</v>
      </c>
      <c r="E13">
        <f t="shared" si="0"/>
        <v>299.75770977309861</v>
      </c>
      <c r="F13">
        <f t="shared" si="1"/>
        <v>1.9968019194880497</v>
      </c>
      <c r="G13">
        <f t="shared" si="1"/>
        <v>-1.9992001199919969</v>
      </c>
      <c r="H13">
        <f t="shared" si="12"/>
        <v>-2.3982005039471233E-3</v>
      </c>
      <c r="I13">
        <f t="shared" si="2"/>
        <v>-7.9940016798237437E-6</v>
      </c>
      <c r="J13">
        <f t="shared" si="3"/>
        <v>-8.0763408967132744E-4</v>
      </c>
      <c r="L13">
        <v>9</v>
      </c>
      <c r="M13">
        <v>0.01</v>
      </c>
      <c r="N13">
        <f t="shared" si="13"/>
        <v>101836897.89389063</v>
      </c>
      <c r="O13">
        <f t="shared" si="14"/>
        <v>98960405.939604014</v>
      </c>
      <c r="P13">
        <f t="shared" si="4"/>
        <v>98960405.939604014</v>
      </c>
      <c r="Q13">
        <f t="shared" si="7"/>
        <v>0.7197600883373525</v>
      </c>
      <c r="R13">
        <f t="shared" si="8"/>
        <v>242290.94666138114</v>
      </c>
      <c r="S13">
        <f t="shared" si="5"/>
        <v>-0.7197600883373525</v>
      </c>
      <c r="T13">
        <f t="shared" si="9"/>
        <v>300000000</v>
      </c>
      <c r="U13">
        <f t="shared" si="6"/>
        <v>0</v>
      </c>
    </row>
    <row r="14" spans="1:24">
      <c r="A14">
        <v>10</v>
      </c>
      <c r="B14">
        <v>-0.01</v>
      </c>
      <c r="C14">
        <f t="shared" si="10"/>
        <v>99.800159936012776</v>
      </c>
      <c r="D14">
        <f t="shared" si="11"/>
        <v>199.90001999800012</v>
      </c>
      <c r="E14">
        <f t="shared" si="0"/>
        <v>299.70017993401291</v>
      </c>
      <c r="F14">
        <f t="shared" si="1"/>
        <v>-2.0367379578778184</v>
      </c>
      <c r="G14">
        <f t="shared" si="1"/>
        <v>1.9792081187920871</v>
      </c>
      <c r="H14">
        <f t="shared" si="12"/>
        <v>-5.7529839085731282E-2</v>
      </c>
      <c r="I14">
        <f t="shared" si="2"/>
        <v>-1.9176613028577095E-4</v>
      </c>
      <c r="J14">
        <f t="shared" si="3"/>
        <v>-9.9940021995692518E-4</v>
      </c>
      <c r="L14">
        <v>10</v>
      </c>
      <c r="M14">
        <v>-0.01</v>
      </c>
      <c r="N14">
        <f t="shared" si="13"/>
        <v>99800159.936012819</v>
      </c>
      <c r="O14">
        <f t="shared" si="14"/>
        <v>99950009.999000058</v>
      </c>
      <c r="P14">
        <f t="shared" si="4"/>
        <v>99950009.999000058</v>
      </c>
      <c r="Q14">
        <f t="shared" si="7"/>
        <v>-59952.741354770667</v>
      </c>
      <c r="R14">
        <f t="shared" si="8"/>
        <v>239867.32463227987</v>
      </c>
      <c r="S14">
        <f t="shared" si="5"/>
        <v>59952.741354770667</v>
      </c>
      <c r="T14">
        <f t="shared" si="9"/>
        <v>300000000</v>
      </c>
      <c r="U14">
        <f t="shared" si="6"/>
        <v>0</v>
      </c>
    </row>
    <row r="15" spans="1:24">
      <c r="A15">
        <v>11</v>
      </c>
      <c r="B15">
        <v>0.01</v>
      </c>
      <c r="C15">
        <f t="shared" si="10"/>
        <v>101.79616313473304</v>
      </c>
      <c r="D15">
        <f t="shared" si="11"/>
        <v>197.90101979802012</v>
      </c>
      <c r="E15">
        <f t="shared" si="0"/>
        <v>299.69718293275315</v>
      </c>
      <c r="F15">
        <f t="shared" si="1"/>
        <v>1.9960031987202598</v>
      </c>
      <c r="G15">
        <f t="shared" si="1"/>
        <v>-1.9990001999800029</v>
      </c>
      <c r="H15">
        <f t="shared" si="12"/>
        <v>-2.997001259743115E-3</v>
      </c>
      <c r="I15">
        <f t="shared" si="2"/>
        <v>-9.9900041991437175E-6</v>
      </c>
      <c r="J15">
        <f t="shared" si="3"/>
        <v>-1.009390224156137E-3</v>
      </c>
      <c r="L15">
        <v>11</v>
      </c>
      <c r="M15">
        <v>0.01</v>
      </c>
      <c r="N15">
        <f t="shared" si="13"/>
        <v>101796163.13473308</v>
      </c>
      <c r="O15">
        <f t="shared" si="14"/>
        <v>98950509.899010062</v>
      </c>
      <c r="P15">
        <f t="shared" si="4"/>
        <v>98950509.899010062</v>
      </c>
      <c r="Q15">
        <f t="shared" si="7"/>
        <v>1.1994001263519749</v>
      </c>
      <c r="R15">
        <f t="shared" si="8"/>
        <v>302818.26664692105</v>
      </c>
      <c r="S15">
        <f t="shared" si="5"/>
        <v>-1.1994001263519749</v>
      </c>
      <c r="T15">
        <f t="shared" si="9"/>
        <v>300000000</v>
      </c>
      <c r="U15">
        <f t="shared" si="6"/>
        <v>0</v>
      </c>
    </row>
  </sheetData>
  <mergeCells count="2">
    <mergeCell ref="A2:J2"/>
    <mergeCell ref="L2:U2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已命名的範圍</vt:lpstr>
      </vt:variant>
      <vt:variant>
        <vt:i4>9</vt:i4>
      </vt:variant>
    </vt:vector>
  </HeadingPairs>
  <TitlesOfParts>
    <vt:vector size="32" baseType="lpstr">
      <vt:lpstr>ETF即時價格</vt:lpstr>
      <vt:lpstr>KGI海期報價</vt:lpstr>
      <vt:lpstr>群益海期報價</vt:lpstr>
      <vt:lpstr>台期所</vt:lpstr>
      <vt:lpstr>匯率報價</vt:lpstr>
      <vt:lpstr>PCF匯率</vt:lpstr>
      <vt:lpstr>費用列表</vt:lpstr>
      <vt:lpstr>WebAPI_KGI</vt:lpstr>
      <vt:lpstr>WebAPI_國票</vt:lpstr>
      <vt:lpstr>ETF Update</vt:lpstr>
      <vt:lpstr>50台灣50系列即時淨值</vt:lpstr>
      <vt:lpstr>0055元大金融即時淨值</vt:lpstr>
      <vt:lpstr>0056高股息即時淨值</vt:lpstr>
      <vt:lpstr>6206上證50即時淨值</vt:lpstr>
      <vt:lpstr>61滬深300系列即時淨值</vt:lpstr>
      <vt:lpstr>S&amp;P500系列即時淨值</vt:lpstr>
      <vt:lpstr>石油ETF即時淨值</vt:lpstr>
      <vt:lpstr>黃金ETF即時淨值</vt:lpstr>
      <vt:lpstr>美元指數ETF即時淨值</vt:lpstr>
      <vt:lpstr>日圓ETF即時淨值</vt:lpstr>
      <vt:lpstr>20年美債ETF即時淨值</vt:lpstr>
      <vt:lpstr>10年美債ETF即時淨值</vt:lpstr>
      <vt:lpstr>情境分析2</vt:lpstr>
      <vt:lpstr>'10年美債ETF即時淨值'!Print_Area</vt:lpstr>
      <vt:lpstr>'20年美債ETF即時淨值'!Print_Area</vt:lpstr>
      <vt:lpstr>'50台灣50系列即時淨值'!Print_Area</vt:lpstr>
      <vt:lpstr>'6206上證50即時淨值'!Print_Area</vt:lpstr>
      <vt:lpstr>ETF即時價格!Print_Area</vt:lpstr>
      <vt:lpstr>日圓ETF即時淨值!Print_Area</vt:lpstr>
      <vt:lpstr>石油ETF即時淨值!Print_Area</vt:lpstr>
      <vt:lpstr>美元指數ETF即時淨值!Print_Area</vt:lpstr>
      <vt:lpstr>黃金ETF即時淨值!Print_Area</vt:lpstr>
    </vt:vector>
  </TitlesOfParts>
  <Company>IBTS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eliko.chang</dc:creator>
  <cp:lastModifiedBy>黃立承</cp:lastModifiedBy>
  <cp:lastPrinted>2015-10-22T08:12:05Z</cp:lastPrinted>
  <dcterms:created xsi:type="dcterms:W3CDTF">2014-09-23T01:52:25Z</dcterms:created>
  <dcterms:modified xsi:type="dcterms:W3CDTF">2019-07-08T09:01:02Z</dcterms:modified>
</cp:coreProperties>
</file>